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29"/>
  <workbookPr defaultThemeVersion="124226"/>
  <mc:AlternateContent xmlns:mc="http://schemas.openxmlformats.org/markup-compatibility/2006">
    <mc:Choice Requires="x15">
      <x15ac:absPath xmlns:x15ac="http://schemas.microsoft.com/office/spreadsheetml/2010/11/ac" url="C:\Users\ricar\OneDrive\Documentos\GitHub\FejersBI\"/>
    </mc:Choice>
  </mc:AlternateContent>
  <xr:revisionPtr revIDLastSave="0" documentId="13_ncr:1_{70209169-D96C-4D5C-B385-DADBB5B7AB9C}" xr6:coauthVersionLast="45" xr6:coauthVersionMax="45" xr10:uidLastSave="{00000000-0000-0000-0000-000000000000}"/>
  <bookViews>
    <workbookView xWindow="-120" yWindow="-120" windowWidth="20730" windowHeight="11310" tabRatio="953" firstSheet="7" activeTab="10" xr2:uid="{00000000-000D-0000-FFFF-FFFF00000000}"/>
  </bookViews>
  <sheets>
    <sheet name="Monitoramento Acumulado Geral" sheetId="27" r:id="rId1"/>
    <sheet name="Indicadores" sheetId="12" r:id="rId2"/>
    <sheet name="Cálculo Banda Part. Event." sheetId="18" r:id="rId3"/>
    <sheet name="Cálculo Banda Faturamento" sheetId="8" r:id="rId4"/>
    <sheet name="Cálculo Banda Part. Proj" sheetId="13" r:id="rId5"/>
    <sheet name="Impacto Eventos" sheetId="3" r:id="rId6"/>
    <sheet name="Calendário de Eventos" sheetId="24" r:id="rId7"/>
    <sheet name="Farol" sheetId="5" r:id="rId8"/>
    <sheet name="Ticket Médio" sheetId="14" r:id="rId9"/>
    <sheet name="PROJETOS NPS DET" sheetId="9" r:id="rId10"/>
    <sheet name="Média NPS-Fat" sheetId="21" r:id="rId11"/>
  </sheets>
  <definedNames>
    <definedName name="INDI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36" i="21" l="1"/>
  <c r="D337" i="21"/>
  <c r="D338" i="21"/>
  <c r="D339" i="21"/>
  <c r="D340" i="21"/>
  <c r="D341" i="21"/>
  <c r="D342" i="21"/>
  <c r="D343" i="21"/>
  <c r="D344" i="21"/>
  <c r="D345" i="21"/>
  <c r="D346" i="21"/>
  <c r="D347" i="21"/>
  <c r="D348" i="21"/>
  <c r="D349" i="21"/>
  <c r="D350" i="21"/>
  <c r="D351" i="21"/>
  <c r="D352" i="21"/>
  <c r="D353" i="21"/>
  <c r="D354" i="21"/>
  <c r="D355" i="21"/>
  <c r="D356" i="21"/>
  <c r="D357" i="21"/>
  <c r="D358" i="21"/>
  <c r="D359" i="21"/>
  <c r="D360" i="21"/>
  <c r="D361" i="21"/>
  <c r="D362" i="21"/>
  <c r="D363" i="21"/>
  <c r="D364" i="21"/>
  <c r="D365" i="21"/>
  <c r="D366" i="21"/>
  <c r="D367" i="21"/>
  <c r="D368" i="21"/>
  <c r="D369" i="21"/>
  <c r="D370" i="21"/>
  <c r="D371" i="21"/>
  <c r="D372" i="21"/>
  <c r="D373" i="21"/>
  <c r="D374" i="21"/>
  <c r="D375" i="21"/>
  <c r="D376" i="21"/>
  <c r="D377" i="21"/>
  <c r="D378" i="21"/>
  <c r="D379" i="21"/>
  <c r="D380" i="21"/>
  <c r="D381" i="21"/>
  <c r="D382" i="21"/>
  <c r="D383" i="21"/>
  <c r="D384" i="21"/>
  <c r="D385" i="21"/>
  <c r="D386" i="21"/>
  <c r="D387" i="21"/>
  <c r="D388" i="21"/>
  <c r="D389" i="21"/>
  <c r="D390" i="21"/>
  <c r="D391" i="21"/>
  <c r="D392" i="21"/>
  <c r="D393" i="21"/>
  <c r="D394" i="21"/>
  <c r="D395" i="21"/>
  <c r="D396" i="21"/>
  <c r="D397" i="21"/>
  <c r="D398" i="21"/>
  <c r="D399" i="21"/>
  <c r="D400" i="21"/>
  <c r="D401" i="21"/>
  <c r="D402" i="21"/>
  <c r="D403" i="21"/>
  <c r="D404" i="21"/>
  <c r="D405" i="21"/>
  <c r="D406" i="21"/>
  <c r="D407" i="21"/>
  <c r="D408" i="21"/>
  <c r="D409" i="21"/>
  <c r="D410" i="21"/>
  <c r="D411" i="21"/>
  <c r="D412" i="21"/>
  <c r="D413" i="21"/>
  <c r="D414" i="21"/>
  <c r="D415" i="21"/>
  <c r="D416" i="21"/>
  <c r="D417" i="21"/>
  <c r="D418" i="21"/>
  <c r="D419" i="21"/>
  <c r="D420" i="21"/>
  <c r="D421" i="21"/>
  <c r="D422" i="21"/>
  <c r="D423" i="21"/>
  <c r="D424" i="21"/>
  <c r="D425" i="21"/>
  <c r="D426" i="21"/>
  <c r="D427" i="21"/>
  <c r="D428" i="21"/>
  <c r="D429" i="21"/>
  <c r="D430" i="21"/>
  <c r="D431" i="21"/>
  <c r="D432" i="21"/>
  <c r="D433" i="21"/>
  <c r="D434" i="21"/>
  <c r="D435" i="21"/>
  <c r="D436" i="21"/>
  <c r="D437" i="21"/>
  <c r="D438" i="21"/>
  <c r="D439" i="21"/>
  <c r="D440" i="21"/>
  <c r="D441" i="21"/>
  <c r="D442" i="21"/>
  <c r="D443" i="21"/>
  <c r="D444" i="21"/>
  <c r="D445" i="21"/>
  <c r="D446" i="21"/>
  <c r="D447" i="21"/>
  <c r="D448" i="21"/>
  <c r="D449" i="21"/>
  <c r="D450" i="21"/>
  <c r="D451" i="21"/>
  <c r="D452" i="21"/>
  <c r="D453" i="21"/>
  <c r="D454" i="21"/>
  <c r="D455" i="21"/>
  <c r="D456" i="21"/>
  <c r="D457" i="21"/>
  <c r="D458" i="21"/>
  <c r="D459" i="21"/>
  <c r="D460" i="21"/>
  <c r="D461" i="21"/>
  <c r="D462" i="21"/>
  <c r="D463" i="21"/>
  <c r="D464" i="21"/>
  <c r="D465" i="21"/>
  <c r="D466" i="21"/>
  <c r="D467" i="21"/>
  <c r="D468" i="21"/>
  <c r="D469" i="21"/>
  <c r="D470" i="21"/>
  <c r="D471" i="21"/>
  <c r="D472" i="21"/>
  <c r="D473" i="21"/>
  <c r="D474" i="21"/>
  <c r="D475" i="21"/>
  <c r="D476" i="21"/>
  <c r="D477" i="21"/>
  <c r="D478" i="21"/>
  <c r="D479" i="21"/>
  <c r="D480" i="21"/>
  <c r="D481" i="21"/>
  <c r="D482" i="21"/>
  <c r="D483" i="21"/>
  <c r="D484" i="21"/>
  <c r="D485" i="21"/>
  <c r="D486" i="21"/>
  <c r="D487" i="21"/>
  <c r="D488" i="21"/>
  <c r="D489" i="21"/>
  <c r="D490" i="21"/>
  <c r="D491" i="21"/>
  <c r="D492" i="21"/>
  <c r="D493" i="21"/>
  <c r="D494" i="21"/>
  <c r="D495" i="21"/>
  <c r="D496" i="21"/>
  <c r="D497" i="21"/>
  <c r="D498" i="21"/>
  <c r="D499" i="21"/>
  <c r="D500" i="21"/>
  <c r="D501" i="21"/>
  <c r="D502" i="21"/>
  <c r="D503" i="21"/>
  <c r="D504" i="21"/>
  <c r="D505" i="21"/>
  <c r="D506" i="21"/>
  <c r="D507" i="21"/>
  <c r="D508" i="21"/>
  <c r="D509" i="21"/>
  <c r="D510" i="21"/>
  <c r="D511" i="21"/>
  <c r="D512" i="21"/>
  <c r="D513" i="21"/>
  <c r="D514" i="21"/>
  <c r="D515" i="21"/>
  <c r="D516" i="21"/>
  <c r="D517" i="21"/>
  <c r="D518" i="21"/>
  <c r="D519" i="21"/>
  <c r="D520" i="21"/>
  <c r="D521" i="21"/>
  <c r="D522" i="21"/>
  <c r="D523" i="21"/>
  <c r="D524" i="21"/>
  <c r="D525" i="21"/>
  <c r="D526" i="21"/>
  <c r="D527" i="21"/>
  <c r="D528" i="21"/>
  <c r="D529" i="21"/>
  <c r="D530" i="21"/>
  <c r="D531" i="21"/>
  <c r="D532" i="21"/>
  <c r="D533" i="21"/>
  <c r="D534" i="21"/>
  <c r="D535" i="21"/>
  <c r="D536" i="21"/>
  <c r="D537" i="21"/>
  <c r="D538" i="21"/>
  <c r="D539" i="21"/>
  <c r="D540" i="21"/>
  <c r="D541" i="21"/>
  <c r="D542" i="21"/>
  <c r="D543" i="21"/>
  <c r="D544" i="21"/>
  <c r="D545" i="21"/>
  <c r="D546" i="21"/>
  <c r="D547" i="21"/>
  <c r="D548" i="21"/>
  <c r="D549" i="21"/>
  <c r="D550" i="21"/>
  <c r="D551" i="21"/>
  <c r="E336" i="21"/>
  <c r="E337" i="21"/>
  <c r="E338" i="21"/>
  <c r="E339" i="21"/>
  <c r="E340" i="21"/>
  <c r="E341" i="21"/>
  <c r="E342" i="21"/>
  <c r="E343" i="21"/>
  <c r="E344" i="21"/>
  <c r="E345" i="21"/>
  <c r="E346" i="21"/>
  <c r="E347" i="21"/>
  <c r="E348" i="21"/>
  <c r="E349" i="21"/>
  <c r="E350" i="21"/>
  <c r="E351" i="21"/>
  <c r="E352" i="21"/>
  <c r="E353" i="21"/>
  <c r="E354" i="21"/>
  <c r="E355" i="21"/>
  <c r="E356" i="21"/>
  <c r="E357" i="21"/>
  <c r="E358" i="21"/>
  <c r="E359" i="21"/>
  <c r="E360" i="21"/>
  <c r="E361" i="21"/>
  <c r="E362" i="21"/>
  <c r="E363" i="21"/>
  <c r="E364" i="21"/>
  <c r="E365" i="21"/>
  <c r="E366" i="21"/>
  <c r="E367" i="21"/>
  <c r="E368" i="21"/>
  <c r="E369" i="21"/>
  <c r="E370" i="21"/>
  <c r="E371" i="21"/>
  <c r="E372" i="21"/>
  <c r="E373" i="21"/>
  <c r="E374" i="21"/>
  <c r="E375" i="21"/>
  <c r="E376" i="21"/>
  <c r="E377" i="21"/>
  <c r="E378" i="21"/>
  <c r="E379" i="21"/>
  <c r="E380" i="21"/>
  <c r="E381" i="21"/>
  <c r="E382" i="21"/>
  <c r="E383" i="21"/>
  <c r="E384" i="21"/>
  <c r="E385" i="21"/>
  <c r="E386" i="21"/>
  <c r="E387" i="21"/>
  <c r="E388" i="21"/>
  <c r="E389" i="21"/>
  <c r="E390" i="21"/>
  <c r="E391" i="21"/>
  <c r="E392" i="21"/>
  <c r="E393" i="21"/>
  <c r="E394" i="21"/>
  <c r="E395" i="21"/>
  <c r="E396" i="21"/>
  <c r="E397" i="21"/>
  <c r="E398" i="21"/>
  <c r="E399" i="21"/>
  <c r="E400" i="21"/>
  <c r="E401" i="21"/>
  <c r="E402" i="21"/>
  <c r="E403" i="21"/>
  <c r="E404" i="21"/>
  <c r="E405" i="21"/>
  <c r="E406" i="21"/>
  <c r="E407" i="21"/>
  <c r="E408" i="21"/>
  <c r="E409" i="21"/>
  <c r="E410" i="21"/>
  <c r="E411" i="21"/>
  <c r="E412" i="21"/>
  <c r="E413" i="21"/>
  <c r="E414" i="21"/>
  <c r="E415" i="21"/>
  <c r="E416" i="21"/>
  <c r="E417" i="21"/>
  <c r="E418" i="21"/>
  <c r="E419" i="21"/>
  <c r="E420" i="21"/>
  <c r="E421" i="21"/>
  <c r="E422" i="21"/>
  <c r="E423" i="21"/>
  <c r="E424" i="21"/>
  <c r="E425" i="21"/>
  <c r="E426" i="21"/>
  <c r="E427" i="21"/>
  <c r="E428" i="21"/>
  <c r="E429" i="21"/>
  <c r="E430" i="21"/>
  <c r="E431" i="21"/>
  <c r="E432" i="21"/>
  <c r="E433" i="21"/>
  <c r="E434" i="21"/>
  <c r="E435" i="21"/>
  <c r="E436" i="21"/>
  <c r="E437" i="21"/>
  <c r="E438" i="21"/>
  <c r="E439" i="21"/>
  <c r="E440" i="21"/>
  <c r="E441" i="21"/>
  <c r="E442" i="21"/>
  <c r="E443" i="21"/>
  <c r="E444" i="21"/>
  <c r="E445" i="21"/>
  <c r="E446" i="21"/>
  <c r="E447" i="21"/>
  <c r="E448" i="21"/>
  <c r="E449" i="21"/>
  <c r="E450" i="21"/>
  <c r="E451" i="21"/>
  <c r="E452" i="21"/>
  <c r="E453" i="21"/>
  <c r="E454" i="21"/>
  <c r="E455" i="21"/>
  <c r="E456" i="21"/>
  <c r="E457" i="21"/>
  <c r="E458" i="21"/>
  <c r="E459" i="21"/>
  <c r="E460" i="21"/>
  <c r="E461" i="21"/>
  <c r="E462" i="21"/>
  <c r="E463" i="21"/>
  <c r="E464" i="21"/>
  <c r="E465" i="21"/>
  <c r="E466" i="21"/>
  <c r="E467" i="21"/>
  <c r="E468" i="21"/>
  <c r="E469" i="21"/>
  <c r="E470" i="21"/>
  <c r="E471" i="21"/>
  <c r="E472" i="21"/>
  <c r="E473" i="21"/>
  <c r="E474" i="21"/>
  <c r="E475" i="21"/>
  <c r="E476" i="21"/>
  <c r="E477" i="21"/>
  <c r="E478" i="21"/>
  <c r="E479" i="21"/>
  <c r="E480" i="21"/>
  <c r="E481" i="21"/>
  <c r="E482" i="21"/>
  <c r="E483" i="21"/>
  <c r="E484" i="21"/>
  <c r="E485" i="21"/>
  <c r="E486" i="21"/>
  <c r="E487" i="21"/>
  <c r="E488" i="21"/>
  <c r="E489" i="21"/>
  <c r="E490" i="21"/>
  <c r="E491" i="21"/>
  <c r="E492" i="21"/>
  <c r="E493" i="21"/>
  <c r="E494" i="21"/>
  <c r="E495" i="21"/>
  <c r="E496" i="21"/>
  <c r="E497" i="21"/>
  <c r="E498" i="21"/>
  <c r="E499" i="21"/>
  <c r="E500" i="21"/>
  <c r="E501" i="21"/>
  <c r="E502" i="21"/>
  <c r="E503" i="21"/>
  <c r="E504" i="21"/>
  <c r="E505" i="21"/>
  <c r="E506" i="21"/>
  <c r="E507" i="21"/>
  <c r="E508" i="21"/>
  <c r="E509" i="21"/>
  <c r="E510" i="21"/>
  <c r="E511" i="21"/>
  <c r="E512" i="21"/>
  <c r="E513" i="21"/>
  <c r="E514" i="21"/>
  <c r="E515" i="21"/>
  <c r="E516" i="21"/>
  <c r="E517" i="21"/>
  <c r="E518" i="21"/>
  <c r="E519" i="21"/>
  <c r="E520" i="21"/>
  <c r="E521" i="21"/>
  <c r="E522" i="21"/>
  <c r="E523" i="21"/>
  <c r="E524" i="21"/>
  <c r="E525" i="21"/>
  <c r="E526" i="21"/>
  <c r="E527" i="21"/>
  <c r="E528" i="21"/>
  <c r="E529" i="21"/>
  <c r="E530" i="21"/>
  <c r="E531" i="21"/>
  <c r="E532" i="21"/>
  <c r="E533" i="21"/>
  <c r="E534" i="21"/>
  <c r="E535" i="21"/>
  <c r="E536" i="21"/>
  <c r="E537" i="21"/>
  <c r="E538" i="21"/>
  <c r="E539" i="21"/>
  <c r="E540" i="21"/>
  <c r="E541" i="21"/>
  <c r="E542" i="21"/>
  <c r="E543" i="21"/>
  <c r="E544" i="21"/>
  <c r="E545" i="21"/>
  <c r="E546" i="21"/>
  <c r="E547" i="21"/>
  <c r="E548" i="21"/>
  <c r="E549" i="21"/>
  <c r="E550" i="21"/>
  <c r="E551" i="21"/>
  <c r="F336" i="21"/>
  <c r="F337" i="21"/>
  <c r="F338" i="21"/>
  <c r="F339" i="21"/>
  <c r="F340" i="21"/>
  <c r="F341" i="21"/>
  <c r="F342" i="21"/>
  <c r="F343" i="21"/>
  <c r="F344" i="21"/>
  <c r="F345" i="21"/>
  <c r="F346" i="21"/>
  <c r="F347" i="21"/>
  <c r="F348" i="21"/>
  <c r="F349" i="21"/>
  <c r="F350" i="21"/>
  <c r="F351" i="21"/>
  <c r="F352" i="21"/>
  <c r="F353" i="21"/>
  <c r="F354" i="21"/>
  <c r="F355" i="21"/>
  <c r="F356" i="21"/>
  <c r="F357" i="21"/>
  <c r="F358" i="21"/>
  <c r="F359" i="21"/>
  <c r="F360" i="21"/>
  <c r="F361" i="21"/>
  <c r="F362" i="21"/>
  <c r="F363" i="21"/>
  <c r="F364" i="21"/>
  <c r="F365" i="21"/>
  <c r="F366" i="21"/>
  <c r="F367" i="21"/>
  <c r="F368" i="21"/>
  <c r="F369" i="21"/>
  <c r="F370" i="21"/>
  <c r="F371" i="21"/>
  <c r="F372" i="21"/>
  <c r="F373" i="21"/>
  <c r="F374" i="21"/>
  <c r="F375" i="21"/>
  <c r="F376" i="21"/>
  <c r="F377" i="21"/>
  <c r="F378" i="21"/>
  <c r="F379" i="21"/>
  <c r="F380" i="21"/>
  <c r="F381" i="21"/>
  <c r="F382" i="21"/>
  <c r="F383" i="21"/>
  <c r="F384" i="21"/>
  <c r="F385" i="21"/>
  <c r="F386" i="21"/>
  <c r="F387" i="21"/>
  <c r="F388" i="21"/>
  <c r="F389" i="21"/>
  <c r="F390" i="21"/>
  <c r="F391" i="21"/>
  <c r="F392" i="21"/>
  <c r="F393" i="21"/>
  <c r="F394" i="21"/>
  <c r="F395" i="21"/>
  <c r="F396" i="21"/>
  <c r="F397" i="21"/>
  <c r="F398" i="21"/>
  <c r="F399" i="21"/>
  <c r="F400" i="21"/>
  <c r="F401" i="21"/>
  <c r="F402" i="21"/>
  <c r="F403" i="21"/>
  <c r="F404" i="21"/>
  <c r="F405" i="21"/>
  <c r="F406" i="21"/>
  <c r="F407" i="21"/>
  <c r="F408" i="21"/>
  <c r="F409" i="21"/>
  <c r="F410" i="21"/>
  <c r="F411" i="21"/>
  <c r="F412" i="21"/>
  <c r="F413" i="21"/>
  <c r="F414" i="21"/>
  <c r="F415" i="21"/>
  <c r="F416" i="21"/>
  <c r="F417" i="21"/>
  <c r="F418" i="21"/>
  <c r="F419" i="21"/>
  <c r="F420" i="21"/>
  <c r="F421" i="21"/>
  <c r="F422" i="21"/>
  <c r="F423" i="21"/>
  <c r="F424" i="21"/>
  <c r="F425" i="21"/>
  <c r="F426" i="21"/>
  <c r="F427" i="21"/>
  <c r="F428" i="21"/>
  <c r="F429" i="21"/>
  <c r="F430" i="21"/>
  <c r="F431" i="21"/>
  <c r="F432" i="21"/>
  <c r="F433" i="21"/>
  <c r="F434" i="21"/>
  <c r="F435" i="21"/>
  <c r="F436" i="21"/>
  <c r="F437" i="21"/>
  <c r="F438" i="21"/>
  <c r="F439" i="21"/>
  <c r="F440" i="21"/>
  <c r="F441" i="21"/>
  <c r="F442" i="21"/>
  <c r="F443" i="21"/>
  <c r="F444" i="21"/>
  <c r="F445" i="21"/>
  <c r="F446" i="21"/>
  <c r="F447" i="21"/>
  <c r="F448" i="21"/>
  <c r="F449" i="21"/>
  <c r="F450" i="21"/>
  <c r="F451" i="21"/>
  <c r="F452" i="21"/>
  <c r="F453" i="21"/>
  <c r="F454" i="21"/>
  <c r="F455" i="21"/>
  <c r="F456" i="21"/>
  <c r="F457" i="21"/>
  <c r="F458" i="21"/>
  <c r="F459" i="21"/>
  <c r="F460" i="21"/>
  <c r="F461" i="21"/>
  <c r="F462" i="21"/>
  <c r="F463" i="21"/>
  <c r="F464" i="21"/>
  <c r="F465" i="21"/>
  <c r="F466" i="21"/>
  <c r="F467" i="21"/>
  <c r="F468" i="21"/>
  <c r="F469" i="21"/>
  <c r="F470" i="21"/>
  <c r="F471" i="21"/>
  <c r="F472" i="21"/>
  <c r="F473" i="21"/>
  <c r="F474" i="21"/>
  <c r="F475" i="21"/>
  <c r="F476" i="21"/>
  <c r="F477" i="21"/>
  <c r="F478" i="21"/>
  <c r="F479" i="21"/>
  <c r="F480" i="21"/>
  <c r="F481" i="21"/>
  <c r="F482" i="21"/>
  <c r="F483" i="21"/>
  <c r="F484" i="21"/>
  <c r="F485" i="21"/>
  <c r="F486" i="21"/>
  <c r="F487" i="21"/>
  <c r="F488" i="21"/>
  <c r="F489" i="21"/>
  <c r="F490" i="21"/>
  <c r="F491" i="21"/>
  <c r="F492" i="21"/>
  <c r="F493" i="21"/>
  <c r="F494" i="21"/>
  <c r="F495" i="21"/>
  <c r="F496" i="21"/>
  <c r="F497" i="21"/>
  <c r="F498" i="21"/>
  <c r="F499" i="21"/>
  <c r="F500" i="21"/>
  <c r="F501" i="21"/>
  <c r="F502" i="21"/>
  <c r="F503" i="21"/>
  <c r="F504" i="21"/>
  <c r="F505" i="21"/>
  <c r="F506" i="21"/>
  <c r="F507" i="21"/>
  <c r="F508" i="21"/>
  <c r="F509" i="21"/>
  <c r="F510" i="21"/>
  <c r="F511" i="21"/>
  <c r="F512" i="21"/>
  <c r="F513" i="21"/>
  <c r="F514" i="21"/>
  <c r="F515" i="21"/>
  <c r="F516" i="21"/>
  <c r="F517" i="21"/>
  <c r="F518" i="21"/>
  <c r="F519" i="21"/>
  <c r="F520" i="21"/>
  <c r="F521" i="21"/>
  <c r="F522" i="21"/>
  <c r="F523" i="21"/>
  <c r="F524" i="21"/>
  <c r="F525" i="21"/>
  <c r="F526" i="21"/>
  <c r="F527" i="21"/>
  <c r="F528" i="21"/>
  <c r="F529" i="21"/>
  <c r="F530" i="21"/>
  <c r="F531" i="21"/>
  <c r="F532" i="21"/>
  <c r="F533" i="21"/>
  <c r="F534" i="21"/>
  <c r="F535" i="21"/>
  <c r="F536" i="21"/>
  <c r="F537" i="21"/>
  <c r="F538" i="21"/>
  <c r="F539" i="21"/>
  <c r="F540" i="21"/>
  <c r="F541" i="21"/>
  <c r="F542" i="21"/>
  <c r="F543" i="21"/>
  <c r="F544" i="21"/>
  <c r="F545" i="21"/>
  <c r="F546" i="21"/>
  <c r="F547" i="21"/>
  <c r="F548" i="21"/>
  <c r="F549" i="21"/>
  <c r="F550" i="21"/>
  <c r="F551" i="21"/>
  <c r="G336" i="21"/>
  <c r="G337" i="21"/>
  <c r="G338" i="21"/>
  <c r="G339" i="21"/>
  <c r="G340" i="21"/>
  <c r="G341" i="21"/>
  <c r="G342" i="21"/>
  <c r="G343" i="21"/>
  <c r="G344" i="21"/>
  <c r="G345" i="21"/>
  <c r="G346" i="21"/>
  <c r="G347" i="21"/>
  <c r="G348" i="21"/>
  <c r="G349" i="21"/>
  <c r="G350" i="21"/>
  <c r="G351" i="21"/>
  <c r="G352" i="21"/>
  <c r="G353" i="21"/>
  <c r="G354" i="21"/>
  <c r="G355" i="21"/>
  <c r="G356" i="21"/>
  <c r="G357" i="21"/>
  <c r="G358" i="21"/>
  <c r="G359" i="21"/>
  <c r="G360" i="21"/>
  <c r="G361" i="21"/>
  <c r="G362" i="21"/>
  <c r="G363" i="21"/>
  <c r="G364" i="21"/>
  <c r="G365" i="21"/>
  <c r="G366" i="21"/>
  <c r="G367" i="21"/>
  <c r="G368" i="21"/>
  <c r="G369" i="21"/>
  <c r="G370" i="21"/>
  <c r="G371" i="21"/>
  <c r="G372" i="21"/>
  <c r="G373" i="21"/>
  <c r="G374" i="21"/>
  <c r="G375" i="21"/>
  <c r="G376" i="21"/>
  <c r="G377" i="21"/>
  <c r="G378" i="21"/>
  <c r="G379" i="21"/>
  <c r="G380" i="21"/>
  <c r="G381" i="21"/>
  <c r="G382" i="21"/>
  <c r="G383" i="21"/>
  <c r="G384" i="21"/>
  <c r="G385" i="21"/>
  <c r="G386" i="21"/>
  <c r="G387" i="21"/>
  <c r="G388" i="21"/>
  <c r="G389" i="21"/>
  <c r="G390" i="21"/>
  <c r="G391" i="21"/>
  <c r="G392" i="21"/>
  <c r="G393" i="21"/>
  <c r="G394" i="21"/>
  <c r="G395" i="21"/>
  <c r="G396" i="21"/>
  <c r="G397" i="21"/>
  <c r="G398" i="21"/>
  <c r="G399" i="21"/>
  <c r="G400" i="21"/>
  <c r="G401" i="21"/>
  <c r="G402" i="21"/>
  <c r="G403" i="21"/>
  <c r="G404" i="21"/>
  <c r="G405" i="21"/>
  <c r="G406" i="21"/>
  <c r="G407" i="21"/>
  <c r="G408" i="21"/>
  <c r="G409" i="21"/>
  <c r="G410" i="21"/>
  <c r="G411" i="21"/>
  <c r="G412" i="21"/>
  <c r="G413" i="21"/>
  <c r="G414" i="21"/>
  <c r="G415" i="21"/>
  <c r="G416" i="21"/>
  <c r="G417" i="21"/>
  <c r="G418" i="21"/>
  <c r="G419" i="21"/>
  <c r="G420" i="21"/>
  <c r="G421" i="21"/>
  <c r="G422" i="21"/>
  <c r="G423" i="21"/>
  <c r="G424" i="21"/>
  <c r="G425" i="21"/>
  <c r="G426" i="21"/>
  <c r="G427" i="21"/>
  <c r="G428" i="21"/>
  <c r="G429" i="21"/>
  <c r="G430" i="21"/>
  <c r="G431" i="21"/>
  <c r="G432" i="21"/>
  <c r="G433" i="21"/>
  <c r="G434" i="21"/>
  <c r="G435" i="21"/>
  <c r="G436" i="21"/>
  <c r="G437" i="21"/>
  <c r="G438" i="21"/>
  <c r="G439" i="21"/>
  <c r="G440" i="21"/>
  <c r="G441" i="21"/>
  <c r="G442" i="21"/>
  <c r="G443" i="21"/>
  <c r="G444" i="21"/>
  <c r="G445" i="21"/>
  <c r="G446" i="21"/>
  <c r="G447" i="21"/>
  <c r="G448" i="21"/>
  <c r="G449" i="21"/>
  <c r="G450" i="21"/>
  <c r="G451" i="21"/>
  <c r="G452" i="21"/>
  <c r="G453" i="21"/>
  <c r="G454" i="21"/>
  <c r="G455" i="21"/>
  <c r="G456" i="21"/>
  <c r="G457" i="21"/>
  <c r="G458" i="21"/>
  <c r="G459" i="21"/>
  <c r="G460" i="21"/>
  <c r="G461" i="21"/>
  <c r="G462" i="21"/>
  <c r="G463" i="21"/>
  <c r="G464" i="21"/>
  <c r="G465" i="21"/>
  <c r="G466" i="21"/>
  <c r="G467" i="21"/>
  <c r="G468" i="21"/>
  <c r="G469" i="21"/>
  <c r="G470" i="21"/>
  <c r="G471" i="21"/>
  <c r="G472" i="21"/>
  <c r="G473" i="21"/>
  <c r="G474" i="21"/>
  <c r="G475" i="21"/>
  <c r="G476" i="21"/>
  <c r="G477" i="21"/>
  <c r="G478" i="21"/>
  <c r="G479" i="21"/>
  <c r="G480" i="21"/>
  <c r="G481" i="21"/>
  <c r="G482" i="21"/>
  <c r="G483" i="21"/>
  <c r="G484" i="21"/>
  <c r="G485" i="21"/>
  <c r="G486" i="21"/>
  <c r="G487" i="21"/>
  <c r="G488" i="21"/>
  <c r="G489" i="21"/>
  <c r="G490" i="21"/>
  <c r="G491" i="21"/>
  <c r="G492" i="21"/>
  <c r="G493" i="21"/>
  <c r="G494" i="21"/>
  <c r="G495" i="21"/>
  <c r="G496" i="21"/>
  <c r="G497" i="21"/>
  <c r="G498" i="21"/>
  <c r="G499" i="21"/>
  <c r="G500" i="21"/>
  <c r="G501" i="21"/>
  <c r="G502" i="21"/>
  <c r="G503" i="21"/>
  <c r="G504" i="21"/>
  <c r="G505" i="21"/>
  <c r="G506" i="21"/>
  <c r="G507" i="21"/>
  <c r="G508" i="21"/>
  <c r="G509" i="21"/>
  <c r="G510" i="21"/>
  <c r="G511" i="21"/>
  <c r="G512" i="21"/>
  <c r="G513" i="21"/>
  <c r="G514" i="21"/>
  <c r="G515" i="21"/>
  <c r="G516" i="21"/>
  <c r="G517" i="21"/>
  <c r="G518" i="21"/>
  <c r="G519" i="21"/>
  <c r="G520" i="21"/>
  <c r="G521" i="21"/>
  <c r="G522" i="21"/>
  <c r="G523" i="21"/>
  <c r="G524" i="21"/>
  <c r="G525" i="21"/>
  <c r="G526" i="21"/>
  <c r="G527" i="21"/>
  <c r="G528" i="21"/>
  <c r="G529" i="21"/>
  <c r="G530" i="21"/>
  <c r="G531" i="21"/>
  <c r="G532" i="21"/>
  <c r="G533" i="21"/>
  <c r="G534" i="21"/>
  <c r="G535" i="21"/>
  <c r="G536" i="21"/>
  <c r="G537" i="21"/>
  <c r="G538" i="21"/>
  <c r="G539" i="21"/>
  <c r="G540" i="21"/>
  <c r="G541" i="21"/>
  <c r="G542" i="21"/>
  <c r="G543" i="21"/>
  <c r="G544" i="21"/>
  <c r="G545" i="21"/>
  <c r="G546" i="21"/>
  <c r="G547" i="21"/>
  <c r="G548" i="21"/>
  <c r="G549" i="21"/>
  <c r="G550" i="21"/>
  <c r="G551" i="21"/>
  <c r="M64" i="14"/>
  <c r="J64" i="14"/>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5" i="5"/>
  <c r="K6" i="5"/>
  <c r="K7" i="5"/>
  <c r="K8" i="5"/>
  <c r="K9" i="5"/>
  <c r="K10" i="5"/>
  <c r="K11" i="5"/>
  <c r="K12" i="5"/>
  <c r="K13" i="5"/>
  <c r="K14" i="5"/>
  <c r="K15" i="5"/>
  <c r="K16" i="5"/>
  <c r="K17" i="5"/>
  <c r="K18" i="5"/>
  <c r="K19" i="5"/>
  <c r="K20" i="5"/>
  <c r="K4" i="5"/>
  <c r="K3" i="5"/>
  <c r="K2"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4" i="5"/>
  <c r="E5" i="5"/>
  <c r="E6" i="5"/>
  <c r="E7" i="5"/>
  <c r="E8" i="5"/>
  <c r="E9" i="5"/>
  <c r="E10" i="5"/>
  <c r="E11" i="5"/>
  <c r="E12" i="5"/>
  <c r="E13" i="5"/>
  <c r="E14" i="5"/>
  <c r="E15" i="5"/>
  <c r="E16" i="5"/>
  <c r="E17" i="5"/>
  <c r="E18" i="5"/>
  <c r="E19" i="5"/>
  <c r="E20" i="5"/>
  <c r="E21" i="5"/>
  <c r="E22" i="5"/>
  <c r="E23" i="5"/>
  <c r="E24" i="5"/>
  <c r="E3" i="5"/>
  <c r="E2" i="5"/>
  <c r="L2" i="12"/>
  <c r="L746" i="12"/>
  <c r="L747" i="12"/>
  <c r="L748" i="12"/>
  <c r="L749" i="12"/>
  <c r="L750" i="12"/>
  <c r="L751" i="12"/>
  <c r="L752" i="12"/>
  <c r="L753" i="12"/>
  <c r="L754" i="12"/>
  <c r="L755" i="12"/>
  <c r="L756" i="12"/>
  <c r="L757" i="12"/>
  <c r="M302" i="12"/>
  <c r="M303" i="12"/>
  <c r="M304" i="12"/>
  <c r="M305" i="12"/>
  <c r="M306" i="12"/>
  <c r="M307" i="12"/>
  <c r="M308" i="12"/>
  <c r="M309" i="12"/>
  <c r="M310" i="12"/>
  <c r="M311" i="12"/>
  <c r="M312" i="12"/>
  <c r="M313" i="12"/>
  <c r="F578" i="27" l="1"/>
  <c r="G578" i="27"/>
  <c r="J578" i="27"/>
  <c r="K578" i="27"/>
  <c r="N578" i="27"/>
  <c r="O578" i="27"/>
  <c r="F579" i="27"/>
  <c r="G579" i="27"/>
  <c r="J579" i="27"/>
  <c r="K579" i="27"/>
  <c r="N579" i="27"/>
  <c r="O579" i="27"/>
  <c r="F580" i="27"/>
  <c r="G580" i="27"/>
  <c r="J580" i="27"/>
  <c r="J581" i="27" s="1"/>
  <c r="J582" i="27" s="1"/>
  <c r="J583" i="27" s="1"/>
  <c r="J584" i="27" s="1"/>
  <c r="J585" i="27" s="1"/>
  <c r="J586" i="27" s="1"/>
  <c r="J587" i="27" s="1"/>
  <c r="J588" i="27" s="1"/>
  <c r="J589" i="27" s="1"/>
  <c r="K580" i="27"/>
  <c r="K581" i="27" s="1"/>
  <c r="K582" i="27" s="1"/>
  <c r="K583" i="27" s="1"/>
  <c r="K584" i="27" s="1"/>
  <c r="K585" i="27" s="1"/>
  <c r="K586" i="27" s="1"/>
  <c r="K587" i="27" s="1"/>
  <c r="K588" i="27" s="1"/>
  <c r="K589" i="27" s="1"/>
  <c r="N580" i="27"/>
  <c r="O580" i="27"/>
  <c r="F581" i="27"/>
  <c r="F582" i="27" s="1"/>
  <c r="F583" i="27" s="1"/>
  <c r="F584" i="27" s="1"/>
  <c r="F585" i="27" s="1"/>
  <c r="F586" i="27" s="1"/>
  <c r="F587" i="27" s="1"/>
  <c r="F588" i="27" s="1"/>
  <c r="F589" i="27" s="1"/>
  <c r="G581" i="27"/>
  <c r="G582" i="27" s="1"/>
  <c r="G583" i="27" s="1"/>
  <c r="G584" i="27" s="1"/>
  <c r="G585" i="27" s="1"/>
  <c r="G586" i="27" s="1"/>
  <c r="G587" i="27" s="1"/>
  <c r="G588" i="27" s="1"/>
  <c r="G589" i="27" s="1"/>
  <c r="N581" i="27"/>
  <c r="N582" i="27" s="1"/>
  <c r="N583" i="27" s="1"/>
  <c r="N584" i="27" s="1"/>
  <c r="N585" i="27" s="1"/>
  <c r="N586" i="27" s="1"/>
  <c r="N587" i="27" s="1"/>
  <c r="N588" i="27" s="1"/>
  <c r="N589" i="27" s="1"/>
  <c r="O581" i="27"/>
  <c r="O582" i="27" s="1"/>
  <c r="O583" i="27" s="1"/>
  <c r="O584" i="27" s="1"/>
  <c r="O585" i="27" s="1"/>
  <c r="O586" i="27" s="1"/>
  <c r="O587" i="27" s="1"/>
  <c r="O588" i="27" s="1"/>
  <c r="O589" i="27" s="1"/>
  <c r="B578" i="12"/>
  <c r="F578" i="12"/>
  <c r="L578" i="12"/>
  <c r="M578" i="12"/>
  <c r="T578" i="12"/>
  <c r="B579" i="12"/>
  <c r="F579" i="12"/>
  <c r="L579" i="12"/>
  <c r="M579" i="12"/>
  <c r="T579" i="12"/>
  <c r="B580" i="12"/>
  <c r="F580" i="12"/>
  <c r="L580" i="12"/>
  <c r="M580" i="12"/>
  <c r="T580" i="12"/>
  <c r="B581" i="12"/>
  <c r="F581" i="12"/>
  <c r="L581" i="12"/>
  <c r="M581" i="12"/>
  <c r="T581" i="12"/>
  <c r="B582" i="12"/>
  <c r="F582" i="12"/>
  <c r="L582" i="12"/>
  <c r="M582" i="12"/>
  <c r="T582" i="12"/>
  <c r="B583" i="12"/>
  <c r="F583" i="12"/>
  <c r="L583" i="12"/>
  <c r="M583" i="12"/>
  <c r="AX7" i="8" s="1"/>
  <c r="T583" i="12"/>
  <c r="B584" i="12"/>
  <c r="F584" i="12"/>
  <c r="L584" i="12"/>
  <c r="M584" i="12"/>
  <c r="T584" i="12"/>
  <c r="B585" i="12"/>
  <c r="F585" i="12"/>
  <c r="L585" i="12"/>
  <c r="M585" i="12"/>
  <c r="T585" i="12"/>
  <c r="B586" i="12"/>
  <c r="F586" i="12"/>
  <c r="L586" i="12"/>
  <c r="M586" i="12"/>
  <c r="T586" i="12"/>
  <c r="B587" i="12"/>
  <c r="F587" i="12"/>
  <c r="L587" i="12"/>
  <c r="M587" i="12"/>
  <c r="AX11" i="8" s="1"/>
  <c r="T587" i="12"/>
  <c r="B588" i="12"/>
  <c r="F588" i="12"/>
  <c r="L588" i="12"/>
  <c r="M588" i="12"/>
  <c r="T588" i="12"/>
  <c r="B589" i="12"/>
  <c r="F589" i="12"/>
  <c r="L589" i="12"/>
  <c r="M589" i="12" s="1"/>
  <c r="T589" i="12"/>
  <c r="AX2" i="18"/>
  <c r="AX3" i="18"/>
  <c r="AX4" i="18"/>
  <c r="AX5" i="18"/>
  <c r="AX6" i="18"/>
  <c r="AX7" i="18"/>
  <c r="AX8" i="18"/>
  <c r="AX9" i="18"/>
  <c r="AX10" i="18"/>
  <c r="AX11" i="18"/>
  <c r="AX12" i="18"/>
  <c r="AX13" i="18"/>
  <c r="AX2" i="8"/>
  <c r="AX3" i="8"/>
  <c r="AX4" i="8"/>
  <c r="AX5" i="8"/>
  <c r="AX6" i="8"/>
  <c r="AX8" i="8"/>
  <c r="AX9" i="8"/>
  <c r="AX10" i="8"/>
  <c r="AX12" i="8"/>
  <c r="AX13" i="8"/>
  <c r="AX2" i="13"/>
  <c r="AX3" i="13"/>
  <c r="AX4" i="13"/>
  <c r="AX5" i="13"/>
  <c r="AX6" i="13"/>
  <c r="AX7" i="13"/>
  <c r="AX8" i="13"/>
  <c r="AX9" i="13"/>
  <c r="AX10" i="13"/>
  <c r="AX11" i="13"/>
  <c r="AX12" i="13"/>
  <c r="AX13" i="13"/>
  <c r="J50" i="14"/>
  <c r="M50" i="14"/>
  <c r="Q50" i="14"/>
  <c r="U50" i="14"/>
  <c r="W50" i="14"/>
  <c r="X50" i="14"/>
  <c r="D269" i="21"/>
  <c r="E269" i="21"/>
  <c r="F269" i="21"/>
  <c r="G269" i="21"/>
  <c r="D270" i="21"/>
  <c r="E270" i="21"/>
  <c r="F270" i="21"/>
  <c r="G270" i="21"/>
  <c r="D578" i="5"/>
  <c r="F578" i="5"/>
  <c r="G578" i="5" s="1"/>
  <c r="I578" i="5"/>
  <c r="L578" i="5"/>
  <c r="M578" i="5"/>
  <c r="O578" i="5"/>
  <c r="Q578" i="5"/>
  <c r="S578" i="5"/>
  <c r="D579" i="5"/>
  <c r="F579" i="5"/>
  <c r="H579" i="5" s="1"/>
  <c r="I579" i="5"/>
  <c r="L579" i="5"/>
  <c r="M579" i="5"/>
  <c r="M580" i="5" s="1"/>
  <c r="M581" i="5" s="1"/>
  <c r="M582" i="5" s="1"/>
  <c r="M583" i="5" s="1"/>
  <c r="M584" i="5" s="1"/>
  <c r="M585" i="5" s="1"/>
  <c r="M586" i="5" s="1"/>
  <c r="M587" i="5" s="1"/>
  <c r="M588" i="5" s="1"/>
  <c r="M589" i="5" s="1"/>
  <c r="O579" i="5"/>
  <c r="Q579" i="5"/>
  <c r="S579" i="5"/>
  <c r="D580" i="5"/>
  <c r="G580" i="5" s="1"/>
  <c r="F580" i="5"/>
  <c r="I580" i="5"/>
  <c r="L580" i="5"/>
  <c r="O580" i="5"/>
  <c r="Q580" i="5"/>
  <c r="S580" i="5"/>
  <c r="D581" i="5"/>
  <c r="F581" i="5"/>
  <c r="G581" i="5" s="1"/>
  <c r="I581" i="5"/>
  <c r="L581" i="5"/>
  <c r="O581" i="5"/>
  <c r="Q581" i="5"/>
  <c r="S581" i="5"/>
  <c r="D582" i="5"/>
  <c r="F582" i="5"/>
  <c r="I582" i="5"/>
  <c r="L582" i="5"/>
  <c r="O582" i="5"/>
  <c r="Q582" i="5"/>
  <c r="S582" i="5"/>
  <c r="D583" i="5"/>
  <c r="F583" i="5"/>
  <c r="G583" i="5"/>
  <c r="I583" i="5"/>
  <c r="L583" i="5"/>
  <c r="O583" i="5"/>
  <c r="Q583" i="5"/>
  <c r="S583" i="5"/>
  <c r="D584" i="5"/>
  <c r="F584" i="5"/>
  <c r="I584" i="5"/>
  <c r="L584" i="5"/>
  <c r="O584" i="5"/>
  <c r="Q584" i="5"/>
  <c r="S584" i="5"/>
  <c r="D585" i="5"/>
  <c r="H585" i="5" s="1"/>
  <c r="F585" i="5"/>
  <c r="G585" i="5"/>
  <c r="I585" i="5"/>
  <c r="L585" i="5"/>
  <c r="O585" i="5"/>
  <c r="Q585" i="5"/>
  <c r="S585" i="5"/>
  <c r="D586" i="5"/>
  <c r="G586" i="5" s="1"/>
  <c r="F586" i="5"/>
  <c r="I586" i="5"/>
  <c r="L586" i="5"/>
  <c r="O586" i="5"/>
  <c r="Q586" i="5"/>
  <c r="S586" i="5"/>
  <c r="D587" i="5"/>
  <c r="F587" i="5"/>
  <c r="G587" i="5" s="1"/>
  <c r="I587" i="5"/>
  <c r="L587" i="5"/>
  <c r="O587" i="5"/>
  <c r="Q587" i="5"/>
  <c r="S587" i="5"/>
  <c r="D588" i="5"/>
  <c r="F588" i="5"/>
  <c r="I588" i="5"/>
  <c r="L588" i="5"/>
  <c r="O588" i="5"/>
  <c r="Q588" i="5"/>
  <c r="S588" i="5"/>
  <c r="D589" i="5"/>
  <c r="F589" i="5"/>
  <c r="G589" i="5"/>
  <c r="I589" i="5"/>
  <c r="L589" i="5"/>
  <c r="O589" i="5"/>
  <c r="Q589" i="5"/>
  <c r="S589" i="5"/>
  <c r="G579" i="5" l="1"/>
  <c r="G588" i="5"/>
  <c r="H587" i="5"/>
  <c r="G582" i="5"/>
  <c r="H581" i="5"/>
  <c r="H578" i="5"/>
  <c r="H589" i="5"/>
  <c r="G584" i="5"/>
  <c r="H583" i="5"/>
  <c r="H588" i="5"/>
  <c r="H586" i="5"/>
  <c r="H584" i="5"/>
  <c r="H582" i="5"/>
  <c r="H580" i="5"/>
  <c r="T2" i="12"/>
  <c r="U2" i="12" s="1"/>
  <c r="T757" i="12"/>
  <c r="BL13" i="18" s="1"/>
  <c r="T756" i="12"/>
  <c r="BL12" i="18" s="1"/>
  <c r="T755" i="12"/>
  <c r="T754" i="12"/>
  <c r="T753" i="12"/>
  <c r="T752" i="12"/>
  <c r="T751" i="12"/>
  <c r="T750" i="12"/>
  <c r="T749" i="12"/>
  <c r="T748" i="12"/>
  <c r="BL4" i="18" s="1"/>
  <c r="T747" i="12"/>
  <c r="T746" i="12"/>
  <c r="T446" i="12"/>
  <c r="T447" i="12"/>
  <c r="AM3" i="18" s="1"/>
  <c r="T448" i="12"/>
  <c r="T449" i="12"/>
  <c r="T450" i="12"/>
  <c r="T451" i="12"/>
  <c r="T452" i="12"/>
  <c r="AM8" i="18" s="1"/>
  <c r="T453" i="12"/>
  <c r="T454" i="12"/>
  <c r="T455" i="12"/>
  <c r="AM11" i="18" s="1"/>
  <c r="T456" i="12"/>
  <c r="T457" i="12"/>
  <c r="T458" i="12"/>
  <c r="AN2" i="18" s="1"/>
  <c r="T459" i="12"/>
  <c r="AN3" i="18" s="1"/>
  <c r="T460" i="12"/>
  <c r="AN4" i="18" s="1"/>
  <c r="T461" i="12"/>
  <c r="AN5" i="18" s="1"/>
  <c r="T462" i="12"/>
  <c r="T463" i="12"/>
  <c r="AN7" i="18" s="1"/>
  <c r="T464" i="12"/>
  <c r="T465" i="12"/>
  <c r="T466" i="12"/>
  <c r="AN10" i="18" s="1"/>
  <c r="T467" i="12"/>
  <c r="T468" i="12"/>
  <c r="T469" i="12"/>
  <c r="T3" i="12"/>
  <c r="U3" i="12" s="1"/>
  <c r="T4" i="12"/>
  <c r="B4" i="18" s="1"/>
  <c r="T5" i="12"/>
  <c r="U5" i="12" s="1"/>
  <c r="T6" i="12"/>
  <c r="U6" i="12" s="1"/>
  <c r="T7" i="12"/>
  <c r="U7" i="12" s="1"/>
  <c r="T8" i="12"/>
  <c r="B8" i="18" s="1"/>
  <c r="T9" i="12"/>
  <c r="U9" i="12" s="1"/>
  <c r="T10" i="12"/>
  <c r="U10" i="12" s="1"/>
  <c r="T11" i="12"/>
  <c r="U11" i="12" s="1"/>
  <c r="T12" i="12"/>
  <c r="B12" i="18" s="1"/>
  <c r="T13" i="12"/>
  <c r="M746" i="12"/>
  <c r="M747" i="12"/>
  <c r="M748" i="12"/>
  <c r="BL4" i="8" s="1"/>
  <c r="M749" i="12"/>
  <c r="BL5" i="8" s="1"/>
  <c r="M750" i="12"/>
  <c r="M751" i="12"/>
  <c r="BL7" i="8" s="1"/>
  <c r="M752" i="12"/>
  <c r="BL8" i="8" s="1"/>
  <c r="M753" i="12"/>
  <c r="BL9" i="8" s="1"/>
  <c r="M754" i="12"/>
  <c r="M755" i="12"/>
  <c r="M756" i="12"/>
  <c r="BL12" i="8" s="1"/>
  <c r="M757" i="12"/>
  <c r="F746" i="12"/>
  <c r="F747" i="12"/>
  <c r="BL3" i="13" s="1"/>
  <c r="F748" i="12"/>
  <c r="BL4" i="13" s="1"/>
  <c r="F749" i="12"/>
  <c r="BL5" i="13" s="1"/>
  <c r="F750" i="12"/>
  <c r="BL6" i="13" s="1"/>
  <c r="F751" i="12"/>
  <c r="BL7" i="13" s="1"/>
  <c r="F752" i="12"/>
  <c r="BL8" i="13" s="1"/>
  <c r="F753" i="12"/>
  <c r="BL9" i="13" s="1"/>
  <c r="F754" i="12"/>
  <c r="F755" i="12"/>
  <c r="BL11" i="13" s="1"/>
  <c r="F756" i="12"/>
  <c r="BL12" i="13" s="1"/>
  <c r="F757" i="12"/>
  <c r="BL13" i="13" s="1"/>
  <c r="F446" i="12"/>
  <c r="AM2" i="13" s="1"/>
  <c r="F447" i="12"/>
  <c r="AM3" i="13" s="1"/>
  <c r="F448" i="12"/>
  <c r="AM4" i="13" s="1"/>
  <c r="F449" i="12"/>
  <c r="AM5" i="13" s="1"/>
  <c r="F450" i="12"/>
  <c r="AM6" i="13" s="1"/>
  <c r="F451" i="12"/>
  <c r="AM7" i="13" s="1"/>
  <c r="F452" i="12"/>
  <c r="AM8" i="13" s="1"/>
  <c r="F453" i="12"/>
  <c r="F454" i="12"/>
  <c r="F455" i="12"/>
  <c r="AM11" i="13" s="1"/>
  <c r="F456" i="12"/>
  <c r="AM12" i="13" s="1"/>
  <c r="F457" i="12"/>
  <c r="AM13" i="13" s="1"/>
  <c r="F458" i="12"/>
  <c r="AN2" i="13" s="1"/>
  <c r="F459" i="12"/>
  <c r="AN3" i="13" s="1"/>
  <c r="F460" i="12"/>
  <c r="AN4" i="13" s="1"/>
  <c r="F461" i="12"/>
  <c r="AN5" i="13" s="1"/>
  <c r="F462" i="12"/>
  <c r="F463" i="12"/>
  <c r="AN7" i="13" s="1"/>
  <c r="F464" i="12"/>
  <c r="AN8" i="13" s="1"/>
  <c r="F465" i="12"/>
  <c r="F466" i="12"/>
  <c r="AN10" i="13" s="1"/>
  <c r="F467" i="12"/>
  <c r="AN11" i="13" s="1"/>
  <c r="F468" i="12"/>
  <c r="AN12" i="13" s="1"/>
  <c r="F469" i="12"/>
  <c r="AN13" i="13" s="1"/>
  <c r="F2" i="12"/>
  <c r="F3" i="12"/>
  <c r="G3" i="12" s="1"/>
  <c r="F4" i="12"/>
  <c r="G4" i="12" s="1"/>
  <c r="F5" i="12"/>
  <c r="G5" i="12" s="1"/>
  <c r="F6" i="12"/>
  <c r="G6" i="12" s="1"/>
  <c r="F7" i="12"/>
  <c r="F8" i="12"/>
  <c r="G8" i="12" s="1"/>
  <c r="F9" i="12"/>
  <c r="G9" i="12" s="1"/>
  <c r="F10" i="12"/>
  <c r="F11" i="12"/>
  <c r="G11" i="12" s="1"/>
  <c r="F12" i="12"/>
  <c r="G12" i="12" s="1"/>
  <c r="F13" i="12"/>
  <c r="W64" i="14"/>
  <c r="X64" i="14"/>
  <c r="W2" i="14"/>
  <c r="X2" i="14"/>
  <c r="W39" i="14"/>
  <c r="X39" i="14"/>
  <c r="W40" i="14"/>
  <c r="X40" i="14"/>
  <c r="Q2" i="5"/>
  <c r="Q3" i="5"/>
  <c r="Q4" i="5"/>
  <c r="Q5" i="5"/>
  <c r="Q6" i="5"/>
  <c r="Q7" i="5"/>
  <c r="Q8" i="5"/>
  <c r="Q9" i="5"/>
  <c r="Q10" i="5"/>
  <c r="Q11" i="5"/>
  <c r="Q12" i="5"/>
  <c r="Q13" i="5"/>
  <c r="Q37" i="5"/>
  <c r="S2" i="5"/>
  <c r="S3" i="5"/>
  <c r="S4" i="5"/>
  <c r="S5" i="5"/>
  <c r="S6" i="5"/>
  <c r="S7" i="5"/>
  <c r="S8" i="5"/>
  <c r="S9" i="5"/>
  <c r="S10" i="5"/>
  <c r="S11" i="5"/>
  <c r="S12" i="5"/>
  <c r="S13" i="5"/>
  <c r="S446" i="5"/>
  <c r="S447" i="5"/>
  <c r="S448" i="5"/>
  <c r="S449" i="5"/>
  <c r="S450" i="5"/>
  <c r="S451" i="5"/>
  <c r="S452" i="5"/>
  <c r="S453" i="5"/>
  <c r="S454" i="5"/>
  <c r="S455" i="5"/>
  <c r="S456" i="5"/>
  <c r="S457" i="5"/>
  <c r="S458" i="5"/>
  <c r="S459" i="5"/>
  <c r="S460" i="5"/>
  <c r="S461" i="5"/>
  <c r="S462" i="5"/>
  <c r="S463" i="5"/>
  <c r="S464" i="5"/>
  <c r="S465" i="5"/>
  <c r="S466" i="5"/>
  <c r="S467" i="5"/>
  <c r="S468" i="5"/>
  <c r="S469" i="5"/>
  <c r="Q446" i="5"/>
  <c r="Q447" i="5"/>
  <c r="Q448" i="5"/>
  <c r="Q449" i="5"/>
  <c r="Q450" i="5"/>
  <c r="Q451" i="5"/>
  <c r="Q452" i="5"/>
  <c r="Q453" i="5"/>
  <c r="Q454" i="5"/>
  <c r="Q455" i="5"/>
  <c r="Q456" i="5"/>
  <c r="Q457" i="5"/>
  <c r="Q458" i="5"/>
  <c r="Q459" i="5"/>
  <c r="Q460" i="5"/>
  <c r="Q461" i="5"/>
  <c r="Q462" i="5"/>
  <c r="Q463" i="5"/>
  <c r="Q464" i="5"/>
  <c r="Q465" i="5"/>
  <c r="Q466" i="5"/>
  <c r="Q467" i="5"/>
  <c r="Q468" i="5"/>
  <c r="Q469" i="5"/>
  <c r="S746" i="5"/>
  <c r="S747" i="5"/>
  <c r="S748" i="5"/>
  <c r="S749" i="5"/>
  <c r="S750" i="5"/>
  <c r="S751" i="5"/>
  <c r="S752" i="5"/>
  <c r="S753" i="5"/>
  <c r="S754" i="5"/>
  <c r="S755" i="5"/>
  <c r="S756" i="5"/>
  <c r="S757" i="5"/>
  <c r="Q746" i="5"/>
  <c r="Q747" i="5"/>
  <c r="Q748" i="5"/>
  <c r="Q749" i="5"/>
  <c r="Q750" i="5"/>
  <c r="Q751" i="5"/>
  <c r="Q752" i="5"/>
  <c r="Q753" i="5"/>
  <c r="Q754" i="5"/>
  <c r="Q755" i="5"/>
  <c r="Q756" i="5"/>
  <c r="Q757" i="5"/>
  <c r="O746" i="5"/>
  <c r="O747" i="5"/>
  <c r="O748" i="5"/>
  <c r="O749" i="5"/>
  <c r="O750" i="5"/>
  <c r="O751" i="5"/>
  <c r="O752" i="5"/>
  <c r="O753" i="5"/>
  <c r="O754" i="5"/>
  <c r="O755" i="5"/>
  <c r="O756" i="5"/>
  <c r="O757" i="5"/>
  <c r="O446" i="5"/>
  <c r="O447" i="5"/>
  <c r="O448" i="5"/>
  <c r="O449" i="5"/>
  <c r="O450" i="5"/>
  <c r="O451" i="5"/>
  <c r="O452" i="5"/>
  <c r="O453" i="5"/>
  <c r="O454" i="5"/>
  <c r="O455" i="5"/>
  <c r="O456" i="5"/>
  <c r="O457" i="5"/>
  <c r="O458" i="5"/>
  <c r="O459" i="5"/>
  <c r="O460" i="5"/>
  <c r="O461" i="5"/>
  <c r="O462" i="5"/>
  <c r="O463" i="5"/>
  <c r="O464" i="5"/>
  <c r="O465" i="5"/>
  <c r="O466" i="5"/>
  <c r="O467" i="5"/>
  <c r="O468" i="5"/>
  <c r="O469" i="5"/>
  <c r="O2" i="5"/>
  <c r="O3" i="5"/>
  <c r="O4" i="5"/>
  <c r="O5" i="5"/>
  <c r="O6" i="5"/>
  <c r="O7" i="5"/>
  <c r="O8" i="5"/>
  <c r="O9" i="5"/>
  <c r="O10" i="5"/>
  <c r="O11" i="5"/>
  <c r="O12" i="5"/>
  <c r="O13" i="5"/>
  <c r="L2" i="5"/>
  <c r="L3" i="5" s="1"/>
  <c r="L4" i="5" s="1"/>
  <c r="L5" i="5" s="1"/>
  <c r="L6" i="5" s="1"/>
  <c r="L7" i="5" s="1"/>
  <c r="L8" i="5" s="1"/>
  <c r="L9" i="5" s="1"/>
  <c r="L10" i="5" s="1"/>
  <c r="L11" i="5" s="1"/>
  <c r="L12" i="5" s="1"/>
  <c r="L13" i="5" s="1"/>
  <c r="M2" i="5"/>
  <c r="M3" i="5" s="1"/>
  <c r="M4" i="5" s="1"/>
  <c r="M5" i="5" s="1"/>
  <c r="M6" i="5" s="1"/>
  <c r="M7" i="5" s="1"/>
  <c r="M8" i="5" s="1"/>
  <c r="M9" i="5" s="1"/>
  <c r="M10" i="5" s="1"/>
  <c r="M11" i="5" s="1"/>
  <c r="M12" i="5" s="1"/>
  <c r="M13" i="5" s="1"/>
  <c r="L446" i="5"/>
  <c r="L447" i="5" s="1"/>
  <c r="L448" i="5" s="1"/>
  <c r="L449" i="5" s="1"/>
  <c r="L450" i="5" s="1"/>
  <c r="L451" i="5" s="1"/>
  <c r="L452" i="5" s="1"/>
  <c r="L453" i="5" s="1"/>
  <c r="L454" i="5" s="1"/>
  <c r="L455" i="5" s="1"/>
  <c r="L456" i="5" s="1"/>
  <c r="L457" i="5" s="1"/>
  <c r="M446" i="5"/>
  <c r="M447" i="5" s="1"/>
  <c r="M448" i="5" s="1"/>
  <c r="M449" i="5" s="1"/>
  <c r="M450" i="5" s="1"/>
  <c r="M451" i="5" s="1"/>
  <c r="M452" i="5" s="1"/>
  <c r="M453" i="5" s="1"/>
  <c r="M454" i="5" s="1"/>
  <c r="M455" i="5" s="1"/>
  <c r="M456" i="5" s="1"/>
  <c r="M457" i="5" s="1"/>
  <c r="L458" i="5"/>
  <c r="L459" i="5" s="1"/>
  <c r="L460" i="5" s="1"/>
  <c r="L461" i="5" s="1"/>
  <c r="L462" i="5" s="1"/>
  <c r="L463" i="5" s="1"/>
  <c r="L464" i="5" s="1"/>
  <c r="L465" i="5" s="1"/>
  <c r="L466" i="5" s="1"/>
  <c r="L467" i="5" s="1"/>
  <c r="L468" i="5" s="1"/>
  <c r="L469" i="5" s="1"/>
  <c r="M458" i="5"/>
  <c r="M459" i="5" s="1"/>
  <c r="M460" i="5" s="1"/>
  <c r="M461" i="5" s="1"/>
  <c r="M462" i="5" s="1"/>
  <c r="M463" i="5" s="1"/>
  <c r="M464" i="5" s="1"/>
  <c r="M465" i="5" s="1"/>
  <c r="M466" i="5" s="1"/>
  <c r="M467" i="5" s="1"/>
  <c r="M468" i="5" s="1"/>
  <c r="M469" i="5" s="1"/>
  <c r="L746" i="5"/>
  <c r="L747" i="5" s="1"/>
  <c r="L748" i="5" s="1"/>
  <c r="L749" i="5" s="1"/>
  <c r="L750" i="5" s="1"/>
  <c r="L751" i="5" s="1"/>
  <c r="L752" i="5" s="1"/>
  <c r="L753" i="5" s="1"/>
  <c r="L754" i="5" s="1"/>
  <c r="L755" i="5" s="1"/>
  <c r="L756" i="5" s="1"/>
  <c r="L757" i="5" s="1"/>
  <c r="M746" i="5"/>
  <c r="M747" i="5" s="1"/>
  <c r="M748" i="5" s="1"/>
  <c r="M749" i="5" s="1"/>
  <c r="M750" i="5" s="1"/>
  <c r="M751" i="5" s="1"/>
  <c r="M752" i="5" s="1"/>
  <c r="M753" i="5" s="1"/>
  <c r="M754" i="5" s="1"/>
  <c r="M755" i="5" s="1"/>
  <c r="M756" i="5" s="1"/>
  <c r="M757" i="5" s="1"/>
  <c r="F746" i="5"/>
  <c r="I746" i="5"/>
  <c r="F747" i="5"/>
  <c r="I747" i="5"/>
  <c r="F748" i="5"/>
  <c r="I748" i="5"/>
  <c r="F749" i="5"/>
  <c r="I749" i="5"/>
  <c r="F750" i="5"/>
  <c r="I750" i="5"/>
  <c r="F751" i="5"/>
  <c r="I751" i="5"/>
  <c r="F752" i="5"/>
  <c r="I752" i="5"/>
  <c r="F753" i="5"/>
  <c r="I753" i="5"/>
  <c r="F754" i="5"/>
  <c r="I754" i="5"/>
  <c r="F755" i="5"/>
  <c r="I755" i="5"/>
  <c r="F756" i="5"/>
  <c r="I756" i="5"/>
  <c r="F757" i="5"/>
  <c r="I757" i="5"/>
  <c r="F446" i="5"/>
  <c r="I446" i="5"/>
  <c r="F447" i="5"/>
  <c r="I447" i="5"/>
  <c r="F448" i="5"/>
  <c r="I448" i="5"/>
  <c r="F449" i="5"/>
  <c r="I449" i="5"/>
  <c r="F450" i="5"/>
  <c r="I450" i="5"/>
  <c r="F451" i="5"/>
  <c r="I451" i="5"/>
  <c r="F452" i="5"/>
  <c r="I452" i="5"/>
  <c r="F453" i="5"/>
  <c r="I453" i="5"/>
  <c r="F454" i="5"/>
  <c r="I454" i="5"/>
  <c r="F455" i="5"/>
  <c r="I455" i="5"/>
  <c r="F456" i="5"/>
  <c r="I456" i="5"/>
  <c r="F457" i="5"/>
  <c r="I457" i="5"/>
  <c r="F458" i="5"/>
  <c r="I458" i="5"/>
  <c r="F459" i="5"/>
  <c r="I459" i="5"/>
  <c r="F460" i="5"/>
  <c r="I460" i="5"/>
  <c r="F461" i="5"/>
  <c r="I461" i="5"/>
  <c r="F462" i="5"/>
  <c r="I462" i="5"/>
  <c r="F463" i="5"/>
  <c r="I463" i="5"/>
  <c r="F464" i="5"/>
  <c r="I464" i="5"/>
  <c r="F465" i="5"/>
  <c r="I465" i="5"/>
  <c r="F466" i="5"/>
  <c r="I466" i="5"/>
  <c r="F467" i="5"/>
  <c r="I467" i="5"/>
  <c r="F468" i="5"/>
  <c r="I468" i="5"/>
  <c r="F469" i="5"/>
  <c r="I469" i="5"/>
  <c r="F2" i="5"/>
  <c r="I2" i="5"/>
  <c r="F3" i="5"/>
  <c r="I3" i="5"/>
  <c r="F4" i="5"/>
  <c r="I4" i="5"/>
  <c r="F5" i="5"/>
  <c r="I5" i="5"/>
  <c r="F6" i="5"/>
  <c r="I6" i="5"/>
  <c r="F7" i="5"/>
  <c r="I7" i="5"/>
  <c r="F8" i="5"/>
  <c r="I8" i="5"/>
  <c r="F9" i="5"/>
  <c r="I9" i="5"/>
  <c r="F10" i="5"/>
  <c r="I10" i="5"/>
  <c r="F11" i="5"/>
  <c r="I11" i="5"/>
  <c r="F12" i="5"/>
  <c r="I12" i="5"/>
  <c r="F13" i="5"/>
  <c r="I13" i="5"/>
  <c r="D2" i="5"/>
  <c r="H2" i="5" s="1"/>
  <c r="D3" i="5"/>
  <c r="D4" i="5"/>
  <c r="D5" i="5"/>
  <c r="D6" i="5"/>
  <c r="H6" i="5" s="1"/>
  <c r="D7" i="5"/>
  <c r="D8" i="5"/>
  <c r="D9" i="5"/>
  <c r="D10" i="5"/>
  <c r="H10" i="5" s="1"/>
  <c r="D11" i="5"/>
  <c r="D12" i="5"/>
  <c r="D13" i="5"/>
  <c r="D122" i="5"/>
  <c r="D123" i="5"/>
  <c r="D124" i="5"/>
  <c r="D125" i="5"/>
  <c r="D126" i="5"/>
  <c r="D127" i="5"/>
  <c r="D128" i="5"/>
  <c r="D129" i="5"/>
  <c r="D130" i="5"/>
  <c r="D131" i="5"/>
  <c r="D132" i="5"/>
  <c r="D133" i="5"/>
  <c r="D446" i="5"/>
  <c r="H446" i="5" s="1"/>
  <c r="D447" i="5"/>
  <c r="D448" i="5"/>
  <c r="H448" i="5" s="1"/>
  <c r="D449" i="5"/>
  <c r="D450" i="5"/>
  <c r="H450" i="5" s="1"/>
  <c r="D451" i="5"/>
  <c r="D452" i="5"/>
  <c r="H452" i="5" s="1"/>
  <c r="D453" i="5"/>
  <c r="D454" i="5"/>
  <c r="H454" i="5" s="1"/>
  <c r="D455" i="5"/>
  <c r="D456" i="5"/>
  <c r="H456" i="5" s="1"/>
  <c r="D457" i="5"/>
  <c r="D458" i="5"/>
  <c r="H458" i="5" s="1"/>
  <c r="D459" i="5"/>
  <c r="D460" i="5"/>
  <c r="H460" i="5" s="1"/>
  <c r="D461" i="5"/>
  <c r="D462" i="5"/>
  <c r="H462" i="5" s="1"/>
  <c r="D463" i="5"/>
  <c r="D464" i="5"/>
  <c r="H464" i="5" s="1"/>
  <c r="D465" i="5"/>
  <c r="D466" i="5"/>
  <c r="H466" i="5" s="1"/>
  <c r="D467" i="5"/>
  <c r="D468" i="5"/>
  <c r="H468" i="5" s="1"/>
  <c r="D469" i="5"/>
  <c r="D746" i="5"/>
  <c r="H746" i="5" s="1"/>
  <c r="D747" i="5"/>
  <c r="D748" i="5"/>
  <c r="H748" i="5" s="1"/>
  <c r="D749" i="5"/>
  <c r="H749" i="5" s="1"/>
  <c r="D750" i="5"/>
  <c r="H750" i="5" s="1"/>
  <c r="D751" i="5"/>
  <c r="D752" i="5"/>
  <c r="H752" i="5" s="1"/>
  <c r="D753" i="5"/>
  <c r="H753" i="5" s="1"/>
  <c r="D754" i="5"/>
  <c r="H754" i="5" s="1"/>
  <c r="D755" i="5"/>
  <c r="D756" i="5"/>
  <c r="H756" i="5" s="1"/>
  <c r="D757" i="5"/>
  <c r="H757" i="5" s="1"/>
  <c r="C746" i="3"/>
  <c r="C747" i="3"/>
  <c r="C748" i="3"/>
  <c r="C749" i="3"/>
  <c r="C750" i="3"/>
  <c r="C751" i="3"/>
  <c r="C752" i="3"/>
  <c r="C753" i="3"/>
  <c r="C754" i="3"/>
  <c r="C755" i="3"/>
  <c r="C756" i="3"/>
  <c r="C757" i="3"/>
  <c r="BL10" i="13"/>
  <c r="BL2" i="13"/>
  <c r="AN6" i="13"/>
  <c r="AM10" i="13"/>
  <c r="B6" i="13"/>
  <c r="BP6" i="13" s="1"/>
  <c r="B10" i="13"/>
  <c r="BP10" i="13" s="1"/>
  <c r="BL13" i="8"/>
  <c r="BL11" i="8"/>
  <c r="BL10" i="8"/>
  <c r="BL6" i="8"/>
  <c r="BL3" i="8"/>
  <c r="BL2" i="8"/>
  <c r="AN12" i="18"/>
  <c r="AN11" i="18"/>
  <c r="AN8" i="18"/>
  <c r="AM9" i="18"/>
  <c r="AM6" i="18"/>
  <c r="AM4" i="18"/>
  <c r="BL10" i="18"/>
  <c r="BL5" i="18"/>
  <c r="B10" i="18"/>
  <c r="B3" i="18"/>
  <c r="B2" i="18"/>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3" i="12"/>
  <c r="L4" i="12"/>
  <c r="L5" i="12"/>
  <c r="L6" i="12"/>
  <c r="L7" i="12"/>
  <c r="L8" i="12"/>
  <c r="L9" i="12"/>
  <c r="L10" i="12"/>
  <c r="L11" i="12"/>
  <c r="L12" i="12"/>
  <c r="L13" i="12"/>
  <c r="C122" i="3"/>
  <c r="C123" i="3"/>
  <c r="C124" i="3"/>
  <c r="C125" i="3"/>
  <c r="C126" i="3"/>
  <c r="C127" i="3"/>
  <c r="C128" i="3"/>
  <c r="C129" i="3"/>
  <c r="C130" i="3"/>
  <c r="C131" i="3"/>
  <c r="C132" i="3"/>
  <c r="C133" i="3"/>
  <c r="C266" i="3"/>
  <c r="C267" i="3"/>
  <c r="C268" i="3"/>
  <c r="C269" i="3"/>
  <c r="C270" i="3"/>
  <c r="C271" i="3"/>
  <c r="C272" i="3"/>
  <c r="C273" i="3"/>
  <c r="C274" i="3"/>
  <c r="C275" i="3"/>
  <c r="C276" i="3"/>
  <c r="C277" i="3"/>
  <c r="C302" i="3"/>
  <c r="C303" i="3"/>
  <c r="C304" i="3"/>
  <c r="C305" i="3"/>
  <c r="C306" i="3"/>
  <c r="C307" i="3"/>
  <c r="C308" i="3"/>
  <c r="C309" i="3"/>
  <c r="C310" i="3"/>
  <c r="C311" i="3"/>
  <c r="C312" i="3"/>
  <c r="C313" i="3"/>
  <c r="C626" i="3"/>
  <c r="C627" i="3"/>
  <c r="C628" i="3"/>
  <c r="C629" i="3"/>
  <c r="C630" i="3"/>
  <c r="C631" i="3"/>
  <c r="C632" i="3"/>
  <c r="C633" i="3"/>
  <c r="C634" i="3"/>
  <c r="C635" i="3"/>
  <c r="C636" i="3"/>
  <c r="C637" i="3"/>
  <c r="C686" i="3"/>
  <c r="C687" i="3"/>
  <c r="C688" i="3"/>
  <c r="C689" i="3"/>
  <c r="C690" i="3"/>
  <c r="C691" i="3"/>
  <c r="C692" i="3"/>
  <c r="C693" i="3"/>
  <c r="C694" i="3"/>
  <c r="C695" i="3"/>
  <c r="C696" i="3"/>
  <c r="C697" i="3"/>
  <c r="C446" i="3"/>
  <c r="C447" i="3"/>
  <c r="C448" i="3"/>
  <c r="C449" i="3"/>
  <c r="C450" i="3"/>
  <c r="C451" i="3"/>
  <c r="C452" i="3"/>
  <c r="C453" i="3"/>
  <c r="C454" i="3"/>
  <c r="C455" i="3"/>
  <c r="C456" i="3"/>
  <c r="C457" i="3"/>
  <c r="C458" i="3"/>
  <c r="C459" i="3"/>
  <c r="C460" i="3"/>
  <c r="C461" i="3"/>
  <c r="C462" i="3"/>
  <c r="C463" i="3"/>
  <c r="C464" i="3"/>
  <c r="C465" i="3"/>
  <c r="C466" i="3"/>
  <c r="C467" i="3"/>
  <c r="C468" i="3"/>
  <c r="C469" i="3"/>
  <c r="C2" i="3"/>
  <c r="C3" i="3"/>
  <c r="C4" i="3"/>
  <c r="C5" i="3"/>
  <c r="C6" i="3"/>
  <c r="C7" i="3"/>
  <c r="C8" i="3"/>
  <c r="C9" i="3"/>
  <c r="C10" i="3"/>
  <c r="C11" i="3"/>
  <c r="C12" i="3"/>
  <c r="C13" i="3"/>
  <c r="B746" i="12"/>
  <c r="B747" i="12"/>
  <c r="B748" i="12"/>
  <c r="B749" i="12"/>
  <c r="B750" i="12"/>
  <c r="B751" i="12"/>
  <c r="B752" i="12"/>
  <c r="B753" i="12"/>
  <c r="B754" i="12"/>
  <c r="B755" i="12"/>
  <c r="B756" i="12"/>
  <c r="B757" i="12"/>
  <c r="B446" i="12"/>
  <c r="B447" i="12"/>
  <c r="B448" i="12"/>
  <c r="B449" i="12"/>
  <c r="B450" i="12"/>
  <c r="B451" i="12"/>
  <c r="B452" i="12"/>
  <c r="B453" i="12"/>
  <c r="B454" i="12"/>
  <c r="B455" i="12"/>
  <c r="B456" i="12"/>
  <c r="B457" i="12"/>
  <c r="B458" i="12"/>
  <c r="B459" i="12"/>
  <c r="B460" i="12"/>
  <c r="B461" i="12"/>
  <c r="B462" i="12"/>
  <c r="B463" i="12"/>
  <c r="B464" i="12"/>
  <c r="B465" i="12"/>
  <c r="B466" i="12"/>
  <c r="B467" i="12"/>
  <c r="B468" i="12"/>
  <c r="B469" i="12"/>
  <c r="B13" i="12"/>
  <c r="B12" i="12"/>
  <c r="B11" i="12"/>
  <c r="B10" i="12"/>
  <c r="B9" i="12"/>
  <c r="B8" i="12"/>
  <c r="B7" i="12"/>
  <c r="B6" i="12"/>
  <c r="B5" i="12"/>
  <c r="B4" i="12"/>
  <c r="B3" i="12"/>
  <c r="B2" i="12"/>
  <c r="B14" i="12"/>
  <c r="F14" i="12"/>
  <c r="C2" i="13" s="1"/>
  <c r="L14" i="12"/>
  <c r="M14" i="12" s="1"/>
  <c r="T14" i="12"/>
  <c r="H469" i="5" l="1"/>
  <c r="H465" i="5"/>
  <c r="H461" i="5"/>
  <c r="H457" i="5"/>
  <c r="H453" i="5"/>
  <c r="H449" i="5"/>
  <c r="H12" i="5"/>
  <c r="H8" i="5"/>
  <c r="H13" i="5"/>
  <c r="H9" i="5"/>
  <c r="H5" i="5"/>
  <c r="H4" i="5"/>
  <c r="B11" i="13"/>
  <c r="BP11" i="13" s="1"/>
  <c r="B12" i="13"/>
  <c r="BP12" i="13" s="1"/>
  <c r="B4" i="13"/>
  <c r="BP4" i="13" s="1"/>
  <c r="G7" i="12"/>
  <c r="B7" i="13"/>
  <c r="BM7" i="13" s="1"/>
  <c r="H7" i="12" s="1"/>
  <c r="BL9" i="18"/>
  <c r="G2" i="12"/>
  <c r="B2" i="13"/>
  <c r="BP2" i="13" s="1"/>
  <c r="G11" i="5"/>
  <c r="G7" i="5"/>
  <c r="G3" i="5"/>
  <c r="G467" i="5"/>
  <c r="G463" i="5"/>
  <c r="G459" i="5"/>
  <c r="G455" i="5"/>
  <c r="G451" i="5"/>
  <c r="G447" i="5"/>
  <c r="G755" i="5"/>
  <c r="G751" i="5"/>
  <c r="G747" i="5"/>
  <c r="G9" i="5"/>
  <c r="G469" i="5"/>
  <c r="G461" i="5"/>
  <c r="G453" i="5"/>
  <c r="G757" i="5"/>
  <c r="G753" i="5"/>
  <c r="H751" i="5"/>
  <c r="H467" i="5"/>
  <c r="H455" i="5"/>
  <c r="H447" i="5"/>
  <c r="H11" i="5"/>
  <c r="H7" i="5"/>
  <c r="H3" i="5"/>
  <c r="G13" i="5"/>
  <c r="G5" i="5"/>
  <c r="G465" i="5"/>
  <c r="G457" i="5"/>
  <c r="G449" i="5"/>
  <c r="G749" i="5"/>
  <c r="H755" i="5"/>
  <c r="H747" i="5"/>
  <c r="H463" i="5"/>
  <c r="H459" i="5"/>
  <c r="H451" i="5"/>
  <c r="G12" i="5"/>
  <c r="G10" i="5"/>
  <c r="G8" i="5"/>
  <c r="G6" i="5"/>
  <c r="G4" i="5"/>
  <c r="G2" i="5"/>
  <c r="G468" i="5"/>
  <c r="G466" i="5"/>
  <c r="G464" i="5"/>
  <c r="G462" i="5"/>
  <c r="G460" i="5"/>
  <c r="G458" i="5"/>
  <c r="G456" i="5"/>
  <c r="G454" i="5"/>
  <c r="G452" i="5"/>
  <c r="G450" i="5"/>
  <c r="G448" i="5"/>
  <c r="G446" i="5"/>
  <c r="G756" i="5"/>
  <c r="G754" i="5"/>
  <c r="G752" i="5"/>
  <c r="G750" i="5"/>
  <c r="G748" i="5"/>
  <c r="G746" i="5"/>
  <c r="AN13" i="18"/>
  <c r="AM7" i="18"/>
  <c r="U13" i="12"/>
  <c r="B13" i="18"/>
  <c r="AM12" i="18"/>
  <c r="M3" i="12"/>
  <c r="N3" i="12" s="1"/>
  <c r="M461" i="12"/>
  <c r="AN5" i="8" s="1"/>
  <c r="M449" i="12"/>
  <c r="AM5" i="8" s="1"/>
  <c r="M468" i="12"/>
  <c r="AN12" i="8" s="1"/>
  <c r="M460" i="12"/>
  <c r="AN4" i="8" s="1"/>
  <c r="M452" i="12"/>
  <c r="AM8" i="8" s="1"/>
  <c r="M13" i="12"/>
  <c r="M11" i="12"/>
  <c r="M9" i="12"/>
  <c r="M467" i="12"/>
  <c r="AN11" i="8" s="1"/>
  <c r="M463" i="12"/>
  <c r="AN7" i="8" s="1"/>
  <c r="M459" i="12"/>
  <c r="AN3" i="8" s="1"/>
  <c r="M455" i="12"/>
  <c r="AM11" i="8" s="1"/>
  <c r="M451" i="12"/>
  <c r="AM7" i="8" s="1"/>
  <c r="M447" i="12"/>
  <c r="AM3" i="8" s="1"/>
  <c r="M6" i="12"/>
  <c r="M4" i="12"/>
  <c r="M2" i="12"/>
  <c r="BL11" i="18"/>
  <c r="B6" i="18"/>
  <c r="B11" i="18"/>
  <c r="AM5" i="18"/>
  <c r="AM13" i="18"/>
  <c r="AN9" i="18"/>
  <c r="B3" i="13"/>
  <c r="BP3" i="13" s="1"/>
  <c r="B8" i="13"/>
  <c r="BP8" i="13" s="1"/>
  <c r="M466" i="12"/>
  <c r="AN10" i="8" s="1"/>
  <c r="M462" i="12"/>
  <c r="AN6" i="8" s="1"/>
  <c r="M458" i="12"/>
  <c r="AN2" i="8" s="1"/>
  <c r="M454" i="12"/>
  <c r="AM10" i="8" s="1"/>
  <c r="M450" i="12"/>
  <c r="AM6" i="8" s="1"/>
  <c r="M446" i="12"/>
  <c r="AM2" i="8" s="1"/>
  <c r="M12" i="12"/>
  <c r="M10" i="12"/>
  <c r="M8" i="12"/>
  <c r="BL7" i="18"/>
  <c r="M464" i="12"/>
  <c r="AN8" i="8" s="1"/>
  <c r="M456" i="12"/>
  <c r="AM12" i="8" s="1"/>
  <c r="M448" i="12"/>
  <c r="AM4" i="8" s="1"/>
  <c r="M7" i="12"/>
  <c r="B7" i="18"/>
  <c r="AM2" i="18"/>
  <c r="AM10" i="18"/>
  <c r="AN6" i="18"/>
  <c r="M469" i="12"/>
  <c r="AN13" i="8" s="1"/>
  <c r="M465" i="12"/>
  <c r="AN9" i="8" s="1"/>
  <c r="M457" i="12"/>
  <c r="AM13" i="8" s="1"/>
  <c r="M453" i="12"/>
  <c r="AM9" i="8" s="1"/>
  <c r="M5" i="12"/>
  <c r="U12" i="12"/>
  <c r="U8" i="12"/>
  <c r="U4" i="12"/>
  <c r="BL2" i="18"/>
  <c r="BL8" i="18"/>
  <c r="BL6" i="18"/>
  <c r="BL3" i="18"/>
  <c r="B5" i="18"/>
  <c r="B9" i="18"/>
  <c r="G10" i="12"/>
  <c r="AN9" i="13"/>
  <c r="AM9" i="13"/>
  <c r="G13" i="12"/>
  <c r="BM4" i="13"/>
  <c r="H4" i="12" s="1"/>
  <c r="BM10" i="13"/>
  <c r="H10" i="12" s="1"/>
  <c r="BM6" i="13"/>
  <c r="H6" i="12" s="1"/>
  <c r="BM12" i="13"/>
  <c r="H12" i="12" s="1"/>
  <c r="B13" i="13"/>
  <c r="B9" i="13"/>
  <c r="B5" i="13"/>
  <c r="D331" i="21"/>
  <c r="D332" i="21"/>
  <c r="E331" i="21"/>
  <c r="E332" i="21"/>
  <c r="F331" i="21"/>
  <c r="F332" i="21"/>
  <c r="G331" i="21"/>
  <c r="G332" i="21"/>
  <c r="D328" i="21"/>
  <c r="E328" i="21"/>
  <c r="F328" i="21"/>
  <c r="G328" i="21"/>
  <c r="D327" i="21"/>
  <c r="E327" i="21"/>
  <c r="F327" i="21"/>
  <c r="G327" i="21"/>
  <c r="D319" i="21"/>
  <c r="D320" i="21"/>
  <c r="D321" i="21"/>
  <c r="E319" i="21"/>
  <c r="E320" i="21"/>
  <c r="E321" i="21"/>
  <c r="F319" i="21"/>
  <c r="F320" i="21"/>
  <c r="F321" i="21"/>
  <c r="G319" i="21"/>
  <c r="G320" i="21"/>
  <c r="G321" i="21"/>
  <c r="D312" i="21"/>
  <c r="E312" i="21"/>
  <c r="F312" i="21"/>
  <c r="G312" i="21"/>
  <c r="D308" i="21"/>
  <c r="D309" i="21"/>
  <c r="D310" i="21"/>
  <c r="D311" i="21"/>
  <c r="E308" i="21"/>
  <c r="E309" i="21"/>
  <c r="E310" i="21"/>
  <c r="E311" i="21"/>
  <c r="F308" i="21"/>
  <c r="F309" i="21"/>
  <c r="F310" i="21"/>
  <c r="F311" i="21"/>
  <c r="G308" i="21"/>
  <c r="G309" i="21"/>
  <c r="G310" i="21"/>
  <c r="G311" i="21"/>
  <c r="D286" i="21"/>
  <c r="E286" i="21"/>
  <c r="F286" i="21"/>
  <c r="G286" i="21"/>
  <c r="D274" i="21"/>
  <c r="E274" i="21"/>
  <c r="F274" i="21"/>
  <c r="G274" i="21"/>
  <c r="D273" i="21"/>
  <c r="E273" i="21"/>
  <c r="F273" i="21"/>
  <c r="G273" i="21"/>
  <c r="D302" i="21"/>
  <c r="D303" i="21"/>
  <c r="D304" i="21"/>
  <c r="D305" i="21"/>
  <c r="D306" i="21"/>
  <c r="D307" i="21"/>
  <c r="E302" i="21"/>
  <c r="E303" i="21"/>
  <c r="E304" i="21"/>
  <c r="E305" i="21"/>
  <c r="E306" i="21"/>
  <c r="E307" i="21"/>
  <c r="F302" i="21"/>
  <c r="F303" i="21"/>
  <c r="F304" i="21"/>
  <c r="F305" i="21"/>
  <c r="F306" i="21"/>
  <c r="F307" i="21"/>
  <c r="G302" i="21"/>
  <c r="G303" i="21"/>
  <c r="G304" i="21"/>
  <c r="G305" i="21"/>
  <c r="G306" i="21"/>
  <c r="G307" i="21"/>
  <c r="D266" i="21"/>
  <c r="E266" i="21"/>
  <c r="F266" i="21"/>
  <c r="G266" i="21"/>
  <c r="D261" i="21"/>
  <c r="D262" i="21"/>
  <c r="D263" i="21"/>
  <c r="E261" i="21"/>
  <c r="E262" i="21"/>
  <c r="E263" i="21"/>
  <c r="F261" i="21"/>
  <c r="F262" i="21"/>
  <c r="F263" i="21"/>
  <c r="G261" i="21"/>
  <c r="G262" i="21"/>
  <c r="G263" i="21"/>
  <c r="D240" i="21"/>
  <c r="E240" i="21"/>
  <c r="F240" i="21"/>
  <c r="G240" i="21"/>
  <c r="D231" i="21"/>
  <c r="D232" i="21"/>
  <c r="E231" i="21"/>
  <c r="E232" i="21"/>
  <c r="F231" i="21"/>
  <c r="F232" i="21"/>
  <c r="G231" i="21"/>
  <c r="G232" i="21"/>
  <c r="D229" i="21"/>
  <c r="E229" i="21"/>
  <c r="F229" i="21"/>
  <c r="G229" i="21"/>
  <c r="D223" i="21"/>
  <c r="D224" i="21"/>
  <c r="D225" i="21"/>
  <c r="E223" i="21"/>
  <c r="E224" i="21"/>
  <c r="E225" i="21"/>
  <c r="F223" i="21"/>
  <c r="F224" i="21"/>
  <c r="F225" i="21"/>
  <c r="G223" i="21"/>
  <c r="G224" i="21"/>
  <c r="G225" i="21"/>
  <c r="D206" i="21"/>
  <c r="E206" i="21"/>
  <c r="F206" i="21"/>
  <c r="G206" i="21"/>
  <c r="D196" i="21"/>
  <c r="D197" i="21"/>
  <c r="D198" i="21"/>
  <c r="E196" i="21"/>
  <c r="E197" i="21"/>
  <c r="E198" i="21"/>
  <c r="F196" i="21"/>
  <c r="F197" i="21"/>
  <c r="F198" i="21"/>
  <c r="G196" i="21"/>
  <c r="G197" i="21"/>
  <c r="G198" i="21"/>
  <c r="D178" i="21"/>
  <c r="D179" i="21"/>
  <c r="D180" i="21"/>
  <c r="D181" i="21"/>
  <c r="D182" i="21"/>
  <c r="E178" i="21"/>
  <c r="E179" i="21"/>
  <c r="E180" i="21"/>
  <c r="E181" i="21"/>
  <c r="E182" i="21"/>
  <c r="F178" i="21"/>
  <c r="F179" i="21"/>
  <c r="F180" i="21"/>
  <c r="F181" i="21"/>
  <c r="F182" i="21"/>
  <c r="G178" i="21"/>
  <c r="G179" i="21"/>
  <c r="G180" i="21"/>
  <c r="G181" i="21"/>
  <c r="G182" i="21"/>
  <c r="D176" i="21"/>
  <c r="E176" i="21"/>
  <c r="F176" i="21"/>
  <c r="G176" i="21"/>
  <c r="D175" i="21"/>
  <c r="E175" i="21"/>
  <c r="F175" i="21"/>
  <c r="G175" i="21"/>
  <c r="D160" i="21"/>
  <c r="E160" i="21"/>
  <c r="F160" i="21"/>
  <c r="G160" i="21"/>
  <c r="D159" i="21"/>
  <c r="E159" i="21"/>
  <c r="F159" i="21"/>
  <c r="G159" i="21"/>
  <c r="D158" i="21"/>
  <c r="E158" i="21"/>
  <c r="F158" i="21"/>
  <c r="G158" i="21"/>
  <c r="D145" i="21"/>
  <c r="E145" i="21"/>
  <c r="F145" i="21"/>
  <c r="G145" i="21"/>
  <c r="D142" i="21"/>
  <c r="E142" i="21"/>
  <c r="F142" i="21"/>
  <c r="G142" i="21"/>
  <c r="D139" i="21"/>
  <c r="E139" i="21"/>
  <c r="F139" i="21"/>
  <c r="G139" i="21"/>
  <c r="D129" i="21"/>
  <c r="E129" i="21"/>
  <c r="F129" i="21"/>
  <c r="G129" i="21"/>
  <c r="D128" i="21"/>
  <c r="E128" i="21"/>
  <c r="F128" i="21"/>
  <c r="G128" i="21"/>
  <c r="D127" i="21"/>
  <c r="E127" i="21"/>
  <c r="F127" i="21"/>
  <c r="G127" i="21"/>
  <c r="D124" i="21"/>
  <c r="E124" i="21"/>
  <c r="F124" i="21"/>
  <c r="G124" i="21"/>
  <c r="D122" i="21"/>
  <c r="E122" i="21"/>
  <c r="F122" i="21"/>
  <c r="G122" i="21"/>
  <c r="D116" i="21"/>
  <c r="D117" i="21"/>
  <c r="E116" i="21"/>
  <c r="E117" i="21"/>
  <c r="F116" i="21"/>
  <c r="F117" i="21"/>
  <c r="G116" i="21"/>
  <c r="G117" i="21"/>
  <c r="D107" i="21"/>
  <c r="E107" i="21"/>
  <c r="F107" i="21"/>
  <c r="G107" i="21"/>
  <c r="D69" i="21"/>
  <c r="D70" i="21"/>
  <c r="D71" i="21"/>
  <c r="D72" i="21"/>
  <c r="D73" i="21"/>
  <c r="D74" i="21"/>
  <c r="D75" i="21"/>
  <c r="D76" i="21"/>
  <c r="D77" i="21"/>
  <c r="D78" i="21"/>
  <c r="D79" i="21"/>
  <c r="D80" i="21"/>
  <c r="E69" i="21"/>
  <c r="E70" i="21"/>
  <c r="E71" i="21"/>
  <c r="E72" i="21"/>
  <c r="E73" i="21"/>
  <c r="E74" i="21"/>
  <c r="E75" i="21"/>
  <c r="E76" i="21"/>
  <c r="E77" i="21"/>
  <c r="E78" i="21"/>
  <c r="E79" i="21"/>
  <c r="E80" i="21"/>
  <c r="F69" i="21"/>
  <c r="F70" i="21"/>
  <c r="F71" i="21"/>
  <c r="F72" i="21"/>
  <c r="F73" i="21"/>
  <c r="F74" i="21"/>
  <c r="F75" i="21"/>
  <c r="F76" i="21"/>
  <c r="F77" i="21"/>
  <c r="F78" i="21"/>
  <c r="F79" i="21"/>
  <c r="F80" i="21"/>
  <c r="G69" i="21"/>
  <c r="G70" i="21"/>
  <c r="G71" i="21"/>
  <c r="G72" i="21"/>
  <c r="G73" i="21"/>
  <c r="G74" i="21"/>
  <c r="G75" i="21"/>
  <c r="G76" i="21"/>
  <c r="G77" i="21"/>
  <c r="G78" i="21"/>
  <c r="G79" i="21"/>
  <c r="G80" i="21"/>
  <c r="D26" i="21"/>
  <c r="D27" i="21"/>
  <c r="D28" i="21"/>
  <c r="D29" i="21"/>
  <c r="E26" i="21"/>
  <c r="E27" i="21"/>
  <c r="E28" i="21"/>
  <c r="E29" i="21"/>
  <c r="F26" i="21"/>
  <c r="F27" i="21"/>
  <c r="F28" i="21"/>
  <c r="F29" i="21"/>
  <c r="G26" i="21"/>
  <c r="G27" i="21"/>
  <c r="G28" i="21"/>
  <c r="G29" i="21"/>
  <c r="D15" i="21"/>
  <c r="E15" i="21"/>
  <c r="F15" i="21"/>
  <c r="G15" i="21"/>
  <c r="D10" i="21"/>
  <c r="E10" i="21"/>
  <c r="F10" i="21"/>
  <c r="G10" i="21"/>
  <c r="D7" i="21"/>
  <c r="E7" i="21"/>
  <c r="F7" i="21"/>
  <c r="G7" i="21"/>
  <c r="D6" i="21"/>
  <c r="E6" i="21"/>
  <c r="F6" i="21"/>
  <c r="G6" i="21"/>
  <c r="BM11" i="13" l="1"/>
  <c r="H11" i="12" s="1"/>
  <c r="BM2" i="13"/>
  <c r="H2" i="12" s="1"/>
  <c r="BP7" i="13"/>
  <c r="BM3" i="13"/>
  <c r="H3" i="12" s="1"/>
  <c r="BM8" i="13"/>
  <c r="H8" i="12" s="1"/>
  <c r="B3" i="8"/>
  <c r="B5" i="8"/>
  <c r="N5" i="12"/>
  <c r="B12" i="8"/>
  <c r="N12" i="12"/>
  <c r="N4" i="12"/>
  <c r="B4" i="8"/>
  <c r="N9" i="12"/>
  <c r="B9" i="8"/>
  <c r="B7" i="8"/>
  <c r="N7" i="12"/>
  <c r="N6" i="12"/>
  <c r="B6" i="8"/>
  <c r="B11" i="8"/>
  <c r="N11" i="12"/>
  <c r="N8" i="12"/>
  <c r="B8" i="8"/>
  <c r="N13" i="12"/>
  <c r="B13" i="8"/>
  <c r="B10" i="8"/>
  <c r="N10" i="12"/>
  <c r="B2" i="8"/>
  <c r="N2" i="12"/>
  <c r="BP13" i="13"/>
  <c r="BM13" i="13"/>
  <c r="H13" i="12" s="1"/>
  <c r="BP5" i="13"/>
  <c r="BM5" i="13"/>
  <c r="H5" i="12" s="1"/>
  <c r="BP9" i="13"/>
  <c r="BM9" i="13"/>
  <c r="H9" i="12" s="1"/>
  <c r="X59" i="14"/>
  <c r="W59" i="14"/>
  <c r="U59" i="14"/>
  <c r="Q59" i="14"/>
  <c r="M59" i="14"/>
  <c r="J59" i="14"/>
  <c r="X27" i="14"/>
  <c r="W27" i="14"/>
  <c r="U27" i="14"/>
  <c r="Q27" i="14"/>
  <c r="M27" i="14"/>
  <c r="J27" i="14"/>
  <c r="X24" i="14"/>
  <c r="W24" i="14"/>
  <c r="U24" i="14"/>
  <c r="Q24" i="14"/>
  <c r="M24" i="14"/>
  <c r="J24" i="14"/>
  <c r="X12" i="14"/>
  <c r="W12" i="14"/>
  <c r="U12" i="14"/>
  <c r="Q12" i="14"/>
  <c r="M12" i="14"/>
  <c r="J12" i="14"/>
  <c r="S697" i="5"/>
  <c r="S696" i="5"/>
  <c r="S695" i="5"/>
  <c r="S694" i="5"/>
  <c r="S693" i="5"/>
  <c r="S692" i="5"/>
  <c r="S691" i="5"/>
  <c r="S690" i="5"/>
  <c r="S689" i="5"/>
  <c r="S688" i="5"/>
  <c r="S687" i="5"/>
  <c r="S686" i="5"/>
  <c r="Q697" i="5"/>
  <c r="Q696" i="5"/>
  <c r="Q695" i="5"/>
  <c r="Q694" i="5"/>
  <c r="Q693" i="5"/>
  <c r="Q692" i="5"/>
  <c r="Q691" i="5"/>
  <c r="Q690" i="5"/>
  <c r="Q689" i="5"/>
  <c r="Q688" i="5"/>
  <c r="Q687" i="5"/>
  <c r="Q686" i="5"/>
  <c r="O697" i="5"/>
  <c r="O696" i="5"/>
  <c r="O695" i="5"/>
  <c r="O694" i="5"/>
  <c r="O693" i="5"/>
  <c r="O692" i="5"/>
  <c r="O691" i="5"/>
  <c r="O690" i="5"/>
  <c r="O689" i="5"/>
  <c r="O688" i="5"/>
  <c r="O687" i="5"/>
  <c r="O686" i="5"/>
  <c r="M686" i="5"/>
  <c r="M687" i="5" s="1"/>
  <c r="M688" i="5" s="1"/>
  <c r="M689" i="5" s="1"/>
  <c r="M690" i="5" s="1"/>
  <c r="M691" i="5" s="1"/>
  <c r="M692" i="5" s="1"/>
  <c r="M693" i="5" s="1"/>
  <c r="M694" i="5" s="1"/>
  <c r="M695" i="5" s="1"/>
  <c r="M696" i="5" s="1"/>
  <c r="M697" i="5" s="1"/>
  <c r="L686" i="5"/>
  <c r="I697" i="5"/>
  <c r="F697" i="5"/>
  <c r="I696" i="5"/>
  <c r="F696" i="5"/>
  <c r="I695" i="5"/>
  <c r="F695" i="5"/>
  <c r="I694" i="5"/>
  <c r="F694" i="5"/>
  <c r="I693" i="5"/>
  <c r="F693" i="5"/>
  <c r="I692" i="5"/>
  <c r="F692" i="5"/>
  <c r="I691" i="5"/>
  <c r="F691" i="5"/>
  <c r="I690" i="5"/>
  <c r="F690" i="5"/>
  <c r="I689" i="5"/>
  <c r="F689" i="5"/>
  <c r="I688" i="5"/>
  <c r="F688" i="5"/>
  <c r="I687" i="5"/>
  <c r="F687" i="5"/>
  <c r="I686" i="5"/>
  <c r="F686" i="5"/>
  <c r="D697" i="5"/>
  <c r="D696" i="5"/>
  <c r="D695" i="5"/>
  <c r="D694" i="5"/>
  <c r="D693" i="5"/>
  <c r="D692" i="5"/>
  <c r="D691" i="5"/>
  <c r="D690" i="5"/>
  <c r="D689" i="5"/>
  <c r="D688" i="5"/>
  <c r="D687" i="5"/>
  <c r="D686" i="5"/>
  <c r="M626" i="5"/>
  <c r="M627" i="5" s="1"/>
  <c r="M628" i="5" s="1"/>
  <c r="M629" i="5" s="1"/>
  <c r="M630" i="5" s="1"/>
  <c r="M631" i="5" s="1"/>
  <c r="M632" i="5" s="1"/>
  <c r="M633" i="5" s="1"/>
  <c r="M634" i="5" s="1"/>
  <c r="M635" i="5" s="1"/>
  <c r="M636" i="5" s="1"/>
  <c r="M637" i="5" s="1"/>
  <c r="L626" i="5"/>
  <c r="I637" i="5"/>
  <c r="I636" i="5"/>
  <c r="I635" i="5"/>
  <c r="I634" i="5"/>
  <c r="I633" i="5"/>
  <c r="I632" i="5"/>
  <c r="I631" i="5"/>
  <c r="I630" i="5"/>
  <c r="I629" i="5"/>
  <c r="I628" i="5"/>
  <c r="I627" i="5"/>
  <c r="I626" i="5"/>
  <c r="F637" i="5"/>
  <c r="F636" i="5"/>
  <c r="F635" i="5"/>
  <c r="F634" i="5"/>
  <c r="F633" i="5"/>
  <c r="F632" i="5"/>
  <c r="F631" i="5"/>
  <c r="F630" i="5"/>
  <c r="F629" i="5"/>
  <c r="F628" i="5"/>
  <c r="F627" i="5"/>
  <c r="F626" i="5"/>
  <c r="D637" i="5"/>
  <c r="D636" i="5"/>
  <c r="D635" i="5"/>
  <c r="D634" i="5"/>
  <c r="D633" i="5"/>
  <c r="D632" i="5"/>
  <c r="D631" i="5"/>
  <c r="D630" i="5"/>
  <c r="D629" i="5"/>
  <c r="D628" i="5"/>
  <c r="D627" i="5"/>
  <c r="D626" i="5"/>
  <c r="H626" i="5" s="1"/>
  <c r="M302" i="5"/>
  <c r="M303" i="5" s="1"/>
  <c r="M304" i="5" s="1"/>
  <c r="M305" i="5" s="1"/>
  <c r="M306" i="5" s="1"/>
  <c r="M307" i="5" s="1"/>
  <c r="M308" i="5" s="1"/>
  <c r="M309" i="5" s="1"/>
  <c r="M310" i="5" s="1"/>
  <c r="M311" i="5" s="1"/>
  <c r="M312" i="5" s="1"/>
  <c r="M313" i="5" s="1"/>
  <c r="L302" i="5"/>
  <c r="I313" i="5"/>
  <c r="I312" i="5"/>
  <c r="I311" i="5"/>
  <c r="I310" i="5"/>
  <c r="I309" i="5"/>
  <c r="I308" i="5"/>
  <c r="I307" i="5"/>
  <c r="I306" i="5"/>
  <c r="I305" i="5"/>
  <c r="I304" i="5"/>
  <c r="I303" i="5"/>
  <c r="I302" i="5"/>
  <c r="F313" i="5"/>
  <c r="F312" i="5"/>
  <c r="F311" i="5"/>
  <c r="F310" i="5"/>
  <c r="F309" i="5"/>
  <c r="F308" i="5"/>
  <c r="F307" i="5"/>
  <c r="F306" i="5"/>
  <c r="F305" i="5"/>
  <c r="F304" i="5"/>
  <c r="F303" i="5"/>
  <c r="F302" i="5"/>
  <c r="D313" i="5"/>
  <c r="D312" i="5"/>
  <c r="D311" i="5"/>
  <c r="D310" i="5"/>
  <c r="D309" i="5"/>
  <c r="D308" i="5"/>
  <c r="D307" i="5"/>
  <c r="G307" i="5" s="1"/>
  <c r="D306" i="5"/>
  <c r="D305" i="5"/>
  <c r="D304" i="5"/>
  <c r="D303" i="5"/>
  <c r="D302" i="5"/>
  <c r="G302" i="5" s="1"/>
  <c r="M266" i="5"/>
  <c r="M267" i="5" s="1"/>
  <c r="M268" i="5" s="1"/>
  <c r="M269" i="5" s="1"/>
  <c r="M270" i="5" s="1"/>
  <c r="M271" i="5" s="1"/>
  <c r="M272" i="5" s="1"/>
  <c r="M273" i="5" s="1"/>
  <c r="M274" i="5" s="1"/>
  <c r="M275" i="5" s="1"/>
  <c r="M276" i="5" s="1"/>
  <c r="M277" i="5" s="1"/>
  <c r="L266" i="5"/>
  <c r="L122" i="5"/>
  <c r="M122" i="5"/>
  <c r="M123" i="5" s="1"/>
  <c r="M124" i="5" s="1"/>
  <c r="M125" i="5" s="1"/>
  <c r="M126" i="5" s="1"/>
  <c r="M127" i="5" s="1"/>
  <c r="M128" i="5" s="1"/>
  <c r="M129" i="5" s="1"/>
  <c r="M130" i="5" s="1"/>
  <c r="M131" i="5" s="1"/>
  <c r="M132" i="5" s="1"/>
  <c r="M133" i="5" s="1"/>
  <c r="I277" i="5"/>
  <c r="I276" i="5"/>
  <c r="I275" i="5"/>
  <c r="I274" i="5"/>
  <c r="I273" i="5"/>
  <c r="I272" i="5"/>
  <c r="I271" i="5"/>
  <c r="I270" i="5"/>
  <c r="I269" i="5"/>
  <c r="I268" i="5"/>
  <c r="I267" i="5"/>
  <c r="I266" i="5"/>
  <c r="F277" i="5"/>
  <c r="D266" i="5"/>
  <c r="D267" i="5"/>
  <c r="D268" i="5"/>
  <c r="D269" i="5"/>
  <c r="D270" i="5"/>
  <c r="D271" i="5"/>
  <c r="D272" i="5"/>
  <c r="D273" i="5"/>
  <c r="D274" i="5"/>
  <c r="D275" i="5"/>
  <c r="D276" i="5"/>
  <c r="D277" i="5"/>
  <c r="F270" i="5"/>
  <c r="G270" i="5" s="1"/>
  <c r="F268" i="5"/>
  <c r="F267" i="5"/>
  <c r="F266" i="5"/>
  <c r="F133" i="5"/>
  <c r="H133" i="5" s="1"/>
  <c r="F132" i="5"/>
  <c r="F131" i="5"/>
  <c r="F130" i="5"/>
  <c r="F129" i="5"/>
  <c r="F128" i="5"/>
  <c r="H128" i="5" s="1"/>
  <c r="F127" i="5"/>
  <c r="H127" i="5" s="1"/>
  <c r="F126" i="5"/>
  <c r="F125" i="5"/>
  <c r="H125" i="5" s="1"/>
  <c r="F124" i="5"/>
  <c r="F123" i="5"/>
  <c r="H123" i="5" s="1"/>
  <c r="F122" i="5"/>
  <c r="H122" i="5" s="1"/>
  <c r="F121" i="5"/>
  <c r="I133" i="5"/>
  <c r="I132" i="5"/>
  <c r="I131" i="5"/>
  <c r="I130" i="5"/>
  <c r="I129" i="5"/>
  <c r="I128" i="5"/>
  <c r="I127" i="5"/>
  <c r="I126" i="5"/>
  <c r="I125" i="5"/>
  <c r="I124" i="5"/>
  <c r="I123" i="5"/>
  <c r="I122" i="5"/>
  <c r="H132" i="5"/>
  <c r="H131" i="5"/>
  <c r="H130" i="5"/>
  <c r="H267" i="5" l="1"/>
  <c r="H266" i="5"/>
  <c r="H687" i="5"/>
  <c r="H689" i="5"/>
  <c r="H693" i="5"/>
  <c r="H697" i="5"/>
  <c r="H270" i="5"/>
  <c r="G267" i="5"/>
  <c r="H268" i="5"/>
  <c r="G123" i="5"/>
  <c r="G127" i="5"/>
  <c r="G131" i="5"/>
  <c r="G133" i="5"/>
  <c r="G268" i="5"/>
  <c r="G125" i="5"/>
  <c r="H129" i="5"/>
  <c r="H126" i="5"/>
  <c r="G266" i="5"/>
  <c r="H310" i="5"/>
  <c r="H627" i="5"/>
  <c r="H635" i="5"/>
  <c r="H302" i="5"/>
  <c r="G129" i="5"/>
  <c r="H303" i="5"/>
  <c r="H307" i="5"/>
  <c r="H311" i="5"/>
  <c r="H628" i="5"/>
  <c r="H636" i="5"/>
  <c r="G277" i="5"/>
  <c r="H124" i="5"/>
  <c r="H694" i="5"/>
  <c r="H696" i="5"/>
  <c r="H691" i="5"/>
  <c r="H695" i="5"/>
  <c r="H692" i="5"/>
  <c r="H686" i="5"/>
  <c r="H690" i="5"/>
  <c r="H688" i="5"/>
  <c r="L687" i="5"/>
  <c r="L688" i="5" s="1"/>
  <c r="L689" i="5" s="1"/>
  <c r="L690" i="5" s="1"/>
  <c r="L691" i="5" s="1"/>
  <c r="L692" i="5" s="1"/>
  <c r="L693" i="5" s="1"/>
  <c r="L694" i="5" s="1"/>
  <c r="L695" i="5" s="1"/>
  <c r="L696" i="5" s="1"/>
  <c r="L697" i="5" s="1"/>
  <c r="G686" i="5"/>
  <c r="G688" i="5"/>
  <c r="G690" i="5"/>
  <c r="G692" i="5"/>
  <c r="G694" i="5"/>
  <c r="G696" i="5"/>
  <c r="G687" i="5"/>
  <c r="G689" i="5"/>
  <c r="G691" i="5"/>
  <c r="G693" i="5"/>
  <c r="G695" i="5"/>
  <c r="G697" i="5"/>
  <c r="H631" i="5"/>
  <c r="H633" i="5"/>
  <c r="G632" i="5"/>
  <c r="H634" i="5"/>
  <c r="G627" i="5"/>
  <c r="G635" i="5"/>
  <c r="G628" i="5"/>
  <c r="G636" i="5"/>
  <c r="G629" i="5"/>
  <c r="G637" i="5"/>
  <c r="H630" i="5"/>
  <c r="G633" i="5"/>
  <c r="G626" i="5"/>
  <c r="G634" i="5"/>
  <c r="H632" i="5"/>
  <c r="G631" i="5"/>
  <c r="H629" i="5"/>
  <c r="H637" i="5"/>
  <c r="G630" i="5"/>
  <c r="L627" i="5"/>
  <c r="L628" i="5" s="1"/>
  <c r="L629" i="5" s="1"/>
  <c r="L630" i="5" s="1"/>
  <c r="L631" i="5" s="1"/>
  <c r="L632" i="5" s="1"/>
  <c r="L633" i="5" s="1"/>
  <c r="L634" i="5" s="1"/>
  <c r="L635" i="5" s="1"/>
  <c r="L636" i="5" s="1"/>
  <c r="L637" i="5" s="1"/>
  <c r="H309" i="5"/>
  <c r="G310" i="5"/>
  <c r="G308" i="5"/>
  <c r="G304" i="5"/>
  <c r="H313" i="5"/>
  <c r="G312" i="5"/>
  <c r="H305" i="5"/>
  <c r="H306" i="5"/>
  <c r="G303" i="5"/>
  <c r="G311" i="5"/>
  <c r="G309" i="5"/>
  <c r="G313" i="5"/>
  <c r="H304" i="5"/>
  <c r="H308" i="5"/>
  <c r="H312" i="5"/>
  <c r="G306" i="5"/>
  <c r="G305" i="5"/>
  <c r="L303" i="5"/>
  <c r="L304" i="5" s="1"/>
  <c r="L305" i="5" s="1"/>
  <c r="L306" i="5" s="1"/>
  <c r="L307" i="5" s="1"/>
  <c r="L308" i="5" s="1"/>
  <c r="L309" i="5" s="1"/>
  <c r="L310" i="5" s="1"/>
  <c r="L311" i="5" s="1"/>
  <c r="L312" i="5" s="1"/>
  <c r="L313" i="5" s="1"/>
  <c r="L267" i="5"/>
  <c r="L268" i="5" s="1"/>
  <c r="L269" i="5" s="1"/>
  <c r="L270" i="5" s="1"/>
  <c r="L271" i="5" s="1"/>
  <c r="L272" i="5" s="1"/>
  <c r="L273" i="5" s="1"/>
  <c r="L274" i="5" s="1"/>
  <c r="L275" i="5" s="1"/>
  <c r="L276" i="5" s="1"/>
  <c r="L277" i="5" s="1"/>
  <c r="H277" i="5"/>
  <c r="L123" i="5"/>
  <c r="L124" i="5" s="1"/>
  <c r="L125" i="5" s="1"/>
  <c r="L126" i="5" s="1"/>
  <c r="L127" i="5" s="1"/>
  <c r="L128" i="5" s="1"/>
  <c r="L129" i="5" s="1"/>
  <c r="L130" i="5" s="1"/>
  <c r="L131" i="5" s="1"/>
  <c r="L132" i="5" s="1"/>
  <c r="L133" i="5" s="1"/>
  <c r="F272" i="5"/>
  <c r="F273" i="5"/>
  <c r="F271" i="5"/>
  <c r="F275" i="5"/>
  <c r="F276" i="5"/>
  <c r="F274" i="5"/>
  <c r="F269" i="5"/>
  <c r="G269" i="5" s="1"/>
  <c r="G132" i="5"/>
  <c r="G122" i="5"/>
  <c r="G124" i="5"/>
  <c r="G126" i="5"/>
  <c r="G128" i="5"/>
  <c r="G130" i="5"/>
  <c r="S122" i="5"/>
  <c r="S123" i="5"/>
  <c r="S124" i="5"/>
  <c r="S125" i="5"/>
  <c r="S126" i="5"/>
  <c r="S127" i="5"/>
  <c r="S128" i="5"/>
  <c r="S129" i="5"/>
  <c r="S130" i="5"/>
  <c r="S131" i="5"/>
  <c r="S132" i="5"/>
  <c r="S133" i="5"/>
  <c r="S134" i="5"/>
  <c r="Q122" i="5"/>
  <c r="Q123" i="5"/>
  <c r="Q124" i="5"/>
  <c r="Q125" i="5"/>
  <c r="Q126" i="5"/>
  <c r="Q127" i="5"/>
  <c r="Q128" i="5"/>
  <c r="Q129" i="5"/>
  <c r="Q130" i="5"/>
  <c r="Q131" i="5"/>
  <c r="Q132" i="5"/>
  <c r="Q133" i="5"/>
  <c r="O122" i="5"/>
  <c r="O123" i="5"/>
  <c r="O124" i="5"/>
  <c r="O125" i="5"/>
  <c r="O126" i="5"/>
  <c r="O127" i="5"/>
  <c r="O128" i="5"/>
  <c r="O129" i="5"/>
  <c r="O130" i="5"/>
  <c r="O131" i="5"/>
  <c r="O132" i="5"/>
  <c r="O133" i="5"/>
  <c r="S266" i="5"/>
  <c r="S267" i="5"/>
  <c r="S268" i="5"/>
  <c r="S269" i="5"/>
  <c r="S270" i="5"/>
  <c r="S271" i="5"/>
  <c r="S272" i="5"/>
  <c r="S273" i="5"/>
  <c r="S274" i="5"/>
  <c r="S275" i="5"/>
  <c r="S276" i="5"/>
  <c r="S277" i="5"/>
  <c r="Q266" i="5"/>
  <c r="Q267" i="5"/>
  <c r="Q268" i="5"/>
  <c r="Q269" i="5"/>
  <c r="Q270" i="5"/>
  <c r="Q271" i="5"/>
  <c r="Q272" i="5"/>
  <c r="Q273" i="5"/>
  <c r="Q274" i="5"/>
  <c r="Q275" i="5"/>
  <c r="Q276" i="5"/>
  <c r="O266" i="5"/>
  <c r="O267" i="5"/>
  <c r="O268" i="5"/>
  <c r="O269" i="5"/>
  <c r="O270" i="5"/>
  <c r="O271" i="5"/>
  <c r="O272" i="5"/>
  <c r="O273" i="5"/>
  <c r="O274" i="5"/>
  <c r="O275" i="5"/>
  <c r="O276" i="5"/>
  <c r="O277" i="5"/>
  <c r="S302" i="5"/>
  <c r="S303" i="5"/>
  <c r="S304" i="5"/>
  <c r="S305" i="5"/>
  <c r="S306" i="5"/>
  <c r="S307" i="5"/>
  <c r="S308" i="5"/>
  <c r="S309" i="5"/>
  <c r="S310" i="5"/>
  <c r="S311" i="5"/>
  <c r="S312" i="5"/>
  <c r="S313" i="5"/>
  <c r="Q302" i="5"/>
  <c r="Q303" i="5"/>
  <c r="Q304" i="5"/>
  <c r="Q305" i="5"/>
  <c r="Q306" i="5"/>
  <c r="Q307" i="5"/>
  <c r="Q308" i="5"/>
  <c r="Q309" i="5"/>
  <c r="Q310" i="5"/>
  <c r="Q311" i="5"/>
  <c r="Q312" i="5"/>
  <c r="Q313" i="5"/>
  <c r="O302" i="5"/>
  <c r="O303" i="5"/>
  <c r="O304" i="5"/>
  <c r="O305" i="5"/>
  <c r="O306" i="5"/>
  <c r="O307" i="5"/>
  <c r="O308" i="5"/>
  <c r="O309" i="5"/>
  <c r="O310" i="5"/>
  <c r="O311" i="5"/>
  <c r="O312" i="5"/>
  <c r="O313" i="5"/>
  <c r="O343" i="5"/>
  <c r="S626" i="5"/>
  <c r="S627" i="5"/>
  <c r="S628" i="5"/>
  <c r="S629" i="5"/>
  <c r="S630" i="5"/>
  <c r="S631" i="5"/>
  <c r="S632" i="5"/>
  <c r="S633" i="5"/>
  <c r="S634" i="5"/>
  <c r="S635" i="5"/>
  <c r="S636" i="5"/>
  <c r="S637" i="5"/>
  <c r="Q626" i="5"/>
  <c r="Q627" i="5"/>
  <c r="Q628" i="5"/>
  <c r="Q629" i="5"/>
  <c r="Q630" i="5"/>
  <c r="Q631" i="5"/>
  <c r="Q632" i="5"/>
  <c r="Q633" i="5"/>
  <c r="Q634" i="5"/>
  <c r="Q635" i="5"/>
  <c r="Q636" i="5"/>
  <c r="Q637" i="5"/>
  <c r="O626" i="5"/>
  <c r="O627" i="5"/>
  <c r="O628" i="5"/>
  <c r="O629" i="5"/>
  <c r="O630" i="5"/>
  <c r="O631" i="5"/>
  <c r="O632" i="5"/>
  <c r="O633" i="5"/>
  <c r="O634" i="5"/>
  <c r="O635" i="5"/>
  <c r="O636" i="5"/>
  <c r="O637" i="5"/>
  <c r="O341" i="5"/>
  <c r="H269" i="5" l="1"/>
  <c r="G271" i="5"/>
  <c r="H271" i="5"/>
  <c r="H272" i="5"/>
  <c r="G272" i="5"/>
  <c r="G274" i="5"/>
  <c r="H274" i="5"/>
  <c r="G273" i="5"/>
  <c r="H273" i="5"/>
  <c r="H276" i="5"/>
  <c r="G276" i="5"/>
  <c r="G275" i="5"/>
  <c r="H275" i="5"/>
  <c r="T686" i="12"/>
  <c r="T687" i="12"/>
  <c r="T688" i="12"/>
  <c r="T689" i="12"/>
  <c r="T690" i="12"/>
  <c r="T691" i="12"/>
  <c r="T692" i="12"/>
  <c r="T693" i="12"/>
  <c r="T694" i="12"/>
  <c r="T695" i="12"/>
  <c r="T696" i="12"/>
  <c r="T697" i="12"/>
  <c r="T626" i="12"/>
  <c r="T627" i="12"/>
  <c r="T628" i="12"/>
  <c r="T629" i="12"/>
  <c r="T630" i="12"/>
  <c r="T631" i="12"/>
  <c r="T632" i="12"/>
  <c r="T633" i="12"/>
  <c r="T634" i="12"/>
  <c r="T635" i="12"/>
  <c r="T636" i="12"/>
  <c r="T637" i="12"/>
  <c r="T302" i="12"/>
  <c r="T303" i="12"/>
  <c r="T304" i="12"/>
  <c r="T305" i="12"/>
  <c r="T306" i="12"/>
  <c r="T307" i="12"/>
  <c r="T308" i="12"/>
  <c r="T309" i="12"/>
  <c r="T310" i="12"/>
  <c r="T311" i="12"/>
  <c r="T312" i="12"/>
  <c r="T313" i="12"/>
  <c r="T266" i="12"/>
  <c r="T267" i="12"/>
  <c r="T268" i="12"/>
  <c r="T269" i="12"/>
  <c r="T270" i="12"/>
  <c r="T271" i="12"/>
  <c r="T272" i="12"/>
  <c r="T273" i="12"/>
  <c r="T274" i="12"/>
  <c r="T275" i="12"/>
  <c r="T276" i="12"/>
  <c r="T277" i="12"/>
  <c r="T122" i="12"/>
  <c r="T123" i="12"/>
  <c r="T124" i="12"/>
  <c r="T125" i="12"/>
  <c r="T126" i="12"/>
  <c r="T127" i="12"/>
  <c r="T128" i="12"/>
  <c r="T129" i="12"/>
  <c r="T130" i="12"/>
  <c r="T131" i="12"/>
  <c r="T132" i="12"/>
  <c r="T133" i="12"/>
  <c r="L16" i="12"/>
  <c r="L55" i="12"/>
  <c r="L655" i="12"/>
  <c r="L740" i="12"/>
  <c r="L606" i="12"/>
  <c r="L607" i="12"/>
  <c r="L608" i="12"/>
  <c r="L535" i="12"/>
  <c r="L523" i="12"/>
  <c r="L511" i="12"/>
  <c r="L512" i="12"/>
  <c r="L427" i="12"/>
  <c r="L379" i="12"/>
  <c r="L343" i="12"/>
  <c r="L330" i="12"/>
  <c r="L329" i="12"/>
  <c r="L295" i="12"/>
  <c r="L292" i="12"/>
  <c r="L283" i="12"/>
  <c r="L235" i="12"/>
  <c r="L223" i="12"/>
  <c r="L211" i="12"/>
  <c r="L212" i="12"/>
  <c r="L213" i="12"/>
  <c r="L175" i="12"/>
  <c r="L163" i="12"/>
  <c r="L114" i="12"/>
  <c r="L115" i="12"/>
  <c r="L116" i="12"/>
  <c r="L103" i="12"/>
  <c r="L31" i="12"/>
  <c r="L76" i="12"/>
  <c r="L77" i="12"/>
  <c r="L78" i="12"/>
  <c r="L79" i="12"/>
  <c r="L80" i="12"/>
  <c r="L81" i="12"/>
  <c r="L686" i="12"/>
  <c r="L687" i="12"/>
  <c r="L688" i="12"/>
  <c r="L689" i="12"/>
  <c r="L690" i="12"/>
  <c r="L691" i="12"/>
  <c r="L692" i="12"/>
  <c r="L693" i="12"/>
  <c r="L694" i="12"/>
  <c r="L695" i="12"/>
  <c r="M695" i="12" s="1"/>
  <c r="L696" i="12"/>
  <c r="L697" i="12"/>
  <c r="L626" i="12"/>
  <c r="L627" i="12"/>
  <c r="L628" i="12"/>
  <c r="L629" i="12"/>
  <c r="L630" i="12"/>
  <c r="L631" i="12"/>
  <c r="L632" i="12"/>
  <c r="L633" i="12"/>
  <c r="L634" i="12"/>
  <c r="L635" i="12"/>
  <c r="M635" i="12" s="1"/>
  <c r="L636" i="12"/>
  <c r="L637" i="12"/>
  <c r="L302" i="12"/>
  <c r="L303" i="12"/>
  <c r="L304" i="12"/>
  <c r="L305" i="12"/>
  <c r="L306" i="12"/>
  <c r="L307" i="12"/>
  <c r="L308" i="12"/>
  <c r="L309" i="12"/>
  <c r="L310" i="12"/>
  <c r="L311" i="12"/>
  <c r="L312" i="12"/>
  <c r="L313" i="12"/>
  <c r="L266" i="12"/>
  <c r="L267" i="12"/>
  <c r="L268" i="12"/>
  <c r="L269" i="12"/>
  <c r="L270" i="12"/>
  <c r="L271" i="12"/>
  <c r="L272" i="12"/>
  <c r="L273" i="12"/>
  <c r="L274" i="12"/>
  <c r="L275" i="12"/>
  <c r="L276" i="12"/>
  <c r="L277" i="12"/>
  <c r="L122" i="12"/>
  <c r="L123" i="12"/>
  <c r="L124" i="12"/>
  <c r="L125" i="12"/>
  <c r="L126" i="12"/>
  <c r="L127" i="12"/>
  <c r="L128" i="12"/>
  <c r="L129" i="12"/>
  <c r="L130" i="12"/>
  <c r="L131" i="12"/>
  <c r="M131" i="12" s="1"/>
  <c r="L132" i="12"/>
  <c r="L133" i="12"/>
  <c r="L15" i="12"/>
  <c r="M15" i="12" s="1"/>
  <c r="L17" i="12"/>
  <c r="L18" i="12"/>
  <c r="L19" i="12"/>
  <c r="L20" i="12"/>
  <c r="L21" i="12"/>
  <c r="L22" i="12"/>
  <c r="L23" i="12"/>
  <c r="L24" i="12"/>
  <c r="L25" i="12"/>
  <c r="L26" i="12"/>
  <c r="L27" i="12"/>
  <c r="M27" i="12" s="1"/>
  <c r="L28" i="12"/>
  <c r="L29" i="12"/>
  <c r="L30" i="12"/>
  <c r="L32" i="12"/>
  <c r="L33" i="12"/>
  <c r="L34" i="12"/>
  <c r="L35" i="12"/>
  <c r="L36" i="12"/>
  <c r="L37" i="12"/>
  <c r="L38" i="12"/>
  <c r="L39" i="12"/>
  <c r="L40" i="12"/>
  <c r="L41" i="12"/>
  <c r="L42" i="12"/>
  <c r="L43" i="12"/>
  <c r="L44" i="12"/>
  <c r="L50" i="12"/>
  <c r="L51" i="12"/>
  <c r="L52" i="12"/>
  <c r="L53" i="12"/>
  <c r="L54" i="12"/>
  <c r="L56" i="12"/>
  <c r="L62" i="12"/>
  <c r="L63" i="12"/>
  <c r="L64" i="12"/>
  <c r="L65" i="12"/>
  <c r="L66" i="12"/>
  <c r="L67" i="12"/>
  <c r="L68" i="12"/>
  <c r="L74" i="12"/>
  <c r="L75" i="12"/>
  <c r="L86" i="12"/>
  <c r="L87" i="12"/>
  <c r="L88" i="12"/>
  <c r="L89" i="12"/>
  <c r="L90" i="12"/>
  <c r="L91" i="12"/>
  <c r="L92" i="12"/>
  <c r="L98" i="12"/>
  <c r="L99" i="12"/>
  <c r="L100" i="12"/>
  <c r="L101" i="12"/>
  <c r="L102" i="12"/>
  <c r="L104" i="12"/>
  <c r="L110" i="12"/>
  <c r="L111" i="12"/>
  <c r="L112" i="12"/>
  <c r="L113" i="12"/>
  <c r="L134" i="12"/>
  <c r="L135" i="12"/>
  <c r="L136" i="12"/>
  <c r="L137" i="12"/>
  <c r="L138" i="12"/>
  <c r="L139" i="12"/>
  <c r="L140" i="12"/>
  <c r="L158" i="12"/>
  <c r="L159" i="12"/>
  <c r="L160" i="12"/>
  <c r="L161" i="12"/>
  <c r="L162" i="12"/>
  <c r="L164" i="12"/>
  <c r="L170" i="12"/>
  <c r="L171" i="12"/>
  <c r="L172" i="12"/>
  <c r="L173" i="12"/>
  <c r="L174" i="12"/>
  <c r="L176" i="12"/>
  <c r="L182" i="12"/>
  <c r="L183" i="12"/>
  <c r="L184" i="12"/>
  <c r="L185" i="12"/>
  <c r="L186" i="12"/>
  <c r="L187" i="12"/>
  <c r="L188" i="12"/>
  <c r="L194" i="12"/>
  <c r="L195" i="12"/>
  <c r="L196" i="12"/>
  <c r="L197" i="12"/>
  <c r="L198" i="12"/>
  <c r="L199" i="12"/>
  <c r="L200" i="12"/>
  <c r="L206" i="12"/>
  <c r="L207" i="12"/>
  <c r="L208" i="12"/>
  <c r="L209" i="12"/>
  <c r="L210" i="12"/>
  <c r="L218" i="12"/>
  <c r="L219" i="12"/>
  <c r="L220" i="12"/>
  <c r="L221" i="12"/>
  <c r="L222" i="12"/>
  <c r="L224" i="12"/>
  <c r="F697" i="12"/>
  <c r="F696" i="12"/>
  <c r="F695" i="12"/>
  <c r="F694" i="12"/>
  <c r="F693" i="12"/>
  <c r="F692" i="12"/>
  <c r="F691" i="12"/>
  <c r="F690" i="12"/>
  <c r="F689" i="12"/>
  <c r="F688" i="12"/>
  <c r="F687" i="12"/>
  <c r="F686" i="12"/>
  <c r="F637" i="12"/>
  <c r="F636" i="12"/>
  <c r="F635" i="12"/>
  <c r="F634" i="12"/>
  <c r="F633" i="12"/>
  <c r="F632" i="12"/>
  <c r="F631" i="12"/>
  <c r="F630" i="12"/>
  <c r="F629" i="12"/>
  <c r="F628" i="12"/>
  <c r="F627" i="12"/>
  <c r="F626" i="12"/>
  <c r="F313" i="12"/>
  <c r="F312" i="12"/>
  <c r="F311" i="12"/>
  <c r="F310" i="12"/>
  <c r="F309" i="12"/>
  <c r="F308" i="12"/>
  <c r="F307" i="12"/>
  <c r="F306" i="12"/>
  <c r="F305" i="12"/>
  <c r="F304" i="12"/>
  <c r="F303" i="12"/>
  <c r="F302" i="12"/>
  <c r="F277" i="12"/>
  <c r="F276" i="12"/>
  <c r="F275" i="12"/>
  <c r="F274" i="12"/>
  <c r="F273" i="12"/>
  <c r="F272" i="12"/>
  <c r="F271" i="12"/>
  <c r="F270" i="12"/>
  <c r="F269" i="12"/>
  <c r="F268" i="12"/>
  <c r="F267" i="12"/>
  <c r="F266" i="12"/>
  <c r="F133" i="12"/>
  <c r="F132" i="12"/>
  <c r="F131" i="12"/>
  <c r="F130" i="12"/>
  <c r="F129" i="12"/>
  <c r="F128" i="12"/>
  <c r="F127" i="12"/>
  <c r="F126" i="12"/>
  <c r="F125" i="12"/>
  <c r="F124" i="12"/>
  <c r="F123" i="12"/>
  <c r="F122" i="12"/>
  <c r="M277" i="12" l="1"/>
  <c r="M132" i="12"/>
  <c r="L12" i="8" s="1"/>
  <c r="M637" i="12"/>
  <c r="BB13" i="8" s="1"/>
  <c r="M697" i="12"/>
  <c r="BG13" i="8" s="1"/>
  <c r="M276" i="12"/>
  <c r="M275" i="12"/>
  <c r="X11" i="8" s="1"/>
  <c r="M274" i="12"/>
  <c r="X10" i="8" s="1"/>
  <c r="M696" i="12"/>
  <c r="BG12" i="8" s="1"/>
  <c r="M636" i="12"/>
  <c r="BB12" i="8" s="1"/>
  <c r="M133" i="12"/>
  <c r="L13" i="8" s="1"/>
  <c r="L3" i="13"/>
  <c r="L4" i="13"/>
  <c r="L5" i="13"/>
  <c r="L6" i="13"/>
  <c r="L7" i="13"/>
  <c r="L8" i="13"/>
  <c r="L9" i="13"/>
  <c r="L10" i="13"/>
  <c r="L11" i="13"/>
  <c r="L12" i="13"/>
  <c r="L13" i="13"/>
  <c r="L2" i="13"/>
  <c r="X3" i="13"/>
  <c r="X4" i="13"/>
  <c r="X5" i="13"/>
  <c r="X6" i="13"/>
  <c r="X7" i="13"/>
  <c r="X8" i="13"/>
  <c r="X9" i="13"/>
  <c r="X10" i="13"/>
  <c r="X11" i="13"/>
  <c r="X12" i="13"/>
  <c r="X13" i="13"/>
  <c r="X2" i="13"/>
  <c r="AA3" i="13"/>
  <c r="AA4" i="13"/>
  <c r="AA5" i="13"/>
  <c r="AA6" i="13"/>
  <c r="AA7" i="13"/>
  <c r="AA8" i="13"/>
  <c r="AA9" i="13"/>
  <c r="AA10" i="13"/>
  <c r="AA11" i="13"/>
  <c r="AA12" i="13"/>
  <c r="AA13" i="13"/>
  <c r="AA2" i="13"/>
  <c r="BB3" i="13"/>
  <c r="BB4" i="13"/>
  <c r="BB5" i="13"/>
  <c r="BB6" i="13"/>
  <c r="BB7" i="13"/>
  <c r="BB8" i="13"/>
  <c r="BB9" i="13"/>
  <c r="BB10" i="13"/>
  <c r="BB11" i="13"/>
  <c r="BB12" i="13"/>
  <c r="BB13" i="13"/>
  <c r="BB2" i="13"/>
  <c r="BG3" i="13"/>
  <c r="BG4" i="13"/>
  <c r="BG5" i="13"/>
  <c r="BG6" i="13"/>
  <c r="BG7" i="13"/>
  <c r="BG8" i="13"/>
  <c r="BG9" i="13"/>
  <c r="BG10" i="13"/>
  <c r="BG11" i="13"/>
  <c r="BG12" i="13"/>
  <c r="BG13" i="13"/>
  <c r="BG2" i="13"/>
  <c r="L11" i="8"/>
  <c r="X12" i="8"/>
  <c r="X13" i="8"/>
  <c r="AA3" i="8"/>
  <c r="AA4" i="8"/>
  <c r="AA5" i="8"/>
  <c r="AA6" i="8"/>
  <c r="AA7" i="8"/>
  <c r="AA8" i="8"/>
  <c r="AA9" i="8"/>
  <c r="AA10" i="8"/>
  <c r="AA11" i="8"/>
  <c r="AA12" i="8"/>
  <c r="AA13" i="8"/>
  <c r="AA2" i="8"/>
  <c r="BB11" i="8"/>
  <c r="BG11" i="8"/>
  <c r="BG3" i="18"/>
  <c r="BG4" i="18"/>
  <c r="BG5" i="18"/>
  <c r="BG6" i="18"/>
  <c r="BG7" i="18"/>
  <c r="BG8" i="18"/>
  <c r="BG9" i="18"/>
  <c r="BG10" i="18"/>
  <c r="BG11" i="18"/>
  <c r="BG12" i="18"/>
  <c r="BG13" i="18"/>
  <c r="BG2" i="18"/>
  <c r="BB3" i="18"/>
  <c r="BB4" i="18"/>
  <c r="BB5" i="18"/>
  <c r="BB6" i="18"/>
  <c r="BB7" i="18"/>
  <c r="BB8" i="18"/>
  <c r="BB9" i="18"/>
  <c r="BB10" i="18"/>
  <c r="BB11" i="18"/>
  <c r="BB12" i="18"/>
  <c r="BB13" i="18"/>
  <c r="BB2" i="18"/>
  <c r="AA3" i="18"/>
  <c r="AA4" i="18"/>
  <c r="AA5" i="18"/>
  <c r="AA6" i="18"/>
  <c r="AA7" i="18"/>
  <c r="AA8" i="18"/>
  <c r="AA9" i="18"/>
  <c r="AA10" i="18"/>
  <c r="AA11" i="18"/>
  <c r="AA12" i="18"/>
  <c r="AA13" i="18"/>
  <c r="AA2" i="18"/>
  <c r="X4" i="18"/>
  <c r="X5" i="18"/>
  <c r="X6" i="18"/>
  <c r="X7" i="18"/>
  <c r="X8" i="18"/>
  <c r="X9" i="18"/>
  <c r="X10" i="18"/>
  <c r="X11" i="18"/>
  <c r="X12" i="18"/>
  <c r="X13" i="18"/>
  <c r="X3" i="18"/>
  <c r="X2" i="18"/>
  <c r="L4" i="18"/>
  <c r="L5" i="18"/>
  <c r="L6" i="18"/>
  <c r="L7" i="18"/>
  <c r="L8" i="18"/>
  <c r="L9" i="18"/>
  <c r="L10" i="18"/>
  <c r="L11" i="18"/>
  <c r="L12" i="18"/>
  <c r="L13" i="18"/>
  <c r="L3" i="18"/>
  <c r="L2" i="18"/>
  <c r="B686" i="12"/>
  <c r="B687" i="12"/>
  <c r="B688" i="12"/>
  <c r="B689" i="12"/>
  <c r="B690" i="12"/>
  <c r="B691" i="12"/>
  <c r="B692" i="12"/>
  <c r="B693" i="12"/>
  <c r="B694" i="12"/>
  <c r="B695" i="12"/>
  <c r="B696" i="12"/>
  <c r="B697" i="12"/>
  <c r="B626" i="12"/>
  <c r="B627" i="12"/>
  <c r="B628" i="12"/>
  <c r="B629" i="12"/>
  <c r="B630" i="12"/>
  <c r="B631" i="12"/>
  <c r="B632" i="12"/>
  <c r="B633" i="12"/>
  <c r="B634" i="12"/>
  <c r="B635" i="12"/>
  <c r="B636" i="12"/>
  <c r="B637" i="12"/>
  <c r="B302" i="12"/>
  <c r="B303" i="12"/>
  <c r="B304" i="12"/>
  <c r="B305" i="12"/>
  <c r="B306" i="12"/>
  <c r="B307" i="12"/>
  <c r="B308" i="12"/>
  <c r="B309" i="12"/>
  <c r="B310" i="12"/>
  <c r="B311" i="12"/>
  <c r="B312" i="12"/>
  <c r="B313" i="12"/>
  <c r="B266" i="12"/>
  <c r="B267" i="12"/>
  <c r="B268" i="12"/>
  <c r="B269" i="12"/>
  <c r="B270" i="12"/>
  <c r="B271" i="12"/>
  <c r="B272" i="12"/>
  <c r="B273" i="12"/>
  <c r="B274" i="12"/>
  <c r="B275" i="12"/>
  <c r="B276" i="12"/>
  <c r="B277" i="12"/>
  <c r="B122" i="12"/>
  <c r="B123" i="12"/>
  <c r="B124" i="12"/>
  <c r="B125" i="12"/>
  <c r="B126" i="12"/>
  <c r="B127" i="12"/>
  <c r="B128" i="12"/>
  <c r="B129" i="12"/>
  <c r="B130" i="12"/>
  <c r="B131" i="12"/>
  <c r="B132" i="12"/>
  <c r="B133" i="12"/>
  <c r="B134" i="12"/>
  <c r="O30" i="5" l="1"/>
  <c r="Q294" i="5"/>
  <c r="O55" i="5"/>
  <c r="D333" i="21" l="1"/>
  <c r="E333" i="21"/>
  <c r="F333" i="21"/>
  <c r="G333" i="21"/>
  <c r="D326" i="21"/>
  <c r="E326" i="21"/>
  <c r="F326" i="21"/>
  <c r="G326" i="21"/>
  <c r="D316" i="21"/>
  <c r="E316" i="21"/>
  <c r="F316" i="21"/>
  <c r="G316" i="21"/>
  <c r="D317" i="21"/>
  <c r="E317" i="21"/>
  <c r="F317" i="21"/>
  <c r="G317" i="21"/>
  <c r="D314" i="21"/>
  <c r="E314" i="21"/>
  <c r="F314" i="21"/>
  <c r="G314" i="21"/>
  <c r="D301" i="21"/>
  <c r="E301" i="21"/>
  <c r="F301" i="21"/>
  <c r="G301" i="21"/>
  <c r="D297" i="21"/>
  <c r="E297" i="21"/>
  <c r="F297" i="21"/>
  <c r="G297" i="21"/>
  <c r="D298" i="21"/>
  <c r="E298" i="21"/>
  <c r="F298" i="21"/>
  <c r="G298" i="21"/>
  <c r="D299" i="21"/>
  <c r="E299" i="21"/>
  <c r="F299" i="21"/>
  <c r="G299" i="21"/>
  <c r="D300" i="21"/>
  <c r="E300" i="21"/>
  <c r="F300" i="21"/>
  <c r="G300" i="21"/>
  <c r="D282" i="21"/>
  <c r="E282" i="21"/>
  <c r="F282" i="21"/>
  <c r="G282" i="21"/>
  <c r="D276" i="21"/>
  <c r="E276" i="21"/>
  <c r="F276" i="21"/>
  <c r="G276" i="21"/>
  <c r="D259" i="21"/>
  <c r="E259" i="21"/>
  <c r="F259" i="21"/>
  <c r="G259" i="21"/>
  <c r="D260" i="21"/>
  <c r="E260" i="21"/>
  <c r="F260" i="21"/>
  <c r="G260" i="21"/>
  <c r="D251" i="21"/>
  <c r="E251" i="21"/>
  <c r="F251" i="21"/>
  <c r="G251" i="21"/>
  <c r="D250" i="21"/>
  <c r="E250" i="21"/>
  <c r="F250" i="21"/>
  <c r="G250" i="21"/>
  <c r="D248" i="21"/>
  <c r="E248" i="21"/>
  <c r="F248" i="21"/>
  <c r="G248" i="21"/>
  <c r="D246" i="21"/>
  <c r="E246" i="21"/>
  <c r="F246" i="21"/>
  <c r="G246" i="21"/>
  <c r="D227" i="21"/>
  <c r="E227" i="21"/>
  <c r="F227" i="21"/>
  <c r="G227" i="21"/>
  <c r="D228" i="21"/>
  <c r="E228" i="21"/>
  <c r="F228" i="21"/>
  <c r="G228" i="21"/>
  <c r="D221" i="21"/>
  <c r="E221" i="21"/>
  <c r="F221" i="21"/>
  <c r="G221" i="21"/>
  <c r="D222" i="21"/>
  <c r="E222" i="21"/>
  <c r="F222" i="21"/>
  <c r="G222" i="21"/>
  <c r="D209" i="21"/>
  <c r="E209" i="21"/>
  <c r="F209" i="21"/>
  <c r="G209" i="21"/>
  <c r="D205" i="21"/>
  <c r="E205" i="21"/>
  <c r="F205" i="21"/>
  <c r="G205" i="21"/>
  <c r="D192" i="21"/>
  <c r="E192" i="21"/>
  <c r="F192" i="21"/>
  <c r="G192" i="21"/>
  <c r="D193" i="21"/>
  <c r="E193" i="21"/>
  <c r="F193" i="21"/>
  <c r="G193" i="21"/>
  <c r="D194" i="21"/>
  <c r="E194" i="21"/>
  <c r="F194" i="21"/>
  <c r="G194" i="21"/>
  <c r="D195" i="21"/>
  <c r="E195" i="21"/>
  <c r="F195" i="21"/>
  <c r="G195" i="21"/>
  <c r="D183" i="21"/>
  <c r="E183" i="21"/>
  <c r="F183" i="21"/>
  <c r="G183" i="21"/>
  <c r="D166" i="21"/>
  <c r="E166" i="21"/>
  <c r="F166" i="21"/>
  <c r="G166" i="21"/>
  <c r="D167" i="21"/>
  <c r="E167" i="21"/>
  <c r="F167" i="21"/>
  <c r="G167" i="21"/>
  <c r="D164" i="21"/>
  <c r="E164" i="21"/>
  <c r="F164" i="21"/>
  <c r="G164" i="21"/>
  <c r="D163" i="21"/>
  <c r="E163" i="21"/>
  <c r="F163" i="21"/>
  <c r="G163" i="21"/>
  <c r="D165" i="21"/>
  <c r="E165" i="21"/>
  <c r="F165" i="21"/>
  <c r="G165" i="21"/>
  <c r="D152" i="21"/>
  <c r="E152" i="21"/>
  <c r="F152" i="21"/>
  <c r="G152" i="21"/>
  <c r="D150" i="21"/>
  <c r="E150" i="21"/>
  <c r="F150" i="21"/>
  <c r="G150" i="21"/>
  <c r="D151" i="21"/>
  <c r="E151" i="21"/>
  <c r="F151" i="21"/>
  <c r="G151" i="21"/>
  <c r="D136" i="21"/>
  <c r="E136" i="21"/>
  <c r="F136" i="21"/>
  <c r="G136" i="21"/>
  <c r="D140" i="21"/>
  <c r="E140" i="21"/>
  <c r="F140" i="21"/>
  <c r="G140" i="21"/>
  <c r="D132" i="21"/>
  <c r="E132" i="21"/>
  <c r="F132" i="21"/>
  <c r="G132" i="21"/>
  <c r="D133" i="21"/>
  <c r="E133" i="21"/>
  <c r="F133" i="21"/>
  <c r="G133" i="21"/>
  <c r="D118" i="21"/>
  <c r="E118" i="21"/>
  <c r="F118" i="21"/>
  <c r="G118" i="21"/>
  <c r="D119" i="21"/>
  <c r="E119" i="21"/>
  <c r="F119" i="21"/>
  <c r="G119" i="21"/>
  <c r="D112" i="21"/>
  <c r="E112" i="21"/>
  <c r="F112" i="21"/>
  <c r="G112" i="21"/>
  <c r="D111" i="21"/>
  <c r="E111" i="21"/>
  <c r="F111" i="21"/>
  <c r="G111" i="21"/>
  <c r="D110" i="21"/>
  <c r="E110" i="21"/>
  <c r="F110" i="21"/>
  <c r="G110" i="21"/>
  <c r="D105" i="21"/>
  <c r="E105" i="21"/>
  <c r="F105" i="21"/>
  <c r="G105" i="21"/>
  <c r="D102" i="21"/>
  <c r="E102" i="21"/>
  <c r="F102" i="21"/>
  <c r="G102" i="21"/>
  <c r="D89" i="21"/>
  <c r="E89" i="21"/>
  <c r="F89" i="21"/>
  <c r="G89" i="21"/>
  <c r="D90" i="21"/>
  <c r="E90" i="21"/>
  <c r="F90" i="21"/>
  <c r="G90" i="21"/>
  <c r="D91" i="21"/>
  <c r="E91" i="21"/>
  <c r="F91" i="21"/>
  <c r="G91" i="21"/>
  <c r="D92" i="21"/>
  <c r="E92" i="21"/>
  <c r="F92" i="21"/>
  <c r="G92" i="21"/>
  <c r="D93" i="21"/>
  <c r="E93" i="21"/>
  <c r="F93" i="21"/>
  <c r="G93" i="21"/>
  <c r="D94" i="21"/>
  <c r="E94" i="21"/>
  <c r="F94" i="21"/>
  <c r="G94" i="21"/>
  <c r="D95" i="21"/>
  <c r="E95" i="21"/>
  <c r="F95" i="21"/>
  <c r="G95" i="21"/>
  <c r="D60" i="21"/>
  <c r="E60" i="21"/>
  <c r="F60" i="21"/>
  <c r="G60" i="21"/>
  <c r="D61" i="21"/>
  <c r="E61" i="21"/>
  <c r="F61" i="21"/>
  <c r="G61" i="21"/>
  <c r="D62" i="21"/>
  <c r="E62" i="21"/>
  <c r="F62" i="21"/>
  <c r="G62" i="21"/>
  <c r="D63" i="21"/>
  <c r="E63" i="21"/>
  <c r="F63" i="21"/>
  <c r="G63" i="21"/>
  <c r="D64" i="21"/>
  <c r="E64" i="21"/>
  <c r="F64" i="21"/>
  <c r="G64" i="21"/>
  <c r="D65" i="21"/>
  <c r="E65" i="21"/>
  <c r="F65" i="21"/>
  <c r="G65" i="21"/>
  <c r="D66" i="21"/>
  <c r="E66" i="21"/>
  <c r="F66" i="21"/>
  <c r="G66" i="21"/>
  <c r="D67" i="21"/>
  <c r="E67" i="21"/>
  <c r="F67" i="21"/>
  <c r="G67" i="21"/>
  <c r="D55" i="21"/>
  <c r="E55" i="21"/>
  <c r="F55" i="21"/>
  <c r="G55" i="21"/>
  <c r="D54" i="21"/>
  <c r="E54" i="21"/>
  <c r="F54" i="21"/>
  <c r="G54" i="21"/>
  <c r="D53" i="21"/>
  <c r="E53" i="21"/>
  <c r="F53" i="21"/>
  <c r="G53" i="21"/>
  <c r="D52" i="21"/>
  <c r="E52" i="21"/>
  <c r="F52" i="21"/>
  <c r="G52" i="21"/>
  <c r="D50" i="21"/>
  <c r="E50" i="21"/>
  <c r="F50" i="21"/>
  <c r="G50" i="21"/>
  <c r="D49" i="21"/>
  <c r="E49" i="21"/>
  <c r="F49" i="21"/>
  <c r="G49" i="21"/>
  <c r="D48" i="21"/>
  <c r="E48" i="21"/>
  <c r="F48" i="21"/>
  <c r="G48" i="21"/>
  <c r="G47" i="21"/>
  <c r="F47" i="21"/>
  <c r="E47" i="21"/>
  <c r="D47" i="21"/>
  <c r="G46" i="21"/>
  <c r="F46" i="21"/>
  <c r="E46" i="21"/>
  <c r="D46" i="21"/>
  <c r="G44" i="21"/>
  <c r="F44" i="21"/>
  <c r="E44" i="21"/>
  <c r="D44" i="21"/>
  <c r="D39" i="21"/>
  <c r="E39" i="21"/>
  <c r="F39" i="21"/>
  <c r="G39" i="21"/>
  <c r="D23" i="21"/>
  <c r="E23" i="21"/>
  <c r="F23" i="21"/>
  <c r="G23" i="21"/>
  <c r="D9" i="21"/>
  <c r="E9" i="21"/>
  <c r="F9" i="21"/>
  <c r="G9" i="21"/>
  <c r="E2" i="21" l="1"/>
  <c r="B15" i="12" l="1"/>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405" i="12"/>
  <c r="B406" i="12"/>
  <c r="B407" i="12"/>
  <c r="B408" i="12"/>
  <c r="B409" i="12"/>
  <c r="B410" i="12"/>
  <c r="B411" i="12"/>
  <c r="B412" i="12"/>
  <c r="B413" i="12"/>
  <c r="B414" i="12"/>
  <c r="B415" i="12"/>
  <c r="B416" i="12"/>
  <c r="B417" i="12"/>
  <c r="B418" i="12"/>
  <c r="B419" i="12"/>
  <c r="B420" i="12"/>
  <c r="B421" i="12"/>
  <c r="B422" i="12"/>
  <c r="B423" i="12"/>
  <c r="B424" i="12"/>
  <c r="B425" i="12"/>
  <c r="B426" i="12"/>
  <c r="B427" i="12"/>
  <c r="B428" i="12"/>
  <c r="B429" i="12"/>
  <c r="B430" i="12"/>
  <c r="B431" i="12"/>
  <c r="B432" i="12"/>
  <c r="B433" i="12"/>
  <c r="B434" i="12"/>
  <c r="B435" i="12"/>
  <c r="B436" i="12"/>
  <c r="B437" i="12"/>
  <c r="B438" i="12"/>
  <c r="B439" i="12"/>
  <c r="B440" i="12"/>
  <c r="B441" i="12"/>
  <c r="B442" i="12"/>
  <c r="B443" i="12"/>
  <c r="B444" i="12"/>
  <c r="B445" i="12"/>
  <c r="B470" i="12"/>
  <c r="B471" i="12"/>
  <c r="B472" i="12"/>
  <c r="B473" i="12"/>
  <c r="B474" i="12"/>
  <c r="B475" i="12"/>
  <c r="B476" i="12"/>
  <c r="B477" i="12"/>
  <c r="B478" i="12"/>
  <c r="B479" i="12"/>
  <c r="B480" i="12"/>
  <c r="B481" i="12"/>
  <c r="B482" i="12"/>
  <c r="B483" i="12"/>
  <c r="B484" i="12"/>
  <c r="B485" i="12"/>
  <c r="B486" i="12"/>
  <c r="B487" i="12"/>
  <c r="B488" i="12"/>
  <c r="B489" i="12"/>
  <c r="B490" i="12"/>
  <c r="B491" i="12"/>
  <c r="B492" i="12"/>
  <c r="B493" i="12"/>
  <c r="B494" i="12"/>
  <c r="B495" i="12"/>
  <c r="B496" i="12"/>
  <c r="B497" i="12"/>
  <c r="B498" i="12"/>
  <c r="B499" i="12"/>
  <c r="B500" i="12"/>
  <c r="B501" i="12"/>
  <c r="B502" i="12"/>
  <c r="B503" i="12"/>
  <c r="B504" i="12"/>
  <c r="B505" i="12"/>
  <c r="B506" i="12"/>
  <c r="B507" i="12"/>
  <c r="B508" i="12"/>
  <c r="B509" i="12"/>
  <c r="B510" i="12"/>
  <c r="B511" i="12"/>
  <c r="B512" i="12"/>
  <c r="B513" i="12"/>
  <c r="B514" i="12"/>
  <c r="B515" i="12"/>
  <c r="B516" i="12"/>
  <c r="B517" i="12"/>
  <c r="B518" i="12"/>
  <c r="B519" i="12"/>
  <c r="B520" i="12"/>
  <c r="B521" i="12"/>
  <c r="B522" i="12"/>
  <c r="B523" i="12"/>
  <c r="B524" i="12"/>
  <c r="B525" i="12"/>
  <c r="B526" i="12"/>
  <c r="B527" i="12"/>
  <c r="B528" i="12"/>
  <c r="B529" i="12"/>
  <c r="B530" i="12"/>
  <c r="B531" i="12"/>
  <c r="B532" i="12"/>
  <c r="B533" i="12"/>
  <c r="B534" i="12"/>
  <c r="B535" i="12"/>
  <c r="B536" i="12"/>
  <c r="B537" i="12"/>
  <c r="B538" i="12"/>
  <c r="B539" i="12"/>
  <c r="B540" i="12"/>
  <c r="B541" i="12"/>
  <c r="B542" i="12"/>
  <c r="B543" i="12"/>
  <c r="B544" i="12"/>
  <c r="B545" i="12"/>
  <c r="B546" i="12"/>
  <c r="B547" i="12"/>
  <c r="B548" i="12"/>
  <c r="B549" i="12"/>
  <c r="B550" i="12"/>
  <c r="B551" i="12"/>
  <c r="B552" i="12"/>
  <c r="B553" i="12"/>
  <c r="B554" i="12"/>
  <c r="B555" i="12"/>
  <c r="B556" i="12"/>
  <c r="B557" i="12"/>
  <c r="B558" i="12"/>
  <c r="B559" i="12"/>
  <c r="B560" i="12"/>
  <c r="B561" i="12"/>
  <c r="B562" i="12"/>
  <c r="B563" i="12"/>
  <c r="B564" i="12"/>
  <c r="B565" i="12"/>
  <c r="B566" i="12"/>
  <c r="B567" i="12"/>
  <c r="B568" i="12"/>
  <c r="B569" i="12"/>
  <c r="B570" i="12"/>
  <c r="B571" i="12"/>
  <c r="B572" i="12"/>
  <c r="B573" i="12"/>
  <c r="B574" i="12"/>
  <c r="B575" i="12"/>
  <c r="B576" i="12"/>
  <c r="B577" i="12"/>
  <c r="B590" i="12"/>
  <c r="B591" i="12"/>
  <c r="B592" i="12"/>
  <c r="B593" i="12"/>
  <c r="B594" i="12"/>
  <c r="B595" i="12"/>
  <c r="B596" i="12"/>
  <c r="B597" i="12"/>
  <c r="B598" i="12"/>
  <c r="B599" i="12"/>
  <c r="B600" i="12"/>
  <c r="B601" i="12"/>
  <c r="B602" i="12"/>
  <c r="B603" i="12"/>
  <c r="B604" i="12"/>
  <c r="B605" i="12"/>
  <c r="B606" i="12"/>
  <c r="B607" i="12"/>
  <c r="B608" i="12"/>
  <c r="B609" i="12"/>
  <c r="B610" i="12"/>
  <c r="B611" i="12"/>
  <c r="B612" i="12"/>
  <c r="B613" i="12"/>
  <c r="B614" i="12"/>
  <c r="B615" i="12"/>
  <c r="B616" i="12"/>
  <c r="B617" i="12"/>
  <c r="B618" i="12"/>
  <c r="B619" i="12"/>
  <c r="B620" i="12"/>
  <c r="B621" i="12"/>
  <c r="B622" i="12"/>
  <c r="B623" i="12"/>
  <c r="B624" i="12"/>
  <c r="B625" i="12"/>
  <c r="B638" i="12"/>
  <c r="B639" i="12"/>
  <c r="B640" i="12"/>
  <c r="B641" i="12"/>
  <c r="B642" i="12"/>
  <c r="B643" i="12"/>
  <c r="B644" i="12"/>
  <c r="B645" i="12"/>
  <c r="B646" i="12"/>
  <c r="B647" i="12"/>
  <c r="B648" i="12"/>
  <c r="B649" i="12"/>
  <c r="B650" i="12"/>
  <c r="B651" i="12"/>
  <c r="B652" i="12"/>
  <c r="B653" i="12"/>
  <c r="B654" i="12"/>
  <c r="B655" i="12"/>
  <c r="B656" i="12"/>
  <c r="B657" i="12"/>
  <c r="B658" i="12"/>
  <c r="B659" i="12"/>
  <c r="B660" i="12"/>
  <c r="B661" i="12"/>
  <c r="B662" i="12"/>
  <c r="B663" i="12"/>
  <c r="B664" i="12"/>
  <c r="B665" i="12"/>
  <c r="B666" i="12"/>
  <c r="B667" i="12"/>
  <c r="B668" i="12"/>
  <c r="B669" i="12"/>
  <c r="B670" i="12"/>
  <c r="B671" i="12"/>
  <c r="B672" i="12"/>
  <c r="B673" i="12"/>
  <c r="B674" i="12"/>
  <c r="B675" i="12"/>
  <c r="B676" i="12"/>
  <c r="B677" i="12"/>
  <c r="B678" i="12"/>
  <c r="B679" i="12"/>
  <c r="B680" i="12"/>
  <c r="B681" i="12"/>
  <c r="B682" i="12"/>
  <c r="B683" i="12"/>
  <c r="B684" i="12"/>
  <c r="B685" i="12"/>
  <c r="B698" i="12"/>
  <c r="B699" i="12"/>
  <c r="B700" i="12"/>
  <c r="B701" i="12"/>
  <c r="B702" i="12"/>
  <c r="B703" i="12"/>
  <c r="B704" i="12"/>
  <c r="B705" i="12"/>
  <c r="B706" i="12"/>
  <c r="B707" i="12"/>
  <c r="B708" i="12"/>
  <c r="B709" i="12"/>
  <c r="B710" i="12"/>
  <c r="B711" i="12"/>
  <c r="B712" i="12"/>
  <c r="B713" i="12"/>
  <c r="B714" i="12"/>
  <c r="B715" i="12"/>
  <c r="B716" i="12"/>
  <c r="B717" i="12"/>
  <c r="B718" i="12"/>
  <c r="B719" i="12"/>
  <c r="B720" i="12"/>
  <c r="B721" i="12"/>
  <c r="B722" i="12"/>
  <c r="B723" i="12"/>
  <c r="B724" i="12"/>
  <c r="B725" i="12"/>
  <c r="B726" i="12"/>
  <c r="B727" i="12"/>
  <c r="B728" i="12"/>
  <c r="B729" i="12"/>
  <c r="B730" i="12"/>
  <c r="B731" i="12"/>
  <c r="B732" i="12"/>
  <c r="B733" i="12"/>
  <c r="B734" i="12"/>
  <c r="B735" i="12"/>
  <c r="B736" i="12"/>
  <c r="B737" i="12"/>
  <c r="B738" i="12"/>
  <c r="B739" i="12"/>
  <c r="B740" i="12"/>
  <c r="B741" i="12"/>
  <c r="B742" i="12"/>
  <c r="B743" i="12"/>
  <c r="B744" i="12"/>
  <c r="B745" i="12"/>
  <c r="L45" i="12" l="1"/>
  <c r="L46" i="12"/>
  <c r="L47" i="12"/>
  <c r="L48" i="12"/>
  <c r="L49" i="12"/>
  <c r="L57" i="12"/>
  <c r="L58" i="12"/>
  <c r="L59" i="12"/>
  <c r="L60" i="12"/>
  <c r="L61" i="12"/>
  <c r="L69" i="12"/>
  <c r="L70" i="12"/>
  <c r="L71" i="12"/>
  <c r="L72" i="12"/>
  <c r="L73" i="12"/>
  <c r="L82" i="12"/>
  <c r="L83" i="12"/>
  <c r="L84" i="12"/>
  <c r="L85" i="12"/>
  <c r="L93" i="12"/>
  <c r="L94" i="12"/>
  <c r="L95" i="12"/>
  <c r="L96" i="12"/>
  <c r="L97" i="12"/>
  <c r="L105" i="12"/>
  <c r="L106" i="12"/>
  <c r="L107" i="12"/>
  <c r="L108" i="12"/>
  <c r="L109" i="12"/>
  <c r="L117" i="12"/>
  <c r="L118" i="12"/>
  <c r="L119" i="12"/>
  <c r="L120" i="12"/>
  <c r="L121" i="12"/>
  <c r="L141" i="12"/>
  <c r="L142" i="12"/>
  <c r="L143" i="12"/>
  <c r="L144" i="12"/>
  <c r="L145" i="12"/>
  <c r="L146" i="12"/>
  <c r="L147" i="12"/>
  <c r="L148" i="12"/>
  <c r="L149" i="12"/>
  <c r="L150" i="12"/>
  <c r="L151" i="12"/>
  <c r="L152" i="12"/>
  <c r="L153" i="12"/>
  <c r="L154" i="12"/>
  <c r="L155" i="12"/>
  <c r="L156" i="12"/>
  <c r="L157" i="12"/>
  <c r="L165" i="12"/>
  <c r="L166" i="12"/>
  <c r="L167" i="12"/>
  <c r="L168" i="12"/>
  <c r="L169" i="12"/>
  <c r="L177" i="12"/>
  <c r="L178" i="12"/>
  <c r="L179" i="12"/>
  <c r="L180" i="12"/>
  <c r="L181" i="12"/>
  <c r="L189" i="12"/>
  <c r="L190" i="12"/>
  <c r="L191" i="12"/>
  <c r="L192" i="12"/>
  <c r="L193" i="12"/>
  <c r="L201" i="12"/>
  <c r="L202" i="12"/>
  <c r="L203" i="12"/>
  <c r="L204" i="12"/>
  <c r="L205" i="12"/>
  <c r="L214" i="12"/>
  <c r="L215" i="12"/>
  <c r="L216" i="12"/>
  <c r="L217" i="12"/>
  <c r="L225" i="12"/>
  <c r="L226" i="12"/>
  <c r="L227" i="12"/>
  <c r="L228" i="12"/>
  <c r="L229" i="12"/>
  <c r="L230" i="12"/>
  <c r="L231" i="12"/>
  <c r="L232" i="12"/>
  <c r="L233" i="12"/>
  <c r="L234"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78" i="12"/>
  <c r="L279" i="12"/>
  <c r="L280" i="12"/>
  <c r="L281" i="12"/>
  <c r="L282" i="12"/>
  <c r="L284" i="12"/>
  <c r="L285" i="12"/>
  <c r="L286" i="12"/>
  <c r="L287" i="12"/>
  <c r="L288" i="12"/>
  <c r="L289" i="12"/>
  <c r="L290" i="12"/>
  <c r="L291" i="12"/>
  <c r="L293" i="12"/>
  <c r="L294" i="12"/>
  <c r="L296" i="12"/>
  <c r="L297" i="12"/>
  <c r="L298" i="12"/>
  <c r="L299" i="12"/>
  <c r="L300" i="12"/>
  <c r="L301" i="12"/>
  <c r="L314" i="12"/>
  <c r="L315" i="12"/>
  <c r="L316" i="12"/>
  <c r="L317" i="12"/>
  <c r="L318" i="12"/>
  <c r="L319" i="12"/>
  <c r="L320" i="12"/>
  <c r="L321" i="12"/>
  <c r="L322" i="12"/>
  <c r="L323" i="12"/>
  <c r="L324" i="12"/>
  <c r="L325" i="12"/>
  <c r="L326" i="12"/>
  <c r="L327" i="12"/>
  <c r="L328" i="12"/>
  <c r="L331" i="12"/>
  <c r="L332" i="12"/>
  <c r="L333" i="12"/>
  <c r="L334" i="12"/>
  <c r="L335" i="12"/>
  <c r="L336" i="12"/>
  <c r="L337" i="12"/>
  <c r="L338" i="12"/>
  <c r="L339" i="12"/>
  <c r="L340" i="12"/>
  <c r="L341" i="12"/>
  <c r="L342"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8" i="12"/>
  <c r="L429" i="12"/>
  <c r="L430" i="12"/>
  <c r="L431" i="12"/>
  <c r="L432" i="12"/>
  <c r="L433" i="12"/>
  <c r="L434" i="12"/>
  <c r="L435" i="12"/>
  <c r="L436" i="12"/>
  <c r="L437" i="12"/>
  <c r="L438" i="12"/>
  <c r="L439" i="12"/>
  <c r="L440" i="12"/>
  <c r="L441" i="12"/>
  <c r="L442" i="12"/>
  <c r="L443" i="12"/>
  <c r="L444" i="12"/>
  <c r="L445"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3" i="12"/>
  <c r="L494" i="12"/>
  <c r="L495" i="12"/>
  <c r="L496" i="12"/>
  <c r="L497" i="12"/>
  <c r="L498" i="12"/>
  <c r="L499" i="12"/>
  <c r="L500" i="12"/>
  <c r="L501" i="12"/>
  <c r="L502" i="12"/>
  <c r="L503" i="12"/>
  <c r="L504" i="12"/>
  <c r="L505" i="12"/>
  <c r="L506" i="12"/>
  <c r="L507" i="12"/>
  <c r="L508" i="12"/>
  <c r="L509" i="12"/>
  <c r="L510" i="12"/>
  <c r="L513" i="12"/>
  <c r="L514" i="12"/>
  <c r="L515" i="12"/>
  <c r="L516" i="12"/>
  <c r="L517" i="12"/>
  <c r="L518" i="12"/>
  <c r="L519" i="12"/>
  <c r="L520" i="12"/>
  <c r="L521" i="12"/>
  <c r="L522" i="12"/>
  <c r="L524" i="12"/>
  <c r="L525" i="12"/>
  <c r="L526" i="12"/>
  <c r="L527" i="12"/>
  <c r="L528" i="12"/>
  <c r="L529" i="12"/>
  <c r="L530" i="12"/>
  <c r="L531" i="12"/>
  <c r="L532" i="12"/>
  <c r="L533" i="12"/>
  <c r="L534"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90" i="12"/>
  <c r="L591" i="12"/>
  <c r="L592" i="12"/>
  <c r="L593" i="12"/>
  <c r="L594" i="12"/>
  <c r="L595" i="12"/>
  <c r="L596" i="12"/>
  <c r="L597" i="12"/>
  <c r="L598" i="12"/>
  <c r="L599" i="12"/>
  <c r="L600" i="12"/>
  <c r="L601" i="12"/>
  <c r="L602" i="12"/>
  <c r="L603" i="12"/>
  <c r="L604" i="12"/>
  <c r="L605" i="12"/>
  <c r="L609" i="12"/>
  <c r="L610" i="12"/>
  <c r="L611" i="12"/>
  <c r="L612" i="12"/>
  <c r="L613" i="12"/>
  <c r="L614" i="12"/>
  <c r="L615" i="12"/>
  <c r="L616" i="12"/>
  <c r="L617" i="12"/>
  <c r="L618" i="12"/>
  <c r="L619" i="12"/>
  <c r="L620" i="12"/>
  <c r="L621" i="12"/>
  <c r="L622" i="12"/>
  <c r="L623" i="12"/>
  <c r="L624" i="12"/>
  <c r="L625" i="12"/>
  <c r="L638" i="12"/>
  <c r="L639" i="12"/>
  <c r="L640" i="12"/>
  <c r="L641" i="12"/>
  <c r="L642" i="12"/>
  <c r="L643" i="12"/>
  <c r="L644" i="12"/>
  <c r="L645" i="12"/>
  <c r="L646" i="12"/>
  <c r="L647" i="12"/>
  <c r="L648" i="12"/>
  <c r="L649" i="12"/>
  <c r="L650" i="12"/>
  <c r="L651" i="12"/>
  <c r="L652" i="12"/>
  <c r="L653" i="12"/>
  <c r="L654"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98" i="12"/>
  <c r="L699" i="12"/>
  <c r="L700" i="12"/>
  <c r="L701" i="12"/>
  <c r="L702" i="12"/>
  <c r="L703"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1" i="12"/>
  <c r="L742" i="12"/>
  <c r="L743" i="12"/>
  <c r="L744" i="12"/>
  <c r="L745" i="12"/>
  <c r="Q18" i="14"/>
  <c r="U20" i="14"/>
  <c r="U3" i="14"/>
  <c r="U4" i="14"/>
  <c r="U5" i="14"/>
  <c r="U6" i="14"/>
  <c r="U7" i="14"/>
  <c r="U8" i="14"/>
  <c r="U9" i="14"/>
  <c r="U10" i="14"/>
  <c r="U11" i="14"/>
  <c r="U13" i="14"/>
  <c r="U14" i="14"/>
  <c r="U15" i="14"/>
  <c r="U16" i="14"/>
  <c r="U17" i="14"/>
  <c r="U18" i="14"/>
  <c r="U19" i="14"/>
  <c r="U21" i="14"/>
  <c r="U22" i="14"/>
  <c r="U23" i="14"/>
  <c r="U25" i="14"/>
  <c r="U26" i="14"/>
  <c r="U28" i="14"/>
  <c r="U29" i="14"/>
  <c r="U30" i="14"/>
  <c r="U31" i="14"/>
  <c r="U32" i="14"/>
  <c r="U33" i="14"/>
  <c r="U34" i="14"/>
  <c r="U35" i="14"/>
  <c r="U36" i="14"/>
  <c r="U37" i="14"/>
  <c r="U38" i="14"/>
  <c r="U41" i="14"/>
  <c r="U42" i="14"/>
  <c r="U43" i="14"/>
  <c r="U44" i="14"/>
  <c r="U45" i="14"/>
  <c r="U46" i="14"/>
  <c r="U47" i="14"/>
  <c r="U48" i="14"/>
  <c r="U49" i="14"/>
  <c r="U51" i="14"/>
  <c r="U52" i="14"/>
  <c r="U53" i="14"/>
  <c r="U54" i="14"/>
  <c r="U55" i="14"/>
  <c r="U56" i="14"/>
  <c r="U57" i="14"/>
  <c r="U58" i="14"/>
  <c r="U60" i="14"/>
  <c r="U61" i="14"/>
  <c r="U62" i="14"/>
  <c r="U63" i="14"/>
  <c r="M269" i="12" l="1"/>
  <c r="X5" i="8" s="1"/>
  <c r="M273" i="12"/>
  <c r="X9" i="8" s="1"/>
  <c r="M266" i="12"/>
  <c r="X2" i="8" s="1"/>
  <c r="M270" i="12"/>
  <c r="X6" i="8" s="1"/>
  <c r="M267" i="12"/>
  <c r="X3" i="8" s="1"/>
  <c r="M271" i="12"/>
  <c r="X7" i="8" s="1"/>
  <c r="M268" i="12"/>
  <c r="X4" i="8" s="1"/>
  <c r="M272" i="12"/>
  <c r="X8" i="8" s="1"/>
  <c r="M122" i="12"/>
  <c r="L2" i="8" s="1"/>
  <c r="M123" i="12"/>
  <c r="L3" i="8" s="1"/>
  <c r="M124" i="12"/>
  <c r="L4" i="8" s="1"/>
  <c r="M127" i="12"/>
  <c r="L7" i="8" s="1"/>
  <c r="M129" i="12"/>
  <c r="L9" i="8" s="1"/>
  <c r="M126" i="12"/>
  <c r="L6" i="8" s="1"/>
  <c r="M128" i="12"/>
  <c r="L8" i="8" s="1"/>
  <c r="M130" i="12"/>
  <c r="L10" i="8" s="1"/>
  <c r="M125" i="12"/>
  <c r="L5" i="8" s="1"/>
  <c r="M626" i="12"/>
  <c r="BB2" i="8" s="1"/>
  <c r="M630" i="12"/>
  <c r="BB6" i="8" s="1"/>
  <c r="M634" i="12"/>
  <c r="BB10" i="8" s="1"/>
  <c r="M627" i="12"/>
  <c r="BB3" i="8" s="1"/>
  <c r="M631" i="12"/>
  <c r="BB7" i="8" s="1"/>
  <c r="M628" i="12"/>
  <c r="BB4" i="8" s="1"/>
  <c r="M632" i="12"/>
  <c r="BB8" i="8" s="1"/>
  <c r="M629" i="12"/>
  <c r="BB5" i="8" s="1"/>
  <c r="M633" i="12"/>
  <c r="BB9" i="8" s="1"/>
  <c r="M686" i="12"/>
  <c r="BG2" i="8" s="1"/>
  <c r="M690" i="12"/>
  <c r="BG6" i="8" s="1"/>
  <c r="M694" i="12"/>
  <c r="BG10" i="8" s="1"/>
  <c r="M687" i="12"/>
  <c r="BG3" i="8" s="1"/>
  <c r="M691" i="12"/>
  <c r="BG7" i="8" s="1"/>
  <c r="M688" i="12"/>
  <c r="BG4" i="8" s="1"/>
  <c r="M692" i="12"/>
  <c r="BG8" i="8" s="1"/>
  <c r="M693" i="12"/>
  <c r="BG9" i="8" s="1"/>
  <c r="M689" i="12"/>
  <c r="BG5" i="8" s="1"/>
  <c r="F15" i="5"/>
  <c r="F18" i="5"/>
  <c r="D313" i="21"/>
  <c r="E313" i="21"/>
  <c r="F313" i="21"/>
  <c r="G313" i="21"/>
  <c r="D294" i="21"/>
  <c r="E294" i="21"/>
  <c r="F294" i="21"/>
  <c r="G294" i="21"/>
  <c r="D295" i="21"/>
  <c r="E295" i="21"/>
  <c r="F295" i="21"/>
  <c r="G295" i="21"/>
  <c r="D296" i="21"/>
  <c r="E296" i="21"/>
  <c r="F296" i="21"/>
  <c r="G296" i="21"/>
  <c r="D265" i="21"/>
  <c r="E265" i="21"/>
  <c r="F265" i="21"/>
  <c r="G265" i="21"/>
  <c r="D243" i="21"/>
  <c r="E243" i="21"/>
  <c r="F243" i="21"/>
  <c r="G243" i="21"/>
  <c r="D244" i="21"/>
  <c r="E244" i="21"/>
  <c r="F244" i="21"/>
  <c r="G244" i="21"/>
  <c r="D241" i="21"/>
  <c r="E241" i="21"/>
  <c r="F241" i="21"/>
  <c r="G241" i="21"/>
  <c r="D220" i="21"/>
  <c r="E220" i="21"/>
  <c r="F220" i="21"/>
  <c r="G220" i="21"/>
  <c r="D201" i="21"/>
  <c r="E201" i="21"/>
  <c r="F201" i="21"/>
  <c r="G201" i="21"/>
  <c r="D203" i="21"/>
  <c r="E203" i="21"/>
  <c r="F203" i="21"/>
  <c r="G203" i="21"/>
  <c r="D200" i="21"/>
  <c r="E200" i="21"/>
  <c r="F200" i="21"/>
  <c r="G200" i="21"/>
  <c r="D202" i="21"/>
  <c r="E202" i="21"/>
  <c r="F202" i="21"/>
  <c r="G202" i="21"/>
  <c r="D204" i="21"/>
  <c r="E204" i="21"/>
  <c r="F204" i="21"/>
  <c r="G204" i="21"/>
  <c r="D191" i="21"/>
  <c r="E191" i="21"/>
  <c r="F191" i="21"/>
  <c r="G191" i="21"/>
  <c r="D168" i="21"/>
  <c r="E168" i="21"/>
  <c r="F168" i="21"/>
  <c r="G168" i="21"/>
  <c r="D169" i="21"/>
  <c r="E169" i="21"/>
  <c r="F169" i="21"/>
  <c r="G169" i="21"/>
  <c r="D170" i="21"/>
  <c r="E170" i="21"/>
  <c r="F170" i="21"/>
  <c r="G170" i="21"/>
  <c r="D171" i="21"/>
  <c r="E171" i="21"/>
  <c r="F171" i="21"/>
  <c r="G171" i="21"/>
  <c r="D172" i="21"/>
  <c r="E172" i="21"/>
  <c r="F172" i="21"/>
  <c r="G172" i="21"/>
  <c r="D173" i="21"/>
  <c r="E173" i="21"/>
  <c r="F173" i="21"/>
  <c r="G173" i="21"/>
  <c r="D174" i="21"/>
  <c r="E174" i="21"/>
  <c r="F174" i="21"/>
  <c r="G174" i="21"/>
  <c r="D162" i="21"/>
  <c r="E162" i="21"/>
  <c r="F162" i="21"/>
  <c r="G162" i="21"/>
  <c r="D147" i="21"/>
  <c r="E147" i="21"/>
  <c r="F147" i="21"/>
  <c r="G147" i="21"/>
  <c r="D134" i="21"/>
  <c r="E134" i="21"/>
  <c r="F134" i="21"/>
  <c r="G134" i="21"/>
  <c r="D131" i="21"/>
  <c r="E131" i="21"/>
  <c r="F131" i="21"/>
  <c r="G131" i="21"/>
  <c r="D114" i="21"/>
  <c r="E114" i="21"/>
  <c r="F114" i="21"/>
  <c r="G114" i="21"/>
  <c r="D115" i="21"/>
  <c r="E115" i="21"/>
  <c r="F115" i="21"/>
  <c r="G115" i="21"/>
  <c r="D109" i="21"/>
  <c r="E109" i="21"/>
  <c r="F109" i="21"/>
  <c r="G109" i="21"/>
  <c r="D26" i="5"/>
  <c r="F26" i="5"/>
  <c r="I26" i="5"/>
  <c r="L26" i="5"/>
  <c r="L27" i="5" s="1"/>
  <c r="M26" i="5"/>
  <c r="M27" i="5" s="1"/>
  <c r="M28" i="5" s="1"/>
  <c r="M29" i="5" s="1"/>
  <c r="M30" i="5" s="1"/>
  <c r="M31" i="5" s="1"/>
  <c r="M32" i="5" s="1"/>
  <c r="M33" i="5" s="1"/>
  <c r="M34" i="5" s="1"/>
  <c r="M35" i="5" s="1"/>
  <c r="M36" i="5" s="1"/>
  <c r="M37" i="5" s="1"/>
  <c r="D27" i="5"/>
  <c r="F27" i="5"/>
  <c r="I27" i="5"/>
  <c r="D28" i="5"/>
  <c r="F28" i="5"/>
  <c r="I28" i="5"/>
  <c r="D29" i="5"/>
  <c r="F29" i="5"/>
  <c r="I29" i="5"/>
  <c r="D30" i="5"/>
  <c r="F30" i="5"/>
  <c r="I30" i="5"/>
  <c r="D31" i="5"/>
  <c r="F31" i="5"/>
  <c r="I31" i="5"/>
  <c r="D32" i="5"/>
  <c r="F32" i="5"/>
  <c r="I32" i="5"/>
  <c r="D33" i="5"/>
  <c r="F33" i="5"/>
  <c r="I33" i="5"/>
  <c r="D34" i="5"/>
  <c r="F34" i="5"/>
  <c r="I34" i="5"/>
  <c r="D35" i="5"/>
  <c r="F35" i="5"/>
  <c r="I35" i="5"/>
  <c r="D36" i="5"/>
  <c r="F36" i="5"/>
  <c r="I36" i="5"/>
  <c r="D37" i="5"/>
  <c r="F37" i="5"/>
  <c r="I37" i="5"/>
  <c r="G32" i="5" l="1"/>
  <c r="G28" i="5"/>
  <c r="G26" i="5"/>
  <c r="G34" i="5"/>
  <c r="G30" i="5"/>
  <c r="G37" i="5"/>
  <c r="G29" i="5"/>
  <c r="L28" i="5"/>
  <c r="L29" i="5" s="1"/>
  <c r="L30" i="5" s="1"/>
  <c r="L31" i="5" s="1"/>
  <c r="L32" i="5" s="1"/>
  <c r="L33" i="5" s="1"/>
  <c r="L34" i="5" s="1"/>
  <c r="L35" i="5" s="1"/>
  <c r="L36" i="5" s="1"/>
  <c r="L37" i="5" s="1"/>
  <c r="H37" i="5"/>
  <c r="H34" i="5"/>
  <c r="H26" i="5"/>
  <c r="H32" i="5"/>
  <c r="H30" i="5"/>
  <c r="H29" i="5"/>
  <c r="H36" i="5"/>
  <c r="H33" i="5"/>
  <c r="H31" i="5"/>
  <c r="H27" i="5"/>
  <c r="H35" i="5"/>
  <c r="H28" i="5"/>
  <c r="L14" i="5"/>
  <c r="J4" i="14"/>
  <c r="G31" i="5"/>
  <c r="G27" i="5"/>
  <c r="G35" i="5"/>
  <c r="G33" i="5"/>
  <c r="G36" i="5"/>
  <c r="F25" i="5" l="1"/>
  <c r="M3" i="14"/>
  <c r="M4" i="14"/>
  <c r="M5" i="14"/>
  <c r="M6" i="14"/>
  <c r="M7" i="14"/>
  <c r="M8" i="14"/>
  <c r="M9" i="14"/>
  <c r="M10" i="14"/>
  <c r="M11" i="14"/>
  <c r="M13" i="14"/>
  <c r="M14" i="14"/>
  <c r="M15" i="14"/>
  <c r="M16" i="14"/>
  <c r="M17" i="14"/>
  <c r="M18" i="14"/>
  <c r="M19" i="14"/>
  <c r="M20" i="14"/>
  <c r="M21" i="14"/>
  <c r="M22" i="14"/>
  <c r="M23" i="14"/>
  <c r="M25" i="14"/>
  <c r="M26" i="14"/>
  <c r="M28" i="14"/>
  <c r="M29" i="14"/>
  <c r="M30" i="14"/>
  <c r="M31" i="14"/>
  <c r="M32" i="14"/>
  <c r="M33" i="14"/>
  <c r="M34" i="14"/>
  <c r="M35" i="14"/>
  <c r="M36" i="14"/>
  <c r="M37" i="14"/>
  <c r="M38" i="14"/>
  <c r="M41" i="14"/>
  <c r="M42" i="14"/>
  <c r="M43" i="14"/>
  <c r="M44" i="14"/>
  <c r="M45" i="14"/>
  <c r="M46" i="14"/>
  <c r="M47" i="14"/>
  <c r="M48" i="14"/>
  <c r="M49" i="14"/>
  <c r="M51" i="14"/>
  <c r="M52" i="14"/>
  <c r="M53" i="14"/>
  <c r="M54" i="14"/>
  <c r="M55" i="14"/>
  <c r="M56" i="14"/>
  <c r="M57" i="14"/>
  <c r="M58" i="14"/>
  <c r="M60" i="14"/>
  <c r="M61" i="14"/>
  <c r="M62" i="14"/>
  <c r="M63" i="14"/>
  <c r="J3" i="14"/>
  <c r="J5" i="14"/>
  <c r="J6" i="14"/>
  <c r="J7" i="14"/>
  <c r="J8" i="14"/>
  <c r="J9" i="14"/>
  <c r="J10" i="14"/>
  <c r="J11" i="14"/>
  <c r="J13" i="14"/>
  <c r="J14" i="14"/>
  <c r="J15" i="14"/>
  <c r="J16" i="14"/>
  <c r="J17" i="14"/>
  <c r="J18" i="14"/>
  <c r="J19" i="14"/>
  <c r="J20" i="14"/>
  <c r="J21" i="14"/>
  <c r="J22" i="14"/>
  <c r="J23" i="14"/>
  <c r="J25" i="14"/>
  <c r="J26" i="14"/>
  <c r="J28" i="14"/>
  <c r="J29" i="14"/>
  <c r="J30" i="14"/>
  <c r="J31" i="14"/>
  <c r="J32" i="14"/>
  <c r="J33" i="14"/>
  <c r="J34" i="14"/>
  <c r="J35" i="14"/>
  <c r="J36" i="14"/>
  <c r="J37" i="14"/>
  <c r="J38" i="14"/>
  <c r="J41" i="14"/>
  <c r="J42" i="14"/>
  <c r="J43" i="14"/>
  <c r="J44" i="14"/>
  <c r="J45" i="14"/>
  <c r="J46" i="14"/>
  <c r="J47" i="14"/>
  <c r="J48" i="14"/>
  <c r="J49" i="14"/>
  <c r="J51" i="14"/>
  <c r="J52" i="14"/>
  <c r="J53" i="14"/>
  <c r="J54" i="14"/>
  <c r="J55" i="14"/>
  <c r="J56" i="14"/>
  <c r="J57" i="14"/>
  <c r="J58" i="14"/>
  <c r="J60" i="14"/>
  <c r="J61" i="14"/>
  <c r="J62" i="14"/>
  <c r="J63" i="14"/>
  <c r="W3" i="14"/>
  <c r="X3" i="14" s="1"/>
  <c r="W4" i="14"/>
  <c r="X4" i="14" s="1"/>
  <c r="W5" i="14"/>
  <c r="X5" i="14" s="1"/>
  <c r="W6" i="14"/>
  <c r="X6" i="14" s="1"/>
  <c r="W7" i="14"/>
  <c r="X7" i="14" s="1"/>
  <c r="W8" i="14"/>
  <c r="X8" i="14" s="1"/>
  <c r="W9" i="14"/>
  <c r="X9" i="14" s="1"/>
  <c r="W10" i="14"/>
  <c r="X10" i="14" s="1"/>
  <c r="W11" i="14"/>
  <c r="X11" i="14" s="1"/>
  <c r="W13" i="14"/>
  <c r="X13" i="14" s="1"/>
  <c r="W14" i="14"/>
  <c r="X14" i="14" s="1"/>
  <c r="W15" i="14"/>
  <c r="X15" i="14" s="1"/>
  <c r="W16" i="14"/>
  <c r="X16" i="14" s="1"/>
  <c r="W17" i="14"/>
  <c r="X17" i="14" s="1"/>
  <c r="W18" i="14"/>
  <c r="X18" i="14" s="1"/>
  <c r="W19" i="14"/>
  <c r="X19" i="14" s="1"/>
  <c r="W20" i="14"/>
  <c r="X20" i="14" s="1"/>
  <c r="W21" i="14"/>
  <c r="X21" i="14" s="1"/>
  <c r="W22" i="14"/>
  <c r="X22" i="14" s="1"/>
  <c r="W23" i="14"/>
  <c r="X23" i="14" s="1"/>
  <c r="W25" i="14"/>
  <c r="X25" i="14" s="1"/>
  <c r="W26" i="14"/>
  <c r="X26" i="14" s="1"/>
  <c r="W28" i="14"/>
  <c r="X28" i="14" s="1"/>
  <c r="W29" i="14"/>
  <c r="X29" i="14" s="1"/>
  <c r="W30" i="14"/>
  <c r="X30" i="14" s="1"/>
  <c r="W31" i="14"/>
  <c r="X31" i="14" s="1"/>
  <c r="W32" i="14"/>
  <c r="X32" i="14" s="1"/>
  <c r="W33" i="14"/>
  <c r="X33" i="14" s="1"/>
  <c r="W34" i="14"/>
  <c r="X34" i="14" s="1"/>
  <c r="W35" i="14"/>
  <c r="X35" i="14" s="1"/>
  <c r="W36" i="14"/>
  <c r="X36" i="14" s="1"/>
  <c r="W37" i="14"/>
  <c r="X37" i="14" s="1"/>
  <c r="W38" i="14"/>
  <c r="X38" i="14" s="1"/>
  <c r="W41" i="14"/>
  <c r="X41" i="14" s="1"/>
  <c r="W42" i="14"/>
  <c r="X42" i="14" s="1"/>
  <c r="W43" i="14"/>
  <c r="X43" i="14" s="1"/>
  <c r="W44" i="14"/>
  <c r="X44" i="14" s="1"/>
  <c r="W45" i="14"/>
  <c r="X45" i="14" s="1"/>
  <c r="W46" i="14"/>
  <c r="X46" i="14" s="1"/>
  <c r="W47" i="14"/>
  <c r="X47" i="14" s="1"/>
  <c r="W48" i="14"/>
  <c r="X48" i="14" s="1"/>
  <c r="W49" i="14"/>
  <c r="X49" i="14" s="1"/>
  <c r="W51" i="14"/>
  <c r="X51" i="14" s="1"/>
  <c r="W52" i="14"/>
  <c r="X52" i="14" s="1"/>
  <c r="W53" i="14"/>
  <c r="X53" i="14" s="1"/>
  <c r="W54" i="14"/>
  <c r="X54" i="14" s="1"/>
  <c r="W55" i="14"/>
  <c r="X55" i="14" s="1"/>
  <c r="W56" i="14"/>
  <c r="X56" i="14" s="1"/>
  <c r="W57" i="14"/>
  <c r="X57" i="14" s="1"/>
  <c r="W58" i="14"/>
  <c r="X58" i="14" s="1"/>
  <c r="W60" i="14"/>
  <c r="X60" i="14" s="1"/>
  <c r="W61" i="14"/>
  <c r="X61" i="14" s="1"/>
  <c r="W62" i="14"/>
  <c r="X62" i="14" s="1"/>
  <c r="W63" i="14"/>
  <c r="X63" i="14" s="1"/>
  <c r="Q3" i="14"/>
  <c r="Q4" i="14"/>
  <c r="Q5" i="14"/>
  <c r="Q6" i="14"/>
  <c r="Q7" i="14"/>
  <c r="Q8" i="14"/>
  <c r="Q9" i="14"/>
  <c r="Q10" i="14"/>
  <c r="Q11" i="14"/>
  <c r="Q13" i="14"/>
  <c r="Q14" i="14"/>
  <c r="Q15" i="14"/>
  <c r="Q16" i="14"/>
  <c r="Q17" i="14"/>
  <c r="Q19" i="14"/>
  <c r="Q20" i="14"/>
  <c r="Q21" i="14"/>
  <c r="Q22" i="14"/>
  <c r="Q23" i="14"/>
  <c r="Q25" i="14"/>
  <c r="Q26" i="14"/>
  <c r="Q28" i="14"/>
  <c r="Q29" i="14"/>
  <c r="Q30" i="14"/>
  <c r="Q31" i="14"/>
  <c r="Q32" i="14"/>
  <c r="Q33" i="14"/>
  <c r="Q34" i="14"/>
  <c r="Q35" i="14"/>
  <c r="Q36" i="14"/>
  <c r="Q37" i="14"/>
  <c r="Q38" i="14"/>
  <c r="Q41" i="14"/>
  <c r="Q42" i="14"/>
  <c r="Q43" i="14"/>
  <c r="Q44" i="14"/>
  <c r="Q45" i="14"/>
  <c r="Q46" i="14"/>
  <c r="Q47" i="14"/>
  <c r="Q48" i="14"/>
  <c r="Q49" i="14"/>
  <c r="Q51" i="14"/>
  <c r="Q52" i="14"/>
  <c r="Q53" i="14"/>
  <c r="Q54" i="14"/>
  <c r="Q55" i="14"/>
  <c r="Q56" i="14"/>
  <c r="Q57" i="14"/>
  <c r="Q58" i="14"/>
  <c r="Q60" i="14"/>
  <c r="Q61" i="14"/>
  <c r="Q62" i="14"/>
  <c r="Q63" i="14"/>
  <c r="S15" i="5" l="1"/>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78" i="5"/>
  <c r="S279" i="5"/>
  <c r="S280" i="5"/>
  <c r="S281" i="5"/>
  <c r="S282" i="5"/>
  <c r="S283" i="5"/>
  <c r="S284" i="5"/>
  <c r="S285" i="5"/>
  <c r="S286" i="5"/>
  <c r="S287" i="5"/>
  <c r="S288" i="5"/>
  <c r="S289" i="5"/>
  <c r="S290" i="5"/>
  <c r="S291" i="5"/>
  <c r="S292" i="5"/>
  <c r="S293" i="5"/>
  <c r="S294" i="5"/>
  <c r="S295" i="5"/>
  <c r="S296" i="5"/>
  <c r="S297" i="5"/>
  <c r="S298" i="5"/>
  <c r="S299" i="5"/>
  <c r="S300" i="5"/>
  <c r="S301"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14" i="5"/>
  <c r="Q15" i="5" l="1"/>
  <c r="Q16" i="5"/>
  <c r="Q17" i="5"/>
  <c r="Q18" i="5"/>
  <c r="Q19" i="5"/>
  <c r="Q20" i="5"/>
  <c r="Q21" i="5"/>
  <c r="Q22" i="5"/>
  <c r="Q23" i="5"/>
  <c r="Q24" i="5"/>
  <c r="Q25" i="5"/>
  <c r="Q26" i="5"/>
  <c r="Q27" i="5"/>
  <c r="Q28" i="5"/>
  <c r="Q29" i="5"/>
  <c r="Q30" i="5"/>
  <c r="Q31" i="5"/>
  <c r="Q32" i="5"/>
  <c r="Q33" i="5"/>
  <c r="Q34" i="5"/>
  <c r="Q35" i="5"/>
  <c r="Q36"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78" i="5"/>
  <c r="Q279" i="5"/>
  <c r="Q280" i="5"/>
  <c r="Q281" i="5"/>
  <c r="Q282" i="5"/>
  <c r="Q283" i="5"/>
  <c r="Q284" i="5"/>
  <c r="Q285" i="5"/>
  <c r="Q286" i="5"/>
  <c r="Q287" i="5"/>
  <c r="Q288" i="5"/>
  <c r="Q289" i="5"/>
  <c r="Q290" i="5"/>
  <c r="Q291" i="5"/>
  <c r="Q292" i="5"/>
  <c r="Q293" i="5"/>
  <c r="Q295" i="5"/>
  <c r="Q296" i="5"/>
  <c r="Q297" i="5"/>
  <c r="Q298" i="5"/>
  <c r="Q299" i="5"/>
  <c r="Q300" i="5"/>
  <c r="Q301"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14" i="5"/>
  <c r="O15" i="5"/>
  <c r="O16" i="5"/>
  <c r="O17" i="5"/>
  <c r="O18" i="5"/>
  <c r="O19" i="5"/>
  <c r="O20" i="5"/>
  <c r="O21" i="5"/>
  <c r="O22" i="5"/>
  <c r="O23" i="5"/>
  <c r="O24" i="5"/>
  <c r="O25" i="5"/>
  <c r="O26" i="5"/>
  <c r="O27" i="5"/>
  <c r="O28" i="5"/>
  <c r="O29" i="5"/>
  <c r="O31" i="5"/>
  <c r="O32" i="5"/>
  <c r="O33" i="5"/>
  <c r="O34" i="5"/>
  <c r="O35" i="5"/>
  <c r="O36" i="5"/>
  <c r="O37" i="5"/>
  <c r="O38" i="5"/>
  <c r="O39" i="5"/>
  <c r="O40" i="5"/>
  <c r="O41" i="5"/>
  <c r="O42" i="5"/>
  <c r="O43" i="5"/>
  <c r="O44" i="5"/>
  <c r="O45" i="5"/>
  <c r="O46" i="5"/>
  <c r="O47" i="5"/>
  <c r="O48" i="5"/>
  <c r="O49" i="5"/>
  <c r="O50" i="5"/>
  <c r="O51" i="5"/>
  <c r="O52" i="5"/>
  <c r="O53" i="5"/>
  <c r="O54"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78" i="5"/>
  <c r="O279" i="5"/>
  <c r="O280" i="5"/>
  <c r="O281" i="5"/>
  <c r="O282" i="5"/>
  <c r="O283" i="5"/>
  <c r="O284" i="5"/>
  <c r="O285" i="5"/>
  <c r="O286" i="5"/>
  <c r="O287" i="5"/>
  <c r="O288" i="5"/>
  <c r="O289" i="5"/>
  <c r="O290" i="5"/>
  <c r="O291" i="5"/>
  <c r="O292" i="5"/>
  <c r="O293" i="5"/>
  <c r="O294" i="5"/>
  <c r="O295" i="5"/>
  <c r="O296" i="5"/>
  <c r="O297" i="5"/>
  <c r="O298" i="5"/>
  <c r="O299" i="5"/>
  <c r="O300" i="5"/>
  <c r="O301"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2"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14" i="5"/>
  <c r="O734" i="27" l="1"/>
  <c r="O735" i="27" s="1"/>
  <c r="O736" i="27" s="1"/>
  <c r="O737" i="27" s="1"/>
  <c r="O738" i="27" s="1"/>
  <c r="O739" i="27" s="1"/>
  <c r="O740" i="27" s="1"/>
  <c r="O741" i="27" s="1"/>
  <c r="O742" i="27" s="1"/>
  <c r="O743" i="27" s="1"/>
  <c r="O744" i="27" s="1"/>
  <c r="O745" i="27" s="1"/>
  <c r="N734" i="27"/>
  <c r="N735" i="27" s="1"/>
  <c r="N736" i="27" s="1"/>
  <c r="N737" i="27" s="1"/>
  <c r="N738" i="27" s="1"/>
  <c r="N739" i="27" s="1"/>
  <c r="N740" i="27" s="1"/>
  <c r="N741" i="27" s="1"/>
  <c r="N742" i="27" s="1"/>
  <c r="N743" i="27" s="1"/>
  <c r="N744" i="27" s="1"/>
  <c r="N745" i="27" s="1"/>
  <c r="O722" i="27"/>
  <c r="O723" i="27" s="1"/>
  <c r="O724" i="27" s="1"/>
  <c r="O725" i="27" s="1"/>
  <c r="O726" i="27" s="1"/>
  <c r="O727" i="27" s="1"/>
  <c r="O728" i="27" s="1"/>
  <c r="O729" i="27" s="1"/>
  <c r="O730" i="27" s="1"/>
  <c r="O731" i="27" s="1"/>
  <c r="O732" i="27" s="1"/>
  <c r="O733" i="27" s="1"/>
  <c r="N722" i="27"/>
  <c r="N723" i="27" s="1"/>
  <c r="N724" i="27" s="1"/>
  <c r="N725" i="27" s="1"/>
  <c r="N726" i="27" s="1"/>
  <c r="N727" i="27" s="1"/>
  <c r="N728" i="27" s="1"/>
  <c r="N729" i="27" s="1"/>
  <c r="N730" i="27" s="1"/>
  <c r="N731" i="27" s="1"/>
  <c r="N732" i="27" s="1"/>
  <c r="N733" i="27" s="1"/>
  <c r="O710" i="27"/>
  <c r="O711" i="27" s="1"/>
  <c r="O712" i="27" s="1"/>
  <c r="O713" i="27" s="1"/>
  <c r="O714" i="27" s="1"/>
  <c r="O715" i="27" s="1"/>
  <c r="O716" i="27" s="1"/>
  <c r="O717" i="27" s="1"/>
  <c r="O718" i="27" s="1"/>
  <c r="O719" i="27" s="1"/>
  <c r="O720" i="27" s="1"/>
  <c r="O721" i="27" s="1"/>
  <c r="N710" i="27"/>
  <c r="N711" i="27" s="1"/>
  <c r="N712" i="27" s="1"/>
  <c r="N713" i="27" s="1"/>
  <c r="N714" i="27" s="1"/>
  <c r="N715" i="27" s="1"/>
  <c r="N716" i="27" s="1"/>
  <c r="N717" i="27" s="1"/>
  <c r="N718" i="27" s="1"/>
  <c r="N719" i="27" s="1"/>
  <c r="N720" i="27" s="1"/>
  <c r="N721" i="27" s="1"/>
  <c r="O698" i="27"/>
  <c r="O699" i="27" s="1"/>
  <c r="O700" i="27" s="1"/>
  <c r="O701" i="27" s="1"/>
  <c r="O702" i="27" s="1"/>
  <c r="O703" i="27" s="1"/>
  <c r="O704" i="27" s="1"/>
  <c r="O705" i="27" s="1"/>
  <c r="O706" i="27" s="1"/>
  <c r="O707" i="27" s="1"/>
  <c r="O708" i="27" s="1"/>
  <c r="O709" i="27" s="1"/>
  <c r="N698" i="27"/>
  <c r="N699" i="27" s="1"/>
  <c r="N700" i="27" s="1"/>
  <c r="N701" i="27" s="1"/>
  <c r="N702" i="27" s="1"/>
  <c r="N703" i="27" s="1"/>
  <c r="N704" i="27" s="1"/>
  <c r="N705" i="27" s="1"/>
  <c r="N706" i="27" s="1"/>
  <c r="N707" i="27" s="1"/>
  <c r="N708" i="27" s="1"/>
  <c r="N709" i="27" s="1"/>
  <c r="O674" i="27"/>
  <c r="O675" i="27" s="1"/>
  <c r="O676" i="27" s="1"/>
  <c r="O677" i="27" s="1"/>
  <c r="O678" i="27" s="1"/>
  <c r="O679" i="27" s="1"/>
  <c r="O680" i="27" s="1"/>
  <c r="O681" i="27" s="1"/>
  <c r="O682" i="27" s="1"/>
  <c r="O683" i="27" s="1"/>
  <c r="O684" i="27" s="1"/>
  <c r="O685" i="27" s="1"/>
  <c r="N674" i="27"/>
  <c r="N675" i="27" s="1"/>
  <c r="N676" i="27" s="1"/>
  <c r="N677" i="27" s="1"/>
  <c r="N678" i="27" s="1"/>
  <c r="N679" i="27" s="1"/>
  <c r="N680" i="27" s="1"/>
  <c r="N681" i="27" s="1"/>
  <c r="N682" i="27" s="1"/>
  <c r="N683" i="27" s="1"/>
  <c r="N684" i="27" s="1"/>
  <c r="N685" i="27" s="1"/>
  <c r="O662" i="27"/>
  <c r="O663" i="27" s="1"/>
  <c r="O664" i="27" s="1"/>
  <c r="O665" i="27" s="1"/>
  <c r="O666" i="27" s="1"/>
  <c r="O667" i="27" s="1"/>
  <c r="O668" i="27" s="1"/>
  <c r="O669" i="27" s="1"/>
  <c r="O670" i="27" s="1"/>
  <c r="O671" i="27" s="1"/>
  <c r="O672" i="27" s="1"/>
  <c r="O673" i="27" s="1"/>
  <c r="N662" i="27"/>
  <c r="N663" i="27" s="1"/>
  <c r="N664" i="27" s="1"/>
  <c r="N665" i="27" s="1"/>
  <c r="N666" i="27" s="1"/>
  <c r="N667" i="27" s="1"/>
  <c r="N668" i="27" s="1"/>
  <c r="N669" i="27" s="1"/>
  <c r="N670" i="27" s="1"/>
  <c r="N671" i="27" s="1"/>
  <c r="N672" i="27" s="1"/>
  <c r="N673" i="27" s="1"/>
  <c r="O650" i="27"/>
  <c r="O651" i="27" s="1"/>
  <c r="O652" i="27" s="1"/>
  <c r="O653" i="27" s="1"/>
  <c r="O654" i="27" s="1"/>
  <c r="O655" i="27" s="1"/>
  <c r="O656" i="27" s="1"/>
  <c r="O657" i="27" s="1"/>
  <c r="O658" i="27" s="1"/>
  <c r="O659" i="27" s="1"/>
  <c r="O660" i="27" s="1"/>
  <c r="O661" i="27" s="1"/>
  <c r="N650" i="27"/>
  <c r="N651" i="27" s="1"/>
  <c r="N652" i="27" s="1"/>
  <c r="N653" i="27" s="1"/>
  <c r="N654" i="27" s="1"/>
  <c r="N655" i="27" s="1"/>
  <c r="N656" i="27" s="1"/>
  <c r="N657" i="27" s="1"/>
  <c r="N658" i="27" s="1"/>
  <c r="N659" i="27" s="1"/>
  <c r="N660" i="27" s="1"/>
  <c r="N661" i="27" s="1"/>
  <c r="O638" i="27"/>
  <c r="O639" i="27" s="1"/>
  <c r="O640" i="27" s="1"/>
  <c r="O641" i="27" s="1"/>
  <c r="O642" i="27" s="1"/>
  <c r="O643" i="27" s="1"/>
  <c r="O644" i="27" s="1"/>
  <c r="O645" i="27" s="1"/>
  <c r="O646" i="27" s="1"/>
  <c r="O647" i="27" s="1"/>
  <c r="O648" i="27" s="1"/>
  <c r="O649" i="27" s="1"/>
  <c r="N638" i="27"/>
  <c r="N639" i="27" s="1"/>
  <c r="N640" i="27" s="1"/>
  <c r="N641" i="27" s="1"/>
  <c r="N642" i="27" s="1"/>
  <c r="N643" i="27" s="1"/>
  <c r="N644" i="27" s="1"/>
  <c r="N645" i="27" s="1"/>
  <c r="N646" i="27" s="1"/>
  <c r="N647" i="27" s="1"/>
  <c r="N648" i="27" s="1"/>
  <c r="N649" i="27" s="1"/>
  <c r="O614" i="27"/>
  <c r="O615" i="27" s="1"/>
  <c r="O616" i="27" s="1"/>
  <c r="O617" i="27" s="1"/>
  <c r="O618" i="27" s="1"/>
  <c r="O619" i="27" s="1"/>
  <c r="O620" i="27" s="1"/>
  <c r="O621" i="27" s="1"/>
  <c r="O622" i="27" s="1"/>
  <c r="O623" i="27" s="1"/>
  <c r="O624" i="27" s="1"/>
  <c r="O625" i="27" s="1"/>
  <c r="N614" i="27"/>
  <c r="N615" i="27" s="1"/>
  <c r="N616" i="27" s="1"/>
  <c r="N617" i="27" s="1"/>
  <c r="N618" i="27" s="1"/>
  <c r="N619" i="27" s="1"/>
  <c r="N620" i="27" s="1"/>
  <c r="N621" i="27" s="1"/>
  <c r="N622" i="27" s="1"/>
  <c r="N623" i="27" s="1"/>
  <c r="N624" i="27" s="1"/>
  <c r="N625" i="27" s="1"/>
  <c r="O602" i="27"/>
  <c r="O603" i="27" s="1"/>
  <c r="O604" i="27" s="1"/>
  <c r="O605" i="27" s="1"/>
  <c r="O606" i="27" s="1"/>
  <c r="O607" i="27" s="1"/>
  <c r="O608" i="27" s="1"/>
  <c r="O609" i="27" s="1"/>
  <c r="O610" i="27" s="1"/>
  <c r="O611" i="27" s="1"/>
  <c r="O612" i="27" s="1"/>
  <c r="O613" i="27" s="1"/>
  <c r="N602" i="27"/>
  <c r="N603" i="27" s="1"/>
  <c r="N604" i="27" s="1"/>
  <c r="N605" i="27" s="1"/>
  <c r="N606" i="27" s="1"/>
  <c r="N607" i="27" s="1"/>
  <c r="N608" i="27" s="1"/>
  <c r="N609" i="27" s="1"/>
  <c r="N610" i="27" s="1"/>
  <c r="N611" i="27" s="1"/>
  <c r="N612" i="27" s="1"/>
  <c r="N613" i="27" s="1"/>
  <c r="O590" i="27"/>
  <c r="O591" i="27" s="1"/>
  <c r="O592" i="27" s="1"/>
  <c r="O593" i="27" s="1"/>
  <c r="O594" i="27" s="1"/>
  <c r="O595" i="27" s="1"/>
  <c r="O596" i="27" s="1"/>
  <c r="O597" i="27" s="1"/>
  <c r="O598" i="27" s="1"/>
  <c r="O599" i="27" s="1"/>
  <c r="O600" i="27" s="1"/>
  <c r="O601" i="27" s="1"/>
  <c r="N590" i="27"/>
  <c r="N591" i="27" s="1"/>
  <c r="N592" i="27" s="1"/>
  <c r="N593" i="27" s="1"/>
  <c r="N594" i="27" s="1"/>
  <c r="N595" i="27" s="1"/>
  <c r="N596" i="27" s="1"/>
  <c r="N597" i="27" s="1"/>
  <c r="N598" i="27" s="1"/>
  <c r="N599" i="27" s="1"/>
  <c r="N600" i="27" s="1"/>
  <c r="N601" i="27" s="1"/>
  <c r="O566" i="27"/>
  <c r="O567" i="27" s="1"/>
  <c r="O568" i="27" s="1"/>
  <c r="O569" i="27" s="1"/>
  <c r="O570" i="27" s="1"/>
  <c r="O571" i="27" s="1"/>
  <c r="O572" i="27" s="1"/>
  <c r="O573" i="27" s="1"/>
  <c r="O574" i="27" s="1"/>
  <c r="O575" i="27" s="1"/>
  <c r="O576" i="27" s="1"/>
  <c r="O577" i="27" s="1"/>
  <c r="N566" i="27"/>
  <c r="N567" i="27" s="1"/>
  <c r="N568" i="27" s="1"/>
  <c r="N569" i="27" s="1"/>
  <c r="N570" i="27" s="1"/>
  <c r="N571" i="27" s="1"/>
  <c r="N572" i="27" s="1"/>
  <c r="N573" i="27" s="1"/>
  <c r="N574" i="27" s="1"/>
  <c r="N575" i="27" s="1"/>
  <c r="N576" i="27" s="1"/>
  <c r="N577" i="27" s="1"/>
  <c r="O554" i="27"/>
  <c r="O555" i="27" s="1"/>
  <c r="O556" i="27" s="1"/>
  <c r="O557" i="27" s="1"/>
  <c r="O558" i="27" s="1"/>
  <c r="O559" i="27" s="1"/>
  <c r="O560" i="27" s="1"/>
  <c r="O561" i="27" s="1"/>
  <c r="O562" i="27" s="1"/>
  <c r="O563" i="27" s="1"/>
  <c r="O564" i="27" s="1"/>
  <c r="O565" i="27" s="1"/>
  <c r="N554" i="27"/>
  <c r="N555" i="27" s="1"/>
  <c r="N556" i="27" s="1"/>
  <c r="N557" i="27" s="1"/>
  <c r="N558" i="27" s="1"/>
  <c r="N559" i="27" s="1"/>
  <c r="N560" i="27" s="1"/>
  <c r="N561" i="27" s="1"/>
  <c r="N562" i="27" s="1"/>
  <c r="N563" i="27" s="1"/>
  <c r="N564" i="27" s="1"/>
  <c r="N565" i="27" s="1"/>
  <c r="O542" i="27"/>
  <c r="O543" i="27" s="1"/>
  <c r="O544" i="27" s="1"/>
  <c r="O545" i="27" s="1"/>
  <c r="O546" i="27" s="1"/>
  <c r="O547" i="27" s="1"/>
  <c r="O548" i="27" s="1"/>
  <c r="O549" i="27" s="1"/>
  <c r="O550" i="27" s="1"/>
  <c r="O551" i="27" s="1"/>
  <c r="O552" i="27" s="1"/>
  <c r="O553" i="27" s="1"/>
  <c r="N542" i="27"/>
  <c r="N543" i="27" s="1"/>
  <c r="N544" i="27" s="1"/>
  <c r="N545" i="27" s="1"/>
  <c r="N546" i="27" s="1"/>
  <c r="N547" i="27" s="1"/>
  <c r="N548" i="27" s="1"/>
  <c r="N549" i="27" s="1"/>
  <c r="N550" i="27" s="1"/>
  <c r="N551" i="27" s="1"/>
  <c r="N552" i="27" s="1"/>
  <c r="N553" i="27" s="1"/>
  <c r="O530" i="27"/>
  <c r="O531" i="27" s="1"/>
  <c r="O532" i="27" s="1"/>
  <c r="O533" i="27" s="1"/>
  <c r="O534" i="27" s="1"/>
  <c r="O535" i="27" s="1"/>
  <c r="O536" i="27" s="1"/>
  <c r="O537" i="27" s="1"/>
  <c r="O538" i="27" s="1"/>
  <c r="O539" i="27" s="1"/>
  <c r="O540" i="27" s="1"/>
  <c r="O541" i="27" s="1"/>
  <c r="N530" i="27"/>
  <c r="N531" i="27" s="1"/>
  <c r="N532" i="27" s="1"/>
  <c r="N533" i="27" s="1"/>
  <c r="N534" i="27" s="1"/>
  <c r="N535" i="27" s="1"/>
  <c r="N536" i="27" s="1"/>
  <c r="N537" i="27" s="1"/>
  <c r="N538" i="27" s="1"/>
  <c r="N539" i="27" s="1"/>
  <c r="N540" i="27" s="1"/>
  <c r="N541" i="27" s="1"/>
  <c r="O518" i="27"/>
  <c r="O519" i="27" s="1"/>
  <c r="O520" i="27" s="1"/>
  <c r="O521" i="27" s="1"/>
  <c r="O522" i="27" s="1"/>
  <c r="O523" i="27" s="1"/>
  <c r="O524" i="27" s="1"/>
  <c r="O525" i="27" s="1"/>
  <c r="O526" i="27" s="1"/>
  <c r="O527" i="27" s="1"/>
  <c r="O528" i="27" s="1"/>
  <c r="O529" i="27" s="1"/>
  <c r="N518" i="27"/>
  <c r="N519" i="27" s="1"/>
  <c r="N520" i="27" s="1"/>
  <c r="N521" i="27" s="1"/>
  <c r="N522" i="27" s="1"/>
  <c r="N523" i="27" s="1"/>
  <c r="N524" i="27" s="1"/>
  <c r="N525" i="27" s="1"/>
  <c r="N526" i="27" s="1"/>
  <c r="N527" i="27" s="1"/>
  <c r="N528" i="27" s="1"/>
  <c r="N529" i="27" s="1"/>
  <c r="O506" i="27"/>
  <c r="O507" i="27" s="1"/>
  <c r="O508" i="27" s="1"/>
  <c r="O509" i="27" s="1"/>
  <c r="O510" i="27" s="1"/>
  <c r="O511" i="27" s="1"/>
  <c r="O512" i="27" s="1"/>
  <c r="O513" i="27" s="1"/>
  <c r="O514" i="27" s="1"/>
  <c r="O515" i="27" s="1"/>
  <c r="O516" i="27" s="1"/>
  <c r="O517" i="27" s="1"/>
  <c r="N506" i="27"/>
  <c r="N507" i="27" s="1"/>
  <c r="N508" i="27" s="1"/>
  <c r="N509" i="27" s="1"/>
  <c r="N510" i="27" s="1"/>
  <c r="N511" i="27" s="1"/>
  <c r="N512" i="27" s="1"/>
  <c r="N513" i="27" s="1"/>
  <c r="N514" i="27" s="1"/>
  <c r="N515" i="27" s="1"/>
  <c r="N516" i="27" s="1"/>
  <c r="N517" i="27" s="1"/>
  <c r="O494" i="27"/>
  <c r="O495" i="27" s="1"/>
  <c r="O496" i="27" s="1"/>
  <c r="O497" i="27" s="1"/>
  <c r="O498" i="27" s="1"/>
  <c r="O499" i="27" s="1"/>
  <c r="O500" i="27" s="1"/>
  <c r="O501" i="27" s="1"/>
  <c r="O502" i="27" s="1"/>
  <c r="O503" i="27" s="1"/>
  <c r="O504" i="27" s="1"/>
  <c r="O505" i="27" s="1"/>
  <c r="N494" i="27"/>
  <c r="N495" i="27" s="1"/>
  <c r="N496" i="27" s="1"/>
  <c r="N497" i="27" s="1"/>
  <c r="N498" i="27" s="1"/>
  <c r="N499" i="27" s="1"/>
  <c r="N500" i="27" s="1"/>
  <c r="N501" i="27" s="1"/>
  <c r="N502" i="27" s="1"/>
  <c r="N503" i="27" s="1"/>
  <c r="N504" i="27" s="1"/>
  <c r="N505" i="27" s="1"/>
  <c r="O482" i="27"/>
  <c r="O483" i="27" s="1"/>
  <c r="O484" i="27" s="1"/>
  <c r="O485" i="27" s="1"/>
  <c r="O486" i="27" s="1"/>
  <c r="O487" i="27" s="1"/>
  <c r="O488" i="27" s="1"/>
  <c r="O489" i="27" s="1"/>
  <c r="O490" i="27" s="1"/>
  <c r="O491" i="27" s="1"/>
  <c r="O492" i="27" s="1"/>
  <c r="O493" i="27" s="1"/>
  <c r="N482" i="27"/>
  <c r="N483" i="27" s="1"/>
  <c r="N484" i="27" s="1"/>
  <c r="N485" i="27" s="1"/>
  <c r="N486" i="27" s="1"/>
  <c r="N487" i="27" s="1"/>
  <c r="N488" i="27" s="1"/>
  <c r="N489" i="27" s="1"/>
  <c r="N490" i="27" s="1"/>
  <c r="N491" i="27" s="1"/>
  <c r="N492" i="27" s="1"/>
  <c r="N493" i="27" s="1"/>
  <c r="O470" i="27"/>
  <c r="O471" i="27" s="1"/>
  <c r="O472" i="27" s="1"/>
  <c r="O473" i="27" s="1"/>
  <c r="O474" i="27" s="1"/>
  <c r="O475" i="27" s="1"/>
  <c r="O476" i="27" s="1"/>
  <c r="O477" i="27" s="1"/>
  <c r="O478" i="27" s="1"/>
  <c r="O479" i="27" s="1"/>
  <c r="O480" i="27" s="1"/>
  <c r="O481" i="27" s="1"/>
  <c r="N470" i="27"/>
  <c r="N471" i="27" s="1"/>
  <c r="N472" i="27" s="1"/>
  <c r="N473" i="27" s="1"/>
  <c r="N474" i="27" s="1"/>
  <c r="N475" i="27" s="1"/>
  <c r="N476" i="27" s="1"/>
  <c r="N477" i="27" s="1"/>
  <c r="N478" i="27" s="1"/>
  <c r="N479" i="27" s="1"/>
  <c r="N480" i="27" s="1"/>
  <c r="N481" i="27" s="1"/>
  <c r="O434" i="27"/>
  <c r="O435" i="27" s="1"/>
  <c r="O436" i="27" s="1"/>
  <c r="O437" i="27" s="1"/>
  <c r="O438" i="27" s="1"/>
  <c r="O439" i="27" s="1"/>
  <c r="O440" i="27" s="1"/>
  <c r="O441" i="27" s="1"/>
  <c r="O442" i="27" s="1"/>
  <c r="O443" i="27" s="1"/>
  <c r="O444" i="27" s="1"/>
  <c r="O445" i="27" s="1"/>
  <c r="N434" i="27"/>
  <c r="N435" i="27" s="1"/>
  <c r="N436" i="27" s="1"/>
  <c r="N437" i="27" s="1"/>
  <c r="N438" i="27" s="1"/>
  <c r="N439" i="27" s="1"/>
  <c r="N440" i="27" s="1"/>
  <c r="N441" i="27" s="1"/>
  <c r="N442" i="27" s="1"/>
  <c r="N443" i="27" s="1"/>
  <c r="N444" i="27" s="1"/>
  <c r="N445" i="27" s="1"/>
  <c r="O422" i="27"/>
  <c r="O423" i="27" s="1"/>
  <c r="O424" i="27" s="1"/>
  <c r="O425" i="27" s="1"/>
  <c r="O426" i="27" s="1"/>
  <c r="O427" i="27" s="1"/>
  <c r="O428" i="27" s="1"/>
  <c r="O429" i="27" s="1"/>
  <c r="O430" i="27" s="1"/>
  <c r="O431" i="27" s="1"/>
  <c r="O432" i="27" s="1"/>
  <c r="O433" i="27" s="1"/>
  <c r="N422" i="27"/>
  <c r="N423" i="27" s="1"/>
  <c r="N424" i="27" s="1"/>
  <c r="N425" i="27" s="1"/>
  <c r="N426" i="27" s="1"/>
  <c r="N427" i="27" s="1"/>
  <c r="N428" i="27" s="1"/>
  <c r="N429" i="27" s="1"/>
  <c r="N430" i="27" s="1"/>
  <c r="N431" i="27" s="1"/>
  <c r="N432" i="27" s="1"/>
  <c r="N433" i="27" s="1"/>
  <c r="O410" i="27"/>
  <c r="O411" i="27" s="1"/>
  <c r="O412" i="27" s="1"/>
  <c r="O413" i="27" s="1"/>
  <c r="O414" i="27" s="1"/>
  <c r="O415" i="27" s="1"/>
  <c r="O416" i="27" s="1"/>
  <c r="O417" i="27" s="1"/>
  <c r="O418" i="27" s="1"/>
  <c r="O419" i="27" s="1"/>
  <c r="O420" i="27" s="1"/>
  <c r="O421" i="27" s="1"/>
  <c r="N410" i="27"/>
  <c r="N411" i="27" s="1"/>
  <c r="N412" i="27" s="1"/>
  <c r="N413" i="27" s="1"/>
  <c r="N414" i="27" s="1"/>
  <c r="N415" i="27" s="1"/>
  <c r="N416" i="27" s="1"/>
  <c r="N417" i="27" s="1"/>
  <c r="N418" i="27" s="1"/>
  <c r="N419" i="27" s="1"/>
  <c r="N420" i="27" s="1"/>
  <c r="N421" i="27" s="1"/>
  <c r="O398" i="27"/>
  <c r="O399" i="27" s="1"/>
  <c r="O400" i="27" s="1"/>
  <c r="O401" i="27" s="1"/>
  <c r="O402" i="27" s="1"/>
  <c r="O403" i="27" s="1"/>
  <c r="O404" i="27" s="1"/>
  <c r="O405" i="27" s="1"/>
  <c r="O406" i="27" s="1"/>
  <c r="O407" i="27" s="1"/>
  <c r="O408" i="27" s="1"/>
  <c r="O409" i="27" s="1"/>
  <c r="N398" i="27"/>
  <c r="N399" i="27" s="1"/>
  <c r="N400" i="27" s="1"/>
  <c r="N401" i="27" s="1"/>
  <c r="N402" i="27" s="1"/>
  <c r="N403" i="27" s="1"/>
  <c r="N404" i="27" s="1"/>
  <c r="N405" i="27" s="1"/>
  <c r="N406" i="27" s="1"/>
  <c r="N407" i="27" s="1"/>
  <c r="N408" i="27" s="1"/>
  <c r="N409" i="27" s="1"/>
  <c r="O386" i="27"/>
  <c r="O387" i="27" s="1"/>
  <c r="O388" i="27" s="1"/>
  <c r="O389" i="27" s="1"/>
  <c r="O390" i="27" s="1"/>
  <c r="O391" i="27" s="1"/>
  <c r="O392" i="27" s="1"/>
  <c r="O393" i="27" s="1"/>
  <c r="O394" i="27" s="1"/>
  <c r="O395" i="27" s="1"/>
  <c r="O396" i="27" s="1"/>
  <c r="O397" i="27" s="1"/>
  <c r="N386" i="27"/>
  <c r="N387" i="27" s="1"/>
  <c r="N388" i="27" s="1"/>
  <c r="N389" i="27" s="1"/>
  <c r="N390" i="27" s="1"/>
  <c r="N391" i="27" s="1"/>
  <c r="N392" i="27" s="1"/>
  <c r="N393" i="27" s="1"/>
  <c r="N394" i="27" s="1"/>
  <c r="N395" i="27" s="1"/>
  <c r="N396" i="27" s="1"/>
  <c r="N397" i="27" s="1"/>
  <c r="O374" i="27"/>
  <c r="O375" i="27" s="1"/>
  <c r="O376" i="27" s="1"/>
  <c r="O377" i="27" s="1"/>
  <c r="O378" i="27" s="1"/>
  <c r="O379" i="27" s="1"/>
  <c r="O380" i="27" s="1"/>
  <c r="O381" i="27" s="1"/>
  <c r="O382" i="27" s="1"/>
  <c r="O383" i="27" s="1"/>
  <c r="O384" i="27" s="1"/>
  <c r="O385" i="27" s="1"/>
  <c r="N374" i="27"/>
  <c r="N375" i="27" s="1"/>
  <c r="N376" i="27" s="1"/>
  <c r="N377" i="27" s="1"/>
  <c r="N378" i="27" s="1"/>
  <c r="N379" i="27" s="1"/>
  <c r="N380" i="27" s="1"/>
  <c r="N381" i="27" s="1"/>
  <c r="N382" i="27" s="1"/>
  <c r="N383" i="27" s="1"/>
  <c r="N384" i="27" s="1"/>
  <c r="N385" i="27" s="1"/>
  <c r="O362" i="27"/>
  <c r="O363" i="27" s="1"/>
  <c r="O364" i="27" s="1"/>
  <c r="O365" i="27" s="1"/>
  <c r="O366" i="27" s="1"/>
  <c r="O367" i="27" s="1"/>
  <c r="O368" i="27" s="1"/>
  <c r="O369" i="27" s="1"/>
  <c r="O370" i="27" s="1"/>
  <c r="O371" i="27" s="1"/>
  <c r="O372" i="27" s="1"/>
  <c r="O373" i="27" s="1"/>
  <c r="N362" i="27"/>
  <c r="N363" i="27" s="1"/>
  <c r="N364" i="27" s="1"/>
  <c r="N365" i="27" s="1"/>
  <c r="N366" i="27" s="1"/>
  <c r="N367" i="27" s="1"/>
  <c r="N368" i="27" s="1"/>
  <c r="N369" i="27" s="1"/>
  <c r="N370" i="27" s="1"/>
  <c r="N371" i="27" s="1"/>
  <c r="N372" i="27" s="1"/>
  <c r="N373" i="27" s="1"/>
  <c r="O350" i="27"/>
  <c r="O351" i="27" s="1"/>
  <c r="O352" i="27" s="1"/>
  <c r="O353" i="27" s="1"/>
  <c r="O354" i="27" s="1"/>
  <c r="O355" i="27" s="1"/>
  <c r="O356" i="27" s="1"/>
  <c r="O357" i="27" s="1"/>
  <c r="O358" i="27" s="1"/>
  <c r="O359" i="27" s="1"/>
  <c r="O360" i="27" s="1"/>
  <c r="O361" i="27" s="1"/>
  <c r="N350" i="27"/>
  <c r="N351" i="27" s="1"/>
  <c r="N352" i="27" s="1"/>
  <c r="N353" i="27" s="1"/>
  <c r="N354" i="27" s="1"/>
  <c r="N355" i="27" s="1"/>
  <c r="N356" i="27" s="1"/>
  <c r="N357" i="27" s="1"/>
  <c r="N358" i="27" s="1"/>
  <c r="N359" i="27" s="1"/>
  <c r="N360" i="27" s="1"/>
  <c r="N361" i="27" s="1"/>
  <c r="O338" i="27"/>
  <c r="O339" i="27" s="1"/>
  <c r="O340" i="27" s="1"/>
  <c r="O341" i="27" s="1"/>
  <c r="O342" i="27" s="1"/>
  <c r="O343" i="27" s="1"/>
  <c r="O344" i="27" s="1"/>
  <c r="O345" i="27" s="1"/>
  <c r="O346" i="27" s="1"/>
  <c r="O347" i="27" s="1"/>
  <c r="O348" i="27" s="1"/>
  <c r="O349" i="27" s="1"/>
  <c r="N338" i="27"/>
  <c r="N339" i="27" s="1"/>
  <c r="N340" i="27" s="1"/>
  <c r="N341" i="27" s="1"/>
  <c r="N342" i="27" s="1"/>
  <c r="N343" i="27" s="1"/>
  <c r="N344" i="27" s="1"/>
  <c r="N345" i="27" s="1"/>
  <c r="N346" i="27" s="1"/>
  <c r="N347" i="27" s="1"/>
  <c r="N348" i="27" s="1"/>
  <c r="N349" i="27" s="1"/>
  <c r="O326" i="27"/>
  <c r="O327" i="27" s="1"/>
  <c r="O328" i="27" s="1"/>
  <c r="O329" i="27" s="1"/>
  <c r="O330" i="27" s="1"/>
  <c r="O331" i="27" s="1"/>
  <c r="O332" i="27" s="1"/>
  <c r="O333" i="27" s="1"/>
  <c r="O334" i="27" s="1"/>
  <c r="O335" i="27" s="1"/>
  <c r="O336" i="27" s="1"/>
  <c r="O337" i="27" s="1"/>
  <c r="N326" i="27"/>
  <c r="N327" i="27" s="1"/>
  <c r="N328" i="27" s="1"/>
  <c r="N329" i="27" s="1"/>
  <c r="N330" i="27" s="1"/>
  <c r="N331" i="27" s="1"/>
  <c r="N332" i="27" s="1"/>
  <c r="N333" i="27" s="1"/>
  <c r="N334" i="27" s="1"/>
  <c r="N335" i="27" s="1"/>
  <c r="N336" i="27" s="1"/>
  <c r="N337" i="27" s="1"/>
  <c r="O314" i="27"/>
  <c r="O315" i="27" s="1"/>
  <c r="O316" i="27" s="1"/>
  <c r="O317" i="27" s="1"/>
  <c r="O318" i="27" s="1"/>
  <c r="O319" i="27" s="1"/>
  <c r="O320" i="27" s="1"/>
  <c r="O321" i="27" s="1"/>
  <c r="O322" i="27" s="1"/>
  <c r="O323" i="27" s="1"/>
  <c r="O324" i="27" s="1"/>
  <c r="O325" i="27" s="1"/>
  <c r="N314" i="27"/>
  <c r="N315" i="27" s="1"/>
  <c r="N316" i="27" s="1"/>
  <c r="N317" i="27" s="1"/>
  <c r="N318" i="27" s="1"/>
  <c r="N319" i="27" s="1"/>
  <c r="N320" i="27" s="1"/>
  <c r="N321" i="27" s="1"/>
  <c r="N322" i="27" s="1"/>
  <c r="N323" i="27" s="1"/>
  <c r="N324" i="27" s="1"/>
  <c r="N325" i="27" s="1"/>
  <c r="O290" i="27"/>
  <c r="O291" i="27" s="1"/>
  <c r="O292" i="27" s="1"/>
  <c r="O293" i="27" s="1"/>
  <c r="O294" i="27" s="1"/>
  <c r="O295" i="27" s="1"/>
  <c r="O296" i="27" s="1"/>
  <c r="O297" i="27" s="1"/>
  <c r="O298" i="27" s="1"/>
  <c r="O299" i="27" s="1"/>
  <c r="O300" i="27" s="1"/>
  <c r="O301" i="27" s="1"/>
  <c r="N290" i="27"/>
  <c r="N291" i="27" s="1"/>
  <c r="N292" i="27" s="1"/>
  <c r="N293" i="27" s="1"/>
  <c r="N294" i="27" s="1"/>
  <c r="N295" i="27" s="1"/>
  <c r="N296" i="27" s="1"/>
  <c r="N297" i="27" s="1"/>
  <c r="N298" i="27" s="1"/>
  <c r="N299" i="27" s="1"/>
  <c r="N300" i="27" s="1"/>
  <c r="N301" i="27" s="1"/>
  <c r="O278" i="27"/>
  <c r="O279" i="27" s="1"/>
  <c r="O280" i="27" s="1"/>
  <c r="O281" i="27" s="1"/>
  <c r="O282" i="27" s="1"/>
  <c r="O283" i="27" s="1"/>
  <c r="O284" i="27" s="1"/>
  <c r="O285" i="27" s="1"/>
  <c r="O286" i="27" s="1"/>
  <c r="O287" i="27" s="1"/>
  <c r="O288" i="27" s="1"/>
  <c r="O289" i="27" s="1"/>
  <c r="N278" i="27"/>
  <c r="N279" i="27" s="1"/>
  <c r="N280" i="27" s="1"/>
  <c r="N281" i="27" s="1"/>
  <c r="N282" i="27" s="1"/>
  <c r="N283" i="27" s="1"/>
  <c r="N284" i="27" s="1"/>
  <c r="N285" i="27" s="1"/>
  <c r="N286" i="27" s="1"/>
  <c r="N287" i="27" s="1"/>
  <c r="N288" i="27" s="1"/>
  <c r="N289" i="27" s="1"/>
  <c r="O254" i="27"/>
  <c r="O255" i="27" s="1"/>
  <c r="O256" i="27" s="1"/>
  <c r="O257" i="27" s="1"/>
  <c r="O258" i="27" s="1"/>
  <c r="O259" i="27" s="1"/>
  <c r="O260" i="27" s="1"/>
  <c r="O261" i="27" s="1"/>
  <c r="O262" i="27" s="1"/>
  <c r="O263" i="27" s="1"/>
  <c r="O264" i="27" s="1"/>
  <c r="O265" i="27" s="1"/>
  <c r="N254" i="27"/>
  <c r="N255" i="27" s="1"/>
  <c r="N256" i="27" s="1"/>
  <c r="N257" i="27" s="1"/>
  <c r="N258" i="27" s="1"/>
  <c r="N259" i="27" s="1"/>
  <c r="N260" i="27" s="1"/>
  <c r="N261" i="27" s="1"/>
  <c r="N262" i="27" s="1"/>
  <c r="N263" i="27" s="1"/>
  <c r="N264" i="27" s="1"/>
  <c r="N265" i="27" s="1"/>
  <c r="O242" i="27"/>
  <c r="O243" i="27" s="1"/>
  <c r="O244" i="27" s="1"/>
  <c r="O245" i="27" s="1"/>
  <c r="O246" i="27" s="1"/>
  <c r="O247" i="27" s="1"/>
  <c r="O248" i="27" s="1"/>
  <c r="O249" i="27" s="1"/>
  <c r="O250" i="27" s="1"/>
  <c r="O251" i="27" s="1"/>
  <c r="O252" i="27" s="1"/>
  <c r="O253" i="27" s="1"/>
  <c r="N242" i="27"/>
  <c r="N243" i="27" s="1"/>
  <c r="N244" i="27" s="1"/>
  <c r="N245" i="27" s="1"/>
  <c r="N246" i="27" s="1"/>
  <c r="N247" i="27" s="1"/>
  <c r="N248" i="27" s="1"/>
  <c r="N249" i="27" s="1"/>
  <c r="N250" i="27" s="1"/>
  <c r="N251" i="27" s="1"/>
  <c r="N252" i="27" s="1"/>
  <c r="N253" i="27" s="1"/>
  <c r="O230" i="27"/>
  <c r="O231" i="27" s="1"/>
  <c r="O232" i="27" s="1"/>
  <c r="O233" i="27" s="1"/>
  <c r="O234" i="27" s="1"/>
  <c r="O235" i="27" s="1"/>
  <c r="O236" i="27" s="1"/>
  <c r="O237" i="27" s="1"/>
  <c r="O238" i="27" s="1"/>
  <c r="O239" i="27" s="1"/>
  <c r="O240" i="27" s="1"/>
  <c r="O241" i="27" s="1"/>
  <c r="N230" i="27"/>
  <c r="N231" i="27" s="1"/>
  <c r="N232" i="27" s="1"/>
  <c r="N233" i="27" s="1"/>
  <c r="N234" i="27" s="1"/>
  <c r="N235" i="27" s="1"/>
  <c r="N236" i="27" s="1"/>
  <c r="N237" i="27" s="1"/>
  <c r="N238" i="27" s="1"/>
  <c r="N239" i="27" s="1"/>
  <c r="N240" i="27" s="1"/>
  <c r="N241" i="27" s="1"/>
  <c r="O218" i="27"/>
  <c r="O219" i="27" s="1"/>
  <c r="O220" i="27" s="1"/>
  <c r="O221" i="27" s="1"/>
  <c r="O222" i="27" s="1"/>
  <c r="O223" i="27" s="1"/>
  <c r="O224" i="27" s="1"/>
  <c r="O225" i="27" s="1"/>
  <c r="O226" i="27" s="1"/>
  <c r="O227" i="27" s="1"/>
  <c r="O228" i="27" s="1"/>
  <c r="O229" i="27" s="1"/>
  <c r="N218" i="27"/>
  <c r="N219" i="27" s="1"/>
  <c r="N220" i="27" s="1"/>
  <c r="N221" i="27" s="1"/>
  <c r="N222" i="27" s="1"/>
  <c r="N223" i="27" s="1"/>
  <c r="N224" i="27" s="1"/>
  <c r="N225" i="27" s="1"/>
  <c r="N226" i="27" s="1"/>
  <c r="N227" i="27" s="1"/>
  <c r="N228" i="27" s="1"/>
  <c r="N229" i="27" s="1"/>
  <c r="O206" i="27"/>
  <c r="O207" i="27" s="1"/>
  <c r="O208" i="27" s="1"/>
  <c r="O209" i="27" s="1"/>
  <c r="O210" i="27" s="1"/>
  <c r="O211" i="27" s="1"/>
  <c r="O212" i="27" s="1"/>
  <c r="O213" i="27" s="1"/>
  <c r="O214" i="27" s="1"/>
  <c r="O215" i="27" s="1"/>
  <c r="O216" i="27" s="1"/>
  <c r="O217" i="27" s="1"/>
  <c r="N206" i="27"/>
  <c r="N207" i="27" s="1"/>
  <c r="N208" i="27" s="1"/>
  <c r="N209" i="27" s="1"/>
  <c r="N210" i="27" s="1"/>
  <c r="N211" i="27" s="1"/>
  <c r="N212" i="27" s="1"/>
  <c r="N213" i="27" s="1"/>
  <c r="N214" i="27" s="1"/>
  <c r="N215" i="27" s="1"/>
  <c r="N216" i="27" s="1"/>
  <c r="N217" i="27" s="1"/>
  <c r="O194" i="27"/>
  <c r="O195" i="27" s="1"/>
  <c r="O196" i="27" s="1"/>
  <c r="O197" i="27" s="1"/>
  <c r="O198" i="27" s="1"/>
  <c r="O199" i="27" s="1"/>
  <c r="O200" i="27" s="1"/>
  <c r="O201" i="27" s="1"/>
  <c r="O202" i="27" s="1"/>
  <c r="O203" i="27" s="1"/>
  <c r="O204" i="27" s="1"/>
  <c r="O205" i="27" s="1"/>
  <c r="N194" i="27"/>
  <c r="N195" i="27" s="1"/>
  <c r="N196" i="27" s="1"/>
  <c r="N197" i="27" s="1"/>
  <c r="N198" i="27" s="1"/>
  <c r="N199" i="27" s="1"/>
  <c r="N200" i="27" s="1"/>
  <c r="N201" i="27" s="1"/>
  <c r="N202" i="27" s="1"/>
  <c r="N203" i="27" s="1"/>
  <c r="N204" i="27" s="1"/>
  <c r="N205" i="27" s="1"/>
  <c r="O182" i="27"/>
  <c r="O183" i="27" s="1"/>
  <c r="O184" i="27" s="1"/>
  <c r="O185" i="27" s="1"/>
  <c r="O186" i="27" s="1"/>
  <c r="O187" i="27" s="1"/>
  <c r="O188" i="27" s="1"/>
  <c r="O189" i="27" s="1"/>
  <c r="O190" i="27" s="1"/>
  <c r="O191" i="27" s="1"/>
  <c r="O192" i="27" s="1"/>
  <c r="O193" i="27" s="1"/>
  <c r="N182" i="27"/>
  <c r="N183" i="27" s="1"/>
  <c r="N184" i="27" s="1"/>
  <c r="N185" i="27" s="1"/>
  <c r="N186" i="27" s="1"/>
  <c r="N187" i="27" s="1"/>
  <c r="N188" i="27" s="1"/>
  <c r="N189" i="27" s="1"/>
  <c r="N190" i="27" s="1"/>
  <c r="N191" i="27" s="1"/>
  <c r="N192" i="27" s="1"/>
  <c r="N193" i="27" s="1"/>
  <c r="O170" i="27"/>
  <c r="O171" i="27" s="1"/>
  <c r="O172" i="27" s="1"/>
  <c r="O173" i="27" s="1"/>
  <c r="O174" i="27" s="1"/>
  <c r="O175" i="27" s="1"/>
  <c r="O176" i="27" s="1"/>
  <c r="O177" i="27" s="1"/>
  <c r="O178" i="27" s="1"/>
  <c r="O179" i="27" s="1"/>
  <c r="O180" i="27" s="1"/>
  <c r="O181" i="27" s="1"/>
  <c r="N170" i="27"/>
  <c r="N171" i="27" s="1"/>
  <c r="N172" i="27" s="1"/>
  <c r="N173" i="27" s="1"/>
  <c r="N174" i="27" s="1"/>
  <c r="N175" i="27" s="1"/>
  <c r="N176" i="27" s="1"/>
  <c r="N177" i="27" s="1"/>
  <c r="N178" i="27" s="1"/>
  <c r="N179" i="27" s="1"/>
  <c r="N180" i="27" s="1"/>
  <c r="N181" i="27" s="1"/>
  <c r="O158" i="27"/>
  <c r="O159" i="27" s="1"/>
  <c r="O160" i="27" s="1"/>
  <c r="O161" i="27" s="1"/>
  <c r="O162" i="27" s="1"/>
  <c r="O163" i="27" s="1"/>
  <c r="O164" i="27" s="1"/>
  <c r="O165" i="27" s="1"/>
  <c r="O166" i="27" s="1"/>
  <c r="O167" i="27" s="1"/>
  <c r="O168" i="27" s="1"/>
  <c r="O169" i="27" s="1"/>
  <c r="N158" i="27"/>
  <c r="N159" i="27" s="1"/>
  <c r="N160" i="27" s="1"/>
  <c r="N161" i="27" s="1"/>
  <c r="N162" i="27" s="1"/>
  <c r="N163" i="27" s="1"/>
  <c r="N164" i="27" s="1"/>
  <c r="N165" i="27" s="1"/>
  <c r="N166" i="27" s="1"/>
  <c r="N167" i="27" s="1"/>
  <c r="N168" i="27" s="1"/>
  <c r="N169" i="27" s="1"/>
  <c r="O146" i="27"/>
  <c r="O147" i="27" s="1"/>
  <c r="O148" i="27" s="1"/>
  <c r="O149" i="27" s="1"/>
  <c r="O150" i="27" s="1"/>
  <c r="O151" i="27" s="1"/>
  <c r="O152" i="27" s="1"/>
  <c r="O153" i="27" s="1"/>
  <c r="O154" i="27" s="1"/>
  <c r="O155" i="27" s="1"/>
  <c r="O156" i="27" s="1"/>
  <c r="O157" i="27" s="1"/>
  <c r="N146" i="27"/>
  <c r="N147" i="27" s="1"/>
  <c r="N148" i="27" s="1"/>
  <c r="N149" i="27" s="1"/>
  <c r="N150" i="27" s="1"/>
  <c r="N151" i="27" s="1"/>
  <c r="N152" i="27" s="1"/>
  <c r="N153" i="27" s="1"/>
  <c r="N154" i="27" s="1"/>
  <c r="N155" i="27" s="1"/>
  <c r="N156" i="27" s="1"/>
  <c r="N157" i="27" s="1"/>
  <c r="O134" i="27"/>
  <c r="O135" i="27" s="1"/>
  <c r="O136" i="27" s="1"/>
  <c r="O137" i="27" s="1"/>
  <c r="O138" i="27" s="1"/>
  <c r="O139" i="27" s="1"/>
  <c r="O140" i="27" s="1"/>
  <c r="O141" i="27" s="1"/>
  <c r="O142" i="27" s="1"/>
  <c r="O143" i="27" s="1"/>
  <c r="O144" i="27" s="1"/>
  <c r="O145" i="27" s="1"/>
  <c r="N134" i="27"/>
  <c r="N135" i="27" s="1"/>
  <c r="N136" i="27" s="1"/>
  <c r="N137" i="27" s="1"/>
  <c r="N138" i="27" s="1"/>
  <c r="N139" i="27" s="1"/>
  <c r="N140" i="27" s="1"/>
  <c r="N141" i="27" s="1"/>
  <c r="N142" i="27" s="1"/>
  <c r="N143" i="27" s="1"/>
  <c r="N144" i="27" s="1"/>
  <c r="N145" i="27" s="1"/>
  <c r="O110" i="27"/>
  <c r="O111" i="27" s="1"/>
  <c r="O112" i="27" s="1"/>
  <c r="O113" i="27" s="1"/>
  <c r="O114" i="27" s="1"/>
  <c r="O115" i="27" s="1"/>
  <c r="O116" i="27" s="1"/>
  <c r="O117" i="27" s="1"/>
  <c r="O118" i="27" s="1"/>
  <c r="O119" i="27" s="1"/>
  <c r="O120" i="27" s="1"/>
  <c r="O121" i="27" s="1"/>
  <c r="N110" i="27"/>
  <c r="N111" i="27" s="1"/>
  <c r="N112" i="27" s="1"/>
  <c r="N113" i="27" s="1"/>
  <c r="N114" i="27" s="1"/>
  <c r="N115" i="27" s="1"/>
  <c r="N116" i="27" s="1"/>
  <c r="N117" i="27" s="1"/>
  <c r="N118" i="27" s="1"/>
  <c r="N119" i="27" s="1"/>
  <c r="N120" i="27" s="1"/>
  <c r="N121" i="27" s="1"/>
  <c r="O98" i="27"/>
  <c r="O99" i="27" s="1"/>
  <c r="O100" i="27" s="1"/>
  <c r="O101" i="27" s="1"/>
  <c r="O102" i="27" s="1"/>
  <c r="O103" i="27" s="1"/>
  <c r="O104" i="27" s="1"/>
  <c r="O105" i="27" s="1"/>
  <c r="O106" i="27" s="1"/>
  <c r="O107" i="27" s="1"/>
  <c r="O108" i="27" s="1"/>
  <c r="O109" i="27" s="1"/>
  <c r="N98" i="27"/>
  <c r="N99" i="27" s="1"/>
  <c r="N100" i="27" s="1"/>
  <c r="N101" i="27" s="1"/>
  <c r="N102" i="27" s="1"/>
  <c r="N103" i="27" s="1"/>
  <c r="N104" i="27" s="1"/>
  <c r="N105" i="27" s="1"/>
  <c r="N106" i="27" s="1"/>
  <c r="N107" i="27" s="1"/>
  <c r="N108" i="27" s="1"/>
  <c r="N109" i="27" s="1"/>
  <c r="O86" i="27"/>
  <c r="O87" i="27" s="1"/>
  <c r="O88" i="27" s="1"/>
  <c r="O89" i="27" s="1"/>
  <c r="O90" i="27" s="1"/>
  <c r="O91" i="27" s="1"/>
  <c r="O92" i="27" s="1"/>
  <c r="O93" i="27" s="1"/>
  <c r="O94" i="27" s="1"/>
  <c r="O95" i="27" s="1"/>
  <c r="O96" i="27" s="1"/>
  <c r="O97" i="27" s="1"/>
  <c r="N86" i="27"/>
  <c r="N87" i="27" s="1"/>
  <c r="N88" i="27" s="1"/>
  <c r="N89" i="27" s="1"/>
  <c r="N90" i="27" s="1"/>
  <c r="N91" i="27" s="1"/>
  <c r="N92" i="27" s="1"/>
  <c r="N93" i="27" s="1"/>
  <c r="N94" i="27" s="1"/>
  <c r="N95" i="27" s="1"/>
  <c r="N96" i="27" s="1"/>
  <c r="N97" i="27" s="1"/>
  <c r="O74" i="27"/>
  <c r="O75" i="27" s="1"/>
  <c r="O76" i="27" s="1"/>
  <c r="O77" i="27" s="1"/>
  <c r="O78" i="27" s="1"/>
  <c r="O79" i="27" s="1"/>
  <c r="O80" i="27" s="1"/>
  <c r="O81" i="27" s="1"/>
  <c r="O82" i="27" s="1"/>
  <c r="O83" i="27" s="1"/>
  <c r="O84" i="27" s="1"/>
  <c r="O85" i="27" s="1"/>
  <c r="N74" i="27"/>
  <c r="N75" i="27" s="1"/>
  <c r="N76" i="27" s="1"/>
  <c r="N77" i="27" s="1"/>
  <c r="N78" i="27" s="1"/>
  <c r="N79" i="27" s="1"/>
  <c r="N80" i="27" s="1"/>
  <c r="N81" i="27" s="1"/>
  <c r="N82" i="27" s="1"/>
  <c r="N83" i="27" s="1"/>
  <c r="N84" i="27" s="1"/>
  <c r="N85" i="27" s="1"/>
  <c r="O62" i="27"/>
  <c r="O63" i="27" s="1"/>
  <c r="O64" i="27" s="1"/>
  <c r="O65" i="27" s="1"/>
  <c r="O66" i="27" s="1"/>
  <c r="O67" i="27" s="1"/>
  <c r="O68" i="27" s="1"/>
  <c r="O69" i="27" s="1"/>
  <c r="O70" i="27" s="1"/>
  <c r="O71" i="27" s="1"/>
  <c r="O72" i="27" s="1"/>
  <c r="O73" i="27" s="1"/>
  <c r="N62" i="27"/>
  <c r="N63" i="27" s="1"/>
  <c r="N64" i="27" s="1"/>
  <c r="N65" i="27" s="1"/>
  <c r="N66" i="27" s="1"/>
  <c r="N67" i="27" s="1"/>
  <c r="N68" i="27" s="1"/>
  <c r="N69" i="27" s="1"/>
  <c r="N70" i="27" s="1"/>
  <c r="N71" i="27" s="1"/>
  <c r="N72" i="27" s="1"/>
  <c r="N73" i="27" s="1"/>
  <c r="O50" i="27"/>
  <c r="O51" i="27" s="1"/>
  <c r="O52" i="27" s="1"/>
  <c r="O53" i="27" s="1"/>
  <c r="O54" i="27" s="1"/>
  <c r="O55" i="27" s="1"/>
  <c r="O56" i="27" s="1"/>
  <c r="O57" i="27" s="1"/>
  <c r="O58" i="27" s="1"/>
  <c r="O59" i="27" s="1"/>
  <c r="O60" i="27" s="1"/>
  <c r="O61" i="27" s="1"/>
  <c r="N50" i="27"/>
  <c r="N51" i="27" s="1"/>
  <c r="N52" i="27" s="1"/>
  <c r="N53" i="27" s="1"/>
  <c r="N54" i="27" s="1"/>
  <c r="N55" i="27" s="1"/>
  <c r="N56" i="27" s="1"/>
  <c r="N57" i="27" s="1"/>
  <c r="N58" i="27" s="1"/>
  <c r="N59" i="27" s="1"/>
  <c r="N60" i="27" s="1"/>
  <c r="N61" i="27" s="1"/>
  <c r="O38" i="27"/>
  <c r="O39" i="27" s="1"/>
  <c r="O40" i="27" s="1"/>
  <c r="O41" i="27" s="1"/>
  <c r="O42" i="27" s="1"/>
  <c r="O43" i="27" s="1"/>
  <c r="O44" i="27" s="1"/>
  <c r="O45" i="27" s="1"/>
  <c r="O46" i="27" s="1"/>
  <c r="O47" i="27" s="1"/>
  <c r="O48" i="27" s="1"/>
  <c r="O49" i="27" s="1"/>
  <c r="N38" i="27"/>
  <c r="N39" i="27" s="1"/>
  <c r="N40" i="27" s="1"/>
  <c r="N41" i="27" s="1"/>
  <c r="N42" i="27" s="1"/>
  <c r="N43" i="27" s="1"/>
  <c r="N44" i="27" s="1"/>
  <c r="N45" i="27" s="1"/>
  <c r="N46" i="27" s="1"/>
  <c r="N47" i="27" s="1"/>
  <c r="N48" i="27" s="1"/>
  <c r="N49" i="27" s="1"/>
  <c r="O26" i="27"/>
  <c r="O27" i="27" s="1"/>
  <c r="O28" i="27" s="1"/>
  <c r="O29" i="27" s="1"/>
  <c r="O30" i="27" s="1"/>
  <c r="O31" i="27" s="1"/>
  <c r="O32" i="27" s="1"/>
  <c r="O33" i="27" s="1"/>
  <c r="O34" i="27" s="1"/>
  <c r="O35" i="27" s="1"/>
  <c r="O36" i="27" s="1"/>
  <c r="O37" i="27" s="1"/>
  <c r="N26" i="27"/>
  <c r="N27" i="27" s="1"/>
  <c r="N28" i="27" s="1"/>
  <c r="N29" i="27" s="1"/>
  <c r="N30" i="27" s="1"/>
  <c r="N31" i="27" s="1"/>
  <c r="N32" i="27" s="1"/>
  <c r="N33" i="27" s="1"/>
  <c r="N34" i="27" s="1"/>
  <c r="N35" i="27" s="1"/>
  <c r="N36" i="27" s="1"/>
  <c r="N37" i="27" s="1"/>
  <c r="O14" i="27"/>
  <c r="O15" i="27" s="1"/>
  <c r="O16" i="27" s="1"/>
  <c r="O17" i="27" s="1"/>
  <c r="O18" i="27" s="1"/>
  <c r="O19" i="27" s="1"/>
  <c r="O20" i="27" s="1"/>
  <c r="O21" i="27" s="1"/>
  <c r="O22" i="27" s="1"/>
  <c r="O23" i="27" s="1"/>
  <c r="O24" i="27" s="1"/>
  <c r="O25" i="27" s="1"/>
  <c r="N14" i="27"/>
  <c r="N15" i="27" s="1"/>
  <c r="N16" i="27" s="1"/>
  <c r="N17" i="27" s="1"/>
  <c r="N18" i="27" s="1"/>
  <c r="N19" i="27" s="1"/>
  <c r="N20" i="27" s="1"/>
  <c r="N21" i="27" s="1"/>
  <c r="N22" i="27" s="1"/>
  <c r="N23" i="27" s="1"/>
  <c r="N24" i="27" s="1"/>
  <c r="N25" i="27" s="1"/>
  <c r="K722" i="27"/>
  <c r="K723" i="27" s="1"/>
  <c r="K724" i="27" s="1"/>
  <c r="K725" i="27" s="1"/>
  <c r="K726" i="27" s="1"/>
  <c r="K727" i="27" s="1"/>
  <c r="K728" i="27" s="1"/>
  <c r="K729" i="27" s="1"/>
  <c r="K730" i="27" s="1"/>
  <c r="K731" i="27" s="1"/>
  <c r="K732" i="27" s="1"/>
  <c r="K733" i="27" s="1"/>
  <c r="J722" i="27"/>
  <c r="J723" i="27" s="1"/>
  <c r="J724" i="27" s="1"/>
  <c r="J725" i="27" s="1"/>
  <c r="J726" i="27" s="1"/>
  <c r="J727" i="27" s="1"/>
  <c r="J728" i="27" s="1"/>
  <c r="J729" i="27" s="1"/>
  <c r="J730" i="27" s="1"/>
  <c r="J731" i="27" s="1"/>
  <c r="J732" i="27" s="1"/>
  <c r="J733" i="27" s="1"/>
  <c r="K650" i="27"/>
  <c r="K651" i="27" s="1"/>
  <c r="K652" i="27" s="1"/>
  <c r="K653" i="27" s="1"/>
  <c r="K654" i="27" s="1"/>
  <c r="K655" i="27" s="1"/>
  <c r="K656" i="27" s="1"/>
  <c r="K657" i="27" s="1"/>
  <c r="K658" i="27" s="1"/>
  <c r="K659" i="27" s="1"/>
  <c r="K660" i="27" s="1"/>
  <c r="K661" i="27" s="1"/>
  <c r="J650" i="27"/>
  <c r="J651" i="27" s="1"/>
  <c r="J652" i="27" s="1"/>
  <c r="J653" i="27" s="1"/>
  <c r="J654" i="27" s="1"/>
  <c r="J655" i="27" s="1"/>
  <c r="J656" i="27" s="1"/>
  <c r="J657" i="27" s="1"/>
  <c r="J658" i="27" s="1"/>
  <c r="J659" i="27" s="1"/>
  <c r="J660" i="27" s="1"/>
  <c r="J661" i="27" s="1"/>
  <c r="K566" i="27"/>
  <c r="K567" i="27" s="1"/>
  <c r="K568" i="27" s="1"/>
  <c r="K569" i="27" s="1"/>
  <c r="K570" i="27" s="1"/>
  <c r="K571" i="27" s="1"/>
  <c r="K572" i="27" s="1"/>
  <c r="K573" i="27" s="1"/>
  <c r="K574" i="27" s="1"/>
  <c r="K575" i="27" s="1"/>
  <c r="K576" i="27" s="1"/>
  <c r="K577" i="27" s="1"/>
  <c r="J566" i="27"/>
  <c r="J567" i="27" s="1"/>
  <c r="J568" i="27" s="1"/>
  <c r="J569" i="27" s="1"/>
  <c r="J570" i="27" s="1"/>
  <c r="J571" i="27" s="1"/>
  <c r="J572" i="27" s="1"/>
  <c r="J573" i="27" s="1"/>
  <c r="J574" i="27" s="1"/>
  <c r="J575" i="27" s="1"/>
  <c r="J576" i="27" s="1"/>
  <c r="J577" i="27" s="1"/>
  <c r="K542" i="27"/>
  <c r="K543" i="27" s="1"/>
  <c r="K544" i="27" s="1"/>
  <c r="K545" i="27" s="1"/>
  <c r="K546" i="27" s="1"/>
  <c r="K547" i="27" s="1"/>
  <c r="K548" i="27" s="1"/>
  <c r="K549" i="27" s="1"/>
  <c r="K550" i="27" s="1"/>
  <c r="K551" i="27" s="1"/>
  <c r="K552" i="27" s="1"/>
  <c r="K553" i="27" s="1"/>
  <c r="J542" i="27"/>
  <c r="J543" i="27" s="1"/>
  <c r="J544" i="27" s="1"/>
  <c r="J545" i="27" s="1"/>
  <c r="J546" i="27" s="1"/>
  <c r="J547" i="27" s="1"/>
  <c r="J548" i="27" s="1"/>
  <c r="J549" i="27" s="1"/>
  <c r="J550" i="27" s="1"/>
  <c r="J551" i="27" s="1"/>
  <c r="J552" i="27" s="1"/>
  <c r="J553" i="27" s="1"/>
  <c r="K518" i="27"/>
  <c r="K519" i="27" s="1"/>
  <c r="K520" i="27" s="1"/>
  <c r="K521" i="27" s="1"/>
  <c r="K522" i="27" s="1"/>
  <c r="K523" i="27" s="1"/>
  <c r="K524" i="27" s="1"/>
  <c r="K525" i="27" s="1"/>
  <c r="K526" i="27" s="1"/>
  <c r="K527" i="27" s="1"/>
  <c r="K528" i="27" s="1"/>
  <c r="K529" i="27" s="1"/>
  <c r="J518" i="27"/>
  <c r="J519" i="27" s="1"/>
  <c r="J520" i="27" s="1"/>
  <c r="J521" i="27" s="1"/>
  <c r="J522" i="27" s="1"/>
  <c r="J523" i="27" s="1"/>
  <c r="J524" i="27" s="1"/>
  <c r="J525" i="27" s="1"/>
  <c r="J526" i="27" s="1"/>
  <c r="J527" i="27" s="1"/>
  <c r="J528" i="27" s="1"/>
  <c r="J529" i="27" s="1"/>
  <c r="K494" i="27"/>
  <c r="K495" i="27" s="1"/>
  <c r="K496" i="27" s="1"/>
  <c r="K497" i="27" s="1"/>
  <c r="K498" i="27" s="1"/>
  <c r="K499" i="27" s="1"/>
  <c r="K500" i="27" s="1"/>
  <c r="K501" i="27" s="1"/>
  <c r="K502" i="27" s="1"/>
  <c r="K503" i="27" s="1"/>
  <c r="K504" i="27" s="1"/>
  <c r="K505" i="27" s="1"/>
  <c r="J494" i="27"/>
  <c r="J495" i="27" s="1"/>
  <c r="J496" i="27" s="1"/>
  <c r="J497" i="27" s="1"/>
  <c r="J498" i="27" s="1"/>
  <c r="J499" i="27" s="1"/>
  <c r="J500" i="27" s="1"/>
  <c r="J501" i="27" s="1"/>
  <c r="J502" i="27" s="1"/>
  <c r="J503" i="27" s="1"/>
  <c r="J504" i="27" s="1"/>
  <c r="J505" i="27" s="1"/>
  <c r="K482" i="27"/>
  <c r="K483" i="27" s="1"/>
  <c r="K484" i="27" s="1"/>
  <c r="K485" i="27" s="1"/>
  <c r="K486" i="27" s="1"/>
  <c r="K487" i="27" s="1"/>
  <c r="K488" i="27" s="1"/>
  <c r="K489" i="27" s="1"/>
  <c r="K490" i="27" s="1"/>
  <c r="K491" i="27" s="1"/>
  <c r="K492" i="27" s="1"/>
  <c r="K493" i="27" s="1"/>
  <c r="J482" i="27"/>
  <c r="J483" i="27" s="1"/>
  <c r="J484" i="27" s="1"/>
  <c r="J485" i="27" s="1"/>
  <c r="J486" i="27" s="1"/>
  <c r="J487" i="27" s="1"/>
  <c r="J488" i="27" s="1"/>
  <c r="J489" i="27" s="1"/>
  <c r="J490" i="27" s="1"/>
  <c r="J491" i="27" s="1"/>
  <c r="J492" i="27" s="1"/>
  <c r="J493" i="27" s="1"/>
  <c r="K422" i="27"/>
  <c r="K423" i="27" s="1"/>
  <c r="K424" i="27" s="1"/>
  <c r="K425" i="27" s="1"/>
  <c r="K426" i="27" s="1"/>
  <c r="K427" i="27" s="1"/>
  <c r="K428" i="27" s="1"/>
  <c r="K429" i="27" s="1"/>
  <c r="K430" i="27" s="1"/>
  <c r="K431" i="27" s="1"/>
  <c r="K432" i="27" s="1"/>
  <c r="K433" i="27" s="1"/>
  <c r="J422" i="27"/>
  <c r="J423" i="27" s="1"/>
  <c r="J424" i="27" s="1"/>
  <c r="J425" i="27" s="1"/>
  <c r="J426" i="27" s="1"/>
  <c r="J427" i="27" s="1"/>
  <c r="J428" i="27" s="1"/>
  <c r="J429" i="27" s="1"/>
  <c r="J430" i="27" s="1"/>
  <c r="J431" i="27" s="1"/>
  <c r="J432" i="27" s="1"/>
  <c r="J433" i="27" s="1"/>
  <c r="K398" i="27"/>
  <c r="K399" i="27" s="1"/>
  <c r="K400" i="27" s="1"/>
  <c r="K401" i="27" s="1"/>
  <c r="K402" i="27" s="1"/>
  <c r="K403" i="27" s="1"/>
  <c r="K404" i="27" s="1"/>
  <c r="K405" i="27" s="1"/>
  <c r="K406" i="27" s="1"/>
  <c r="K407" i="27" s="1"/>
  <c r="K408" i="27" s="1"/>
  <c r="K409" i="27" s="1"/>
  <c r="J398" i="27"/>
  <c r="J399" i="27" s="1"/>
  <c r="J400" i="27" s="1"/>
  <c r="J401" i="27" s="1"/>
  <c r="J402" i="27" s="1"/>
  <c r="J403" i="27" s="1"/>
  <c r="J404" i="27" s="1"/>
  <c r="J405" i="27" s="1"/>
  <c r="J406" i="27" s="1"/>
  <c r="J407" i="27" s="1"/>
  <c r="J408" i="27" s="1"/>
  <c r="J409" i="27" s="1"/>
  <c r="K374" i="27"/>
  <c r="K375" i="27" s="1"/>
  <c r="K376" i="27" s="1"/>
  <c r="K377" i="27" s="1"/>
  <c r="K378" i="27" s="1"/>
  <c r="K379" i="27" s="1"/>
  <c r="K380" i="27" s="1"/>
  <c r="K381" i="27" s="1"/>
  <c r="K382" i="27" s="1"/>
  <c r="K383" i="27" s="1"/>
  <c r="K384" i="27" s="1"/>
  <c r="K385" i="27" s="1"/>
  <c r="J374" i="27"/>
  <c r="J375" i="27" s="1"/>
  <c r="J376" i="27" s="1"/>
  <c r="J377" i="27" s="1"/>
  <c r="J378" i="27" s="1"/>
  <c r="J379" i="27" s="1"/>
  <c r="J380" i="27" s="1"/>
  <c r="J381" i="27" s="1"/>
  <c r="J382" i="27" s="1"/>
  <c r="J383" i="27" s="1"/>
  <c r="J384" i="27" s="1"/>
  <c r="J385" i="27" s="1"/>
  <c r="K314" i="27"/>
  <c r="K315" i="27" s="1"/>
  <c r="K316" i="27" s="1"/>
  <c r="K317" i="27" s="1"/>
  <c r="K318" i="27" s="1"/>
  <c r="K319" i="27" s="1"/>
  <c r="K320" i="27" s="1"/>
  <c r="K321" i="27" s="1"/>
  <c r="K322" i="27" s="1"/>
  <c r="K323" i="27" s="1"/>
  <c r="K324" i="27" s="1"/>
  <c r="K325" i="27" s="1"/>
  <c r="J314" i="27"/>
  <c r="J315" i="27" s="1"/>
  <c r="J316" i="27" s="1"/>
  <c r="J317" i="27" s="1"/>
  <c r="J318" i="27" s="1"/>
  <c r="J319" i="27" s="1"/>
  <c r="J320" i="27" s="1"/>
  <c r="J321" i="27" s="1"/>
  <c r="J322" i="27" s="1"/>
  <c r="J323" i="27" s="1"/>
  <c r="J324" i="27" s="1"/>
  <c r="J325" i="27" s="1"/>
  <c r="K170" i="27"/>
  <c r="K171" i="27" s="1"/>
  <c r="K172" i="27" s="1"/>
  <c r="K173" i="27" s="1"/>
  <c r="K174" i="27" s="1"/>
  <c r="K175" i="27" s="1"/>
  <c r="K176" i="27" s="1"/>
  <c r="K177" i="27" s="1"/>
  <c r="K178" i="27" s="1"/>
  <c r="K179" i="27" s="1"/>
  <c r="K180" i="27" s="1"/>
  <c r="K181" i="27" s="1"/>
  <c r="J170" i="27"/>
  <c r="J171" i="27" s="1"/>
  <c r="J172" i="27" s="1"/>
  <c r="J173" i="27" s="1"/>
  <c r="J174" i="27" s="1"/>
  <c r="J175" i="27" s="1"/>
  <c r="J176" i="27" s="1"/>
  <c r="J177" i="27" s="1"/>
  <c r="J178" i="27" s="1"/>
  <c r="J179" i="27" s="1"/>
  <c r="J180" i="27" s="1"/>
  <c r="J181" i="27" s="1"/>
  <c r="K146" i="27"/>
  <c r="K147" i="27" s="1"/>
  <c r="K148" i="27" s="1"/>
  <c r="K149" i="27" s="1"/>
  <c r="K150" i="27" s="1"/>
  <c r="K151" i="27" s="1"/>
  <c r="K152" i="27" s="1"/>
  <c r="K153" i="27" s="1"/>
  <c r="K154" i="27" s="1"/>
  <c r="K155" i="27" s="1"/>
  <c r="K156" i="27" s="1"/>
  <c r="K157" i="27" s="1"/>
  <c r="J146" i="27"/>
  <c r="J147" i="27" s="1"/>
  <c r="J148" i="27" s="1"/>
  <c r="J149" i="27" s="1"/>
  <c r="J150" i="27" s="1"/>
  <c r="J151" i="27" s="1"/>
  <c r="J152" i="27" s="1"/>
  <c r="J153" i="27" s="1"/>
  <c r="J154" i="27" s="1"/>
  <c r="J155" i="27" s="1"/>
  <c r="J156" i="27" s="1"/>
  <c r="J157" i="27" s="1"/>
  <c r="K86" i="27"/>
  <c r="K87" i="27" s="1"/>
  <c r="K88" i="27" s="1"/>
  <c r="K89" i="27" s="1"/>
  <c r="K90" i="27" s="1"/>
  <c r="K91" i="27" s="1"/>
  <c r="K92" i="27" s="1"/>
  <c r="K93" i="27" s="1"/>
  <c r="K94" i="27" s="1"/>
  <c r="K95" i="27" s="1"/>
  <c r="K96" i="27" s="1"/>
  <c r="K97" i="27" s="1"/>
  <c r="J86" i="27"/>
  <c r="J87" i="27" s="1"/>
  <c r="J88" i="27" s="1"/>
  <c r="J89" i="27" s="1"/>
  <c r="J90" i="27" s="1"/>
  <c r="J91" i="27" s="1"/>
  <c r="J92" i="27" s="1"/>
  <c r="J93" i="27" s="1"/>
  <c r="J94" i="27" s="1"/>
  <c r="J95" i="27" s="1"/>
  <c r="J96" i="27" s="1"/>
  <c r="J97" i="27" s="1"/>
  <c r="K62" i="27"/>
  <c r="K63" i="27" s="1"/>
  <c r="K64" i="27" s="1"/>
  <c r="K65" i="27" s="1"/>
  <c r="K66" i="27" s="1"/>
  <c r="K67" i="27" s="1"/>
  <c r="K68" i="27" s="1"/>
  <c r="K69" i="27" s="1"/>
  <c r="K70" i="27" s="1"/>
  <c r="K71" i="27" s="1"/>
  <c r="K72" i="27" s="1"/>
  <c r="K73" i="27" s="1"/>
  <c r="J62" i="27"/>
  <c r="J63" i="27" s="1"/>
  <c r="J64" i="27" s="1"/>
  <c r="J65" i="27" s="1"/>
  <c r="J66" i="27" s="1"/>
  <c r="J67" i="27" s="1"/>
  <c r="J68" i="27" s="1"/>
  <c r="J69" i="27" s="1"/>
  <c r="J70" i="27" s="1"/>
  <c r="J71" i="27" s="1"/>
  <c r="J72" i="27" s="1"/>
  <c r="J73" i="27" s="1"/>
  <c r="K26" i="27"/>
  <c r="K27" i="27" s="1"/>
  <c r="K28" i="27" s="1"/>
  <c r="K29" i="27" s="1"/>
  <c r="K30" i="27" s="1"/>
  <c r="K31" i="27" s="1"/>
  <c r="K32" i="27" s="1"/>
  <c r="K33" i="27" s="1"/>
  <c r="K34" i="27" s="1"/>
  <c r="K35" i="27" s="1"/>
  <c r="K36" i="27" s="1"/>
  <c r="K37" i="27" s="1"/>
  <c r="J26" i="27"/>
  <c r="J27" i="27" s="1"/>
  <c r="J28" i="27" s="1"/>
  <c r="J29" i="27" s="1"/>
  <c r="J30" i="27" s="1"/>
  <c r="J31" i="27" s="1"/>
  <c r="J32" i="27" s="1"/>
  <c r="J33" i="27" s="1"/>
  <c r="J34" i="27" s="1"/>
  <c r="J35" i="27" s="1"/>
  <c r="J36" i="27" s="1"/>
  <c r="J37" i="27" s="1"/>
  <c r="K734" i="27"/>
  <c r="K735" i="27" s="1"/>
  <c r="K736" i="27" s="1"/>
  <c r="K737" i="27" s="1"/>
  <c r="K738" i="27" s="1"/>
  <c r="K739" i="27" s="1"/>
  <c r="K740" i="27" s="1"/>
  <c r="K741" i="27" s="1"/>
  <c r="K742" i="27" s="1"/>
  <c r="K743" i="27" s="1"/>
  <c r="K744" i="27" s="1"/>
  <c r="K745" i="27" s="1"/>
  <c r="J734" i="27"/>
  <c r="J735" i="27" s="1"/>
  <c r="J736" i="27" s="1"/>
  <c r="J737" i="27" s="1"/>
  <c r="J738" i="27" s="1"/>
  <c r="J739" i="27" s="1"/>
  <c r="J740" i="27" s="1"/>
  <c r="J741" i="27" s="1"/>
  <c r="J742" i="27" s="1"/>
  <c r="J743" i="27" s="1"/>
  <c r="J744" i="27" s="1"/>
  <c r="J745" i="27" s="1"/>
  <c r="K710" i="27"/>
  <c r="K711" i="27" s="1"/>
  <c r="K712" i="27" s="1"/>
  <c r="K713" i="27" s="1"/>
  <c r="K714" i="27" s="1"/>
  <c r="K715" i="27" s="1"/>
  <c r="K716" i="27" s="1"/>
  <c r="K717" i="27" s="1"/>
  <c r="K718" i="27" s="1"/>
  <c r="K719" i="27" s="1"/>
  <c r="K720" i="27" s="1"/>
  <c r="K721" i="27" s="1"/>
  <c r="J710" i="27"/>
  <c r="J711" i="27" s="1"/>
  <c r="J712" i="27" s="1"/>
  <c r="J713" i="27" s="1"/>
  <c r="J714" i="27" s="1"/>
  <c r="J715" i="27" s="1"/>
  <c r="J716" i="27" s="1"/>
  <c r="J717" i="27" s="1"/>
  <c r="J718" i="27" s="1"/>
  <c r="J719" i="27" s="1"/>
  <c r="J720" i="27" s="1"/>
  <c r="J721" i="27" s="1"/>
  <c r="K698" i="27"/>
  <c r="K699" i="27" s="1"/>
  <c r="K700" i="27" s="1"/>
  <c r="K701" i="27" s="1"/>
  <c r="K702" i="27" s="1"/>
  <c r="K703" i="27" s="1"/>
  <c r="K704" i="27" s="1"/>
  <c r="K705" i="27" s="1"/>
  <c r="K706" i="27" s="1"/>
  <c r="K707" i="27" s="1"/>
  <c r="K708" i="27" s="1"/>
  <c r="K709" i="27" s="1"/>
  <c r="J698" i="27"/>
  <c r="J699" i="27" s="1"/>
  <c r="J700" i="27" s="1"/>
  <c r="J701" i="27" s="1"/>
  <c r="J702" i="27" s="1"/>
  <c r="J703" i="27" s="1"/>
  <c r="J704" i="27" s="1"/>
  <c r="J705" i="27" s="1"/>
  <c r="J706" i="27" s="1"/>
  <c r="J707" i="27" s="1"/>
  <c r="J708" i="27" s="1"/>
  <c r="J709" i="27" s="1"/>
  <c r="K674" i="27"/>
  <c r="K675" i="27" s="1"/>
  <c r="K676" i="27" s="1"/>
  <c r="K677" i="27" s="1"/>
  <c r="K678" i="27" s="1"/>
  <c r="K679" i="27" s="1"/>
  <c r="K680" i="27" s="1"/>
  <c r="K681" i="27" s="1"/>
  <c r="K682" i="27" s="1"/>
  <c r="K683" i="27" s="1"/>
  <c r="K684" i="27" s="1"/>
  <c r="K685" i="27" s="1"/>
  <c r="J674" i="27"/>
  <c r="J675" i="27" s="1"/>
  <c r="J676" i="27" s="1"/>
  <c r="J677" i="27" s="1"/>
  <c r="J678" i="27" s="1"/>
  <c r="J679" i="27" s="1"/>
  <c r="J680" i="27" s="1"/>
  <c r="J681" i="27" s="1"/>
  <c r="J682" i="27" s="1"/>
  <c r="J683" i="27" s="1"/>
  <c r="J684" i="27" s="1"/>
  <c r="J685" i="27" s="1"/>
  <c r="K662" i="27"/>
  <c r="K663" i="27" s="1"/>
  <c r="K664" i="27" s="1"/>
  <c r="K665" i="27" s="1"/>
  <c r="K666" i="27" s="1"/>
  <c r="K667" i="27" s="1"/>
  <c r="K668" i="27" s="1"/>
  <c r="K669" i="27" s="1"/>
  <c r="K670" i="27" s="1"/>
  <c r="K671" i="27" s="1"/>
  <c r="K672" i="27" s="1"/>
  <c r="K673" i="27" s="1"/>
  <c r="J662" i="27"/>
  <c r="J663" i="27" s="1"/>
  <c r="J664" i="27" s="1"/>
  <c r="J665" i="27" s="1"/>
  <c r="J666" i="27" s="1"/>
  <c r="J667" i="27" s="1"/>
  <c r="J668" i="27" s="1"/>
  <c r="J669" i="27" s="1"/>
  <c r="J670" i="27" s="1"/>
  <c r="J671" i="27" s="1"/>
  <c r="J672" i="27" s="1"/>
  <c r="J673" i="27" s="1"/>
  <c r="K638" i="27"/>
  <c r="K639" i="27" s="1"/>
  <c r="K640" i="27" s="1"/>
  <c r="K641" i="27" s="1"/>
  <c r="K642" i="27" s="1"/>
  <c r="K643" i="27" s="1"/>
  <c r="K644" i="27" s="1"/>
  <c r="K645" i="27" s="1"/>
  <c r="K646" i="27" s="1"/>
  <c r="K647" i="27" s="1"/>
  <c r="K648" i="27" s="1"/>
  <c r="K649" i="27" s="1"/>
  <c r="J638" i="27"/>
  <c r="J639" i="27" s="1"/>
  <c r="J640" i="27" s="1"/>
  <c r="J641" i="27" s="1"/>
  <c r="J642" i="27" s="1"/>
  <c r="J643" i="27" s="1"/>
  <c r="J644" i="27" s="1"/>
  <c r="J645" i="27" s="1"/>
  <c r="J646" i="27" s="1"/>
  <c r="J647" i="27" s="1"/>
  <c r="J648" i="27" s="1"/>
  <c r="J649" i="27" s="1"/>
  <c r="K614" i="27"/>
  <c r="K615" i="27" s="1"/>
  <c r="K616" i="27" s="1"/>
  <c r="K617" i="27" s="1"/>
  <c r="K618" i="27" s="1"/>
  <c r="K619" i="27" s="1"/>
  <c r="K620" i="27" s="1"/>
  <c r="K621" i="27" s="1"/>
  <c r="K622" i="27" s="1"/>
  <c r="K623" i="27" s="1"/>
  <c r="K624" i="27" s="1"/>
  <c r="K625" i="27" s="1"/>
  <c r="J614" i="27"/>
  <c r="J615" i="27" s="1"/>
  <c r="J616" i="27" s="1"/>
  <c r="J617" i="27" s="1"/>
  <c r="J618" i="27" s="1"/>
  <c r="J619" i="27" s="1"/>
  <c r="J620" i="27" s="1"/>
  <c r="J621" i="27" s="1"/>
  <c r="J622" i="27" s="1"/>
  <c r="J623" i="27" s="1"/>
  <c r="J624" i="27" s="1"/>
  <c r="J625" i="27" s="1"/>
  <c r="K602" i="27"/>
  <c r="K603" i="27" s="1"/>
  <c r="K604" i="27" s="1"/>
  <c r="K605" i="27" s="1"/>
  <c r="K606" i="27" s="1"/>
  <c r="K607" i="27" s="1"/>
  <c r="K608" i="27" s="1"/>
  <c r="K609" i="27" s="1"/>
  <c r="K610" i="27" s="1"/>
  <c r="K611" i="27" s="1"/>
  <c r="K612" i="27" s="1"/>
  <c r="K613" i="27" s="1"/>
  <c r="J602" i="27"/>
  <c r="J603" i="27" s="1"/>
  <c r="J604" i="27" s="1"/>
  <c r="J605" i="27" s="1"/>
  <c r="J606" i="27" s="1"/>
  <c r="J607" i="27" s="1"/>
  <c r="J608" i="27" s="1"/>
  <c r="J609" i="27" s="1"/>
  <c r="J610" i="27" s="1"/>
  <c r="J611" i="27" s="1"/>
  <c r="J612" i="27" s="1"/>
  <c r="J613" i="27" s="1"/>
  <c r="K590" i="27"/>
  <c r="K591" i="27" s="1"/>
  <c r="K592" i="27" s="1"/>
  <c r="K593" i="27" s="1"/>
  <c r="K594" i="27" s="1"/>
  <c r="K595" i="27" s="1"/>
  <c r="K596" i="27" s="1"/>
  <c r="K597" i="27" s="1"/>
  <c r="K598" i="27" s="1"/>
  <c r="K599" i="27" s="1"/>
  <c r="K600" i="27" s="1"/>
  <c r="K601" i="27" s="1"/>
  <c r="J590" i="27"/>
  <c r="J591" i="27" s="1"/>
  <c r="J592" i="27" s="1"/>
  <c r="J593" i="27" s="1"/>
  <c r="J594" i="27" s="1"/>
  <c r="J595" i="27" s="1"/>
  <c r="J596" i="27" s="1"/>
  <c r="J597" i="27" s="1"/>
  <c r="J598" i="27" s="1"/>
  <c r="J599" i="27" s="1"/>
  <c r="J600" i="27" s="1"/>
  <c r="J601" i="27" s="1"/>
  <c r="K554" i="27"/>
  <c r="K555" i="27" s="1"/>
  <c r="K556" i="27" s="1"/>
  <c r="K557" i="27" s="1"/>
  <c r="K558" i="27" s="1"/>
  <c r="K559" i="27" s="1"/>
  <c r="K560" i="27" s="1"/>
  <c r="K561" i="27" s="1"/>
  <c r="K562" i="27" s="1"/>
  <c r="K563" i="27" s="1"/>
  <c r="K564" i="27" s="1"/>
  <c r="K565" i="27" s="1"/>
  <c r="J554" i="27"/>
  <c r="J555" i="27" s="1"/>
  <c r="J556" i="27" s="1"/>
  <c r="J557" i="27" s="1"/>
  <c r="J558" i="27" s="1"/>
  <c r="J559" i="27" s="1"/>
  <c r="J560" i="27" s="1"/>
  <c r="J561" i="27" s="1"/>
  <c r="J562" i="27" s="1"/>
  <c r="J563" i="27" s="1"/>
  <c r="J564" i="27" s="1"/>
  <c r="J565" i="27" s="1"/>
  <c r="K530" i="27"/>
  <c r="K531" i="27" s="1"/>
  <c r="K532" i="27" s="1"/>
  <c r="K533" i="27" s="1"/>
  <c r="K534" i="27" s="1"/>
  <c r="K535" i="27" s="1"/>
  <c r="K536" i="27" s="1"/>
  <c r="K537" i="27" s="1"/>
  <c r="K538" i="27" s="1"/>
  <c r="K539" i="27" s="1"/>
  <c r="K540" i="27" s="1"/>
  <c r="K541" i="27" s="1"/>
  <c r="J530" i="27"/>
  <c r="J531" i="27" s="1"/>
  <c r="J532" i="27" s="1"/>
  <c r="J533" i="27" s="1"/>
  <c r="J534" i="27" s="1"/>
  <c r="J535" i="27" s="1"/>
  <c r="J536" i="27" s="1"/>
  <c r="J537" i="27" s="1"/>
  <c r="J538" i="27" s="1"/>
  <c r="J539" i="27" s="1"/>
  <c r="J540" i="27" s="1"/>
  <c r="J541" i="27" s="1"/>
  <c r="K506" i="27"/>
  <c r="K507" i="27" s="1"/>
  <c r="K508" i="27" s="1"/>
  <c r="K509" i="27" s="1"/>
  <c r="K510" i="27" s="1"/>
  <c r="K511" i="27" s="1"/>
  <c r="K512" i="27" s="1"/>
  <c r="K513" i="27" s="1"/>
  <c r="K514" i="27" s="1"/>
  <c r="K515" i="27" s="1"/>
  <c r="K516" i="27" s="1"/>
  <c r="K517" i="27" s="1"/>
  <c r="J506" i="27"/>
  <c r="J507" i="27" s="1"/>
  <c r="J508" i="27" s="1"/>
  <c r="J509" i="27" s="1"/>
  <c r="J510" i="27" s="1"/>
  <c r="J511" i="27" s="1"/>
  <c r="J512" i="27" s="1"/>
  <c r="J513" i="27" s="1"/>
  <c r="J514" i="27" s="1"/>
  <c r="J515" i="27" s="1"/>
  <c r="J516" i="27" s="1"/>
  <c r="J517" i="27" s="1"/>
  <c r="K470" i="27"/>
  <c r="K471" i="27" s="1"/>
  <c r="K472" i="27" s="1"/>
  <c r="K473" i="27" s="1"/>
  <c r="K474" i="27" s="1"/>
  <c r="K475" i="27" s="1"/>
  <c r="K476" i="27" s="1"/>
  <c r="K477" i="27" s="1"/>
  <c r="K478" i="27" s="1"/>
  <c r="K479" i="27" s="1"/>
  <c r="K480" i="27" s="1"/>
  <c r="K481" i="27" s="1"/>
  <c r="J470" i="27"/>
  <c r="J471" i="27" s="1"/>
  <c r="J472" i="27" s="1"/>
  <c r="J473" i="27" s="1"/>
  <c r="J474" i="27" s="1"/>
  <c r="J475" i="27" s="1"/>
  <c r="J476" i="27" s="1"/>
  <c r="J477" i="27" s="1"/>
  <c r="J478" i="27" s="1"/>
  <c r="J479" i="27" s="1"/>
  <c r="J480" i="27" s="1"/>
  <c r="J481" i="27" s="1"/>
  <c r="K434" i="27"/>
  <c r="K435" i="27" s="1"/>
  <c r="K436" i="27" s="1"/>
  <c r="K437" i="27" s="1"/>
  <c r="K438" i="27" s="1"/>
  <c r="K439" i="27" s="1"/>
  <c r="K440" i="27" s="1"/>
  <c r="K441" i="27" s="1"/>
  <c r="K442" i="27" s="1"/>
  <c r="K443" i="27" s="1"/>
  <c r="K444" i="27" s="1"/>
  <c r="K445" i="27" s="1"/>
  <c r="J434" i="27"/>
  <c r="J435" i="27" s="1"/>
  <c r="J436" i="27" s="1"/>
  <c r="J437" i="27" s="1"/>
  <c r="J438" i="27" s="1"/>
  <c r="J439" i="27" s="1"/>
  <c r="J440" i="27" s="1"/>
  <c r="J441" i="27" s="1"/>
  <c r="J442" i="27" s="1"/>
  <c r="J443" i="27" s="1"/>
  <c r="J444" i="27" s="1"/>
  <c r="J445" i="27" s="1"/>
  <c r="K410" i="27"/>
  <c r="K411" i="27" s="1"/>
  <c r="K412" i="27" s="1"/>
  <c r="K413" i="27" s="1"/>
  <c r="K414" i="27" s="1"/>
  <c r="K415" i="27" s="1"/>
  <c r="K416" i="27" s="1"/>
  <c r="K417" i="27" s="1"/>
  <c r="K418" i="27" s="1"/>
  <c r="K419" i="27" s="1"/>
  <c r="K420" i="27" s="1"/>
  <c r="K421" i="27" s="1"/>
  <c r="J410" i="27"/>
  <c r="J411" i="27" s="1"/>
  <c r="J412" i="27" s="1"/>
  <c r="J413" i="27" s="1"/>
  <c r="J414" i="27" s="1"/>
  <c r="J415" i="27" s="1"/>
  <c r="J416" i="27" s="1"/>
  <c r="J417" i="27" s="1"/>
  <c r="J418" i="27" s="1"/>
  <c r="J419" i="27" s="1"/>
  <c r="J420" i="27" s="1"/>
  <c r="J421" i="27" s="1"/>
  <c r="K386" i="27"/>
  <c r="K387" i="27" s="1"/>
  <c r="K388" i="27" s="1"/>
  <c r="K389" i="27" s="1"/>
  <c r="K390" i="27" s="1"/>
  <c r="K391" i="27" s="1"/>
  <c r="K392" i="27" s="1"/>
  <c r="K393" i="27" s="1"/>
  <c r="K394" i="27" s="1"/>
  <c r="K395" i="27" s="1"/>
  <c r="K396" i="27" s="1"/>
  <c r="K397" i="27" s="1"/>
  <c r="J386" i="27"/>
  <c r="J387" i="27" s="1"/>
  <c r="J388" i="27" s="1"/>
  <c r="J389" i="27" s="1"/>
  <c r="J390" i="27" s="1"/>
  <c r="J391" i="27" s="1"/>
  <c r="J392" i="27" s="1"/>
  <c r="J393" i="27" s="1"/>
  <c r="J394" i="27" s="1"/>
  <c r="J395" i="27" s="1"/>
  <c r="J396" i="27" s="1"/>
  <c r="J397" i="27" s="1"/>
  <c r="K362" i="27"/>
  <c r="K363" i="27" s="1"/>
  <c r="K364" i="27" s="1"/>
  <c r="K365" i="27" s="1"/>
  <c r="K366" i="27" s="1"/>
  <c r="K367" i="27" s="1"/>
  <c r="K368" i="27" s="1"/>
  <c r="K369" i="27" s="1"/>
  <c r="K370" i="27" s="1"/>
  <c r="K371" i="27" s="1"/>
  <c r="K372" i="27" s="1"/>
  <c r="K373" i="27" s="1"/>
  <c r="J362" i="27"/>
  <c r="J363" i="27" s="1"/>
  <c r="J364" i="27" s="1"/>
  <c r="J365" i="27" s="1"/>
  <c r="J366" i="27" s="1"/>
  <c r="J367" i="27" s="1"/>
  <c r="J368" i="27" s="1"/>
  <c r="J369" i="27" s="1"/>
  <c r="J370" i="27" s="1"/>
  <c r="J371" i="27" s="1"/>
  <c r="J372" i="27" s="1"/>
  <c r="J373" i="27" s="1"/>
  <c r="K350" i="27"/>
  <c r="K351" i="27" s="1"/>
  <c r="K352" i="27" s="1"/>
  <c r="K353" i="27" s="1"/>
  <c r="K354" i="27" s="1"/>
  <c r="K355" i="27" s="1"/>
  <c r="K356" i="27" s="1"/>
  <c r="K357" i="27" s="1"/>
  <c r="K358" i="27" s="1"/>
  <c r="K359" i="27" s="1"/>
  <c r="K360" i="27" s="1"/>
  <c r="K361" i="27" s="1"/>
  <c r="J350" i="27"/>
  <c r="J351" i="27" s="1"/>
  <c r="J352" i="27" s="1"/>
  <c r="J353" i="27" s="1"/>
  <c r="J354" i="27" s="1"/>
  <c r="J355" i="27" s="1"/>
  <c r="J356" i="27" s="1"/>
  <c r="J357" i="27" s="1"/>
  <c r="J358" i="27" s="1"/>
  <c r="J359" i="27" s="1"/>
  <c r="J360" i="27" s="1"/>
  <c r="J361" i="27" s="1"/>
  <c r="K338" i="27"/>
  <c r="K339" i="27" s="1"/>
  <c r="K340" i="27" s="1"/>
  <c r="K341" i="27" s="1"/>
  <c r="K342" i="27" s="1"/>
  <c r="K343" i="27" s="1"/>
  <c r="K344" i="27" s="1"/>
  <c r="K345" i="27" s="1"/>
  <c r="K346" i="27" s="1"/>
  <c r="K347" i="27" s="1"/>
  <c r="K348" i="27" s="1"/>
  <c r="K349" i="27" s="1"/>
  <c r="J338" i="27"/>
  <c r="J339" i="27" s="1"/>
  <c r="J340" i="27" s="1"/>
  <c r="J341" i="27" s="1"/>
  <c r="J342" i="27" s="1"/>
  <c r="J343" i="27" s="1"/>
  <c r="J344" i="27" s="1"/>
  <c r="J345" i="27" s="1"/>
  <c r="J346" i="27" s="1"/>
  <c r="J347" i="27" s="1"/>
  <c r="J348" i="27" s="1"/>
  <c r="J349" i="27" s="1"/>
  <c r="K326" i="27"/>
  <c r="K327" i="27" s="1"/>
  <c r="K328" i="27" s="1"/>
  <c r="K329" i="27" s="1"/>
  <c r="K330" i="27" s="1"/>
  <c r="K331" i="27" s="1"/>
  <c r="K332" i="27" s="1"/>
  <c r="K333" i="27" s="1"/>
  <c r="K334" i="27" s="1"/>
  <c r="K335" i="27" s="1"/>
  <c r="K336" i="27" s="1"/>
  <c r="K337" i="27" s="1"/>
  <c r="J326" i="27"/>
  <c r="J327" i="27" s="1"/>
  <c r="J328" i="27" s="1"/>
  <c r="J329" i="27" s="1"/>
  <c r="J330" i="27" s="1"/>
  <c r="J331" i="27" s="1"/>
  <c r="J332" i="27" s="1"/>
  <c r="J333" i="27" s="1"/>
  <c r="J334" i="27" s="1"/>
  <c r="J335" i="27" s="1"/>
  <c r="J336" i="27" s="1"/>
  <c r="J337" i="27" s="1"/>
  <c r="K290" i="27"/>
  <c r="K291" i="27" s="1"/>
  <c r="K292" i="27" s="1"/>
  <c r="K293" i="27" s="1"/>
  <c r="K294" i="27" s="1"/>
  <c r="K295" i="27" s="1"/>
  <c r="K296" i="27" s="1"/>
  <c r="K297" i="27" s="1"/>
  <c r="K298" i="27" s="1"/>
  <c r="K299" i="27" s="1"/>
  <c r="K300" i="27" s="1"/>
  <c r="K301" i="27" s="1"/>
  <c r="J290" i="27"/>
  <c r="J291" i="27" s="1"/>
  <c r="J292" i="27" s="1"/>
  <c r="J293" i="27" s="1"/>
  <c r="J294" i="27" s="1"/>
  <c r="J295" i="27" s="1"/>
  <c r="J296" i="27" s="1"/>
  <c r="J297" i="27" s="1"/>
  <c r="J298" i="27" s="1"/>
  <c r="J299" i="27" s="1"/>
  <c r="J300" i="27" s="1"/>
  <c r="J301" i="27" s="1"/>
  <c r="K278" i="27"/>
  <c r="K279" i="27" s="1"/>
  <c r="K280" i="27" s="1"/>
  <c r="K281" i="27" s="1"/>
  <c r="K282" i="27" s="1"/>
  <c r="K283" i="27" s="1"/>
  <c r="K284" i="27" s="1"/>
  <c r="K285" i="27" s="1"/>
  <c r="K286" i="27" s="1"/>
  <c r="K287" i="27" s="1"/>
  <c r="K288" i="27" s="1"/>
  <c r="K289" i="27" s="1"/>
  <c r="J278" i="27"/>
  <c r="J279" i="27" s="1"/>
  <c r="J280" i="27" s="1"/>
  <c r="J281" i="27" s="1"/>
  <c r="J282" i="27" s="1"/>
  <c r="J283" i="27" s="1"/>
  <c r="J284" i="27" s="1"/>
  <c r="J285" i="27" s="1"/>
  <c r="J286" i="27" s="1"/>
  <c r="J287" i="27" s="1"/>
  <c r="J288" i="27" s="1"/>
  <c r="J289" i="27" s="1"/>
  <c r="K254" i="27"/>
  <c r="K255" i="27" s="1"/>
  <c r="K256" i="27" s="1"/>
  <c r="K257" i="27" s="1"/>
  <c r="K258" i="27" s="1"/>
  <c r="K259" i="27" s="1"/>
  <c r="K260" i="27" s="1"/>
  <c r="K261" i="27" s="1"/>
  <c r="K262" i="27" s="1"/>
  <c r="K263" i="27" s="1"/>
  <c r="K264" i="27" s="1"/>
  <c r="K265" i="27" s="1"/>
  <c r="J254" i="27"/>
  <c r="J255" i="27" s="1"/>
  <c r="J256" i="27" s="1"/>
  <c r="J257" i="27" s="1"/>
  <c r="J258" i="27" s="1"/>
  <c r="J259" i="27" s="1"/>
  <c r="J260" i="27" s="1"/>
  <c r="J261" i="27" s="1"/>
  <c r="J262" i="27" s="1"/>
  <c r="J263" i="27" s="1"/>
  <c r="J264" i="27" s="1"/>
  <c r="J265" i="27" s="1"/>
  <c r="K242" i="27"/>
  <c r="K243" i="27" s="1"/>
  <c r="K244" i="27" s="1"/>
  <c r="K245" i="27" s="1"/>
  <c r="K246" i="27" s="1"/>
  <c r="K247" i="27" s="1"/>
  <c r="K248" i="27" s="1"/>
  <c r="K249" i="27" s="1"/>
  <c r="K250" i="27" s="1"/>
  <c r="K251" i="27" s="1"/>
  <c r="K252" i="27" s="1"/>
  <c r="K253" i="27" s="1"/>
  <c r="J242" i="27"/>
  <c r="J243" i="27" s="1"/>
  <c r="J244" i="27" s="1"/>
  <c r="J245" i="27" s="1"/>
  <c r="J246" i="27" s="1"/>
  <c r="J247" i="27" s="1"/>
  <c r="J248" i="27" s="1"/>
  <c r="J249" i="27" s="1"/>
  <c r="J250" i="27" s="1"/>
  <c r="J251" i="27" s="1"/>
  <c r="J252" i="27" s="1"/>
  <c r="J253" i="27" s="1"/>
  <c r="K230" i="27"/>
  <c r="K231" i="27" s="1"/>
  <c r="K232" i="27" s="1"/>
  <c r="K233" i="27" s="1"/>
  <c r="K234" i="27" s="1"/>
  <c r="K235" i="27" s="1"/>
  <c r="K236" i="27" s="1"/>
  <c r="K237" i="27" s="1"/>
  <c r="K238" i="27" s="1"/>
  <c r="K239" i="27" s="1"/>
  <c r="K240" i="27" s="1"/>
  <c r="K241" i="27" s="1"/>
  <c r="J230" i="27"/>
  <c r="J231" i="27" s="1"/>
  <c r="J232" i="27" s="1"/>
  <c r="J233" i="27" s="1"/>
  <c r="J234" i="27" s="1"/>
  <c r="J235" i="27" s="1"/>
  <c r="J236" i="27" s="1"/>
  <c r="J237" i="27" s="1"/>
  <c r="J238" i="27" s="1"/>
  <c r="J239" i="27" s="1"/>
  <c r="J240" i="27" s="1"/>
  <c r="J241" i="27" s="1"/>
  <c r="K218" i="27"/>
  <c r="K219" i="27" s="1"/>
  <c r="K220" i="27" s="1"/>
  <c r="K221" i="27" s="1"/>
  <c r="K222" i="27" s="1"/>
  <c r="K223" i="27" s="1"/>
  <c r="K224" i="27" s="1"/>
  <c r="K225" i="27" s="1"/>
  <c r="K226" i="27" s="1"/>
  <c r="K227" i="27" s="1"/>
  <c r="K228" i="27" s="1"/>
  <c r="K229" i="27" s="1"/>
  <c r="J218" i="27"/>
  <c r="J219" i="27" s="1"/>
  <c r="J220" i="27" s="1"/>
  <c r="J221" i="27" s="1"/>
  <c r="J222" i="27" s="1"/>
  <c r="J223" i="27" s="1"/>
  <c r="J224" i="27" s="1"/>
  <c r="J225" i="27" s="1"/>
  <c r="J226" i="27" s="1"/>
  <c r="J227" i="27" s="1"/>
  <c r="J228" i="27" s="1"/>
  <c r="J229" i="27" s="1"/>
  <c r="K206" i="27"/>
  <c r="K207" i="27" s="1"/>
  <c r="K208" i="27" s="1"/>
  <c r="K209" i="27" s="1"/>
  <c r="K210" i="27" s="1"/>
  <c r="K211" i="27" s="1"/>
  <c r="K212" i="27" s="1"/>
  <c r="K213" i="27" s="1"/>
  <c r="K214" i="27" s="1"/>
  <c r="K215" i="27" s="1"/>
  <c r="K216" i="27" s="1"/>
  <c r="K217" i="27" s="1"/>
  <c r="J206" i="27"/>
  <c r="J207" i="27" s="1"/>
  <c r="J208" i="27" s="1"/>
  <c r="J209" i="27" s="1"/>
  <c r="J210" i="27" s="1"/>
  <c r="J211" i="27" s="1"/>
  <c r="J212" i="27" s="1"/>
  <c r="J213" i="27" s="1"/>
  <c r="J214" i="27" s="1"/>
  <c r="J215" i="27" s="1"/>
  <c r="J216" i="27" s="1"/>
  <c r="J217" i="27" s="1"/>
  <c r="K194" i="27"/>
  <c r="K195" i="27" s="1"/>
  <c r="K196" i="27" s="1"/>
  <c r="K197" i="27" s="1"/>
  <c r="K198" i="27" s="1"/>
  <c r="K199" i="27" s="1"/>
  <c r="K200" i="27" s="1"/>
  <c r="K201" i="27" s="1"/>
  <c r="K202" i="27" s="1"/>
  <c r="K203" i="27" s="1"/>
  <c r="K204" i="27" s="1"/>
  <c r="K205" i="27" s="1"/>
  <c r="J194" i="27"/>
  <c r="J195" i="27" s="1"/>
  <c r="J196" i="27" s="1"/>
  <c r="J197" i="27" s="1"/>
  <c r="J198" i="27" s="1"/>
  <c r="J199" i="27" s="1"/>
  <c r="J200" i="27" s="1"/>
  <c r="J201" i="27" s="1"/>
  <c r="J202" i="27" s="1"/>
  <c r="J203" i="27" s="1"/>
  <c r="J204" i="27" s="1"/>
  <c r="J205" i="27" s="1"/>
  <c r="K182" i="27"/>
  <c r="K183" i="27" s="1"/>
  <c r="K184" i="27" s="1"/>
  <c r="K185" i="27" s="1"/>
  <c r="K186" i="27" s="1"/>
  <c r="K187" i="27" s="1"/>
  <c r="K188" i="27" s="1"/>
  <c r="K189" i="27" s="1"/>
  <c r="K190" i="27" s="1"/>
  <c r="K191" i="27" s="1"/>
  <c r="K192" i="27" s="1"/>
  <c r="K193" i="27" s="1"/>
  <c r="J182" i="27"/>
  <c r="J183" i="27" s="1"/>
  <c r="J184" i="27" s="1"/>
  <c r="J185" i="27" s="1"/>
  <c r="J186" i="27" s="1"/>
  <c r="J187" i="27" s="1"/>
  <c r="J188" i="27" s="1"/>
  <c r="J189" i="27" s="1"/>
  <c r="J190" i="27" s="1"/>
  <c r="J191" i="27" s="1"/>
  <c r="J192" i="27" s="1"/>
  <c r="J193" i="27" s="1"/>
  <c r="K158" i="27"/>
  <c r="K159" i="27" s="1"/>
  <c r="K160" i="27" s="1"/>
  <c r="K161" i="27" s="1"/>
  <c r="K162" i="27" s="1"/>
  <c r="K163" i="27" s="1"/>
  <c r="K164" i="27" s="1"/>
  <c r="K165" i="27" s="1"/>
  <c r="K166" i="27" s="1"/>
  <c r="K167" i="27" s="1"/>
  <c r="K168" i="27" s="1"/>
  <c r="K169" i="27" s="1"/>
  <c r="J158" i="27"/>
  <c r="J159" i="27" s="1"/>
  <c r="J160" i="27" s="1"/>
  <c r="J161" i="27" s="1"/>
  <c r="J162" i="27" s="1"/>
  <c r="J163" i="27" s="1"/>
  <c r="J164" i="27" s="1"/>
  <c r="J165" i="27" s="1"/>
  <c r="J166" i="27" s="1"/>
  <c r="J167" i="27" s="1"/>
  <c r="J168" i="27" s="1"/>
  <c r="J169" i="27" s="1"/>
  <c r="K134" i="27"/>
  <c r="K135" i="27" s="1"/>
  <c r="K136" i="27" s="1"/>
  <c r="K137" i="27" s="1"/>
  <c r="K138" i="27" s="1"/>
  <c r="K139" i="27" s="1"/>
  <c r="K140" i="27" s="1"/>
  <c r="K141" i="27" s="1"/>
  <c r="K142" i="27" s="1"/>
  <c r="K143" i="27" s="1"/>
  <c r="K144" i="27" s="1"/>
  <c r="K145" i="27" s="1"/>
  <c r="J134" i="27"/>
  <c r="J135" i="27" s="1"/>
  <c r="J136" i="27" s="1"/>
  <c r="J137" i="27" s="1"/>
  <c r="J138" i="27" s="1"/>
  <c r="J139" i="27" s="1"/>
  <c r="J140" i="27" s="1"/>
  <c r="J141" i="27" s="1"/>
  <c r="J142" i="27" s="1"/>
  <c r="J143" i="27" s="1"/>
  <c r="J144" i="27" s="1"/>
  <c r="J145" i="27" s="1"/>
  <c r="K110" i="27"/>
  <c r="K111" i="27" s="1"/>
  <c r="K112" i="27" s="1"/>
  <c r="K113" i="27" s="1"/>
  <c r="K114" i="27" s="1"/>
  <c r="K115" i="27" s="1"/>
  <c r="K116" i="27" s="1"/>
  <c r="K117" i="27" s="1"/>
  <c r="K118" i="27" s="1"/>
  <c r="K119" i="27" s="1"/>
  <c r="K120" i="27" s="1"/>
  <c r="K121" i="27" s="1"/>
  <c r="J110" i="27"/>
  <c r="J111" i="27" s="1"/>
  <c r="J112" i="27" s="1"/>
  <c r="J113" i="27" s="1"/>
  <c r="J114" i="27" s="1"/>
  <c r="J115" i="27" s="1"/>
  <c r="J116" i="27" s="1"/>
  <c r="J117" i="27" s="1"/>
  <c r="J118" i="27" s="1"/>
  <c r="J119" i="27" s="1"/>
  <c r="J120" i="27" s="1"/>
  <c r="J121" i="27" s="1"/>
  <c r="K98" i="27"/>
  <c r="K99" i="27" s="1"/>
  <c r="K100" i="27" s="1"/>
  <c r="K101" i="27" s="1"/>
  <c r="K102" i="27" s="1"/>
  <c r="K103" i="27" s="1"/>
  <c r="K104" i="27" s="1"/>
  <c r="K105" i="27" s="1"/>
  <c r="K106" i="27" s="1"/>
  <c r="K107" i="27" s="1"/>
  <c r="K108" i="27" s="1"/>
  <c r="K109" i="27" s="1"/>
  <c r="J98" i="27"/>
  <c r="J99" i="27" s="1"/>
  <c r="J100" i="27" s="1"/>
  <c r="J101" i="27" s="1"/>
  <c r="J102" i="27" s="1"/>
  <c r="J103" i="27" s="1"/>
  <c r="J104" i="27" s="1"/>
  <c r="J105" i="27" s="1"/>
  <c r="J106" i="27" s="1"/>
  <c r="J107" i="27" s="1"/>
  <c r="J108" i="27" s="1"/>
  <c r="J109" i="27" s="1"/>
  <c r="K74" i="27"/>
  <c r="K75" i="27" s="1"/>
  <c r="K76" i="27" s="1"/>
  <c r="K77" i="27" s="1"/>
  <c r="K78" i="27" s="1"/>
  <c r="K79" i="27" s="1"/>
  <c r="K80" i="27" s="1"/>
  <c r="K81" i="27" s="1"/>
  <c r="K82" i="27" s="1"/>
  <c r="K83" i="27" s="1"/>
  <c r="K84" i="27" s="1"/>
  <c r="K85" i="27" s="1"/>
  <c r="J74" i="27"/>
  <c r="J75" i="27" s="1"/>
  <c r="J76" i="27" s="1"/>
  <c r="J77" i="27" s="1"/>
  <c r="J78" i="27" s="1"/>
  <c r="J79" i="27" s="1"/>
  <c r="J80" i="27" s="1"/>
  <c r="J81" i="27" s="1"/>
  <c r="J82" i="27" s="1"/>
  <c r="J83" i="27" s="1"/>
  <c r="J84" i="27" s="1"/>
  <c r="J85" i="27" s="1"/>
  <c r="K50" i="27"/>
  <c r="K51" i="27" s="1"/>
  <c r="K52" i="27" s="1"/>
  <c r="K53" i="27" s="1"/>
  <c r="K54" i="27" s="1"/>
  <c r="K55" i="27" s="1"/>
  <c r="K56" i="27" s="1"/>
  <c r="K57" i="27" s="1"/>
  <c r="K58" i="27" s="1"/>
  <c r="K59" i="27" s="1"/>
  <c r="K60" i="27" s="1"/>
  <c r="K61" i="27" s="1"/>
  <c r="J50" i="27"/>
  <c r="J51" i="27" s="1"/>
  <c r="J52" i="27" s="1"/>
  <c r="J53" i="27" s="1"/>
  <c r="J54" i="27" s="1"/>
  <c r="J55" i="27" s="1"/>
  <c r="J56" i="27" s="1"/>
  <c r="J57" i="27" s="1"/>
  <c r="J58" i="27" s="1"/>
  <c r="J59" i="27" s="1"/>
  <c r="J60" i="27" s="1"/>
  <c r="J61" i="27" s="1"/>
  <c r="K38" i="27"/>
  <c r="K39" i="27" s="1"/>
  <c r="K40" i="27" s="1"/>
  <c r="K41" i="27" s="1"/>
  <c r="K42" i="27" s="1"/>
  <c r="K43" i="27" s="1"/>
  <c r="K44" i="27" s="1"/>
  <c r="K45" i="27" s="1"/>
  <c r="K46" i="27" s="1"/>
  <c r="K47" i="27" s="1"/>
  <c r="K48" i="27" s="1"/>
  <c r="K49" i="27" s="1"/>
  <c r="J38" i="27"/>
  <c r="J39" i="27" s="1"/>
  <c r="J40" i="27" s="1"/>
  <c r="J41" i="27" s="1"/>
  <c r="J42" i="27" s="1"/>
  <c r="J43" i="27" s="1"/>
  <c r="J44" i="27" s="1"/>
  <c r="J45" i="27" s="1"/>
  <c r="J46" i="27" s="1"/>
  <c r="J47" i="27" s="1"/>
  <c r="J48" i="27" s="1"/>
  <c r="J49" i="27" s="1"/>
  <c r="K14" i="27"/>
  <c r="K15" i="27" s="1"/>
  <c r="K16" i="27" s="1"/>
  <c r="K17" i="27" s="1"/>
  <c r="J14" i="27"/>
  <c r="J15" i="27" s="1"/>
  <c r="J16" i="27" s="1"/>
  <c r="J17" i="27" s="1"/>
  <c r="J18" i="27" s="1"/>
  <c r="J19" i="27" s="1"/>
  <c r="J20" i="27" s="1"/>
  <c r="J21" i="27" s="1"/>
  <c r="J22" i="27" s="1"/>
  <c r="J23" i="27" s="1"/>
  <c r="J24" i="27" s="1"/>
  <c r="J25" i="27" s="1"/>
  <c r="K18" i="27" l="1"/>
  <c r="K19" i="27" s="1"/>
  <c r="K20" i="27" s="1"/>
  <c r="K21" i="27" s="1"/>
  <c r="K22" i="27" s="1"/>
  <c r="K23" i="27" s="1"/>
  <c r="K24" i="27" s="1"/>
  <c r="K25" i="27" s="1"/>
  <c r="G734" i="27"/>
  <c r="G735" i="27" s="1"/>
  <c r="G736" i="27" s="1"/>
  <c r="G737" i="27" s="1"/>
  <c r="G738" i="27" s="1"/>
  <c r="G739" i="27" s="1"/>
  <c r="G740" i="27" s="1"/>
  <c r="G741" i="27" s="1"/>
  <c r="G742" i="27" s="1"/>
  <c r="G743" i="27" s="1"/>
  <c r="G744" i="27" s="1"/>
  <c r="G745" i="27" s="1"/>
  <c r="F734" i="27"/>
  <c r="F735" i="27" s="1"/>
  <c r="F736" i="27" s="1"/>
  <c r="F737" i="27" s="1"/>
  <c r="F738" i="27" s="1"/>
  <c r="F739" i="27" s="1"/>
  <c r="F740" i="27" s="1"/>
  <c r="F741" i="27" s="1"/>
  <c r="F742" i="27" s="1"/>
  <c r="F743" i="27" s="1"/>
  <c r="F744" i="27" s="1"/>
  <c r="F745" i="27" s="1"/>
  <c r="G710" i="27"/>
  <c r="G711" i="27" s="1"/>
  <c r="G712" i="27" s="1"/>
  <c r="G713" i="27" s="1"/>
  <c r="G714" i="27" s="1"/>
  <c r="G715" i="27" s="1"/>
  <c r="G716" i="27" s="1"/>
  <c r="G717" i="27" s="1"/>
  <c r="G718" i="27" s="1"/>
  <c r="G719" i="27" s="1"/>
  <c r="G720" i="27" s="1"/>
  <c r="G721" i="27" s="1"/>
  <c r="F710" i="27"/>
  <c r="F711" i="27" s="1"/>
  <c r="F712" i="27" s="1"/>
  <c r="F713" i="27" s="1"/>
  <c r="F714" i="27" s="1"/>
  <c r="F715" i="27" s="1"/>
  <c r="F716" i="27" s="1"/>
  <c r="F717" i="27" s="1"/>
  <c r="F718" i="27" s="1"/>
  <c r="F719" i="27" s="1"/>
  <c r="F720" i="27" s="1"/>
  <c r="F721" i="27" s="1"/>
  <c r="G698" i="27"/>
  <c r="G699" i="27" s="1"/>
  <c r="G700" i="27" s="1"/>
  <c r="G701" i="27" s="1"/>
  <c r="G702" i="27" s="1"/>
  <c r="G703" i="27" s="1"/>
  <c r="G704" i="27" s="1"/>
  <c r="G705" i="27" s="1"/>
  <c r="G706" i="27" s="1"/>
  <c r="G707" i="27" s="1"/>
  <c r="G708" i="27" s="1"/>
  <c r="G709" i="27" s="1"/>
  <c r="F698" i="27"/>
  <c r="F699" i="27" s="1"/>
  <c r="F700" i="27" s="1"/>
  <c r="F701" i="27" s="1"/>
  <c r="F702" i="27" s="1"/>
  <c r="F703" i="27" s="1"/>
  <c r="F704" i="27" s="1"/>
  <c r="F705" i="27" s="1"/>
  <c r="F706" i="27" s="1"/>
  <c r="F707" i="27" s="1"/>
  <c r="F708" i="27" s="1"/>
  <c r="F709" i="27" s="1"/>
  <c r="G674" i="27"/>
  <c r="G675" i="27" s="1"/>
  <c r="G676" i="27" s="1"/>
  <c r="G677" i="27" s="1"/>
  <c r="G678" i="27" s="1"/>
  <c r="G679" i="27" s="1"/>
  <c r="G680" i="27" s="1"/>
  <c r="G681" i="27" s="1"/>
  <c r="G682" i="27" s="1"/>
  <c r="G683" i="27" s="1"/>
  <c r="G684" i="27" s="1"/>
  <c r="G685" i="27" s="1"/>
  <c r="F674" i="27"/>
  <c r="F675" i="27" s="1"/>
  <c r="F676" i="27" s="1"/>
  <c r="F677" i="27" s="1"/>
  <c r="F678" i="27" s="1"/>
  <c r="F679" i="27" s="1"/>
  <c r="F680" i="27" s="1"/>
  <c r="F681" i="27" s="1"/>
  <c r="F682" i="27" s="1"/>
  <c r="F683" i="27" s="1"/>
  <c r="F684" i="27" s="1"/>
  <c r="F685" i="27" s="1"/>
  <c r="G662" i="27"/>
  <c r="G663" i="27" s="1"/>
  <c r="G664" i="27" s="1"/>
  <c r="G665" i="27" s="1"/>
  <c r="G666" i="27" s="1"/>
  <c r="G667" i="27" s="1"/>
  <c r="G668" i="27" s="1"/>
  <c r="G669" i="27" s="1"/>
  <c r="G670" i="27" s="1"/>
  <c r="G671" i="27" s="1"/>
  <c r="G672" i="27" s="1"/>
  <c r="G673" i="27" s="1"/>
  <c r="F662" i="27"/>
  <c r="F663" i="27" s="1"/>
  <c r="F664" i="27" s="1"/>
  <c r="F665" i="27" s="1"/>
  <c r="F666" i="27" s="1"/>
  <c r="F667" i="27" s="1"/>
  <c r="F668" i="27" s="1"/>
  <c r="F669" i="27" s="1"/>
  <c r="F670" i="27" s="1"/>
  <c r="F671" i="27" s="1"/>
  <c r="F672" i="27" s="1"/>
  <c r="F673" i="27" s="1"/>
  <c r="G638" i="27"/>
  <c r="G639" i="27" s="1"/>
  <c r="G640" i="27" s="1"/>
  <c r="G641" i="27" s="1"/>
  <c r="G642" i="27" s="1"/>
  <c r="G643" i="27" s="1"/>
  <c r="G644" i="27" s="1"/>
  <c r="G645" i="27" s="1"/>
  <c r="G646" i="27" s="1"/>
  <c r="G647" i="27" s="1"/>
  <c r="G648" i="27" s="1"/>
  <c r="G649" i="27" s="1"/>
  <c r="F638" i="27"/>
  <c r="F639" i="27" s="1"/>
  <c r="F640" i="27" s="1"/>
  <c r="F641" i="27" s="1"/>
  <c r="F642" i="27" s="1"/>
  <c r="F643" i="27" s="1"/>
  <c r="F644" i="27" s="1"/>
  <c r="F645" i="27" s="1"/>
  <c r="F646" i="27" s="1"/>
  <c r="F647" i="27" s="1"/>
  <c r="F648" i="27" s="1"/>
  <c r="F649" i="27" s="1"/>
  <c r="G614" i="27"/>
  <c r="G615" i="27" s="1"/>
  <c r="G616" i="27" s="1"/>
  <c r="G617" i="27" s="1"/>
  <c r="G618" i="27" s="1"/>
  <c r="G619" i="27" s="1"/>
  <c r="G620" i="27" s="1"/>
  <c r="G621" i="27" s="1"/>
  <c r="G622" i="27" s="1"/>
  <c r="G623" i="27" s="1"/>
  <c r="G624" i="27" s="1"/>
  <c r="G625" i="27" s="1"/>
  <c r="F614" i="27"/>
  <c r="F615" i="27" s="1"/>
  <c r="F616" i="27" s="1"/>
  <c r="F617" i="27" s="1"/>
  <c r="F618" i="27" s="1"/>
  <c r="F619" i="27" s="1"/>
  <c r="F620" i="27" s="1"/>
  <c r="F621" i="27" s="1"/>
  <c r="F622" i="27" s="1"/>
  <c r="F623" i="27" s="1"/>
  <c r="F624" i="27" s="1"/>
  <c r="F625" i="27" s="1"/>
  <c r="G602" i="27"/>
  <c r="G603" i="27" s="1"/>
  <c r="G604" i="27" s="1"/>
  <c r="G605" i="27" s="1"/>
  <c r="G606" i="27" s="1"/>
  <c r="G607" i="27" s="1"/>
  <c r="G608" i="27" s="1"/>
  <c r="G609" i="27" s="1"/>
  <c r="G610" i="27" s="1"/>
  <c r="G611" i="27" s="1"/>
  <c r="G612" i="27" s="1"/>
  <c r="G613" i="27" s="1"/>
  <c r="F602" i="27"/>
  <c r="F603" i="27" s="1"/>
  <c r="F604" i="27" s="1"/>
  <c r="F605" i="27" s="1"/>
  <c r="F606" i="27" s="1"/>
  <c r="F607" i="27" s="1"/>
  <c r="F608" i="27" s="1"/>
  <c r="F609" i="27" s="1"/>
  <c r="F610" i="27" s="1"/>
  <c r="F611" i="27" s="1"/>
  <c r="F612" i="27" s="1"/>
  <c r="F613" i="27" s="1"/>
  <c r="G590" i="27"/>
  <c r="G591" i="27" s="1"/>
  <c r="G592" i="27" s="1"/>
  <c r="G593" i="27" s="1"/>
  <c r="G594" i="27" s="1"/>
  <c r="G595" i="27" s="1"/>
  <c r="G596" i="27" s="1"/>
  <c r="G597" i="27" s="1"/>
  <c r="G598" i="27" s="1"/>
  <c r="G599" i="27" s="1"/>
  <c r="G600" i="27" s="1"/>
  <c r="G601" i="27" s="1"/>
  <c r="F590" i="27"/>
  <c r="F591" i="27" s="1"/>
  <c r="F592" i="27" s="1"/>
  <c r="F593" i="27" s="1"/>
  <c r="F594" i="27" s="1"/>
  <c r="F595" i="27" s="1"/>
  <c r="F596" i="27" s="1"/>
  <c r="F597" i="27" s="1"/>
  <c r="F598" i="27" s="1"/>
  <c r="F599" i="27" s="1"/>
  <c r="F600" i="27" s="1"/>
  <c r="F601" i="27" s="1"/>
  <c r="G554" i="27"/>
  <c r="G555" i="27" s="1"/>
  <c r="G556" i="27" s="1"/>
  <c r="G557" i="27" s="1"/>
  <c r="G558" i="27" s="1"/>
  <c r="G559" i="27" s="1"/>
  <c r="G560" i="27" s="1"/>
  <c r="G561" i="27" s="1"/>
  <c r="G562" i="27" s="1"/>
  <c r="G563" i="27" s="1"/>
  <c r="G564" i="27" s="1"/>
  <c r="G565" i="27" s="1"/>
  <c r="F554" i="27"/>
  <c r="F555" i="27" s="1"/>
  <c r="F556" i="27" s="1"/>
  <c r="F557" i="27" s="1"/>
  <c r="F558" i="27" s="1"/>
  <c r="F559" i="27" s="1"/>
  <c r="F560" i="27" s="1"/>
  <c r="F561" i="27" s="1"/>
  <c r="F562" i="27" s="1"/>
  <c r="F563" i="27" s="1"/>
  <c r="F564" i="27" s="1"/>
  <c r="F565" i="27" s="1"/>
  <c r="G530" i="27"/>
  <c r="G531" i="27" s="1"/>
  <c r="G532" i="27" s="1"/>
  <c r="G533" i="27" s="1"/>
  <c r="G534" i="27" s="1"/>
  <c r="G535" i="27" s="1"/>
  <c r="G536" i="27" s="1"/>
  <c r="G537" i="27" s="1"/>
  <c r="G538" i="27" s="1"/>
  <c r="G539" i="27" s="1"/>
  <c r="G540" i="27" s="1"/>
  <c r="G541" i="27" s="1"/>
  <c r="F530" i="27"/>
  <c r="F531" i="27" s="1"/>
  <c r="F532" i="27" s="1"/>
  <c r="F533" i="27" s="1"/>
  <c r="F534" i="27" s="1"/>
  <c r="F535" i="27" s="1"/>
  <c r="F536" i="27" s="1"/>
  <c r="F537" i="27" s="1"/>
  <c r="F538" i="27" s="1"/>
  <c r="F539" i="27" s="1"/>
  <c r="F540" i="27" s="1"/>
  <c r="F541" i="27" s="1"/>
  <c r="G506" i="27"/>
  <c r="G507" i="27" s="1"/>
  <c r="G508" i="27" s="1"/>
  <c r="G509" i="27" s="1"/>
  <c r="G510" i="27" s="1"/>
  <c r="G511" i="27" s="1"/>
  <c r="G512" i="27" s="1"/>
  <c r="G513" i="27" s="1"/>
  <c r="G514" i="27" s="1"/>
  <c r="G515" i="27" s="1"/>
  <c r="G516" i="27" s="1"/>
  <c r="G517" i="27" s="1"/>
  <c r="F506" i="27"/>
  <c r="F507" i="27" s="1"/>
  <c r="F508" i="27" s="1"/>
  <c r="F509" i="27" s="1"/>
  <c r="F510" i="27" s="1"/>
  <c r="F511" i="27" s="1"/>
  <c r="F512" i="27" s="1"/>
  <c r="F513" i="27" s="1"/>
  <c r="F514" i="27" s="1"/>
  <c r="F515" i="27" s="1"/>
  <c r="F516" i="27" s="1"/>
  <c r="F517" i="27" s="1"/>
  <c r="G722" i="27"/>
  <c r="G723" i="27" s="1"/>
  <c r="G724" i="27" s="1"/>
  <c r="G725" i="27" s="1"/>
  <c r="G726" i="27" s="1"/>
  <c r="G727" i="27" s="1"/>
  <c r="G728" i="27" s="1"/>
  <c r="G729" i="27" s="1"/>
  <c r="G730" i="27" s="1"/>
  <c r="G731" i="27" s="1"/>
  <c r="G732" i="27" s="1"/>
  <c r="G733" i="27" s="1"/>
  <c r="F722" i="27"/>
  <c r="F723" i="27" s="1"/>
  <c r="F724" i="27" s="1"/>
  <c r="F725" i="27" s="1"/>
  <c r="F726" i="27" s="1"/>
  <c r="F727" i="27" s="1"/>
  <c r="F728" i="27" s="1"/>
  <c r="F729" i="27" s="1"/>
  <c r="F730" i="27" s="1"/>
  <c r="F731" i="27" s="1"/>
  <c r="F732" i="27" s="1"/>
  <c r="F733" i="27" s="1"/>
  <c r="G650" i="27"/>
  <c r="G651" i="27" s="1"/>
  <c r="G652" i="27" s="1"/>
  <c r="G653" i="27" s="1"/>
  <c r="G654" i="27" s="1"/>
  <c r="G655" i="27" s="1"/>
  <c r="G656" i="27" s="1"/>
  <c r="G657" i="27" s="1"/>
  <c r="G658" i="27" s="1"/>
  <c r="G659" i="27" s="1"/>
  <c r="G660" i="27" s="1"/>
  <c r="G661" i="27" s="1"/>
  <c r="F650" i="27"/>
  <c r="F651" i="27" s="1"/>
  <c r="F652" i="27" s="1"/>
  <c r="F653" i="27" s="1"/>
  <c r="F654" i="27" s="1"/>
  <c r="F655" i="27" s="1"/>
  <c r="F656" i="27" s="1"/>
  <c r="F657" i="27" s="1"/>
  <c r="F658" i="27" s="1"/>
  <c r="F659" i="27" s="1"/>
  <c r="F660" i="27" s="1"/>
  <c r="F661" i="27" s="1"/>
  <c r="G566" i="27"/>
  <c r="G567" i="27" s="1"/>
  <c r="G568" i="27" s="1"/>
  <c r="G569" i="27" s="1"/>
  <c r="G570" i="27" s="1"/>
  <c r="G571" i="27" s="1"/>
  <c r="G572" i="27" s="1"/>
  <c r="G573" i="27" s="1"/>
  <c r="G574" i="27" s="1"/>
  <c r="G575" i="27" s="1"/>
  <c r="G576" i="27" s="1"/>
  <c r="G577" i="27" s="1"/>
  <c r="F566" i="27"/>
  <c r="F567" i="27" s="1"/>
  <c r="F568" i="27" s="1"/>
  <c r="F569" i="27" s="1"/>
  <c r="F570" i="27" s="1"/>
  <c r="F571" i="27" s="1"/>
  <c r="F572" i="27" s="1"/>
  <c r="F573" i="27" s="1"/>
  <c r="F574" i="27" s="1"/>
  <c r="F575" i="27" s="1"/>
  <c r="F576" i="27" s="1"/>
  <c r="F577" i="27" s="1"/>
  <c r="G542" i="27"/>
  <c r="G543" i="27" s="1"/>
  <c r="G544" i="27" s="1"/>
  <c r="G545" i="27" s="1"/>
  <c r="G546" i="27" s="1"/>
  <c r="G547" i="27" s="1"/>
  <c r="G548" i="27" s="1"/>
  <c r="G549" i="27" s="1"/>
  <c r="G550" i="27" s="1"/>
  <c r="G551" i="27" s="1"/>
  <c r="G552" i="27" s="1"/>
  <c r="G553" i="27" s="1"/>
  <c r="F542" i="27"/>
  <c r="F543" i="27" s="1"/>
  <c r="F544" i="27" s="1"/>
  <c r="F545" i="27" s="1"/>
  <c r="F546" i="27" s="1"/>
  <c r="F547" i="27" s="1"/>
  <c r="F548" i="27" s="1"/>
  <c r="F549" i="27" s="1"/>
  <c r="F550" i="27" s="1"/>
  <c r="F551" i="27" s="1"/>
  <c r="F552" i="27" s="1"/>
  <c r="F553" i="27" s="1"/>
  <c r="G518" i="27"/>
  <c r="G519" i="27" s="1"/>
  <c r="G520" i="27" s="1"/>
  <c r="G521" i="27" s="1"/>
  <c r="G522" i="27" s="1"/>
  <c r="G523" i="27" s="1"/>
  <c r="G524" i="27" s="1"/>
  <c r="G525" i="27" s="1"/>
  <c r="G526" i="27" s="1"/>
  <c r="G527" i="27" s="1"/>
  <c r="G528" i="27" s="1"/>
  <c r="G529" i="27" s="1"/>
  <c r="F518" i="27"/>
  <c r="F519" i="27" s="1"/>
  <c r="F520" i="27" s="1"/>
  <c r="F521" i="27" s="1"/>
  <c r="F522" i="27" s="1"/>
  <c r="F523" i="27" s="1"/>
  <c r="F524" i="27" s="1"/>
  <c r="F525" i="27" s="1"/>
  <c r="F526" i="27" s="1"/>
  <c r="F527" i="27" s="1"/>
  <c r="F528" i="27" s="1"/>
  <c r="F529" i="27" s="1"/>
  <c r="G494" i="27"/>
  <c r="G495" i="27" s="1"/>
  <c r="G496" i="27" s="1"/>
  <c r="G497" i="27" s="1"/>
  <c r="G498" i="27" s="1"/>
  <c r="G499" i="27" s="1"/>
  <c r="G500" i="27" s="1"/>
  <c r="G501" i="27" s="1"/>
  <c r="G502" i="27" s="1"/>
  <c r="G503" i="27" s="1"/>
  <c r="G504" i="27" s="1"/>
  <c r="G505" i="27" s="1"/>
  <c r="F494" i="27"/>
  <c r="F495" i="27" s="1"/>
  <c r="F496" i="27" s="1"/>
  <c r="F497" i="27" s="1"/>
  <c r="F498" i="27" s="1"/>
  <c r="F499" i="27" s="1"/>
  <c r="F500" i="27" s="1"/>
  <c r="F501" i="27" s="1"/>
  <c r="F502" i="27" s="1"/>
  <c r="F503" i="27" s="1"/>
  <c r="F504" i="27" s="1"/>
  <c r="F505" i="27" s="1"/>
  <c r="G482" i="27"/>
  <c r="G483" i="27" s="1"/>
  <c r="G484" i="27" s="1"/>
  <c r="G485" i="27" s="1"/>
  <c r="G486" i="27" s="1"/>
  <c r="G487" i="27" s="1"/>
  <c r="G488" i="27" s="1"/>
  <c r="G489" i="27" s="1"/>
  <c r="G490" i="27" s="1"/>
  <c r="G491" i="27" s="1"/>
  <c r="G492" i="27" s="1"/>
  <c r="G493" i="27" s="1"/>
  <c r="F482" i="27"/>
  <c r="F483" i="27" s="1"/>
  <c r="F484" i="27" s="1"/>
  <c r="F485" i="27" s="1"/>
  <c r="F486" i="27" s="1"/>
  <c r="F487" i="27" s="1"/>
  <c r="F488" i="27" s="1"/>
  <c r="F489" i="27" s="1"/>
  <c r="F490" i="27" s="1"/>
  <c r="F491" i="27" s="1"/>
  <c r="F492" i="27" s="1"/>
  <c r="F493" i="27" s="1"/>
  <c r="G422" i="27"/>
  <c r="G423" i="27" s="1"/>
  <c r="G424" i="27" s="1"/>
  <c r="G425" i="27" s="1"/>
  <c r="G426" i="27" s="1"/>
  <c r="G427" i="27" s="1"/>
  <c r="G428" i="27" s="1"/>
  <c r="G429" i="27" s="1"/>
  <c r="G430" i="27" s="1"/>
  <c r="G431" i="27" s="1"/>
  <c r="G432" i="27" s="1"/>
  <c r="G433" i="27" s="1"/>
  <c r="F422" i="27"/>
  <c r="F423" i="27" s="1"/>
  <c r="F424" i="27" s="1"/>
  <c r="F425" i="27" s="1"/>
  <c r="F426" i="27" s="1"/>
  <c r="F427" i="27" s="1"/>
  <c r="F428" i="27" s="1"/>
  <c r="F429" i="27" s="1"/>
  <c r="F430" i="27" s="1"/>
  <c r="F431" i="27" s="1"/>
  <c r="F432" i="27" s="1"/>
  <c r="F433" i="27" s="1"/>
  <c r="G470" i="27"/>
  <c r="G471" i="27" s="1"/>
  <c r="G472" i="27" s="1"/>
  <c r="G473" i="27" s="1"/>
  <c r="G474" i="27" s="1"/>
  <c r="G475" i="27" s="1"/>
  <c r="G476" i="27" s="1"/>
  <c r="G477" i="27" s="1"/>
  <c r="G478" i="27" s="1"/>
  <c r="G479" i="27" s="1"/>
  <c r="G480" i="27" s="1"/>
  <c r="G481" i="27" s="1"/>
  <c r="F470" i="27"/>
  <c r="F471" i="27" s="1"/>
  <c r="F472" i="27" s="1"/>
  <c r="F473" i="27" s="1"/>
  <c r="F474" i="27" s="1"/>
  <c r="F475" i="27" s="1"/>
  <c r="F476" i="27" s="1"/>
  <c r="F477" i="27" s="1"/>
  <c r="F478" i="27" s="1"/>
  <c r="F479" i="27" s="1"/>
  <c r="F480" i="27" s="1"/>
  <c r="F481" i="27" s="1"/>
  <c r="G434" i="27"/>
  <c r="G435" i="27" s="1"/>
  <c r="G436" i="27" s="1"/>
  <c r="G437" i="27" s="1"/>
  <c r="G438" i="27" s="1"/>
  <c r="G439" i="27" s="1"/>
  <c r="G440" i="27" s="1"/>
  <c r="G441" i="27" s="1"/>
  <c r="G442" i="27" s="1"/>
  <c r="G443" i="27" s="1"/>
  <c r="G444" i="27" s="1"/>
  <c r="G445" i="27" s="1"/>
  <c r="F434" i="27"/>
  <c r="F435" i="27" s="1"/>
  <c r="F436" i="27" s="1"/>
  <c r="F437" i="27" s="1"/>
  <c r="F438" i="27" s="1"/>
  <c r="F439" i="27" s="1"/>
  <c r="F440" i="27" s="1"/>
  <c r="F441" i="27" s="1"/>
  <c r="F442" i="27" s="1"/>
  <c r="F443" i="27" s="1"/>
  <c r="F444" i="27" s="1"/>
  <c r="F445" i="27" s="1"/>
  <c r="G410" i="27"/>
  <c r="G411" i="27" s="1"/>
  <c r="G412" i="27" s="1"/>
  <c r="G413" i="27" s="1"/>
  <c r="G414" i="27" s="1"/>
  <c r="G415" i="27" s="1"/>
  <c r="G416" i="27" s="1"/>
  <c r="G417" i="27" s="1"/>
  <c r="G418" i="27" s="1"/>
  <c r="G419" i="27" s="1"/>
  <c r="G420" i="27" s="1"/>
  <c r="G421" i="27" s="1"/>
  <c r="F410" i="27"/>
  <c r="F411" i="27" s="1"/>
  <c r="F412" i="27" s="1"/>
  <c r="F413" i="27" s="1"/>
  <c r="F414" i="27" s="1"/>
  <c r="F415" i="27" s="1"/>
  <c r="F416" i="27" s="1"/>
  <c r="F417" i="27" s="1"/>
  <c r="F418" i="27" s="1"/>
  <c r="F419" i="27" s="1"/>
  <c r="F420" i="27" s="1"/>
  <c r="F421" i="27" s="1"/>
  <c r="G398" i="27"/>
  <c r="G399" i="27" s="1"/>
  <c r="G400" i="27" s="1"/>
  <c r="G401" i="27" s="1"/>
  <c r="G402" i="27" s="1"/>
  <c r="G403" i="27" s="1"/>
  <c r="G404" i="27" s="1"/>
  <c r="G405" i="27" s="1"/>
  <c r="G406" i="27" s="1"/>
  <c r="G407" i="27" s="1"/>
  <c r="G408" i="27" s="1"/>
  <c r="G409" i="27" s="1"/>
  <c r="F398" i="27"/>
  <c r="F399" i="27" s="1"/>
  <c r="F400" i="27" s="1"/>
  <c r="F401" i="27" s="1"/>
  <c r="F402" i="27" s="1"/>
  <c r="F403" i="27" s="1"/>
  <c r="F404" i="27" s="1"/>
  <c r="F405" i="27" s="1"/>
  <c r="F406" i="27" s="1"/>
  <c r="F407" i="27" s="1"/>
  <c r="F408" i="27" s="1"/>
  <c r="F409" i="27" s="1"/>
  <c r="G386" i="27"/>
  <c r="G387" i="27" s="1"/>
  <c r="G388" i="27" s="1"/>
  <c r="G389" i="27" s="1"/>
  <c r="G390" i="27" s="1"/>
  <c r="G391" i="27" s="1"/>
  <c r="G392" i="27" s="1"/>
  <c r="G393" i="27" s="1"/>
  <c r="G394" i="27" s="1"/>
  <c r="G395" i="27" s="1"/>
  <c r="G396" i="27" s="1"/>
  <c r="G397" i="27" s="1"/>
  <c r="F386" i="27"/>
  <c r="F387" i="27" s="1"/>
  <c r="F388" i="27" s="1"/>
  <c r="F389" i="27" s="1"/>
  <c r="F390" i="27" s="1"/>
  <c r="F391" i="27" s="1"/>
  <c r="F392" i="27" s="1"/>
  <c r="F393" i="27" s="1"/>
  <c r="F394" i="27" s="1"/>
  <c r="F395" i="27" s="1"/>
  <c r="F396" i="27" s="1"/>
  <c r="F397" i="27" s="1"/>
  <c r="G314" i="27"/>
  <c r="G315" i="27" s="1"/>
  <c r="G316" i="27" s="1"/>
  <c r="G317" i="27" s="1"/>
  <c r="G318" i="27" s="1"/>
  <c r="G319" i="27" s="1"/>
  <c r="G320" i="27" s="1"/>
  <c r="G321" i="27" s="1"/>
  <c r="G322" i="27" s="1"/>
  <c r="G323" i="27" s="1"/>
  <c r="G324" i="27" s="1"/>
  <c r="G325" i="27" s="1"/>
  <c r="F314" i="27"/>
  <c r="F315" i="27" s="1"/>
  <c r="F316" i="27" s="1"/>
  <c r="F317" i="27" s="1"/>
  <c r="F318" i="27" s="1"/>
  <c r="F319" i="27" s="1"/>
  <c r="F320" i="27" s="1"/>
  <c r="F321" i="27" s="1"/>
  <c r="F322" i="27" s="1"/>
  <c r="F323" i="27" s="1"/>
  <c r="F324" i="27" s="1"/>
  <c r="F325" i="27" s="1"/>
  <c r="G374" i="27"/>
  <c r="G375" i="27" s="1"/>
  <c r="G376" i="27" s="1"/>
  <c r="G377" i="27" s="1"/>
  <c r="G378" i="27" s="1"/>
  <c r="G379" i="27" s="1"/>
  <c r="G380" i="27" s="1"/>
  <c r="G381" i="27" s="1"/>
  <c r="G382" i="27" s="1"/>
  <c r="G383" i="27" s="1"/>
  <c r="G384" i="27" s="1"/>
  <c r="G385" i="27" s="1"/>
  <c r="F374" i="27"/>
  <c r="F375" i="27" s="1"/>
  <c r="F376" i="27" s="1"/>
  <c r="F377" i="27" s="1"/>
  <c r="F378" i="27" s="1"/>
  <c r="F379" i="27" s="1"/>
  <c r="F380" i="27" s="1"/>
  <c r="F381" i="27" s="1"/>
  <c r="F382" i="27" s="1"/>
  <c r="F383" i="27" s="1"/>
  <c r="F384" i="27" s="1"/>
  <c r="F385" i="27" s="1"/>
  <c r="G362" i="27"/>
  <c r="G363" i="27" s="1"/>
  <c r="G364" i="27" s="1"/>
  <c r="G365" i="27" s="1"/>
  <c r="G366" i="27" s="1"/>
  <c r="G367" i="27" s="1"/>
  <c r="G368" i="27" s="1"/>
  <c r="G369" i="27" s="1"/>
  <c r="G370" i="27" s="1"/>
  <c r="G371" i="27" s="1"/>
  <c r="G372" i="27" s="1"/>
  <c r="G373" i="27" s="1"/>
  <c r="F362" i="27"/>
  <c r="F363" i="27" s="1"/>
  <c r="F364" i="27" s="1"/>
  <c r="F365" i="27" s="1"/>
  <c r="F366" i="27" s="1"/>
  <c r="F367" i="27" s="1"/>
  <c r="F368" i="27" s="1"/>
  <c r="F369" i="27" s="1"/>
  <c r="F370" i="27" s="1"/>
  <c r="F371" i="27" s="1"/>
  <c r="F372" i="27" s="1"/>
  <c r="F373" i="27" s="1"/>
  <c r="G350" i="27"/>
  <c r="G351" i="27" s="1"/>
  <c r="G352" i="27" s="1"/>
  <c r="G353" i="27" s="1"/>
  <c r="G354" i="27" s="1"/>
  <c r="G355" i="27" s="1"/>
  <c r="G356" i="27" s="1"/>
  <c r="G357" i="27" s="1"/>
  <c r="G358" i="27" s="1"/>
  <c r="G359" i="27" s="1"/>
  <c r="G360" i="27" s="1"/>
  <c r="G361" i="27" s="1"/>
  <c r="F350" i="27"/>
  <c r="F351" i="27" s="1"/>
  <c r="F352" i="27" s="1"/>
  <c r="F353" i="27" s="1"/>
  <c r="F354" i="27" s="1"/>
  <c r="F355" i="27" s="1"/>
  <c r="F356" i="27" s="1"/>
  <c r="F357" i="27" s="1"/>
  <c r="F358" i="27" s="1"/>
  <c r="F359" i="27" s="1"/>
  <c r="F360" i="27" s="1"/>
  <c r="F361" i="27" s="1"/>
  <c r="G338" i="27"/>
  <c r="G339" i="27" s="1"/>
  <c r="G340" i="27" s="1"/>
  <c r="G341" i="27" s="1"/>
  <c r="G342" i="27" s="1"/>
  <c r="G343" i="27" s="1"/>
  <c r="G344" i="27" s="1"/>
  <c r="G345" i="27" s="1"/>
  <c r="G346" i="27" s="1"/>
  <c r="G347" i="27" s="1"/>
  <c r="G348" i="27" s="1"/>
  <c r="G349" i="27" s="1"/>
  <c r="F338" i="27"/>
  <c r="F339" i="27" s="1"/>
  <c r="F340" i="27" s="1"/>
  <c r="F341" i="27" s="1"/>
  <c r="F342" i="27" s="1"/>
  <c r="F343" i="27" s="1"/>
  <c r="F344" i="27" s="1"/>
  <c r="F345" i="27" s="1"/>
  <c r="F346" i="27" s="1"/>
  <c r="F347" i="27" s="1"/>
  <c r="F348" i="27" s="1"/>
  <c r="F349" i="27" s="1"/>
  <c r="G326" i="27"/>
  <c r="G327" i="27" s="1"/>
  <c r="G328" i="27" s="1"/>
  <c r="G329" i="27" s="1"/>
  <c r="G330" i="27" s="1"/>
  <c r="G331" i="27" s="1"/>
  <c r="G332" i="27" s="1"/>
  <c r="G333" i="27" s="1"/>
  <c r="G334" i="27" s="1"/>
  <c r="G335" i="27" s="1"/>
  <c r="G336" i="27" s="1"/>
  <c r="G337" i="27" s="1"/>
  <c r="F326" i="27"/>
  <c r="F327" i="27" s="1"/>
  <c r="F328" i="27" s="1"/>
  <c r="F329" i="27" s="1"/>
  <c r="F330" i="27" s="1"/>
  <c r="F331" i="27" s="1"/>
  <c r="F332" i="27" s="1"/>
  <c r="F333" i="27" s="1"/>
  <c r="F334" i="27" s="1"/>
  <c r="F335" i="27" s="1"/>
  <c r="F336" i="27" s="1"/>
  <c r="F337" i="27" s="1"/>
  <c r="G170" i="27"/>
  <c r="G171" i="27" s="1"/>
  <c r="G172" i="27" s="1"/>
  <c r="G173" i="27" s="1"/>
  <c r="G174" i="27" s="1"/>
  <c r="G175" i="27" s="1"/>
  <c r="G176" i="27" s="1"/>
  <c r="G177" i="27" s="1"/>
  <c r="G178" i="27" s="1"/>
  <c r="G179" i="27" s="1"/>
  <c r="G180" i="27" s="1"/>
  <c r="G181" i="27" s="1"/>
  <c r="F170" i="27"/>
  <c r="F171" i="27" s="1"/>
  <c r="F172" i="27" s="1"/>
  <c r="F173" i="27" s="1"/>
  <c r="F174" i="27" s="1"/>
  <c r="F175" i="27" s="1"/>
  <c r="F176" i="27" s="1"/>
  <c r="F177" i="27" s="1"/>
  <c r="F178" i="27" s="1"/>
  <c r="F179" i="27" s="1"/>
  <c r="F180" i="27" s="1"/>
  <c r="F181" i="27" s="1"/>
  <c r="G290" i="27"/>
  <c r="G291" i="27" s="1"/>
  <c r="G292" i="27" s="1"/>
  <c r="G293" i="27" s="1"/>
  <c r="G294" i="27" s="1"/>
  <c r="G295" i="27" s="1"/>
  <c r="G296" i="27" s="1"/>
  <c r="G297" i="27" s="1"/>
  <c r="G298" i="27" s="1"/>
  <c r="G299" i="27" s="1"/>
  <c r="G300" i="27" s="1"/>
  <c r="G301" i="27" s="1"/>
  <c r="F290" i="27"/>
  <c r="F291" i="27" s="1"/>
  <c r="F292" i="27" s="1"/>
  <c r="F293" i="27" s="1"/>
  <c r="F294" i="27" s="1"/>
  <c r="F295" i="27" s="1"/>
  <c r="F296" i="27" s="1"/>
  <c r="F297" i="27" s="1"/>
  <c r="F298" i="27" s="1"/>
  <c r="F299" i="27" s="1"/>
  <c r="F300" i="27" s="1"/>
  <c r="F301" i="27" s="1"/>
  <c r="G278" i="27"/>
  <c r="G279" i="27" s="1"/>
  <c r="G280" i="27" s="1"/>
  <c r="G281" i="27" s="1"/>
  <c r="G282" i="27" s="1"/>
  <c r="G283" i="27" s="1"/>
  <c r="G284" i="27" s="1"/>
  <c r="G285" i="27" s="1"/>
  <c r="G286" i="27" s="1"/>
  <c r="G287" i="27" s="1"/>
  <c r="G288" i="27" s="1"/>
  <c r="G289" i="27" s="1"/>
  <c r="F278" i="27"/>
  <c r="F279" i="27" s="1"/>
  <c r="F280" i="27" s="1"/>
  <c r="F281" i="27" s="1"/>
  <c r="F282" i="27" s="1"/>
  <c r="F283" i="27" s="1"/>
  <c r="F284" i="27" s="1"/>
  <c r="F285" i="27" s="1"/>
  <c r="F286" i="27" s="1"/>
  <c r="F287" i="27" s="1"/>
  <c r="F288" i="27" s="1"/>
  <c r="F289" i="27" s="1"/>
  <c r="G254" i="27"/>
  <c r="G255" i="27" s="1"/>
  <c r="G256" i="27" s="1"/>
  <c r="G257" i="27" s="1"/>
  <c r="G258" i="27" s="1"/>
  <c r="G259" i="27" s="1"/>
  <c r="G260" i="27" s="1"/>
  <c r="G261" i="27" s="1"/>
  <c r="G262" i="27" s="1"/>
  <c r="G263" i="27" s="1"/>
  <c r="G264" i="27" s="1"/>
  <c r="G265" i="27" s="1"/>
  <c r="F254" i="27"/>
  <c r="F255" i="27" s="1"/>
  <c r="F256" i="27" s="1"/>
  <c r="F257" i="27" s="1"/>
  <c r="F258" i="27" s="1"/>
  <c r="F259" i="27" s="1"/>
  <c r="F260" i="27" s="1"/>
  <c r="F261" i="27" s="1"/>
  <c r="F262" i="27" s="1"/>
  <c r="F263" i="27" s="1"/>
  <c r="F264" i="27" s="1"/>
  <c r="F265" i="27" s="1"/>
  <c r="G242" i="27"/>
  <c r="G243" i="27" s="1"/>
  <c r="G244" i="27" s="1"/>
  <c r="G245" i="27" s="1"/>
  <c r="G246" i="27" s="1"/>
  <c r="G247" i="27" s="1"/>
  <c r="G248" i="27" s="1"/>
  <c r="G249" i="27" s="1"/>
  <c r="G250" i="27" s="1"/>
  <c r="G251" i="27" s="1"/>
  <c r="G252" i="27" s="1"/>
  <c r="G253" i="27" s="1"/>
  <c r="F242" i="27"/>
  <c r="F243" i="27" s="1"/>
  <c r="F244" i="27" s="1"/>
  <c r="F245" i="27" s="1"/>
  <c r="F246" i="27" s="1"/>
  <c r="F247" i="27" s="1"/>
  <c r="F248" i="27" s="1"/>
  <c r="F249" i="27" s="1"/>
  <c r="F250" i="27" s="1"/>
  <c r="F251" i="27" s="1"/>
  <c r="F252" i="27" s="1"/>
  <c r="F253" i="27" s="1"/>
  <c r="G230" i="27"/>
  <c r="G231" i="27" s="1"/>
  <c r="G232" i="27" s="1"/>
  <c r="G233" i="27" s="1"/>
  <c r="G234" i="27" s="1"/>
  <c r="G235" i="27" s="1"/>
  <c r="G236" i="27" s="1"/>
  <c r="G237" i="27" s="1"/>
  <c r="G238" i="27" s="1"/>
  <c r="G239" i="27" s="1"/>
  <c r="G240" i="27" s="1"/>
  <c r="G241" i="27" s="1"/>
  <c r="F230" i="27"/>
  <c r="F231" i="27" s="1"/>
  <c r="F232" i="27" s="1"/>
  <c r="F233" i="27" s="1"/>
  <c r="F234" i="27" s="1"/>
  <c r="F235" i="27" s="1"/>
  <c r="F236" i="27" s="1"/>
  <c r="F237" i="27" s="1"/>
  <c r="F238" i="27" s="1"/>
  <c r="F239" i="27" s="1"/>
  <c r="F240" i="27" s="1"/>
  <c r="F241" i="27" s="1"/>
  <c r="G218" i="27"/>
  <c r="G219" i="27" s="1"/>
  <c r="G220" i="27" s="1"/>
  <c r="G221" i="27" s="1"/>
  <c r="G222" i="27" s="1"/>
  <c r="G223" i="27" s="1"/>
  <c r="G224" i="27" s="1"/>
  <c r="G225" i="27" s="1"/>
  <c r="G226" i="27" s="1"/>
  <c r="G227" i="27" s="1"/>
  <c r="G228" i="27" s="1"/>
  <c r="G229" i="27" s="1"/>
  <c r="F218" i="27"/>
  <c r="F219" i="27" s="1"/>
  <c r="F220" i="27" s="1"/>
  <c r="F221" i="27" s="1"/>
  <c r="F222" i="27" s="1"/>
  <c r="F223" i="27" s="1"/>
  <c r="F224" i="27" s="1"/>
  <c r="F225" i="27" s="1"/>
  <c r="F226" i="27" s="1"/>
  <c r="F227" i="27" s="1"/>
  <c r="F228" i="27" s="1"/>
  <c r="F229" i="27" s="1"/>
  <c r="G206" i="27"/>
  <c r="G207" i="27" s="1"/>
  <c r="G208" i="27" s="1"/>
  <c r="G209" i="27" s="1"/>
  <c r="G210" i="27" s="1"/>
  <c r="G211" i="27" s="1"/>
  <c r="G212" i="27" s="1"/>
  <c r="G213" i="27" s="1"/>
  <c r="G214" i="27" s="1"/>
  <c r="G215" i="27" s="1"/>
  <c r="G216" i="27" s="1"/>
  <c r="G217" i="27" s="1"/>
  <c r="F206" i="27"/>
  <c r="F207" i="27" s="1"/>
  <c r="F208" i="27" s="1"/>
  <c r="F209" i="27" s="1"/>
  <c r="F210" i="27" s="1"/>
  <c r="F211" i="27" s="1"/>
  <c r="F212" i="27" s="1"/>
  <c r="F213" i="27" s="1"/>
  <c r="F214" i="27" s="1"/>
  <c r="F215" i="27" s="1"/>
  <c r="F216" i="27" s="1"/>
  <c r="F217" i="27" s="1"/>
  <c r="G194" i="27"/>
  <c r="G195" i="27" s="1"/>
  <c r="G196" i="27" s="1"/>
  <c r="G197" i="27" s="1"/>
  <c r="G198" i="27" s="1"/>
  <c r="G199" i="27" s="1"/>
  <c r="G200" i="27" s="1"/>
  <c r="G201" i="27" s="1"/>
  <c r="G202" i="27" s="1"/>
  <c r="G203" i="27" s="1"/>
  <c r="G204" i="27" s="1"/>
  <c r="G205" i="27" s="1"/>
  <c r="F194" i="27"/>
  <c r="F195" i="27" s="1"/>
  <c r="F196" i="27" s="1"/>
  <c r="F197" i="27" s="1"/>
  <c r="F198" i="27" s="1"/>
  <c r="F199" i="27" s="1"/>
  <c r="F200" i="27" s="1"/>
  <c r="F201" i="27" s="1"/>
  <c r="F202" i="27" s="1"/>
  <c r="F203" i="27" s="1"/>
  <c r="F204" i="27" s="1"/>
  <c r="F205" i="27" s="1"/>
  <c r="G182" i="27"/>
  <c r="G183" i="27" s="1"/>
  <c r="G184" i="27" s="1"/>
  <c r="G185" i="27" s="1"/>
  <c r="G186" i="27" s="1"/>
  <c r="G187" i="27" s="1"/>
  <c r="G188" i="27" s="1"/>
  <c r="G189" i="27" s="1"/>
  <c r="G190" i="27" s="1"/>
  <c r="G191" i="27" s="1"/>
  <c r="G192" i="27" s="1"/>
  <c r="G193" i="27" s="1"/>
  <c r="F182" i="27"/>
  <c r="F183" i="27" s="1"/>
  <c r="F184" i="27" s="1"/>
  <c r="F185" i="27" s="1"/>
  <c r="F186" i="27" s="1"/>
  <c r="F187" i="27" s="1"/>
  <c r="F188" i="27" s="1"/>
  <c r="F189" i="27" s="1"/>
  <c r="F190" i="27" s="1"/>
  <c r="F191" i="27" s="1"/>
  <c r="F192" i="27" s="1"/>
  <c r="F193" i="27" s="1"/>
  <c r="G134" i="27"/>
  <c r="G135" i="27" s="1"/>
  <c r="G136" i="27" s="1"/>
  <c r="G137" i="27" s="1"/>
  <c r="G138" i="27" s="1"/>
  <c r="G139" i="27" s="1"/>
  <c r="G140" i="27" s="1"/>
  <c r="G141" i="27" s="1"/>
  <c r="G142" i="27" s="1"/>
  <c r="G143" i="27" s="1"/>
  <c r="G144" i="27" s="1"/>
  <c r="G145" i="27" s="1"/>
  <c r="F134" i="27"/>
  <c r="F135" i="27" s="1"/>
  <c r="F136" i="27" s="1"/>
  <c r="F137" i="27" s="1"/>
  <c r="F138" i="27" s="1"/>
  <c r="F139" i="27" s="1"/>
  <c r="F140" i="27" s="1"/>
  <c r="F141" i="27" s="1"/>
  <c r="F142" i="27" s="1"/>
  <c r="F143" i="27" s="1"/>
  <c r="F144" i="27" s="1"/>
  <c r="F145" i="27" s="1"/>
  <c r="G110" i="27"/>
  <c r="G111" i="27" s="1"/>
  <c r="G112" i="27" s="1"/>
  <c r="G113" i="27" s="1"/>
  <c r="G114" i="27" s="1"/>
  <c r="G115" i="27" s="1"/>
  <c r="G116" i="27" s="1"/>
  <c r="G117" i="27" s="1"/>
  <c r="G118" i="27" s="1"/>
  <c r="G119" i="27" s="1"/>
  <c r="G120" i="27" s="1"/>
  <c r="G121" i="27" s="1"/>
  <c r="F110" i="27"/>
  <c r="F111" i="27" s="1"/>
  <c r="F112" i="27" s="1"/>
  <c r="F113" i="27" s="1"/>
  <c r="F114" i="27" s="1"/>
  <c r="F115" i="27" s="1"/>
  <c r="F116" i="27" s="1"/>
  <c r="F117" i="27" s="1"/>
  <c r="F118" i="27" s="1"/>
  <c r="F119" i="27" s="1"/>
  <c r="F120" i="27" s="1"/>
  <c r="F121" i="27" s="1"/>
  <c r="G98" i="27"/>
  <c r="G99" i="27" s="1"/>
  <c r="G100" i="27" s="1"/>
  <c r="G101" i="27" s="1"/>
  <c r="G102" i="27" s="1"/>
  <c r="G103" i="27" s="1"/>
  <c r="G104" i="27" s="1"/>
  <c r="G105" i="27" s="1"/>
  <c r="G106" i="27" s="1"/>
  <c r="G107" i="27" s="1"/>
  <c r="G108" i="27" s="1"/>
  <c r="G109" i="27" s="1"/>
  <c r="F98" i="27"/>
  <c r="F99" i="27" s="1"/>
  <c r="F100" i="27" s="1"/>
  <c r="F101" i="27" s="1"/>
  <c r="F102" i="27" s="1"/>
  <c r="F103" i="27" s="1"/>
  <c r="F104" i="27" s="1"/>
  <c r="F105" i="27" s="1"/>
  <c r="F106" i="27" s="1"/>
  <c r="F107" i="27" s="1"/>
  <c r="F108" i="27" s="1"/>
  <c r="F109" i="27" s="1"/>
  <c r="G74" i="27"/>
  <c r="G75" i="27" s="1"/>
  <c r="G76" i="27" s="1"/>
  <c r="G77" i="27" s="1"/>
  <c r="G78" i="27" s="1"/>
  <c r="G79" i="27" s="1"/>
  <c r="G80" i="27" s="1"/>
  <c r="G81" i="27" s="1"/>
  <c r="G82" i="27" s="1"/>
  <c r="G83" i="27" s="1"/>
  <c r="G84" i="27" s="1"/>
  <c r="G85" i="27" s="1"/>
  <c r="F74" i="27"/>
  <c r="F75" i="27" s="1"/>
  <c r="F76" i="27" s="1"/>
  <c r="F77" i="27" s="1"/>
  <c r="F78" i="27" s="1"/>
  <c r="F79" i="27" s="1"/>
  <c r="F80" i="27" s="1"/>
  <c r="F81" i="27" s="1"/>
  <c r="F82" i="27" s="1"/>
  <c r="F83" i="27" s="1"/>
  <c r="F84" i="27" s="1"/>
  <c r="F85" i="27" s="1"/>
  <c r="G146" i="27"/>
  <c r="G147" i="27" s="1"/>
  <c r="G148" i="27" s="1"/>
  <c r="G149" i="27" s="1"/>
  <c r="G150" i="27" s="1"/>
  <c r="G151" i="27" s="1"/>
  <c r="G152" i="27" s="1"/>
  <c r="G153" i="27" s="1"/>
  <c r="G154" i="27" s="1"/>
  <c r="G155" i="27" s="1"/>
  <c r="G156" i="27" s="1"/>
  <c r="G157" i="27" s="1"/>
  <c r="F146" i="27"/>
  <c r="F147" i="27" s="1"/>
  <c r="F148" i="27" s="1"/>
  <c r="F149" i="27" s="1"/>
  <c r="F150" i="27" s="1"/>
  <c r="F151" i="27" s="1"/>
  <c r="F152" i="27" s="1"/>
  <c r="F153" i="27" s="1"/>
  <c r="F154" i="27" s="1"/>
  <c r="F155" i="27" s="1"/>
  <c r="F156" i="27" s="1"/>
  <c r="F157" i="27" s="1"/>
  <c r="G86" i="27"/>
  <c r="G87" i="27" s="1"/>
  <c r="G88" i="27" s="1"/>
  <c r="G89" i="27" s="1"/>
  <c r="G90" i="27" s="1"/>
  <c r="G91" i="27" s="1"/>
  <c r="G92" i="27" s="1"/>
  <c r="G93" i="27" s="1"/>
  <c r="G94" i="27" s="1"/>
  <c r="G95" i="27" s="1"/>
  <c r="G96" i="27" s="1"/>
  <c r="G97" i="27" s="1"/>
  <c r="F86" i="27"/>
  <c r="F87" i="27" s="1"/>
  <c r="F88" i="27" s="1"/>
  <c r="F89" i="27" s="1"/>
  <c r="F90" i="27" s="1"/>
  <c r="F91" i="27" s="1"/>
  <c r="F92" i="27" s="1"/>
  <c r="F93" i="27" s="1"/>
  <c r="F94" i="27" s="1"/>
  <c r="F95" i="27" s="1"/>
  <c r="F96" i="27" s="1"/>
  <c r="F97" i="27" s="1"/>
  <c r="G62" i="27"/>
  <c r="G63" i="27" s="1"/>
  <c r="G64" i="27" s="1"/>
  <c r="G65" i="27" s="1"/>
  <c r="G66" i="27" s="1"/>
  <c r="G67" i="27" s="1"/>
  <c r="G68" i="27" s="1"/>
  <c r="G69" i="27" s="1"/>
  <c r="G70" i="27" s="1"/>
  <c r="G71" i="27" s="1"/>
  <c r="G72" i="27" s="1"/>
  <c r="G73" i="27" s="1"/>
  <c r="F62" i="27"/>
  <c r="F63" i="27" s="1"/>
  <c r="F64" i="27" s="1"/>
  <c r="F65" i="27" s="1"/>
  <c r="F66" i="27" s="1"/>
  <c r="F67" i="27" s="1"/>
  <c r="F68" i="27" s="1"/>
  <c r="F69" i="27" s="1"/>
  <c r="F70" i="27" s="1"/>
  <c r="F71" i="27" s="1"/>
  <c r="F72" i="27" s="1"/>
  <c r="F73" i="27" s="1"/>
  <c r="G26" i="27"/>
  <c r="G27" i="27" s="1"/>
  <c r="G28" i="27" s="1"/>
  <c r="G29" i="27" s="1"/>
  <c r="G30" i="27" s="1"/>
  <c r="G31" i="27" s="1"/>
  <c r="G32" i="27" s="1"/>
  <c r="G33" i="27" s="1"/>
  <c r="G34" i="27" s="1"/>
  <c r="G35" i="27" s="1"/>
  <c r="G36" i="27" s="1"/>
  <c r="G37" i="27" s="1"/>
  <c r="F26" i="27"/>
  <c r="F27" i="27" s="1"/>
  <c r="F28" i="27" s="1"/>
  <c r="F29" i="27" s="1"/>
  <c r="F30" i="27" s="1"/>
  <c r="F31" i="27" s="1"/>
  <c r="F32" i="27" s="1"/>
  <c r="F33" i="27" s="1"/>
  <c r="F34" i="27" s="1"/>
  <c r="F35" i="27" s="1"/>
  <c r="F36" i="27" s="1"/>
  <c r="F37" i="27" s="1"/>
  <c r="G14" i="27"/>
  <c r="G15" i="27" s="1"/>
  <c r="G16" i="27" s="1"/>
  <c r="G17" i="27" s="1"/>
  <c r="G18" i="27" s="1"/>
  <c r="G19" i="27" s="1"/>
  <c r="G20" i="27" s="1"/>
  <c r="G21" i="27" s="1"/>
  <c r="G22" i="27" s="1"/>
  <c r="G23" i="27" s="1"/>
  <c r="G24" i="27" s="1"/>
  <c r="G25" i="27" s="1"/>
  <c r="F14" i="27"/>
  <c r="F15" i="27" s="1"/>
  <c r="F16" i="27" s="1"/>
  <c r="F17" i="27" s="1"/>
  <c r="F18" i="27" s="1"/>
  <c r="F19" i="27" s="1"/>
  <c r="F20" i="27" s="1"/>
  <c r="F21" i="27" s="1"/>
  <c r="F22" i="27" s="1"/>
  <c r="F23" i="27" s="1"/>
  <c r="F24" i="27" s="1"/>
  <c r="F25" i="27" s="1"/>
  <c r="G50" i="27"/>
  <c r="G51" i="27" s="1"/>
  <c r="G52" i="27" s="1"/>
  <c r="G53" i="27" s="1"/>
  <c r="G54" i="27" s="1"/>
  <c r="G55" i="27" s="1"/>
  <c r="G56" i="27" s="1"/>
  <c r="G57" i="27" s="1"/>
  <c r="G58" i="27" s="1"/>
  <c r="G59" i="27" s="1"/>
  <c r="G60" i="27" s="1"/>
  <c r="G61" i="27" s="1"/>
  <c r="F50" i="27"/>
  <c r="F51" i="27" s="1"/>
  <c r="F52" i="27" s="1"/>
  <c r="F53" i="27" s="1"/>
  <c r="F54" i="27" s="1"/>
  <c r="F55" i="27" s="1"/>
  <c r="F56" i="27" s="1"/>
  <c r="F57" i="27" s="1"/>
  <c r="F58" i="27" s="1"/>
  <c r="F59" i="27" s="1"/>
  <c r="F60" i="27" s="1"/>
  <c r="F61" i="27" s="1"/>
  <c r="G158" i="27"/>
  <c r="G159" i="27" s="1"/>
  <c r="G160" i="27" s="1"/>
  <c r="G161" i="27" s="1"/>
  <c r="G162" i="27" s="1"/>
  <c r="G163" i="27" s="1"/>
  <c r="G164" i="27" s="1"/>
  <c r="G165" i="27" s="1"/>
  <c r="G166" i="27" s="1"/>
  <c r="G167" i="27" s="1"/>
  <c r="G168" i="27" s="1"/>
  <c r="G169" i="27" s="1"/>
  <c r="F158" i="27"/>
  <c r="F159" i="27" s="1"/>
  <c r="F160" i="27" s="1"/>
  <c r="F161" i="27" s="1"/>
  <c r="F162" i="27" s="1"/>
  <c r="F163" i="27" s="1"/>
  <c r="F164" i="27" s="1"/>
  <c r="F165" i="27" s="1"/>
  <c r="F166" i="27" s="1"/>
  <c r="F167" i="27" s="1"/>
  <c r="F168" i="27" s="1"/>
  <c r="F169" i="27" s="1"/>
  <c r="G38" i="27"/>
  <c r="G39" i="27" s="1"/>
  <c r="G40" i="27" s="1"/>
  <c r="G41" i="27" s="1"/>
  <c r="G42" i="27" s="1"/>
  <c r="G43" i="27" s="1"/>
  <c r="G44" i="27" s="1"/>
  <c r="G45" i="27" s="1"/>
  <c r="G46" i="27" s="1"/>
  <c r="G47" i="27" s="1"/>
  <c r="G48" i="27" s="1"/>
  <c r="G49" i="27" s="1"/>
  <c r="F38" i="27"/>
  <c r="F39" i="27" s="1"/>
  <c r="F40" i="27" s="1"/>
  <c r="F41" i="27" s="1"/>
  <c r="F42" i="27" s="1"/>
  <c r="F43" i="27" s="1"/>
  <c r="F44" i="27" s="1"/>
  <c r="F45" i="27" s="1"/>
  <c r="F46" i="27" s="1"/>
  <c r="F47" i="27" s="1"/>
  <c r="F48" i="27" s="1"/>
  <c r="F49" i="27" s="1"/>
  <c r="M734" i="5" l="1"/>
  <c r="M735" i="5" s="1"/>
  <c r="M736" i="5" s="1"/>
  <c r="M737" i="5" s="1"/>
  <c r="M738" i="5" s="1"/>
  <c r="M739" i="5" s="1"/>
  <c r="M740" i="5" s="1"/>
  <c r="M741" i="5" s="1"/>
  <c r="M742" i="5" s="1"/>
  <c r="M743" i="5" s="1"/>
  <c r="M744" i="5" s="1"/>
  <c r="M745" i="5" s="1"/>
  <c r="M722" i="5"/>
  <c r="M723" i="5" s="1"/>
  <c r="M724" i="5" s="1"/>
  <c r="M725" i="5" s="1"/>
  <c r="M726" i="5" s="1"/>
  <c r="M727" i="5" s="1"/>
  <c r="M728" i="5" s="1"/>
  <c r="M729" i="5" s="1"/>
  <c r="M730" i="5" s="1"/>
  <c r="M731" i="5" s="1"/>
  <c r="M732" i="5" s="1"/>
  <c r="M733" i="5" s="1"/>
  <c r="M710" i="5"/>
  <c r="M711" i="5" s="1"/>
  <c r="M712" i="5" s="1"/>
  <c r="M713" i="5" s="1"/>
  <c r="M714" i="5" s="1"/>
  <c r="M715" i="5" s="1"/>
  <c r="M716" i="5" s="1"/>
  <c r="M717" i="5" s="1"/>
  <c r="M718" i="5" s="1"/>
  <c r="M719" i="5" s="1"/>
  <c r="M720" i="5" s="1"/>
  <c r="M721" i="5" s="1"/>
  <c r="M698" i="5"/>
  <c r="M699" i="5" s="1"/>
  <c r="M700" i="5" s="1"/>
  <c r="M701" i="5" s="1"/>
  <c r="M702" i="5" s="1"/>
  <c r="M703" i="5" s="1"/>
  <c r="M704" i="5" s="1"/>
  <c r="M705" i="5" s="1"/>
  <c r="M706" i="5" s="1"/>
  <c r="M707" i="5" s="1"/>
  <c r="M708" i="5" s="1"/>
  <c r="M709" i="5" s="1"/>
  <c r="M674" i="5"/>
  <c r="M675" i="5" s="1"/>
  <c r="M676" i="5" s="1"/>
  <c r="M677" i="5" s="1"/>
  <c r="M678" i="5" s="1"/>
  <c r="M679" i="5" s="1"/>
  <c r="M680" i="5" s="1"/>
  <c r="M681" i="5" s="1"/>
  <c r="M682" i="5" s="1"/>
  <c r="M683" i="5" s="1"/>
  <c r="M684" i="5" s="1"/>
  <c r="M685" i="5" s="1"/>
  <c r="M662" i="5"/>
  <c r="M663" i="5" s="1"/>
  <c r="M664" i="5" s="1"/>
  <c r="M665" i="5" s="1"/>
  <c r="M666" i="5" s="1"/>
  <c r="M667" i="5" s="1"/>
  <c r="M668" i="5" s="1"/>
  <c r="M669" i="5" s="1"/>
  <c r="M670" i="5" s="1"/>
  <c r="M671" i="5" s="1"/>
  <c r="M672" i="5" s="1"/>
  <c r="M673" i="5" s="1"/>
  <c r="M650" i="5"/>
  <c r="M651" i="5" s="1"/>
  <c r="M652" i="5" s="1"/>
  <c r="M653" i="5" s="1"/>
  <c r="M654" i="5" s="1"/>
  <c r="M655" i="5" s="1"/>
  <c r="M656" i="5" s="1"/>
  <c r="M657" i="5" s="1"/>
  <c r="M658" i="5" s="1"/>
  <c r="M659" i="5" s="1"/>
  <c r="M660" i="5" s="1"/>
  <c r="M661" i="5" s="1"/>
  <c r="M638" i="5"/>
  <c r="M639" i="5" s="1"/>
  <c r="M640" i="5" s="1"/>
  <c r="M641" i="5" s="1"/>
  <c r="M642" i="5" s="1"/>
  <c r="M643" i="5" s="1"/>
  <c r="M644" i="5" s="1"/>
  <c r="M645" i="5" s="1"/>
  <c r="M646" i="5" s="1"/>
  <c r="M647" i="5" s="1"/>
  <c r="M648" i="5" s="1"/>
  <c r="M649" i="5" s="1"/>
  <c r="M614" i="5"/>
  <c r="M615" i="5" s="1"/>
  <c r="M616" i="5" s="1"/>
  <c r="M617" i="5" s="1"/>
  <c r="M618" i="5" s="1"/>
  <c r="M619" i="5" s="1"/>
  <c r="M620" i="5" s="1"/>
  <c r="M621" i="5" s="1"/>
  <c r="M622" i="5" s="1"/>
  <c r="M623" i="5" s="1"/>
  <c r="M624" i="5" s="1"/>
  <c r="M625" i="5" s="1"/>
  <c r="M602" i="5"/>
  <c r="M603" i="5" s="1"/>
  <c r="M604" i="5" s="1"/>
  <c r="M605" i="5" s="1"/>
  <c r="M606" i="5" s="1"/>
  <c r="M607" i="5" s="1"/>
  <c r="M608" i="5" s="1"/>
  <c r="M609" i="5" s="1"/>
  <c r="M610" i="5" s="1"/>
  <c r="M611" i="5" s="1"/>
  <c r="M612" i="5" s="1"/>
  <c r="M613" i="5" s="1"/>
  <c r="M590" i="5"/>
  <c r="M591" i="5" s="1"/>
  <c r="M592" i="5" s="1"/>
  <c r="M593" i="5" s="1"/>
  <c r="M594" i="5" s="1"/>
  <c r="M595" i="5" s="1"/>
  <c r="M596" i="5" s="1"/>
  <c r="M597" i="5" s="1"/>
  <c r="M598" i="5" s="1"/>
  <c r="M599" i="5" s="1"/>
  <c r="M600" i="5" s="1"/>
  <c r="M601" i="5" s="1"/>
  <c r="M566" i="5"/>
  <c r="M567" i="5" s="1"/>
  <c r="M568" i="5" s="1"/>
  <c r="M569" i="5" s="1"/>
  <c r="M570" i="5" s="1"/>
  <c r="M571" i="5" s="1"/>
  <c r="M572" i="5" s="1"/>
  <c r="M573" i="5" s="1"/>
  <c r="M574" i="5" s="1"/>
  <c r="M575" i="5" s="1"/>
  <c r="M576" i="5" s="1"/>
  <c r="M577" i="5" s="1"/>
  <c r="M554" i="5"/>
  <c r="M555" i="5" s="1"/>
  <c r="M556" i="5" s="1"/>
  <c r="M557" i="5" s="1"/>
  <c r="M558" i="5" s="1"/>
  <c r="M559" i="5" s="1"/>
  <c r="M560" i="5" s="1"/>
  <c r="M561" i="5" s="1"/>
  <c r="M562" i="5" s="1"/>
  <c r="M563" i="5" s="1"/>
  <c r="M564" i="5" s="1"/>
  <c r="M565" i="5" s="1"/>
  <c r="M542" i="5"/>
  <c r="M543" i="5" s="1"/>
  <c r="M544" i="5" s="1"/>
  <c r="M545" i="5" s="1"/>
  <c r="M546" i="5" s="1"/>
  <c r="M547" i="5" s="1"/>
  <c r="M548" i="5" s="1"/>
  <c r="M549" i="5" s="1"/>
  <c r="M550" i="5" s="1"/>
  <c r="M551" i="5" s="1"/>
  <c r="M552" i="5" s="1"/>
  <c r="M553" i="5" s="1"/>
  <c r="M530" i="5"/>
  <c r="M531" i="5" s="1"/>
  <c r="M532" i="5" s="1"/>
  <c r="M533" i="5" s="1"/>
  <c r="M534" i="5" s="1"/>
  <c r="M535" i="5" s="1"/>
  <c r="M536" i="5" s="1"/>
  <c r="M537" i="5" s="1"/>
  <c r="M538" i="5" s="1"/>
  <c r="M539" i="5" s="1"/>
  <c r="M540" i="5" s="1"/>
  <c r="M541" i="5" s="1"/>
  <c r="M518" i="5"/>
  <c r="M519" i="5" s="1"/>
  <c r="M520" i="5" s="1"/>
  <c r="M521" i="5" s="1"/>
  <c r="M522" i="5" s="1"/>
  <c r="M523" i="5" s="1"/>
  <c r="M524" i="5" s="1"/>
  <c r="M525" i="5" s="1"/>
  <c r="M526" i="5" s="1"/>
  <c r="M527" i="5" s="1"/>
  <c r="M528" i="5" s="1"/>
  <c r="M529" i="5" s="1"/>
  <c r="M506" i="5"/>
  <c r="M507" i="5" s="1"/>
  <c r="M508" i="5" s="1"/>
  <c r="M509" i="5" s="1"/>
  <c r="M510" i="5" s="1"/>
  <c r="M511" i="5" s="1"/>
  <c r="M512" i="5" s="1"/>
  <c r="M513" i="5" s="1"/>
  <c r="M514" i="5" s="1"/>
  <c r="M515" i="5" s="1"/>
  <c r="M516" i="5" s="1"/>
  <c r="M517" i="5" s="1"/>
  <c r="M494" i="5"/>
  <c r="M495" i="5" s="1"/>
  <c r="M496" i="5" s="1"/>
  <c r="M497" i="5" s="1"/>
  <c r="M498" i="5" s="1"/>
  <c r="M499" i="5" s="1"/>
  <c r="M500" i="5" s="1"/>
  <c r="M501" i="5" s="1"/>
  <c r="M502" i="5" s="1"/>
  <c r="M503" i="5" s="1"/>
  <c r="M504" i="5" s="1"/>
  <c r="M505" i="5" s="1"/>
  <c r="M482" i="5"/>
  <c r="M483" i="5" s="1"/>
  <c r="M484" i="5" s="1"/>
  <c r="M485" i="5" s="1"/>
  <c r="M486" i="5" s="1"/>
  <c r="M487" i="5" s="1"/>
  <c r="M488" i="5" s="1"/>
  <c r="M489" i="5" s="1"/>
  <c r="M490" i="5" s="1"/>
  <c r="M491" i="5" s="1"/>
  <c r="M492" i="5" s="1"/>
  <c r="M493" i="5" s="1"/>
  <c r="M470" i="5"/>
  <c r="M471" i="5" s="1"/>
  <c r="M472" i="5" s="1"/>
  <c r="M473" i="5" s="1"/>
  <c r="M474" i="5" s="1"/>
  <c r="M475" i="5" s="1"/>
  <c r="M476" i="5" s="1"/>
  <c r="M477" i="5" s="1"/>
  <c r="M478" i="5" s="1"/>
  <c r="M479" i="5" s="1"/>
  <c r="M480" i="5" s="1"/>
  <c r="M481" i="5" s="1"/>
  <c r="M434" i="5"/>
  <c r="M435" i="5" s="1"/>
  <c r="M436" i="5" s="1"/>
  <c r="M437" i="5" s="1"/>
  <c r="M438" i="5" s="1"/>
  <c r="M439" i="5" s="1"/>
  <c r="M440" i="5" s="1"/>
  <c r="M441" i="5" s="1"/>
  <c r="M442" i="5" s="1"/>
  <c r="M443" i="5" s="1"/>
  <c r="M444" i="5" s="1"/>
  <c r="M445" i="5" s="1"/>
  <c r="M422" i="5"/>
  <c r="M423" i="5" s="1"/>
  <c r="M424" i="5" s="1"/>
  <c r="M425" i="5" s="1"/>
  <c r="M426" i="5" s="1"/>
  <c r="M427" i="5" s="1"/>
  <c r="M428" i="5" s="1"/>
  <c r="M429" i="5" s="1"/>
  <c r="M430" i="5" s="1"/>
  <c r="M431" i="5" s="1"/>
  <c r="M432" i="5" s="1"/>
  <c r="M433" i="5" s="1"/>
  <c r="M410" i="5"/>
  <c r="M411" i="5" s="1"/>
  <c r="M412" i="5" s="1"/>
  <c r="M413" i="5" s="1"/>
  <c r="M414" i="5" s="1"/>
  <c r="M415" i="5" s="1"/>
  <c r="M416" i="5" s="1"/>
  <c r="M417" i="5" s="1"/>
  <c r="M418" i="5" s="1"/>
  <c r="M419" i="5" s="1"/>
  <c r="M420" i="5" s="1"/>
  <c r="M421" i="5" s="1"/>
  <c r="M398" i="5"/>
  <c r="M399" i="5" s="1"/>
  <c r="M400" i="5" s="1"/>
  <c r="M401" i="5" s="1"/>
  <c r="M402" i="5" s="1"/>
  <c r="M403" i="5" s="1"/>
  <c r="M404" i="5" s="1"/>
  <c r="M405" i="5" s="1"/>
  <c r="M406" i="5" s="1"/>
  <c r="M407" i="5" s="1"/>
  <c r="M408" i="5" s="1"/>
  <c r="M409" i="5" s="1"/>
  <c r="M386" i="5"/>
  <c r="M387" i="5" s="1"/>
  <c r="M388" i="5" s="1"/>
  <c r="M389" i="5" s="1"/>
  <c r="M390" i="5" s="1"/>
  <c r="M391" i="5" s="1"/>
  <c r="M392" i="5" s="1"/>
  <c r="M393" i="5" s="1"/>
  <c r="M394" i="5" s="1"/>
  <c r="M395" i="5" s="1"/>
  <c r="M396" i="5" s="1"/>
  <c r="M397" i="5" s="1"/>
  <c r="M374" i="5"/>
  <c r="M375" i="5" s="1"/>
  <c r="M376" i="5" s="1"/>
  <c r="M377" i="5" s="1"/>
  <c r="M378" i="5" s="1"/>
  <c r="M379" i="5" s="1"/>
  <c r="M380" i="5" s="1"/>
  <c r="M381" i="5" s="1"/>
  <c r="M382" i="5" s="1"/>
  <c r="M383" i="5" s="1"/>
  <c r="M384" i="5" s="1"/>
  <c r="M385" i="5" s="1"/>
  <c r="M362" i="5"/>
  <c r="M363" i="5" s="1"/>
  <c r="M364" i="5" s="1"/>
  <c r="M365" i="5" s="1"/>
  <c r="M366" i="5" s="1"/>
  <c r="M367" i="5" s="1"/>
  <c r="M368" i="5" s="1"/>
  <c r="M369" i="5" s="1"/>
  <c r="M370" i="5" s="1"/>
  <c r="M371" i="5" s="1"/>
  <c r="M372" i="5" s="1"/>
  <c r="M373" i="5" s="1"/>
  <c r="M350" i="5"/>
  <c r="M351" i="5" s="1"/>
  <c r="M352" i="5" s="1"/>
  <c r="M353" i="5" s="1"/>
  <c r="M354" i="5" s="1"/>
  <c r="M355" i="5" s="1"/>
  <c r="M356" i="5" s="1"/>
  <c r="M357" i="5" s="1"/>
  <c r="M358" i="5" s="1"/>
  <c r="M359" i="5" s="1"/>
  <c r="M360" i="5" s="1"/>
  <c r="M361" i="5" s="1"/>
  <c r="M338" i="5"/>
  <c r="M339" i="5" s="1"/>
  <c r="M340" i="5" s="1"/>
  <c r="M341" i="5" s="1"/>
  <c r="M342" i="5" s="1"/>
  <c r="M343" i="5" s="1"/>
  <c r="M344" i="5" s="1"/>
  <c r="M345" i="5" s="1"/>
  <c r="M346" i="5" s="1"/>
  <c r="M347" i="5" s="1"/>
  <c r="M348" i="5" s="1"/>
  <c r="M349" i="5" s="1"/>
  <c r="M326" i="5"/>
  <c r="M327" i="5" s="1"/>
  <c r="M328" i="5" s="1"/>
  <c r="M329" i="5" s="1"/>
  <c r="M330" i="5" s="1"/>
  <c r="M331" i="5" s="1"/>
  <c r="M332" i="5" s="1"/>
  <c r="M333" i="5" s="1"/>
  <c r="M334" i="5" s="1"/>
  <c r="M335" i="5" s="1"/>
  <c r="M336" i="5" s="1"/>
  <c r="M337" i="5" s="1"/>
  <c r="M314" i="5"/>
  <c r="M315" i="5" s="1"/>
  <c r="M316" i="5" s="1"/>
  <c r="M317" i="5" s="1"/>
  <c r="M318" i="5" s="1"/>
  <c r="M319" i="5" s="1"/>
  <c r="M320" i="5" s="1"/>
  <c r="M321" i="5" s="1"/>
  <c r="M322" i="5" s="1"/>
  <c r="M323" i="5" s="1"/>
  <c r="M324" i="5" s="1"/>
  <c r="M325" i="5" s="1"/>
  <c r="M290" i="5"/>
  <c r="M291" i="5" s="1"/>
  <c r="M292" i="5" s="1"/>
  <c r="M293" i="5" s="1"/>
  <c r="M294" i="5" s="1"/>
  <c r="M295" i="5" s="1"/>
  <c r="M296" i="5" s="1"/>
  <c r="M297" i="5" s="1"/>
  <c r="M298" i="5" s="1"/>
  <c r="M299" i="5" s="1"/>
  <c r="M300" i="5" s="1"/>
  <c r="M301" i="5" s="1"/>
  <c r="M278" i="5"/>
  <c r="M279" i="5" s="1"/>
  <c r="M280" i="5" s="1"/>
  <c r="M281" i="5" s="1"/>
  <c r="M282" i="5" s="1"/>
  <c r="M283" i="5" s="1"/>
  <c r="M284" i="5" s="1"/>
  <c r="M285" i="5" s="1"/>
  <c r="M286" i="5" s="1"/>
  <c r="M287" i="5" s="1"/>
  <c r="M288" i="5" s="1"/>
  <c r="M289" i="5" s="1"/>
  <c r="M254" i="5"/>
  <c r="M255" i="5" s="1"/>
  <c r="M256" i="5" s="1"/>
  <c r="M257" i="5" s="1"/>
  <c r="M258" i="5" s="1"/>
  <c r="M259" i="5" s="1"/>
  <c r="M260" i="5" s="1"/>
  <c r="M261" i="5" s="1"/>
  <c r="M262" i="5" s="1"/>
  <c r="M263" i="5" s="1"/>
  <c r="M264" i="5" s="1"/>
  <c r="M265" i="5" s="1"/>
  <c r="M242" i="5"/>
  <c r="M243" i="5" s="1"/>
  <c r="M244" i="5" s="1"/>
  <c r="M245" i="5" s="1"/>
  <c r="M246" i="5" s="1"/>
  <c r="M247" i="5" s="1"/>
  <c r="M248" i="5" s="1"/>
  <c r="M249" i="5" s="1"/>
  <c r="M250" i="5" s="1"/>
  <c r="M251" i="5" s="1"/>
  <c r="M252" i="5" s="1"/>
  <c r="M253" i="5" s="1"/>
  <c r="M230" i="5"/>
  <c r="M231" i="5" s="1"/>
  <c r="M232" i="5" s="1"/>
  <c r="M233" i="5" s="1"/>
  <c r="M234" i="5" s="1"/>
  <c r="M235" i="5" s="1"/>
  <c r="M236" i="5" s="1"/>
  <c r="M237" i="5" s="1"/>
  <c r="M238" i="5" s="1"/>
  <c r="M239" i="5" s="1"/>
  <c r="M240" i="5" s="1"/>
  <c r="M241" i="5" s="1"/>
  <c r="M218" i="5"/>
  <c r="M219" i="5" s="1"/>
  <c r="M220" i="5" s="1"/>
  <c r="M221" i="5" s="1"/>
  <c r="M222" i="5" s="1"/>
  <c r="M223" i="5" s="1"/>
  <c r="M224" i="5" s="1"/>
  <c r="M225" i="5" s="1"/>
  <c r="M226" i="5" s="1"/>
  <c r="M227" i="5" s="1"/>
  <c r="M228" i="5" s="1"/>
  <c r="M229" i="5" s="1"/>
  <c r="M206" i="5"/>
  <c r="M207" i="5" s="1"/>
  <c r="M208" i="5" s="1"/>
  <c r="M209" i="5" s="1"/>
  <c r="M210" i="5" s="1"/>
  <c r="M211" i="5" s="1"/>
  <c r="M212" i="5" s="1"/>
  <c r="M213" i="5" s="1"/>
  <c r="M214" i="5" s="1"/>
  <c r="M215" i="5" s="1"/>
  <c r="M216" i="5" s="1"/>
  <c r="M217" i="5" s="1"/>
  <c r="M194" i="5"/>
  <c r="M195" i="5" s="1"/>
  <c r="M196" i="5" s="1"/>
  <c r="M197" i="5" s="1"/>
  <c r="M198" i="5" s="1"/>
  <c r="M199" i="5" s="1"/>
  <c r="M200" i="5" s="1"/>
  <c r="M201" i="5" s="1"/>
  <c r="M202" i="5" s="1"/>
  <c r="M203" i="5" s="1"/>
  <c r="M204" i="5" s="1"/>
  <c r="M205" i="5" s="1"/>
  <c r="M182" i="5"/>
  <c r="M183" i="5" s="1"/>
  <c r="M184" i="5" s="1"/>
  <c r="M185" i="5" s="1"/>
  <c r="M186" i="5" s="1"/>
  <c r="M187" i="5" s="1"/>
  <c r="M188" i="5" s="1"/>
  <c r="M189" i="5" s="1"/>
  <c r="M190" i="5" s="1"/>
  <c r="M191" i="5" s="1"/>
  <c r="M192" i="5" s="1"/>
  <c r="M193" i="5" s="1"/>
  <c r="M170" i="5"/>
  <c r="M171" i="5" s="1"/>
  <c r="M172" i="5" s="1"/>
  <c r="M173" i="5" s="1"/>
  <c r="M174" i="5" s="1"/>
  <c r="M175" i="5" s="1"/>
  <c r="M176" i="5" s="1"/>
  <c r="M177" i="5" s="1"/>
  <c r="M178" i="5" s="1"/>
  <c r="M179" i="5" s="1"/>
  <c r="M180" i="5" s="1"/>
  <c r="M181" i="5" s="1"/>
  <c r="M158" i="5"/>
  <c r="M159" i="5" s="1"/>
  <c r="M160" i="5" s="1"/>
  <c r="M161" i="5" s="1"/>
  <c r="M162" i="5" s="1"/>
  <c r="M163" i="5" s="1"/>
  <c r="M164" i="5" s="1"/>
  <c r="M165" i="5" s="1"/>
  <c r="M166" i="5" s="1"/>
  <c r="M167" i="5" s="1"/>
  <c r="M168" i="5" s="1"/>
  <c r="M169" i="5" s="1"/>
  <c r="M146" i="5"/>
  <c r="M147" i="5" s="1"/>
  <c r="M148" i="5" s="1"/>
  <c r="M149" i="5" s="1"/>
  <c r="M150" i="5" s="1"/>
  <c r="M151" i="5" s="1"/>
  <c r="M152" i="5" s="1"/>
  <c r="M153" i="5" s="1"/>
  <c r="M154" i="5" s="1"/>
  <c r="M155" i="5" s="1"/>
  <c r="M156" i="5" s="1"/>
  <c r="M157" i="5" s="1"/>
  <c r="M134" i="5"/>
  <c r="M135" i="5" s="1"/>
  <c r="M136" i="5" s="1"/>
  <c r="M137" i="5" s="1"/>
  <c r="M138" i="5" s="1"/>
  <c r="M139" i="5" s="1"/>
  <c r="M140" i="5" s="1"/>
  <c r="M141" i="5" s="1"/>
  <c r="M142" i="5" s="1"/>
  <c r="M143" i="5" s="1"/>
  <c r="M144" i="5" s="1"/>
  <c r="M145" i="5" s="1"/>
  <c r="M110" i="5"/>
  <c r="M111" i="5" s="1"/>
  <c r="M112" i="5" s="1"/>
  <c r="M113" i="5" s="1"/>
  <c r="M114" i="5" s="1"/>
  <c r="M115" i="5" s="1"/>
  <c r="M116" i="5" s="1"/>
  <c r="M117" i="5" s="1"/>
  <c r="M118" i="5" s="1"/>
  <c r="M119" i="5" s="1"/>
  <c r="M120" i="5" s="1"/>
  <c r="M121" i="5" s="1"/>
  <c r="L734" i="5"/>
  <c r="L722" i="5"/>
  <c r="L710" i="5"/>
  <c r="L698" i="5"/>
  <c r="L699" i="5" s="1"/>
  <c r="L674" i="5"/>
  <c r="L662" i="5"/>
  <c r="L650" i="5"/>
  <c r="L651" i="5" s="1"/>
  <c r="L638" i="5"/>
  <c r="L614" i="5"/>
  <c r="L602" i="5"/>
  <c r="L590" i="5"/>
  <c r="L591" i="5" s="1"/>
  <c r="L566" i="5"/>
  <c r="L554" i="5"/>
  <c r="L542" i="5"/>
  <c r="L530" i="5"/>
  <c r="L518" i="5"/>
  <c r="L506" i="5"/>
  <c r="L494" i="5"/>
  <c r="L482" i="5"/>
  <c r="L470" i="5"/>
  <c r="L434" i="5"/>
  <c r="L435" i="5" s="1"/>
  <c r="L422" i="5"/>
  <c r="L410" i="5"/>
  <c r="L398" i="5"/>
  <c r="L386" i="5"/>
  <c r="L374" i="5"/>
  <c r="L362" i="5"/>
  <c r="L363" i="5" s="1"/>
  <c r="L350" i="5"/>
  <c r="L338" i="5"/>
  <c r="L326" i="5"/>
  <c r="L314" i="5"/>
  <c r="L290" i="5"/>
  <c r="L278" i="5"/>
  <c r="L254" i="5"/>
  <c r="L242" i="5"/>
  <c r="L230" i="5"/>
  <c r="L231" i="5" s="1"/>
  <c r="L218" i="5"/>
  <c r="L219" i="5" s="1"/>
  <c r="L206" i="5"/>
  <c r="L194" i="5"/>
  <c r="L182" i="5"/>
  <c r="L170" i="5"/>
  <c r="L158" i="5"/>
  <c r="L146" i="5"/>
  <c r="L134" i="5"/>
  <c r="L110" i="5"/>
  <c r="L98" i="5"/>
  <c r="L86" i="5"/>
  <c r="L74" i="5"/>
  <c r="L62" i="5"/>
  <c r="L50" i="5"/>
  <c r="L51" i="5" s="1"/>
  <c r="L38" i="5"/>
  <c r="M98" i="5"/>
  <c r="M99" i="5" s="1"/>
  <c r="M100" i="5" s="1"/>
  <c r="M101" i="5" s="1"/>
  <c r="M102" i="5" s="1"/>
  <c r="M103" i="5" s="1"/>
  <c r="M104" i="5" s="1"/>
  <c r="M105" i="5" s="1"/>
  <c r="M106" i="5" s="1"/>
  <c r="M107" i="5" s="1"/>
  <c r="M108" i="5" s="1"/>
  <c r="M109" i="5" s="1"/>
  <c r="M86" i="5"/>
  <c r="M87" i="5" s="1"/>
  <c r="M88" i="5" s="1"/>
  <c r="M89" i="5" s="1"/>
  <c r="M90" i="5" s="1"/>
  <c r="M91" i="5" s="1"/>
  <c r="M92" i="5" s="1"/>
  <c r="M93" i="5" s="1"/>
  <c r="M94" i="5" s="1"/>
  <c r="M95" i="5" s="1"/>
  <c r="M96" i="5" s="1"/>
  <c r="M97" i="5" s="1"/>
  <c r="M74" i="5"/>
  <c r="M75" i="5" s="1"/>
  <c r="M76" i="5" s="1"/>
  <c r="M77" i="5" s="1"/>
  <c r="M78" i="5" s="1"/>
  <c r="M79" i="5" s="1"/>
  <c r="M80" i="5" s="1"/>
  <c r="M81" i="5" s="1"/>
  <c r="M82" i="5" s="1"/>
  <c r="M83" i="5" s="1"/>
  <c r="M84" i="5" s="1"/>
  <c r="M85" i="5" s="1"/>
  <c r="M62" i="5"/>
  <c r="M63" i="5" s="1"/>
  <c r="M64" i="5" s="1"/>
  <c r="M65" i="5" s="1"/>
  <c r="M66" i="5" s="1"/>
  <c r="M67" i="5" s="1"/>
  <c r="M68" i="5" s="1"/>
  <c r="M69" i="5" s="1"/>
  <c r="M70" i="5" s="1"/>
  <c r="M71" i="5" s="1"/>
  <c r="M72" i="5" s="1"/>
  <c r="M73" i="5" s="1"/>
  <c r="M50" i="5"/>
  <c r="M51" i="5" s="1"/>
  <c r="M52" i="5" s="1"/>
  <c r="M53" i="5" s="1"/>
  <c r="M54" i="5" s="1"/>
  <c r="M55" i="5" s="1"/>
  <c r="M56" i="5" s="1"/>
  <c r="M57" i="5" s="1"/>
  <c r="M58" i="5" s="1"/>
  <c r="M59" i="5" s="1"/>
  <c r="M60" i="5" s="1"/>
  <c r="M61" i="5" s="1"/>
  <c r="M38" i="5"/>
  <c r="M39" i="5" s="1"/>
  <c r="M40" i="5" s="1"/>
  <c r="M41" i="5" s="1"/>
  <c r="M42" i="5" s="1"/>
  <c r="M43" i="5" s="1"/>
  <c r="M44" i="5" s="1"/>
  <c r="M45" i="5" s="1"/>
  <c r="M46" i="5" s="1"/>
  <c r="M47" i="5" s="1"/>
  <c r="M48" i="5" s="1"/>
  <c r="M49" i="5" s="1"/>
  <c r="M14" i="5"/>
  <c r="M15" i="5" s="1"/>
  <c r="M16" i="5" l="1"/>
  <c r="M17" i="5" s="1"/>
  <c r="M18" i="5" s="1"/>
  <c r="M19" i="5" s="1"/>
  <c r="M20" i="5" s="1"/>
  <c r="M21" i="5" s="1"/>
  <c r="M22" i="5" s="1"/>
  <c r="M23" i="5" s="1"/>
  <c r="M24" i="5" s="1"/>
  <c r="M25" i="5" s="1"/>
  <c r="L735" i="5"/>
  <c r="L736" i="5" s="1"/>
  <c r="L737" i="5" s="1"/>
  <c r="L738" i="5" s="1"/>
  <c r="L739" i="5" s="1"/>
  <c r="L740" i="5" s="1"/>
  <c r="L741" i="5" s="1"/>
  <c r="L742" i="5" s="1"/>
  <c r="L743" i="5" s="1"/>
  <c r="L744" i="5" s="1"/>
  <c r="L745" i="5" s="1"/>
  <c r="L723" i="5"/>
  <c r="L724" i="5" s="1"/>
  <c r="L725" i="5" s="1"/>
  <c r="L726" i="5" s="1"/>
  <c r="L727" i="5" s="1"/>
  <c r="L728" i="5" s="1"/>
  <c r="L729" i="5" s="1"/>
  <c r="L730" i="5" s="1"/>
  <c r="L731" i="5" s="1"/>
  <c r="L732" i="5" s="1"/>
  <c r="L733" i="5" s="1"/>
  <c r="L711" i="5"/>
  <c r="L712" i="5" s="1"/>
  <c r="L713" i="5" s="1"/>
  <c r="L714" i="5" s="1"/>
  <c r="L715" i="5" s="1"/>
  <c r="L716" i="5" s="1"/>
  <c r="L717" i="5" s="1"/>
  <c r="L718" i="5" s="1"/>
  <c r="L719" i="5" s="1"/>
  <c r="L720" i="5" s="1"/>
  <c r="L721" i="5" s="1"/>
  <c r="L700" i="5"/>
  <c r="L701" i="5" s="1"/>
  <c r="L702" i="5" s="1"/>
  <c r="L703" i="5" s="1"/>
  <c r="L704" i="5" s="1"/>
  <c r="L705" i="5" s="1"/>
  <c r="L706" i="5" s="1"/>
  <c r="L707" i="5" s="1"/>
  <c r="L708" i="5" s="1"/>
  <c r="L709" i="5" s="1"/>
  <c r="L675" i="5"/>
  <c r="L676" i="5" s="1"/>
  <c r="L677" i="5" s="1"/>
  <c r="L678" i="5" s="1"/>
  <c r="L679" i="5" s="1"/>
  <c r="L680" i="5" s="1"/>
  <c r="L681" i="5" s="1"/>
  <c r="L682" i="5" s="1"/>
  <c r="L683" i="5" s="1"/>
  <c r="L684" i="5" s="1"/>
  <c r="L685" i="5" s="1"/>
  <c r="L663" i="5"/>
  <c r="L664" i="5" s="1"/>
  <c r="L665" i="5" s="1"/>
  <c r="L666" i="5" s="1"/>
  <c r="L667" i="5" s="1"/>
  <c r="L668" i="5" s="1"/>
  <c r="L669" i="5" s="1"/>
  <c r="L670" i="5" s="1"/>
  <c r="L671" i="5" s="1"/>
  <c r="L672" i="5" s="1"/>
  <c r="L673" i="5" s="1"/>
  <c r="L652" i="5"/>
  <c r="L653" i="5" s="1"/>
  <c r="L654" i="5" s="1"/>
  <c r="L655" i="5" s="1"/>
  <c r="L656" i="5" s="1"/>
  <c r="L657" i="5" s="1"/>
  <c r="L658" i="5" s="1"/>
  <c r="L659" i="5" s="1"/>
  <c r="L660" i="5" s="1"/>
  <c r="L661" i="5" s="1"/>
  <c r="L639" i="5"/>
  <c r="L640" i="5" s="1"/>
  <c r="L641" i="5" s="1"/>
  <c r="L642" i="5" s="1"/>
  <c r="L643" i="5" s="1"/>
  <c r="L644" i="5" s="1"/>
  <c r="L645" i="5" s="1"/>
  <c r="L646" i="5" s="1"/>
  <c r="L647" i="5" s="1"/>
  <c r="L648" i="5" s="1"/>
  <c r="L649" i="5" s="1"/>
  <c r="L615" i="5"/>
  <c r="L616" i="5" s="1"/>
  <c r="L617" i="5" s="1"/>
  <c r="L618" i="5" s="1"/>
  <c r="L619" i="5" s="1"/>
  <c r="L620" i="5" s="1"/>
  <c r="L621" i="5" s="1"/>
  <c r="L622" i="5" s="1"/>
  <c r="L623" i="5" s="1"/>
  <c r="L624" i="5" s="1"/>
  <c r="L625" i="5" s="1"/>
  <c r="L603" i="5"/>
  <c r="L604" i="5" s="1"/>
  <c r="L605" i="5" s="1"/>
  <c r="L606" i="5" s="1"/>
  <c r="L607" i="5" s="1"/>
  <c r="L608" i="5" s="1"/>
  <c r="L609" i="5" s="1"/>
  <c r="L610" i="5" s="1"/>
  <c r="L611" i="5" s="1"/>
  <c r="L612" i="5" s="1"/>
  <c r="L613" i="5" s="1"/>
  <c r="L592" i="5"/>
  <c r="L593" i="5" s="1"/>
  <c r="L594" i="5" s="1"/>
  <c r="L595" i="5" s="1"/>
  <c r="L596" i="5" s="1"/>
  <c r="L597" i="5" s="1"/>
  <c r="L598" i="5" s="1"/>
  <c r="L599" i="5" s="1"/>
  <c r="L600" i="5" s="1"/>
  <c r="L601" i="5" s="1"/>
  <c r="L567" i="5"/>
  <c r="L568" i="5" s="1"/>
  <c r="L569" i="5" s="1"/>
  <c r="L570" i="5" s="1"/>
  <c r="L571" i="5" s="1"/>
  <c r="L572" i="5" s="1"/>
  <c r="L573" i="5" s="1"/>
  <c r="L574" i="5" s="1"/>
  <c r="L575" i="5" s="1"/>
  <c r="L576" i="5" s="1"/>
  <c r="L577" i="5" s="1"/>
  <c r="L555" i="5"/>
  <c r="L556" i="5" s="1"/>
  <c r="L557" i="5" s="1"/>
  <c r="L558" i="5" s="1"/>
  <c r="L559" i="5" s="1"/>
  <c r="L560" i="5" s="1"/>
  <c r="L561" i="5" s="1"/>
  <c r="L562" i="5" s="1"/>
  <c r="L563" i="5" s="1"/>
  <c r="L564" i="5" s="1"/>
  <c r="L565" i="5" s="1"/>
  <c r="L543" i="5"/>
  <c r="L544" i="5" s="1"/>
  <c r="L545" i="5" s="1"/>
  <c r="L546" i="5" s="1"/>
  <c r="L547" i="5" s="1"/>
  <c r="L548" i="5" s="1"/>
  <c r="L549" i="5" s="1"/>
  <c r="L550" i="5" s="1"/>
  <c r="L551" i="5" s="1"/>
  <c r="L552" i="5" s="1"/>
  <c r="L553" i="5" s="1"/>
  <c r="L531" i="5"/>
  <c r="L532" i="5" s="1"/>
  <c r="L533" i="5" s="1"/>
  <c r="L534" i="5" s="1"/>
  <c r="L535" i="5" s="1"/>
  <c r="L536" i="5" s="1"/>
  <c r="L537" i="5" s="1"/>
  <c r="L538" i="5" s="1"/>
  <c r="L539" i="5" s="1"/>
  <c r="L540" i="5" s="1"/>
  <c r="L541" i="5" s="1"/>
  <c r="L519" i="5"/>
  <c r="L520" i="5" s="1"/>
  <c r="L521" i="5" s="1"/>
  <c r="L522" i="5" s="1"/>
  <c r="L523" i="5" s="1"/>
  <c r="L524" i="5" s="1"/>
  <c r="L525" i="5" s="1"/>
  <c r="L526" i="5" s="1"/>
  <c r="L527" i="5" s="1"/>
  <c r="L528" i="5" s="1"/>
  <c r="L529" i="5" s="1"/>
  <c r="L507" i="5"/>
  <c r="L508" i="5" s="1"/>
  <c r="L509" i="5" s="1"/>
  <c r="L510" i="5" s="1"/>
  <c r="L511" i="5" s="1"/>
  <c r="L512" i="5" s="1"/>
  <c r="L513" i="5" s="1"/>
  <c r="L514" i="5" s="1"/>
  <c r="L515" i="5" s="1"/>
  <c r="L516" i="5" s="1"/>
  <c r="L517" i="5" s="1"/>
  <c r="L495" i="5"/>
  <c r="L496" i="5" s="1"/>
  <c r="L497" i="5" s="1"/>
  <c r="L498" i="5" s="1"/>
  <c r="L499" i="5" s="1"/>
  <c r="L500" i="5" s="1"/>
  <c r="L501" i="5" s="1"/>
  <c r="L502" i="5" s="1"/>
  <c r="L503" i="5" s="1"/>
  <c r="L504" i="5" s="1"/>
  <c r="L505" i="5" s="1"/>
  <c r="L483" i="5"/>
  <c r="L484" i="5" s="1"/>
  <c r="L485" i="5" s="1"/>
  <c r="L486" i="5" s="1"/>
  <c r="L487" i="5" s="1"/>
  <c r="L488" i="5" s="1"/>
  <c r="L489" i="5" s="1"/>
  <c r="L490" i="5" s="1"/>
  <c r="L491" i="5" s="1"/>
  <c r="L492" i="5" s="1"/>
  <c r="L493" i="5" s="1"/>
  <c r="L471" i="5"/>
  <c r="L472" i="5" s="1"/>
  <c r="L473" i="5" s="1"/>
  <c r="L474" i="5" s="1"/>
  <c r="L475" i="5" s="1"/>
  <c r="L476" i="5" s="1"/>
  <c r="L477" i="5" s="1"/>
  <c r="L478" i="5" s="1"/>
  <c r="L479" i="5" s="1"/>
  <c r="L480" i="5" s="1"/>
  <c r="L481" i="5" s="1"/>
  <c r="L436" i="5"/>
  <c r="L437" i="5" s="1"/>
  <c r="L438" i="5" s="1"/>
  <c r="L439" i="5" s="1"/>
  <c r="L440" i="5" s="1"/>
  <c r="L441" i="5" s="1"/>
  <c r="L442" i="5" s="1"/>
  <c r="L443" i="5" s="1"/>
  <c r="L444" i="5" s="1"/>
  <c r="L445" i="5" s="1"/>
  <c r="L423" i="5"/>
  <c r="L424" i="5" s="1"/>
  <c r="L425" i="5" s="1"/>
  <c r="L426" i="5" s="1"/>
  <c r="L427" i="5" s="1"/>
  <c r="L428" i="5" s="1"/>
  <c r="L429" i="5" s="1"/>
  <c r="L430" i="5" s="1"/>
  <c r="L431" i="5" s="1"/>
  <c r="L432" i="5" s="1"/>
  <c r="L433" i="5" s="1"/>
  <c r="L411" i="5"/>
  <c r="L412" i="5" s="1"/>
  <c r="L413" i="5" s="1"/>
  <c r="L414" i="5" s="1"/>
  <c r="L415" i="5" s="1"/>
  <c r="L416" i="5" s="1"/>
  <c r="L417" i="5" s="1"/>
  <c r="L418" i="5" s="1"/>
  <c r="L419" i="5" s="1"/>
  <c r="L420" i="5" s="1"/>
  <c r="L421" i="5" s="1"/>
  <c r="L399" i="5"/>
  <c r="L400" i="5" s="1"/>
  <c r="L401" i="5" s="1"/>
  <c r="L402" i="5" s="1"/>
  <c r="L403" i="5" s="1"/>
  <c r="L404" i="5" s="1"/>
  <c r="L405" i="5" s="1"/>
  <c r="L406" i="5" s="1"/>
  <c r="L407" i="5" s="1"/>
  <c r="L408" i="5" s="1"/>
  <c r="L409" i="5" s="1"/>
  <c r="L387" i="5"/>
  <c r="L388" i="5" s="1"/>
  <c r="L389" i="5" s="1"/>
  <c r="L390" i="5" s="1"/>
  <c r="L391" i="5" s="1"/>
  <c r="L392" i="5" s="1"/>
  <c r="L393" i="5" s="1"/>
  <c r="L394" i="5" s="1"/>
  <c r="L395" i="5" s="1"/>
  <c r="L396" i="5" s="1"/>
  <c r="L397" i="5" s="1"/>
  <c r="L375" i="5"/>
  <c r="L376" i="5" s="1"/>
  <c r="L377" i="5" s="1"/>
  <c r="L378" i="5" s="1"/>
  <c r="L379" i="5" s="1"/>
  <c r="L380" i="5" s="1"/>
  <c r="L381" i="5" s="1"/>
  <c r="L382" i="5" s="1"/>
  <c r="L383" i="5" s="1"/>
  <c r="L384" i="5" s="1"/>
  <c r="L385" i="5" s="1"/>
  <c r="L364" i="5"/>
  <c r="L365" i="5" s="1"/>
  <c r="L366" i="5" s="1"/>
  <c r="L367" i="5" s="1"/>
  <c r="L368" i="5" s="1"/>
  <c r="L369" i="5" s="1"/>
  <c r="L370" i="5" s="1"/>
  <c r="L371" i="5" s="1"/>
  <c r="L372" i="5" s="1"/>
  <c r="L373" i="5" s="1"/>
  <c r="L351" i="5"/>
  <c r="L352" i="5" s="1"/>
  <c r="L353" i="5" s="1"/>
  <c r="L354" i="5" s="1"/>
  <c r="L355" i="5" s="1"/>
  <c r="L356" i="5" s="1"/>
  <c r="L357" i="5" s="1"/>
  <c r="L358" i="5" s="1"/>
  <c r="L359" i="5" s="1"/>
  <c r="L360" i="5" s="1"/>
  <c r="L361" i="5" s="1"/>
  <c r="L339" i="5"/>
  <c r="L340" i="5" s="1"/>
  <c r="L341" i="5" s="1"/>
  <c r="L342" i="5" s="1"/>
  <c r="L343" i="5" s="1"/>
  <c r="L344" i="5" s="1"/>
  <c r="L345" i="5" s="1"/>
  <c r="L346" i="5" s="1"/>
  <c r="L347" i="5" s="1"/>
  <c r="L348" i="5" s="1"/>
  <c r="L349" i="5" s="1"/>
  <c r="L327" i="5"/>
  <c r="L328" i="5" s="1"/>
  <c r="L329" i="5" s="1"/>
  <c r="L330" i="5" s="1"/>
  <c r="L331" i="5" s="1"/>
  <c r="L332" i="5" s="1"/>
  <c r="L333" i="5" s="1"/>
  <c r="L334" i="5" s="1"/>
  <c r="L335" i="5" s="1"/>
  <c r="L336" i="5" s="1"/>
  <c r="L337" i="5" s="1"/>
  <c r="L315" i="5"/>
  <c r="L316" i="5" s="1"/>
  <c r="L317" i="5" s="1"/>
  <c r="L318" i="5" s="1"/>
  <c r="L319" i="5" s="1"/>
  <c r="L320" i="5" s="1"/>
  <c r="L321" i="5" s="1"/>
  <c r="L322" i="5" s="1"/>
  <c r="L323" i="5" s="1"/>
  <c r="L324" i="5" s="1"/>
  <c r="L325" i="5" s="1"/>
  <c r="L291" i="5"/>
  <c r="L292" i="5" s="1"/>
  <c r="L293" i="5" s="1"/>
  <c r="L294" i="5" s="1"/>
  <c r="L295" i="5" s="1"/>
  <c r="L296" i="5" s="1"/>
  <c r="L297" i="5" s="1"/>
  <c r="L298" i="5" s="1"/>
  <c r="L299" i="5" s="1"/>
  <c r="L300" i="5" s="1"/>
  <c r="L301" i="5" s="1"/>
  <c r="L279" i="5"/>
  <c r="L280" i="5" s="1"/>
  <c r="L281" i="5" s="1"/>
  <c r="L282" i="5" s="1"/>
  <c r="L283" i="5" s="1"/>
  <c r="L284" i="5" s="1"/>
  <c r="L285" i="5" s="1"/>
  <c r="L286" i="5" s="1"/>
  <c r="L287" i="5" s="1"/>
  <c r="L288" i="5" s="1"/>
  <c r="L289" i="5" s="1"/>
  <c r="L255" i="5"/>
  <c r="L256" i="5" s="1"/>
  <c r="L257" i="5" s="1"/>
  <c r="L258" i="5" s="1"/>
  <c r="L259" i="5" s="1"/>
  <c r="L260" i="5" s="1"/>
  <c r="L261" i="5" s="1"/>
  <c r="L262" i="5" s="1"/>
  <c r="L263" i="5" s="1"/>
  <c r="L264" i="5" s="1"/>
  <c r="L265" i="5" s="1"/>
  <c r="L243" i="5"/>
  <c r="L244" i="5" s="1"/>
  <c r="L245" i="5" s="1"/>
  <c r="L246" i="5" s="1"/>
  <c r="L247" i="5" s="1"/>
  <c r="L248" i="5" s="1"/>
  <c r="L249" i="5" s="1"/>
  <c r="L250" i="5" s="1"/>
  <c r="L251" i="5" s="1"/>
  <c r="L252" i="5" s="1"/>
  <c r="L253" i="5" s="1"/>
  <c r="L232" i="5"/>
  <c r="L233" i="5" s="1"/>
  <c r="L234" i="5" s="1"/>
  <c r="L235" i="5" s="1"/>
  <c r="L236" i="5" s="1"/>
  <c r="L237" i="5" s="1"/>
  <c r="L238" i="5" s="1"/>
  <c r="L239" i="5" s="1"/>
  <c r="L240" i="5" s="1"/>
  <c r="L241" i="5" s="1"/>
  <c r="L220" i="5"/>
  <c r="L221" i="5" s="1"/>
  <c r="L222" i="5" s="1"/>
  <c r="L223" i="5" s="1"/>
  <c r="L224" i="5" s="1"/>
  <c r="L225" i="5" s="1"/>
  <c r="L226" i="5" s="1"/>
  <c r="L227" i="5" s="1"/>
  <c r="L228" i="5" s="1"/>
  <c r="L229" i="5" s="1"/>
  <c r="L207" i="5"/>
  <c r="L208" i="5" s="1"/>
  <c r="L209" i="5" s="1"/>
  <c r="L210" i="5" s="1"/>
  <c r="L211" i="5" s="1"/>
  <c r="L212" i="5" s="1"/>
  <c r="L213" i="5" s="1"/>
  <c r="L214" i="5" s="1"/>
  <c r="L215" i="5" s="1"/>
  <c r="L216" i="5" s="1"/>
  <c r="L217" i="5" s="1"/>
  <c r="L195" i="5"/>
  <c r="L196" i="5" s="1"/>
  <c r="L197" i="5" s="1"/>
  <c r="L198" i="5" s="1"/>
  <c r="L199" i="5" s="1"/>
  <c r="L200" i="5" s="1"/>
  <c r="L201" i="5" s="1"/>
  <c r="L202" i="5" s="1"/>
  <c r="L203" i="5" s="1"/>
  <c r="L204" i="5" s="1"/>
  <c r="L205" i="5" s="1"/>
  <c r="L183" i="5"/>
  <c r="L184" i="5" s="1"/>
  <c r="L185" i="5" s="1"/>
  <c r="L186" i="5" s="1"/>
  <c r="L187" i="5" s="1"/>
  <c r="L188" i="5" s="1"/>
  <c r="L189" i="5" s="1"/>
  <c r="L190" i="5" s="1"/>
  <c r="L191" i="5" s="1"/>
  <c r="L192" i="5" s="1"/>
  <c r="L193" i="5" s="1"/>
  <c r="L171" i="5"/>
  <c r="L172" i="5" s="1"/>
  <c r="L173" i="5" s="1"/>
  <c r="L174" i="5" s="1"/>
  <c r="L175" i="5" s="1"/>
  <c r="L176" i="5" s="1"/>
  <c r="L177" i="5" s="1"/>
  <c r="L178" i="5" s="1"/>
  <c r="L179" i="5" s="1"/>
  <c r="L180" i="5" s="1"/>
  <c r="L181" i="5" s="1"/>
  <c r="L159" i="5"/>
  <c r="L160" i="5" s="1"/>
  <c r="L161" i="5" s="1"/>
  <c r="L162" i="5" s="1"/>
  <c r="L163" i="5" s="1"/>
  <c r="L164" i="5" s="1"/>
  <c r="L165" i="5" s="1"/>
  <c r="L166" i="5" s="1"/>
  <c r="L167" i="5" s="1"/>
  <c r="L168" i="5" s="1"/>
  <c r="L169" i="5" s="1"/>
  <c r="L147" i="5"/>
  <c r="L148" i="5" s="1"/>
  <c r="L149" i="5" s="1"/>
  <c r="L150" i="5" s="1"/>
  <c r="L151" i="5" s="1"/>
  <c r="L152" i="5" s="1"/>
  <c r="L153" i="5" s="1"/>
  <c r="L154" i="5" s="1"/>
  <c r="L155" i="5" s="1"/>
  <c r="L156" i="5" s="1"/>
  <c r="L157" i="5" s="1"/>
  <c r="L135" i="5"/>
  <c r="L136" i="5" s="1"/>
  <c r="L137" i="5" s="1"/>
  <c r="L138" i="5" s="1"/>
  <c r="L139" i="5" s="1"/>
  <c r="L140" i="5" s="1"/>
  <c r="L141" i="5" s="1"/>
  <c r="L142" i="5" s="1"/>
  <c r="L143" i="5" s="1"/>
  <c r="L144" i="5" s="1"/>
  <c r="L145" i="5" s="1"/>
  <c r="L111" i="5"/>
  <c r="L112" i="5" s="1"/>
  <c r="L113" i="5" s="1"/>
  <c r="L114" i="5" s="1"/>
  <c r="L115" i="5" s="1"/>
  <c r="L116" i="5" s="1"/>
  <c r="L117" i="5" s="1"/>
  <c r="L118" i="5" s="1"/>
  <c r="L119" i="5" s="1"/>
  <c r="L120" i="5" s="1"/>
  <c r="L121" i="5" s="1"/>
  <c r="L99" i="5"/>
  <c r="L100" i="5" s="1"/>
  <c r="L101" i="5" s="1"/>
  <c r="L102" i="5" s="1"/>
  <c r="L103" i="5" s="1"/>
  <c r="L104" i="5" s="1"/>
  <c r="L105" i="5" s="1"/>
  <c r="L106" i="5" s="1"/>
  <c r="L107" i="5" s="1"/>
  <c r="L108" i="5" s="1"/>
  <c r="L109" i="5" s="1"/>
  <c r="L87" i="5"/>
  <c r="L88" i="5" s="1"/>
  <c r="L89" i="5" s="1"/>
  <c r="L90" i="5" s="1"/>
  <c r="L91" i="5" s="1"/>
  <c r="L92" i="5" s="1"/>
  <c r="L93" i="5" s="1"/>
  <c r="L94" i="5" s="1"/>
  <c r="L95" i="5" s="1"/>
  <c r="L96" i="5" s="1"/>
  <c r="L97" i="5" s="1"/>
  <c r="L75" i="5"/>
  <c r="L76" i="5" s="1"/>
  <c r="L77" i="5" s="1"/>
  <c r="L78" i="5" s="1"/>
  <c r="L79" i="5" s="1"/>
  <c r="L80" i="5" s="1"/>
  <c r="L81" i="5" s="1"/>
  <c r="L82" i="5" s="1"/>
  <c r="L83" i="5" s="1"/>
  <c r="L84" i="5" s="1"/>
  <c r="L85" i="5" s="1"/>
  <c r="L63" i="5"/>
  <c r="L64" i="5" s="1"/>
  <c r="L65" i="5" s="1"/>
  <c r="L66" i="5" s="1"/>
  <c r="L67" i="5" s="1"/>
  <c r="L68" i="5" s="1"/>
  <c r="L69" i="5" s="1"/>
  <c r="L70" i="5" s="1"/>
  <c r="L71" i="5" s="1"/>
  <c r="L72" i="5" s="1"/>
  <c r="L73" i="5" s="1"/>
  <c r="L52" i="5"/>
  <c r="L53" i="5" s="1"/>
  <c r="L54" i="5" s="1"/>
  <c r="L55" i="5" s="1"/>
  <c r="L56" i="5" s="1"/>
  <c r="L57" i="5" s="1"/>
  <c r="L58" i="5" s="1"/>
  <c r="L59" i="5" s="1"/>
  <c r="L60" i="5" s="1"/>
  <c r="L61" i="5" s="1"/>
  <c r="L39" i="5"/>
  <c r="L40" i="5" s="1"/>
  <c r="L41" i="5" s="1"/>
  <c r="L42" i="5" s="1"/>
  <c r="L43" i="5" s="1"/>
  <c r="L44" i="5" s="1"/>
  <c r="L45" i="5" s="1"/>
  <c r="L46" i="5" s="1"/>
  <c r="L47" i="5" s="1"/>
  <c r="L48" i="5" s="1"/>
  <c r="L49" i="5" s="1"/>
  <c r="L15" i="5"/>
  <c r="L16" i="5" s="1"/>
  <c r="L17" i="5" s="1"/>
  <c r="L18" i="5" s="1"/>
  <c r="L19" i="5" s="1"/>
  <c r="L20" i="5" s="1"/>
  <c r="L21" i="5" s="1"/>
  <c r="L22" i="5" s="1"/>
  <c r="L23" i="5" s="1"/>
  <c r="L24" i="5" s="1"/>
  <c r="L25" i="5" s="1"/>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78" i="3"/>
  <c r="C279" i="3"/>
  <c r="C280" i="3"/>
  <c r="C281" i="3"/>
  <c r="C282" i="3"/>
  <c r="C283" i="3"/>
  <c r="C284" i="3"/>
  <c r="C285" i="3"/>
  <c r="C286" i="3"/>
  <c r="C287" i="3"/>
  <c r="C288" i="3"/>
  <c r="C289" i="3"/>
  <c r="C290" i="3"/>
  <c r="C291" i="3"/>
  <c r="C292" i="3"/>
  <c r="C293" i="3"/>
  <c r="C294" i="3"/>
  <c r="C295" i="3"/>
  <c r="C296" i="3"/>
  <c r="C297" i="3"/>
  <c r="C298" i="3"/>
  <c r="C299" i="3"/>
  <c r="C300" i="3"/>
  <c r="C301"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14" i="3"/>
  <c r="I15" i="5" l="1"/>
  <c r="I16" i="5"/>
  <c r="I17" i="5"/>
  <c r="I18" i="5"/>
  <c r="I19" i="5"/>
  <c r="I20" i="5"/>
  <c r="I21" i="5"/>
  <c r="I22" i="5"/>
  <c r="I23" i="5"/>
  <c r="I24" i="5"/>
  <c r="I25"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78" i="5"/>
  <c r="I279" i="5"/>
  <c r="I280" i="5"/>
  <c r="I281" i="5"/>
  <c r="I282" i="5"/>
  <c r="I283" i="5"/>
  <c r="I284" i="5"/>
  <c r="I285" i="5"/>
  <c r="I286" i="5"/>
  <c r="I287" i="5"/>
  <c r="I288" i="5"/>
  <c r="I289" i="5"/>
  <c r="I290" i="5"/>
  <c r="I291" i="5"/>
  <c r="I292" i="5"/>
  <c r="I293" i="5"/>
  <c r="I294" i="5"/>
  <c r="I295" i="5"/>
  <c r="I296" i="5"/>
  <c r="I297" i="5"/>
  <c r="I298" i="5"/>
  <c r="I299" i="5"/>
  <c r="I300" i="5"/>
  <c r="I301"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14" i="5"/>
  <c r="G334" i="21" l="1"/>
  <c r="F334" i="21"/>
  <c r="E334" i="21"/>
  <c r="D334" i="21"/>
  <c r="G330" i="21"/>
  <c r="F330" i="21"/>
  <c r="E330" i="21"/>
  <c r="D330" i="21"/>
  <c r="G329" i="21"/>
  <c r="F329" i="21"/>
  <c r="E329" i="21"/>
  <c r="D329" i="21"/>
  <c r="G325" i="21"/>
  <c r="F325" i="21"/>
  <c r="E325" i="21"/>
  <c r="D325" i="21"/>
  <c r="G324" i="21"/>
  <c r="F324" i="21"/>
  <c r="E324" i="21"/>
  <c r="D324" i="21"/>
  <c r="G323" i="21"/>
  <c r="F323" i="21"/>
  <c r="E323" i="21"/>
  <c r="D323" i="21"/>
  <c r="G322" i="21"/>
  <c r="F322" i="21"/>
  <c r="E322" i="21"/>
  <c r="D322" i="21"/>
  <c r="G318" i="21"/>
  <c r="F318" i="21"/>
  <c r="E318" i="21"/>
  <c r="D318" i="21"/>
  <c r="G315" i="21"/>
  <c r="F315" i="21"/>
  <c r="E315" i="21"/>
  <c r="D315" i="21"/>
  <c r="G293" i="21"/>
  <c r="F293" i="21"/>
  <c r="E293" i="21"/>
  <c r="D293" i="21"/>
  <c r="G292" i="21"/>
  <c r="F292" i="21"/>
  <c r="E292" i="21"/>
  <c r="D292" i="21"/>
  <c r="G291" i="21"/>
  <c r="F291" i="21"/>
  <c r="E291" i="21"/>
  <c r="D291" i="21"/>
  <c r="G290" i="21"/>
  <c r="F290" i="21"/>
  <c r="E290" i="21"/>
  <c r="D290" i="21"/>
  <c r="G289" i="21"/>
  <c r="F289" i="21"/>
  <c r="E289" i="21"/>
  <c r="D289" i="21"/>
  <c r="G288" i="21"/>
  <c r="F288" i="21"/>
  <c r="E288" i="21"/>
  <c r="D288" i="21"/>
  <c r="G287" i="21"/>
  <c r="F287" i="21"/>
  <c r="E287" i="21"/>
  <c r="D287" i="21"/>
  <c r="G285" i="21"/>
  <c r="F285" i="21"/>
  <c r="E285" i="21"/>
  <c r="D285" i="21"/>
  <c r="G284" i="21"/>
  <c r="F284" i="21"/>
  <c r="E284" i="21"/>
  <c r="D284" i="21"/>
  <c r="G283" i="21"/>
  <c r="F283" i="21"/>
  <c r="E283" i="21"/>
  <c r="D283" i="21"/>
  <c r="G281" i="21"/>
  <c r="F281" i="21"/>
  <c r="E281" i="21"/>
  <c r="D281" i="21"/>
  <c r="G280" i="21"/>
  <c r="F280" i="21"/>
  <c r="E280" i="21"/>
  <c r="D280" i="21"/>
  <c r="G279" i="21"/>
  <c r="F279" i="21"/>
  <c r="E279" i="21"/>
  <c r="D279" i="21"/>
  <c r="G278" i="21"/>
  <c r="F278" i="21"/>
  <c r="E278" i="21"/>
  <c r="D278" i="21"/>
  <c r="G277" i="21"/>
  <c r="F277" i="21"/>
  <c r="E277" i="21"/>
  <c r="D277" i="21"/>
  <c r="G275" i="21"/>
  <c r="F275" i="21"/>
  <c r="E275" i="21"/>
  <c r="D275" i="21"/>
  <c r="G272" i="21"/>
  <c r="F272" i="21"/>
  <c r="E272" i="21"/>
  <c r="D272" i="21"/>
  <c r="G271" i="21"/>
  <c r="F271" i="21"/>
  <c r="E271" i="21"/>
  <c r="D271" i="21"/>
  <c r="G268" i="21"/>
  <c r="F268" i="21"/>
  <c r="E268" i="21"/>
  <c r="D268" i="21"/>
  <c r="G267" i="21"/>
  <c r="F267" i="21"/>
  <c r="E267" i="21"/>
  <c r="D267" i="21"/>
  <c r="G264" i="21"/>
  <c r="F264" i="21"/>
  <c r="E264" i="21"/>
  <c r="D264" i="21"/>
  <c r="G258" i="21"/>
  <c r="F258" i="21"/>
  <c r="E258" i="21"/>
  <c r="D258" i="21"/>
  <c r="G257" i="21"/>
  <c r="F257" i="21"/>
  <c r="E257" i="21"/>
  <c r="D257" i="21"/>
  <c r="G256" i="21"/>
  <c r="F256" i="21"/>
  <c r="E256" i="21"/>
  <c r="D256" i="21"/>
  <c r="G255" i="21"/>
  <c r="F255" i="21"/>
  <c r="E255" i="21"/>
  <c r="D255" i="21"/>
  <c r="G254" i="21"/>
  <c r="F254" i="21"/>
  <c r="E254" i="21"/>
  <c r="D254" i="21"/>
  <c r="G253" i="21"/>
  <c r="F253" i="21"/>
  <c r="E253" i="21"/>
  <c r="D253" i="21"/>
  <c r="G252" i="21"/>
  <c r="F252" i="21"/>
  <c r="E252" i="21"/>
  <c r="D252" i="21"/>
  <c r="G249" i="21"/>
  <c r="F249" i="21"/>
  <c r="E249" i="21"/>
  <c r="D249" i="21"/>
  <c r="G247" i="21"/>
  <c r="F247" i="21"/>
  <c r="E247" i="21"/>
  <c r="D247" i="21"/>
  <c r="G245" i="21"/>
  <c r="F245" i="21"/>
  <c r="E245" i="21"/>
  <c r="D245" i="21"/>
  <c r="G242" i="21"/>
  <c r="F242" i="21"/>
  <c r="E242" i="21"/>
  <c r="D242" i="21"/>
  <c r="G239" i="21"/>
  <c r="F239" i="21"/>
  <c r="E239" i="21"/>
  <c r="D239" i="21"/>
  <c r="G238" i="21"/>
  <c r="F238" i="21"/>
  <c r="E238" i="21"/>
  <c r="D238" i="21"/>
  <c r="G237" i="21"/>
  <c r="F237" i="21"/>
  <c r="E237" i="21"/>
  <c r="D237" i="21"/>
  <c r="G236" i="21"/>
  <c r="F236" i="21"/>
  <c r="E236" i="21"/>
  <c r="D236" i="21"/>
  <c r="G235" i="21"/>
  <c r="F235" i="21"/>
  <c r="E235" i="21"/>
  <c r="D235" i="21"/>
  <c r="G234" i="21"/>
  <c r="F234" i="21"/>
  <c r="E234" i="21"/>
  <c r="D234" i="21"/>
  <c r="G233" i="21"/>
  <c r="F233" i="21"/>
  <c r="E233" i="21"/>
  <c r="D233" i="21"/>
  <c r="G230" i="21"/>
  <c r="F230" i="21"/>
  <c r="E230" i="21"/>
  <c r="D230" i="21"/>
  <c r="G226" i="21"/>
  <c r="F226" i="21"/>
  <c r="E226" i="21"/>
  <c r="D226" i="21"/>
  <c r="G219" i="21"/>
  <c r="F219" i="21"/>
  <c r="E219" i="21"/>
  <c r="D219" i="21"/>
  <c r="G218" i="21"/>
  <c r="F218" i="21"/>
  <c r="E218" i="21"/>
  <c r="D218" i="21"/>
  <c r="G217" i="21"/>
  <c r="F217" i="21"/>
  <c r="E217" i="21"/>
  <c r="D217" i="21"/>
  <c r="G216" i="21"/>
  <c r="F216" i="21"/>
  <c r="E216" i="21"/>
  <c r="D216" i="21"/>
  <c r="G215" i="21"/>
  <c r="F215" i="21"/>
  <c r="E215" i="21"/>
  <c r="D215" i="21"/>
  <c r="G214" i="21"/>
  <c r="F214" i="21"/>
  <c r="E214" i="21"/>
  <c r="D214" i="21"/>
  <c r="G213" i="21"/>
  <c r="F213" i="21"/>
  <c r="E213" i="21"/>
  <c r="D213" i="21"/>
  <c r="G212" i="21"/>
  <c r="F212" i="21"/>
  <c r="E212" i="21"/>
  <c r="D212" i="21"/>
  <c r="G211" i="21"/>
  <c r="F211" i="21"/>
  <c r="E211" i="21"/>
  <c r="D211" i="21"/>
  <c r="G210" i="21"/>
  <c r="F210" i="21"/>
  <c r="E210" i="21"/>
  <c r="D210" i="21"/>
  <c r="G208" i="21"/>
  <c r="F208" i="21"/>
  <c r="E208" i="21"/>
  <c r="D208" i="21"/>
  <c r="G207" i="21"/>
  <c r="F207" i="21"/>
  <c r="E207" i="21"/>
  <c r="D207" i="21"/>
  <c r="G199" i="21"/>
  <c r="F199" i="21"/>
  <c r="E199" i="21"/>
  <c r="D199" i="21"/>
  <c r="G190" i="21"/>
  <c r="F190" i="21"/>
  <c r="E190" i="21"/>
  <c r="D190" i="21"/>
  <c r="G189" i="21"/>
  <c r="F189" i="21"/>
  <c r="E189" i="21"/>
  <c r="D189" i="21"/>
  <c r="G188" i="21"/>
  <c r="F188" i="21"/>
  <c r="E188" i="21"/>
  <c r="D188" i="21"/>
  <c r="G187" i="21"/>
  <c r="F187" i="21"/>
  <c r="E187" i="21"/>
  <c r="D187" i="21"/>
  <c r="G186" i="21"/>
  <c r="F186" i="21"/>
  <c r="E186" i="21"/>
  <c r="D186" i="21"/>
  <c r="G185" i="21"/>
  <c r="F185" i="21"/>
  <c r="E185" i="21"/>
  <c r="D185" i="21"/>
  <c r="G184" i="21"/>
  <c r="F184" i="21"/>
  <c r="E184" i="21"/>
  <c r="D184" i="21"/>
  <c r="G177" i="21"/>
  <c r="F177" i="21"/>
  <c r="E177" i="21"/>
  <c r="D177" i="21"/>
  <c r="G161" i="21"/>
  <c r="F161" i="21"/>
  <c r="E161" i="21"/>
  <c r="D161" i="21"/>
  <c r="G157" i="21"/>
  <c r="F157" i="21"/>
  <c r="E157" i="21"/>
  <c r="D157" i="21"/>
  <c r="G156" i="21"/>
  <c r="F156" i="21"/>
  <c r="E156" i="21"/>
  <c r="D156" i="21"/>
  <c r="G155" i="21"/>
  <c r="F155" i="21"/>
  <c r="E155" i="21"/>
  <c r="D155" i="21"/>
  <c r="G154" i="21"/>
  <c r="F154" i="21"/>
  <c r="E154" i="21"/>
  <c r="D154" i="21"/>
  <c r="G153" i="21"/>
  <c r="F153" i="21"/>
  <c r="E153" i="21"/>
  <c r="D153" i="21"/>
  <c r="G149" i="21"/>
  <c r="F149" i="21"/>
  <c r="E149" i="21"/>
  <c r="D149" i="21"/>
  <c r="G148" i="21"/>
  <c r="F148" i="21"/>
  <c r="E148" i="21"/>
  <c r="D148" i="21"/>
  <c r="G146" i="21"/>
  <c r="F146" i="21"/>
  <c r="E146" i="21"/>
  <c r="D146" i="21"/>
  <c r="G144" i="21"/>
  <c r="F144" i="21"/>
  <c r="E144" i="21"/>
  <c r="D144" i="21"/>
  <c r="G143" i="21"/>
  <c r="F143" i="21"/>
  <c r="E143" i="21"/>
  <c r="D143" i="21"/>
  <c r="G141" i="21"/>
  <c r="F141" i="21"/>
  <c r="E141" i="21"/>
  <c r="D141" i="21"/>
  <c r="G138" i="21"/>
  <c r="F138" i="21"/>
  <c r="E138" i="21"/>
  <c r="D138" i="21"/>
  <c r="G137" i="21"/>
  <c r="F137" i="21"/>
  <c r="E137" i="21"/>
  <c r="D137" i="21"/>
  <c r="G135" i="21"/>
  <c r="F135" i="21"/>
  <c r="E135" i="21"/>
  <c r="D135" i="21"/>
  <c r="G130" i="21"/>
  <c r="F130" i="21"/>
  <c r="E130" i="21"/>
  <c r="D130" i="21"/>
  <c r="G126" i="21"/>
  <c r="F126" i="21"/>
  <c r="E126" i="21"/>
  <c r="D126" i="21"/>
  <c r="G125" i="21"/>
  <c r="F125" i="21"/>
  <c r="E125" i="21"/>
  <c r="D125" i="21"/>
  <c r="G123" i="21"/>
  <c r="F123" i="21"/>
  <c r="E123" i="21"/>
  <c r="D123" i="21"/>
  <c r="G121" i="21"/>
  <c r="F121" i="21"/>
  <c r="E121" i="21"/>
  <c r="D121" i="21"/>
  <c r="G120" i="21"/>
  <c r="F120" i="21"/>
  <c r="E120" i="21"/>
  <c r="D120" i="21"/>
  <c r="G113" i="21"/>
  <c r="F113" i="21"/>
  <c r="E113" i="21"/>
  <c r="D113" i="21"/>
  <c r="G108" i="21"/>
  <c r="F108" i="21"/>
  <c r="E108" i="21"/>
  <c r="D108" i="21"/>
  <c r="G106" i="21"/>
  <c r="F106" i="21"/>
  <c r="E106" i="21"/>
  <c r="D106" i="21"/>
  <c r="G104" i="21"/>
  <c r="F104" i="21"/>
  <c r="E104" i="21"/>
  <c r="D104" i="21"/>
  <c r="G103" i="21"/>
  <c r="F103" i="21"/>
  <c r="E103" i="21"/>
  <c r="D103" i="21"/>
  <c r="G101" i="21"/>
  <c r="F101" i="21"/>
  <c r="E101" i="21"/>
  <c r="D101" i="21"/>
  <c r="G100" i="21"/>
  <c r="F100" i="21"/>
  <c r="E100" i="21"/>
  <c r="D100" i="21"/>
  <c r="G99" i="21"/>
  <c r="F99" i="21"/>
  <c r="E99" i="21"/>
  <c r="D99" i="21"/>
  <c r="G98" i="21"/>
  <c r="F98" i="21"/>
  <c r="E98" i="21"/>
  <c r="D98" i="21"/>
  <c r="G97" i="21"/>
  <c r="F97" i="21"/>
  <c r="E97" i="21"/>
  <c r="D97" i="21"/>
  <c r="G96" i="21"/>
  <c r="F96" i="21"/>
  <c r="E96" i="21"/>
  <c r="D96" i="21"/>
  <c r="G88" i="21"/>
  <c r="F88" i="21"/>
  <c r="E88" i="21"/>
  <c r="D88" i="21"/>
  <c r="G87" i="21"/>
  <c r="F87" i="21"/>
  <c r="E87" i="21"/>
  <c r="D87" i="21"/>
  <c r="G86" i="21"/>
  <c r="F86" i="21"/>
  <c r="E86" i="21"/>
  <c r="D86" i="21"/>
  <c r="G85" i="21"/>
  <c r="F85" i="21"/>
  <c r="E85" i="21"/>
  <c r="D85" i="21"/>
  <c r="G84" i="21"/>
  <c r="F84" i="21"/>
  <c r="E84" i="21"/>
  <c r="D84" i="21"/>
  <c r="G83" i="21"/>
  <c r="F83" i="21"/>
  <c r="E83" i="21"/>
  <c r="D83" i="21"/>
  <c r="G82" i="21"/>
  <c r="F82" i="21"/>
  <c r="E82" i="21"/>
  <c r="D82" i="21"/>
  <c r="G81" i="21"/>
  <c r="F81" i="21"/>
  <c r="E81" i="21"/>
  <c r="D81" i="21"/>
  <c r="G68" i="21"/>
  <c r="F68" i="21"/>
  <c r="E68" i="21"/>
  <c r="D68" i="21"/>
  <c r="G59" i="21"/>
  <c r="F59" i="21"/>
  <c r="E59" i="21"/>
  <c r="D59" i="21"/>
  <c r="G58" i="21"/>
  <c r="F58" i="21"/>
  <c r="E58" i="21"/>
  <c r="D58" i="21"/>
  <c r="G57" i="21"/>
  <c r="F57" i="21"/>
  <c r="E57" i="21"/>
  <c r="D57" i="21"/>
  <c r="G56" i="21"/>
  <c r="F56" i="21"/>
  <c r="E56" i="21"/>
  <c r="D56" i="21"/>
  <c r="G51" i="21"/>
  <c r="F51" i="21"/>
  <c r="E51" i="21"/>
  <c r="D51" i="21"/>
  <c r="G45" i="21"/>
  <c r="F45" i="21"/>
  <c r="E45" i="21"/>
  <c r="D45" i="21"/>
  <c r="G43" i="21"/>
  <c r="F43" i="21"/>
  <c r="E43" i="21"/>
  <c r="D43" i="21"/>
  <c r="G42" i="21"/>
  <c r="F42" i="21"/>
  <c r="E42" i="21"/>
  <c r="D42" i="21"/>
  <c r="G41" i="21"/>
  <c r="F41" i="21"/>
  <c r="E41" i="21"/>
  <c r="D41" i="21"/>
  <c r="G40" i="21"/>
  <c r="F40" i="21"/>
  <c r="E40" i="21"/>
  <c r="D40" i="21"/>
  <c r="G38" i="21"/>
  <c r="F38" i="21"/>
  <c r="E38" i="21"/>
  <c r="D38" i="21"/>
  <c r="G37" i="21"/>
  <c r="F37" i="21"/>
  <c r="E37" i="21"/>
  <c r="D37" i="21"/>
  <c r="G36" i="21"/>
  <c r="F36" i="21"/>
  <c r="E36" i="21"/>
  <c r="D36" i="21"/>
  <c r="G35" i="21"/>
  <c r="F35" i="21"/>
  <c r="E35" i="21"/>
  <c r="D35" i="21"/>
  <c r="G34" i="21"/>
  <c r="F34" i="21"/>
  <c r="E34" i="21"/>
  <c r="D34" i="21"/>
  <c r="G33" i="21"/>
  <c r="F33" i="21"/>
  <c r="E33" i="21"/>
  <c r="D33" i="21"/>
  <c r="G32" i="21"/>
  <c r="F32" i="21"/>
  <c r="E32" i="21"/>
  <c r="D32" i="21"/>
  <c r="G31" i="21"/>
  <c r="F31" i="21"/>
  <c r="E31" i="21"/>
  <c r="D31" i="21"/>
  <c r="G30" i="21"/>
  <c r="F30" i="21"/>
  <c r="E30" i="21"/>
  <c r="D30" i="21"/>
  <c r="G25" i="21"/>
  <c r="F25" i="21"/>
  <c r="E25" i="21"/>
  <c r="D25" i="21"/>
  <c r="G24" i="21"/>
  <c r="F24" i="21"/>
  <c r="E24" i="21"/>
  <c r="D24" i="21"/>
  <c r="G22" i="21"/>
  <c r="F22" i="21"/>
  <c r="E22" i="21"/>
  <c r="D22" i="21"/>
  <c r="G20" i="21"/>
  <c r="F20" i="21"/>
  <c r="E20" i="21"/>
  <c r="D20" i="21"/>
  <c r="G19" i="21"/>
  <c r="F19" i="21"/>
  <c r="E19" i="21"/>
  <c r="D19" i="21"/>
  <c r="G18" i="21"/>
  <c r="F18" i="21"/>
  <c r="E18" i="21"/>
  <c r="D18" i="21"/>
  <c r="G17" i="21"/>
  <c r="F17" i="21"/>
  <c r="E17" i="21"/>
  <c r="D17" i="21"/>
  <c r="G16" i="21"/>
  <c r="F16" i="21"/>
  <c r="E16" i="21"/>
  <c r="D16" i="21"/>
  <c r="G14" i="21"/>
  <c r="F14" i="21"/>
  <c r="E14" i="21"/>
  <c r="D14" i="21"/>
  <c r="G13" i="21"/>
  <c r="F13" i="21"/>
  <c r="E13" i="21"/>
  <c r="D13" i="21"/>
  <c r="G12" i="21"/>
  <c r="F12" i="21"/>
  <c r="E12" i="21"/>
  <c r="D12" i="21"/>
  <c r="G11" i="21"/>
  <c r="F11" i="21"/>
  <c r="E11" i="21"/>
  <c r="D11" i="21"/>
  <c r="G8" i="21"/>
  <c r="F8" i="21"/>
  <c r="E8" i="21"/>
  <c r="D8" i="21"/>
  <c r="G5" i="21"/>
  <c r="F5" i="21"/>
  <c r="E5" i="21"/>
  <c r="D5" i="21"/>
  <c r="G4" i="21"/>
  <c r="F4" i="21"/>
  <c r="E4" i="21"/>
  <c r="D4" i="21"/>
  <c r="G3" i="21"/>
  <c r="F3" i="21"/>
  <c r="E3" i="21"/>
  <c r="D3" i="21"/>
  <c r="G2" i="21"/>
  <c r="F2" i="21"/>
  <c r="D2" i="21"/>
  <c r="D335" i="21" l="1"/>
  <c r="J2" i="21" s="1"/>
  <c r="G335" i="21"/>
  <c r="J5" i="21" s="1"/>
  <c r="F335" i="21"/>
  <c r="J4" i="21" s="1"/>
  <c r="E335" i="21"/>
  <c r="J3" i="21" s="1"/>
  <c r="M38" i="12"/>
  <c r="M37" i="12"/>
  <c r="E2" i="8" l="1"/>
  <c r="D13" i="8"/>
  <c r="T745" i="12" l="1"/>
  <c r="T744" i="12"/>
  <c r="T743" i="12"/>
  <c r="T742" i="12"/>
  <c r="T741" i="12"/>
  <c r="T740" i="12"/>
  <c r="T739" i="12"/>
  <c r="T738" i="12"/>
  <c r="T737" i="12"/>
  <c r="T736" i="12"/>
  <c r="T735" i="12"/>
  <c r="T734" i="12"/>
  <c r="T733" i="12"/>
  <c r="T732" i="12"/>
  <c r="T731" i="12"/>
  <c r="T730" i="12"/>
  <c r="T729" i="12"/>
  <c r="T728" i="12"/>
  <c r="T727" i="12"/>
  <c r="T726" i="12"/>
  <c r="T725" i="12"/>
  <c r="T724" i="12"/>
  <c r="T723" i="12"/>
  <c r="T722" i="12"/>
  <c r="T721" i="12"/>
  <c r="T720" i="12"/>
  <c r="T719" i="12"/>
  <c r="T718" i="12"/>
  <c r="T717" i="12"/>
  <c r="T716" i="12"/>
  <c r="T715" i="12"/>
  <c r="T714" i="12"/>
  <c r="T713" i="12"/>
  <c r="T712" i="12"/>
  <c r="T711" i="12"/>
  <c r="T710" i="12"/>
  <c r="T709" i="12"/>
  <c r="T708" i="12"/>
  <c r="T707" i="12"/>
  <c r="T706" i="12"/>
  <c r="T705" i="12"/>
  <c r="T704" i="12"/>
  <c r="T703" i="12"/>
  <c r="T702" i="12"/>
  <c r="T701" i="12"/>
  <c r="T700" i="12"/>
  <c r="T699" i="12"/>
  <c r="T698" i="12"/>
  <c r="T685" i="12"/>
  <c r="T684" i="12"/>
  <c r="T683" i="12"/>
  <c r="T682" i="12"/>
  <c r="T681" i="12"/>
  <c r="T680" i="12"/>
  <c r="T679" i="12"/>
  <c r="T678" i="12"/>
  <c r="T677" i="12"/>
  <c r="T676" i="12"/>
  <c r="T675" i="12"/>
  <c r="T674" i="12"/>
  <c r="T673" i="12"/>
  <c r="T672" i="12"/>
  <c r="T671" i="12"/>
  <c r="T670" i="12"/>
  <c r="T669" i="12"/>
  <c r="T668" i="12"/>
  <c r="T667" i="12"/>
  <c r="T666" i="12"/>
  <c r="T665" i="12"/>
  <c r="T664" i="12"/>
  <c r="T663" i="12"/>
  <c r="T662" i="12"/>
  <c r="T661" i="12"/>
  <c r="T660" i="12"/>
  <c r="T659" i="12"/>
  <c r="T658" i="12"/>
  <c r="T657" i="12"/>
  <c r="T656" i="12"/>
  <c r="T655" i="12"/>
  <c r="T654" i="12"/>
  <c r="T653" i="12"/>
  <c r="T652" i="12"/>
  <c r="T651" i="12"/>
  <c r="T650" i="12"/>
  <c r="T649" i="12"/>
  <c r="T648" i="12"/>
  <c r="T647" i="12"/>
  <c r="T646" i="12"/>
  <c r="T645" i="12"/>
  <c r="T644" i="12"/>
  <c r="T643" i="12"/>
  <c r="T642" i="12"/>
  <c r="T641" i="12"/>
  <c r="T640" i="12"/>
  <c r="T639" i="12"/>
  <c r="T638" i="12"/>
  <c r="T625" i="12"/>
  <c r="T624" i="12"/>
  <c r="T623" i="12"/>
  <c r="T622" i="12"/>
  <c r="T621" i="12"/>
  <c r="T620" i="12"/>
  <c r="T619" i="12"/>
  <c r="T618" i="12"/>
  <c r="T617" i="12"/>
  <c r="T616" i="12"/>
  <c r="T615" i="12"/>
  <c r="T614" i="12"/>
  <c r="T613" i="12"/>
  <c r="T612" i="12"/>
  <c r="T611" i="12"/>
  <c r="T610" i="12"/>
  <c r="T609" i="12"/>
  <c r="T608" i="12"/>
  <c r="T607" i="12"/>
  <c r="T606" i="12"/>
  <c r="T605" i="12"/>
  <c r="T604" i="12"/>
  <c r="T603" i="12"/>
  <c r="T602" i="12"/>
  <c r="T601" i="12"/>
  <c r="T600" i="12"/>
  <c r="T599" i="12"/>
  <c r="T598" i="12"/>
  <c r="T597" i="12"/>
  <c r="T596" i="12"/>
  <c r="T595" i="12"/>
  <c r="T594" i="12"/>
  <c r="T593" i="12"/>
  <c r="T592" i="12"/>
  <c r="T591" i="12"/>
  <c r="T590" i="12"/>
  <c r="T577" i="12"/>
  <c r="T576" i="12"/>
  <c r="T575" i="12"/>
  <c r="T574" i="12"/>
  <c r="T573" i="12"/>
  <c r="T572" i="12"/>
  <c r="T571" i="12"/>
  <c r="T570" i="12"/>
  <c r="T569" i="12"/>
  <c r="T568" i="12"/>
  <c r="T567" i="12"/>
  <c r="T566" i="12"/>
  <c r="T565" i="12"/>
  <c r="T564" i="12"/>
  <c r="T563" i="12"/>
  <c r="T562" i="12"/>
  <c r="T561" i="12"/>
  <c r="T560" i="12"/>
  <c r="T559" i="12"/>
  <c r="T558" i="12"/>
  <c r="T557" i="12"/>
  <c r="T556" i="12"/>
  <c r="T555" i="12"/>
  <c r="T554" i="12"/>
  <c r="T553" i="12"/>
  <c r="T552" i="12"/>
  <c r="T551" i="12"/>
  <c r="T550" i="12"/>
  <c r="T549" i="12"/>
  <c r="T548" i="12"/>
  <c r="T547" i="12"/>
  <c r="T546" i="12"/>
  <c r="T545" i="12"/>
  <c r="T544" i="12"/>
  <c r="T543" i="12"/>
  <c r="T542" i="12"/>
  <c r="T541" i="12"/>
  <c r="T540" i="12"/>
  <c r="T539" i="12"/>
  <c r="T538" i="12"/>
  <c r="T537" i="12"/>
  <c r="T536" i="12"/>
  <c r="T535" i="12"/>
  <c r="T534" i="12"/>
  <c r="T533" i="12"/>
  <c r="T532" i="12"/>
  <c r="T531" i="12"/>
  <c r="T530" i="12"/>
  <c r="T529" i="12"/>
  <c r="T528" i="12"/>
  <c r="T527" i="12"/>
  <c r="T526" i="12"/>
  <c r="T525" i="12"/>
  <c r="T524" i="12"/>
  <c r="T523" i="12"/>
  <c r="T522" i="12"/>
  <c r="T521" i="12"/>
  <c r="T520" i="12"/>
  <c r="T519" i="12"/>
  <c r="T518" i="12"/>
  <c r="T517" i="12"/>
  <c r="T516" i="12"/>
  <c r="T515" i="12"/>
  <c r="T514" i="12"/>
  <c r="T513" i="12"/>
  <c r="T512" i="12"/>
  <c r="T511" i="12"/>
  <c r="T510" i="12"/>
  <c r="T509" i="12"/>
  <c r="T508" i="12"/>
  <c r="T507" i="12"/>
  <c r="T506" i="12"/>
  <c r="T505" i="12"/>
  <c r="T504" i="12"/>
  <c r="T503" i="12"/>
  <c r="T502" i="12"/>
  <c r="T501" i="12"/>
  <c r="T500" i="12"/>
  <c r="T499" i="12"/>
  <c r="T498" i="12"/>
  <c r="T497" i="12"/>
  <c r="T496" i="12"/>
  <c r="T495" i="12"/>
  <c r="T494" i="12"/>
  <c r="T493" i="12"/>
  <c r="T492" i="12"/>
  <c r="T491" i="12"/>
  <c r="T490" i="12"/>
  <c r="T489" i="12"/>
  <c r="T488" i="12"/>
  <c r="T487" i="12"/>
  <c r="T486" i="12"/>
  <c r="T485" i="12"/>
  <c r="T484" i="12"/>
  <c r="T483" i="12"/>
  <c r="T482" i="12"/>
  <c r="T481" i="12"/>
  <c r="T480" i="12"/>
  <c r="T479" i="12"/>
  <c r="T478" i="12"/>
  <c r="T477" i="12"/>
  <c r="T476" i="12"/>
  <c r="T475" i="12"/>
  <c r="T474" i="12"/>
  <c r="T473" i="12"/>
  <c r="T472" i="12"/>
  <c r="T471" i="12"/>
  <c r="T470" i="12"/>
  <c r="T445" i="12"/>
  <c r="T444" i="12"/>
  <c r="T443" i="12"/>
  <c r="T442" i="12"/>
  <c r="T441" i="12"/>
  <c r="T440" i="12"/>
  <c r="T439" i="12"/>
  <c r="T438" i="12"/>
  <c r="T437" i="12"/>
  <c r="T436" i="12"/>
  <c r="T435" i="12"/>
  <c r="T434" i="12"/>
  <c r="T433" i="12"/>
  <c r="T432" i="12"/>
  <c r="T431" i="12"/>
  <c r="T430" i="12"/>
  <c r="T429" i="12"/>
  <c r="T428" i="12"/>
  <c r="T427" i="12"/>
  <c r="T426" i="12"/>
  <c r="T425" i="12"/>
  <c r="T424" i="12"/>
  <c r="T423" i="12"/>
  <c r="T422" i="12"/>
  <c r="T421" i="12"/>
  <c r="T420" i="12"/>
  <c r="T419" i="12"/>
  <c r="T418" i="12"/>
  <c r="T417" i="12"/>
  <c r="T416" i="12"/>
  <c r="T415" i="12"/>
  <c r="T414" i="12"/>
  <c r="T413" i="12"/>
  <c r="T412" i="12"/>
  <c r="T411" i="12"/>
  <c r="T410" i="12"/>
  <c r="T409" i="12"/>
  <c r="T408" i="12"/>
  <c r="T407" i="12"/>
  <c r="T406" i="12"/>
  <c r="T405" i="12"/>
  <c r="T404" i="12"/>
  <c r="T403" i="12"/>
  <c r="T402" i="12"/>
  <c r="T401" i="12"/>
  <c r="T400" i="12"/>
  <c r="T399" i="12"/>
  <c r="T398" i="12"/>
  <c r="T397" i="12"/>
  <c r="T396" i="12"/>
  <c r="T395" i="12"/>
  <c r="T394" i="12"/>
  <c r="T393" i="12"/>
  <c r="T392" i="12"/>
  <c r="T391" i="12"/>
  <c r="T390" i="12"/>
  <c r="T389" i="12"/>
  <c r="T388" i="12"/>
  <c r="T387" i="12"/>
  <c r="T386" i="12"/>
  <c r="T385" i="12"/>
  <c r="T384" i="12"/>
  <c r="T383" i="12"/>
  <c r="T382" i="12"/>
  <c r="T381" i="12"/>
  <c r="T380" i="12"/>
  <c r="T379" i="12"/>
  <c r="T378" i="12"/>
  <c r="T377" i="12"/>
  <c r="T376" i="12"/>
  <c r="T375" i="12"/>
  <c r="T374" i="12"/>
  <c r="T373" i="12"/>
  <c r="T372" i="12"/>
  <c r="T371" i="12"/>
  <c r="T370" i="12"/>
  <c r="T369" i="12"/>
  <c r="T368" i="12"/>
  <c r="T367" i="12"/>
  <c r="T366" i="12"/>
  <c r="T365" i="12"/>
  <c r="T364" i="12"/>
  <c r="T363" i="12"/>
  <c r="T362" i="12"/>
  <c r="T361" i="12"/>
  <c r="T360" i="12"/>
  <c r="T359" i="12"/>
  <c r="T358" i="12"/>
  <c r="T357" i="12"/>
  <c r="T356" i="12"/>
  <c r="T355" i="12"/>
  <c r="T354" i="12"/>
  <c r="T353" i="12"/>
  <c r="T352" i="12"/>
  <c r="T351" i="12"/>
  <c r="T350" i="12"/>
  <c r="T349" i="12"/>
  <c r="T348" i="12"/>
  <c r="T347" i="12"/>
  <c r="T346" i="12"/>
  <c r="T345" i="12"/>
  <c r="T344" i="12"/>
  <c r="T343" i="12"/>
  <c r="T342" i="12"/>
  <c r="T341" i="12"/>
  <c r="T340" i="12"/>
  <c r="T339" i="12"/>
  <c r="T338" i="12"/>
  <c r="T337" i="12"/>
  <c r="T336" i="12"/>
  <c r="T335" i="12"/>
  <c r="T334" i="12"/>
  <c r="T333" i="12"/>
  <c r="T332" i="12"/>
  <c r="T331" i="12"/>
  <c r="T330" i="12"/>
  <c r="T329" i="12"/>
  <c r="T328" i="12"/>
  <c r="T327" i="12"/>
  <c r="T326" i="12"/>
  <c r="T325" i="12"/>
  <c r="T324" i="12"/>
  <c r="T323" i="12"/>
  <c r="T322" i="12"/>
  <c r="T321" i="12"/>
  <c r="T320" i="12"/>
  <c r="T319" i="12"/>
  <c r="T318" i="12"/>
  <c r="T317" i="12"/>
  <c r="T316" i="12"/>
  <c r="T315" i="12"/>
  <c r="T314" i="12"/>
  <c r="T301" i="12"/>
  <c r="T300" i="12"/>
  <c r="T299" i="12"/>
  <c r="T298" i="12"/>
  <c r="T297" i="12"/>
  <c r="T296" i="12"/>
  <c r="T295" i="12"/>
  <c r="T294" i="12"/>
  <c r="T293" i="12"/>
  <c r="T292" i="12"/>
  <c r="T291" i="12"/>
  <c r="T290" i="12"/>
  <c r="T289" i="12"/>
  <c r="T288" i="12"/>
  <c r="T287" i="12"/>
  <c r="T286" i="12"/>
  <c r="T285" i="12"/>
  <c r="T284" i="12"/>
  <c r="T283" i="12"/>
  <c r="T282" i="12"/>
  <c r="T281" i="12"/>
  <c r="T280" i="12"/>
  <c r="T279" i="12"/>
  <c r="T278" i="12"/>
  <c r="T265" i="12"/>
  <c r="T264" i="12"/>
  <c r="T263" i="12"/>
  <c r="T262" i="12"/>
  <c r="T261" i="12"/>
  <c r="T260" i="12"/>
  <c r="T259" i="12"/>
  <c r="T258" i="12"/>
  <c r="T257" i="12"/>
  <c r="T256" i="12"/>
  <c r="T255" i="12"/>
  <c r="T254" i="12"/>
  <c r="T253" i="12"/>
  <c r="T252" i="12"/>
  <c r="T251" i="12"/>
  <c r="T250" i="12"/>
  <c r="T249" i="12"/>
  <c r="T248" i="12"/>
  <c r="T247" i="12"/>
  <c r="T246" i="12"/>
  <c r="T245" i="12"/>
  <c r="T244" i="12"/>
  <c r="T243" i="12"/>
  <c r="T242" i="12"/>
  <c r="T241" i="12"/>
  <c r="T240" i="12"/>
  <c r="T239" i="12"/>
  <c r="T238" i="12"/>
  <c r="T237" i="12"/>
  <c r="T236" i="12"/>
  <c r="T235" i="12"/>
  <c r="T234" i="12"/>
  <c r="T233" i="12"/>
  <c r="T232" i="12"/>
  <c r="T231" i="12"/>
  <c r="T230" i="12"/>
  <c r="T229" i="12"/>
  <c r="T228" i="12"/>
  <c r="T227" i="12"/>
  <c r="T226" i="12"/>
  <c r="T225" i="12"/>
  <c r="T224" i="12"/>
  <c r="T223" i="12"/>
  <c r="T222" i="12"/>
  <c r="T221" i="12"/>
  <c r="T220" i="12"/>
  <c r="T219" i="12"/>
  <c r="T218" i="12"/>
  <c r="T217" i="12"/>
  <c r="T216" i="12"/>
  <c r="T215" i="12"/>
  <c r="T214" i="12"/>
  <c r="T213" i="12"/>
  <c r="T212" i="12"/>
  <c r="T211" i="12"/>
  <c r="T210" i="12"/>
  <c r="T209" i="12"/>
  <c r="T208" i="12"/>
  <c r="T207" i="12"/>
  <c r="T206" i="12"/>
  <c r="T205" i="12"/>
  <c r="T204" i="12"/>
  <c r="T203" i="12"/>
  <c r="T202" i="12"/>
  <c r="T201" i="12"/>
  <c r="T200" i="12"/>
  <c r="T199" i="12"/>
  <c r="T198" i="12"/>
  <c r="T197" i="12"/>
  <c r="T196" i="12"/>
  <c r="T195" i="12"/>
  <c r="T194" i="12"/>
  <c r="T193" i="12"/>
  <c r="T192" i="12"/>
  <c r="T191" i="12"/>
  <c r="T190" i="12"/>
  <c r="T189" i="12"/>
  <c r="T188" i="12"/>
  <c r="T187" i="12"/>
  <c r="T186" i="12"/>
  <c r="T185" i="12"/>
  <c r="T184" i="12"/>
  <c r="T183" i="12"/>
  <c r="T182" i="12"/>
  <c r="T181" i="12"/>
  <c r="T180" i="12"/>
  <c r="T179" i="12"/>
  <c r="T178" i="12"/>
  <c r="T177" i="12"/>
  <c r="T176" i="12"/>
  <c r="T175" i="12"/>
  <c r="T174" i="12"/>
  <c r="T173" i="12"/>
  <c r="T172" i="12"/>
  <c r="T171" i="12"/>
  <c r="T170" i="12"/>
  <c r="T169" i="12"/>
  <c r="T168" i="12"/>
  <c r="T167" i="12"/>
  <c r="T166" i="12"/>
  <c r="T165" i="12"/>
  <c r="T164" i="12"/>
  <c r="T163" i="12"/>
  <c r="T162" i="12"/>
  <c r="T161" i="12"/>
  <c r="T160" i="12"/>
  <c r="T159" i="12"/>
  <c r="T158" i="12"/>
  <c r="T157" i="12"/>
  <c r="T156" i="12"/>
  <c r="T155" i="12"/>
  <c r="T154" i="12"/>
  <c r="T153" i="12"/>
  <c r="T152" i="12"/>
  <c r="T151" i="12"/>
  <c r="T150" i="12"/>
  <c r="T149" i="12"/>
  <c r="T148" i="12"/>
  <c r="T147" i="12"/>
  <c r="T146" i="12"/>
  <c r="T145" i="12"/>
  <c r="T144" i="12"/>
  <c r="T143" i="12"/>
  <c r="T142" i="12"/>
  <c r="T141" i="12"/>
  <c r="T140" i="12"/>
  <c r="T139" i="12"/>
  <c r="T138" i="12"/>
  <c r="T137" i="12"/>
  <c r="T136" i="12"/>
  <c r="T135" i="12"/>
  <c r="T134" i="12"/>
  <c r="T121" i="12"/>
  <c r="T120" i="12"/>
  <c r="T119" i="12"/>
  <c r="T118" i="12"/>
  <c r="T117" i="12"/>
  <c r="T116" i="12"/>
  <c r="T115" i="12"/>
  <c r="T114" i="12"/>
  <c r="T113" i="12"/>
  <c r="T112" i="12"/>
  <c r="T111" i="12"/>
  <c r="T110" i="12"/>
  <c r="K2" i="18" s="1"/>
  <c r="T109" i="12"/>
  <c r="T108" i="12"/>
  <c r="T107" i="12"/>
  <c r="T106" i="12"/>
  <c r="T105" i="12"/>
  <c r="T104" i="12"/>
  <c r="T103" i="12"/>
  <c r="T102" i="12"/>
  <c r="T101" i="12"/>
  <c r="T100" i="12"/>
  <c r="T99" i="12"/>
  <c r="T98" i="12"/>
  <c r="T97" i="12"/>
  <c r="T96" i="12"/>
  <c r="T95" i="12"/>
  <c r="T94" i="12"/>
  <c r="T93" i="12"/>
  <c r="T92" i="12"/>
  <c r="T91" i="12"/>
  <c r="T90" i="12"/>
  <c r="T89" i="12"/>
  <c r="T88" i="12"/>
  <c r="T87" i="12"/>
  <c r="T86" i="12"/>
  <c r="T85" i="12"/>
  <c r="T84" i="12"/>
  <c r="T83" i="12"/>
  <c r="T82" i="12"/>
  <c r="T81" i="12"/>
  <c r="T80" i="12"/>
  <c r="T79" i="12"/>
  <c r="T78" i="12"/>
  <c r="T77" i="12"/>
  <c r="T76" i="12"/>
  <c r="T75" i="12"/>
  <c r="T74" i="12"/>
  <c r="T73" i="12"/>
  <c r="T72" i="12"/>
  <c r="T71" i="12"/>
  <c r="T70" i="12"/>
  <c r="T69" i="12"/>
  <c r="T68" i="12"/>
  <c r="T67" i="12"/>
  <c r="T66" i="12"/>
  <c r="T65" i="12"/>
  <c r="T64" i="12"/>
  <c r="T63" i="12"/>
  <c r="T62" i="12"/>
  <c r="T61" i="12"/>
  <c r="T60" i="12"/>
  <c r="T59" i="12"/>
  <c r="T58" i="12"/>
  <c r="T57" i="12"/>
  <c r="T56" i="12"/>
  <c r="T55" i="12"/>
  <c r="T54" i="12"/>
  <c r="T53" i="12"/>
  <c r="T52" i="12"/>
  <c r="T51" i="12"/>
  <c r="T50" i="12"/>
  <c r="T49" i="12"/>
  <c r="T48" i="12"/>
  <c r="T47" i="12"/>
  <c r="T46" i="12"/>
  <c r="T45" i="12"/>
  <c r="T44" i="12"/>
  <c r="T43" i="12"/>
  <c r="T42" i="12"/>
  <c r="T41" i="12"/>
  <c r="T40" i="12"/>
  <c r="T39" i="12"/>
  <c r="T38" i="12"/>
  <c r="T37" i="12"/>
  <c r="T36" i="12"/>
  <c r="T35" i="12"/>
  <c r="T34" i="12"/>
  <c r="T33" i="12"/>
  <c r="T32" i="12"/>
  <c r="T31" i="12"/>
  <c r="T30" i="12"/>
  <c r="T29" i="12"/>
  <c r="T28" i="12"/>
  <c r="T27" i="12"/>
  <c r="T26" i="12"/>
  <c r="T25" i="12"/>
  <c r="T24" i="12"/>
  <c r="T23" i="12"/>
  <c r="T22" i="12"/>
  <c r="T21" i="12"/>
  <c r="T20" i="12"/>
  <c r="T19" i="12"/>
  <c r="T18" i="12"/>
  <c r="T17" i="12"/>
  <c r="T16" i="12"/>
  <c r="T15" i="12"/>
  <c r="M745" i="12"/>
  <c r="M744" i="12"/>
  <c r="M743" i="12"/>
  <c r="M742" i="12"/>
  <c r="M741" i="12"/>
  <c r="M740" i="12"/>
  <c r="M739" i="12"/>
  <c r="M738" i="12"/>
  <c r="M737" i="12"/>
  <c r="M736" i="12"/>
  <c r="M735" i="12"/>
  <c r="M734" i="12"/>
  <c r="M733" i="12"/>
  <c r="M732" i="12"/>
  <c r="M731" i="12"/>
  <c r="M730" i="12"/>
  <c r="M729" i="12"/>
  <c r="M728" i="12"/>
  <c r="M727" i="12"/>
  <c r="M726" i="12"/>
  <c r="M725" i="12"/>
  <c r="M724" i="12"/>
  <c r="M723" i="12"/>
  <c r="M722" i="12"/>
  <c r="M721" i="12"/>
  <c r="M720" i="12"/>
  <c r="M719" i="12"/>
  <c r="M718" i="12"/>
  <c r="M717" i="12"/>
  <c r="M716" i="12"/>
  <c r="M715" i="12"/>
  <c r="M714" i="12"/>
  <c r="M713" i="12"/>
  <c r="M712" i="12"/>
  <c r="M711" i="12"/>
  <c r="M710" i="12"/>
  <c r="M709" i="12"/>
  <c r="M708" i="12"/>
  <c r="M707" i="12"/>
  <c r="M706" i="12"/>
  <c r="M705" i="12"/>
  <c r="M704" i="12"/>
  <c r="M703" i="12"/>
  <c r="M702" i="12"/>
  <c r="M701" i="12"/>
  <c r="M700" i="12"/>
  <c r="M699" i="12"/>
  <c r="M698" i="12"/>
  <c r="M685" i="12"/>
  <c r="M684" i="12"/>
  <c r="M683" i="12"/>
  <c r="M682" i="12"/>
  <c r="M681" i="12"/>
  <c r="BF9" i="8" s="1"/>
  <c r="M680" i="12"/>
  <c r="M679" i="12"/>
  <c r="M678" i="12"/>
  <c r="M677" i="12"/>
  <c r="M676" i="12"/>
  <c r="M675" i="12"/>
  <c r="M674" i="12"/>
  <c r="M673" i="12"/>
  <c r="M672" i="12"/>
  <c r="M671" i="12"/>
  <c r="M670" i="12"/>
  <c r="M669" i="12"/>
  <c r="M668" i="12"/>
  <c r="M667" i="12"/>
  <c r="M666" i="12"/>
  <c r="M665" i="12"/>
  <c r="M664" i="12"/>
  <c r="M663" i="12"/>
  <c r="M662" i="12"/>
  <c r="M661" i="12"/>
  <c r="M660" i="12"/>
  <c r="M659" i="12"/>
  <c r="M658" i="12"/>
  <c r="M657" i="12"/>
  <c r="M656" i="12"/>
  <c r="M655" i="12"/>
  <c r="M654" i="12"/>
  <c r="M653" i="12"/>
  <c r="M652" i="12"/>
  <c r="M651" i="12"/>
  <c r="M650" i="12"/>
  <c r="M649" i="12"/>
  <c r="M648" i="12"/>
  <c r="M647" i="12"/>
  <c r="M646" i="12"/>
  <c r="M645" i="12"/>
  <c r="M644" i="12"/>
  <c r="M643" i="12"/>
  <c r="M642" i="12"/>
  <c r="M641" i="12"/>
  <c r="M640" i="12"/>
  <c r="M639" i="12"/>
  <c r="M638" i="12"/>
  <c r="M625" i="12"/>
  <c r="M624" i="12"/>
  <c r="M623" i="12"/>
  <c r="M622" i="12"/>
  <c r="M621" i="12"/>
  <c r="M620" i="12"/>
  <c r="M619" i="12"/>
  <c r="M618" i="12"/>
  <c r="M617" i="12"/>
  <c r="M616" i="12"/>
  <c r="M615" i="12"/>
  <c r="M614" i="12"/>
  <c r="M613" i="12"/>
  <c r="M612" i="12"/>
  <c r="M611" i="12"/>
  <c r="M610" i="12"/>
  <c r="M609" i="12"/>
  <c r="M608" i="12"/>
  <c r="M607" i="12"/>
  <c r="M606" i="12"/>
  <c r="M605" i="12"/>
  <c r="M604" i="12"/>
  <c r="M603" i="12"/>
  <c r="M602" i="12"/>
  <c r="M601" i="12"/>
  <c r="M600" i="12"/>
  <c r="M599" i="12"/>
  <c r="M598" i="12"/>
  <c r="M597" i="12"/>
  <c r="M596" i="12"/>
  <c r="M595" i="12"/>
  <c r="M594" i="12"/>
  <c r="M593" i="12"/>
  <c r="M592" i="12"/>
  <c r="M591" i="12"/>
  <c r="M590" i="12"/>
  <c r="M577" i="12"/>
  <c r="M576" i="12"/>
  <c r="M575" i="12"/>
  <c r="M574" i="12"/>
  <c r="M573" i="12"/>
  <c r="M572" i="12"/>
  <c r="M571" i="12"/>
  <c r="M570" i="12"/>
  <c r="M569" i="12"/>
  <c r="M568" i="12"/>
  <c r="M567" i="12"/>
  <c r="M566" i="12"/>
  <c r="M565" i="12"/>
  <c r="M564" i="12"/>
  <c r="M563" i="12"/>
  <c r="M562" i="12"/>
  <c r="M561" i="12"/>
  <c r="M560" i="12"/>
  <c r="M559" i="12"/>
  <c r="M558" i="12"/>
  <c r="M557" i="12"/>
  <c r="M556" i="12"/>
  <c r="M555" i="12"/>
  <c r="M554" i="12"/>
  <c r="M553" i="12"/>
  <c r="M552" i="12"/>
  <c r="M551" i="12"/>
  <c r="M550" i="12"/>
  <c r="M549" i="12"/>
  <c r="M548" i="12"/>
  <c r="M547" i="12"/>
  <c r="M546" i="12"/>
  <c r="M545" i="12"/>
  <c r="M544" i="12"/>
  <c r="M543" i="12"/>
  <c r="M542" i="12"/>
  <c r="M541" i="12"/>
  <c r="M540" i="12"/>
  <c r="M539" i="12"/>
  <c r="M538" i="12"/>
  <c r="M537" i="12"/>
  <c r="M536" i="12"/>
  <c r="M535" i="12"/>
  <c r="M534" i="12"/>
  <c r="M533" i="12"/>
  <c r="M532" i="12"/>
  <c r="M531" i="12"/>
  <c r="M530" i="12"/>
  <c r="M529" i="12"/>
  <c r="M528" i="12"/>
  <c r="M527" i="12"/>
  <c r="M526" i="12"/>
  <c r="M525" i="12"/>
  <c r="M524" i="12"/>
  <c r="M523" i="12"/>
  <c r="M522" i="12"/>
  <c r="M521" i="12"/>
  <c r="M520" i="12"/>
  <c r="M519" i="12"/>
  <c r="M518" i="12"/>
  <c r="M517" i="12"/>
  <c r="M516" i="12"/>
  <c r="M515" i="12"/>
  <c r="M514" i="12"/>
  <c r="M513" i="12"/>
  <c r="M512" i="12"/>
  <c r="M511" i="12"/>
  <c r="M510" i="12"/>
  <c r="M509" i="12"/>
  <c r="M508" i="12"/>
  <c r="M507" i="12"/>
  <c r="M506" i="12"/>
  <c r="M505" i="12"/>
  <c r="M504" i="12"/>
  <c r="M503" i="12"/>
  <c r="M502" i="12"/>
  <c r="M501" i="12"/>
  <c r="M500" i="12"/>
  <c r="M499" i="12"/>
  <c r="M498" i="12"/>
  <c r="M497" i="12"/>
  <c r="M496" i="12"/>
  <c r="M495" i="12"/>
  <c r="M494" i="12"/>
  <c r="M493" i="12"/>
  <c r="M492" i="12"/>
  <c r="M491" i="12"/>
  <c r="M490" i="12"/>
  <c r="M489" i="12"/>
  <c r="M488" i="12"/>
  <c r="M487" i="12"/>
  <c r="M486" i="12"/>
  <c r="M485" i="12"/>
  <c r="M484" i="12"/>
  <c r="M483" i="12"/>
  <c r="M482" i="12"/>
  <c r="M481" i="12"/>
  <c r="M480" i="12"/>
  <c r="M479" i="12"/>
  <c r="M478" i="12"/>
  <c r="M477" i="12"/>
  <c r="M476" i="12"/>
  <c r="M475" i="12"/>
  <c r="M474" i="12"/>
  <c r="M473" i="12"/>
  <c r="M472" i="12"/>
  <c r="M471" i="12"/>
  <c r="M470" i="12"/>
  <c r="M445" i="12"/>
  <c r="M444" i="12"/>
  <c r="M443" i="12"/>
  <c r="M442" i="12"/>
  <c r="M441" i="12"/>
  <c r="M440" i="12"/>
  <c r="M439" i="12"/>
  <c r="M438" i="12"/>
  <c r="M437" i="12"/>
  <c r="M436" i="12"/>
  <c r="M435" i="12"/>
  <c r="M434" i="12"/>
  <c r="M433" i="12"/>
  <c r="M432" i="12"/>
  <c r="M431" i="12"/>
  <c r="M430" i="12"/>
  <c r="M429" i="12"/>
  <c r="M428" i="12"/>
  <c r="M427" i="12"/>
  <c r="M426" i="12"/>
  <c r="M425" i="12"/>
  <c r="M424" i="12"/>
  <c r="M423" i="12"/>
  <c r="M422" i="12"/>
  <c r="M421" i="12"/>
  <c r="M420" i="12"/>
  <c r="M419" i="12"/>
  <c r="M418" i="12"/>
  <c r="M417" i="12"/>
  <c r="M416" i="12"/>
  <c r="M415" i="12"/>
  <c r="M414" i="12"/>
  <c r="M413" i="12"/>
  <c r="M412" i="12"/>
  <c r="M411" i="12"/>
  <c r="M410" i="12"/>
  <c r="M409" i="12"/>
  <c r="M408" i="12"/>
  <c r="M407" i="12"/>
  <c r="M406" i="12"/>
  <c r="M405" i="12"/>
  <c r="M404" i="12"/>
  <c r="M403" i="12"/>
  <c r="M402" i="12"/>
  <c r="M401" i="12"/>
  <c r="M400" i="12"/>
  <c r="M399" i="12"/>
  <c r="M398" i="12"/>
  <c r="M397" i="12"/>
  <c r="M396" i="12"/>
  <c r="M395" i="12"/>
  <c r="M394" i="12"/>
  <c r="M393" i="12"/>
  <c r="M392" i="12"/>
  <c r="M391" i="12"/>
  <c r="M390" i="12"/>
  <c r="M389" i="12"/>
  <c r="M388" i="12"/>
  <c r="M387" i="12"/>
  <c r="M386" i="12"/>
  <c r="M385" i="12"/>
  <c r="M384" i="12"/>
  <c r="M383" i="12"/>
  <c r="M382" i="12"/>
  <c r="M381" i="12"/>
  <c r="M380" i="12"/>
  <c r="M379" i="12"/>
  <c r="M378" i="12"/>
  <c r="M377" i="12"/>
  <c r="M376" i="12"/>
  <c r="M375" i="12"/>
  <c r="M374" i="12"/>
  <c r="M373" i="12"/>
  <c r="M372" i="12"/>
  <c r="M371" i="12"/>
  <c r="M370" i="12"/>
  <c r="M369" i="12"/>
  <c r="M368" i="12"/>
  <c r="M367" i="12"/>
  <c r="M366" i="12"/>
  <c r="M365" i="12"/>
  <c r="M364" i="12"/>
  <c r="M363" i="12"/>
  <c r="M362" i="12"/>
  <c r="M361" i="12"/>
  <c r="M360" i="12"/>
  <c r="M359" i="12"/>
  <c r="M358" i="12"/>
  <c r="M357" i="12"/>
  <c r="M356" i="12"/>
  <c r="M355" i="12"/>
  <c r="M354" i="12"/>
  <c r="M353" i="12"/>
  <c r="M352" i="12"/>
  <c r="M351" i="12"/>
  <c r="M350" i="12"/>
  <c r="M349" i="12"/>
  <c r="M348" i="12"/>
  <c r="M347" i="12"/>
  <c r="M346" i="12"/>
  <c r="M345" i="12"/>
  <c r="M344" i="12"/>
  <c r="M343" i="12"/>
  <c r="M342" i="12"/>
  <c r="M341" i="12"/>
  <c r="M340" i="12"/>
  <c r="M339" i="12"/>
  <c r="M338" i="12"/>
  <c r="M337" i="12"/>
  <c r="M336" i="12"/>
  <c r="M335" i="12"/>
  <c r="M334" i="12"/>
  <c r="M333" i="12"/>
  <c r="M332" i="12"/>
  <c r="M331" i="12"/>
  <c r="M330" i="12"/>
  <c r="M329" i="12"/>
  <c r="M328" i="12"/>
  <c r="M327" i="12"/>
  <c r="M326" i="12"/>
  <c r="M325" i="12"/>
  <c r="M324" i="12"/>
  <c r="M323" i="12"/>
  <c r="M322" i="12"/>
  <c r="M321" i="12"/>
  <c r="M320" i="12"/>
  <c r="M319" i="12"/>
  <c r="M318" i="12"/>
  <c r="M317" i="12"/>
  <c r="M316" i="12"/>
  <c r="M315" i="12"/>
  <c r="M314" i="12"/>
  <c r="M301" i="12"/>
  <c r="M300" i="12"/>
  <c r="M299" i="12"/>
  <c r="M298" i="12"/>
  <c r="M297" i="12"/>
  <c r="M296" i="12"/>
  <c r="M295" i="12"/>
  <c r="M294" i="12"/>
  <c r="M293" i="12"/>
  <c r="M292" i="12"/>
  <c r="M291" i="12"/>
  <c r="M290" i="12"/>
  <c r="M289" i="12"/>
  <c r="M288" i="12"/>
  <c r="M287" i="12"/>
  <c r="M286" i="12"/>
  <c r="M285" i="12"/>
  <c r="M284" i="12"/>
  <c r="M283" i="12"/>
  <c r="M282" i="12"/>
  <c r="M281" i="12"/>
  <c r="M280" i="12"/>
  <c r="M279" i="12"/>
  <c r="M278" i="12"/>
  <c r="M265" i="12"/>
  <c r="M264" i="12"/>
  <c r="M263" i="12"/>
  <c r="M262" i="12"/>
  <c r="M261" i="12"/>
  <c r="M260" i="12"/>
  <c r="M259" i="12"/>
  <c r="M258" i="12"/>
  <c r="M257" i="12"/>
  <c r="M256" i="12"/>
  <c r="M255" i="12"/>
  <c r="M254" i="12"/>
  <c r="M253" i="12"/>
  <c r="M252" i="12"/>
  <c r="M251" i="12"/>
  <c r="M250" i="12"/>
  <c r="M249" i="12"/>
  <c r="M248" i="12"/>
  <c r="M247" i="12"/>
  <c r="M246" i="12"/>
  <c r="M245" i="12"/>
  <c r="M244" i="12"/>
  <c r="M243" i="12"/>
  <c r="M242" i="12"/>
  <c r="M241" i="12"/>
  <c r="M240" i="12"/>
  <c r="M239" i="12"/>
  <c r="M238" i="12"/>
  <c r="M237" i="12"/>
  <c r="M236" i="12"/>
  <c r="M235" i="12"/>
  <c r="M234" i="12"/>
  <c r="M233" i="12"/>
  <c r="M232" i="12"/>
  <c r="M231" i="12"/>
  <c r="M230" i="12"/>
  <c r="M229" i="12"/>
  <c r="M228" i="12"/>
  <c r="M227" i="12"/>
  <c r="M226" i="12"/>
  <c r="M225" i="12"/>
  <c r="M224" i="12"/>
  <c r="M223" i="12"/>
  <c r="M222" i="12"/>
  <c r="M221" i="12"/>
  <c r="M220" i="12"/>
  <c r="M219" i="12"/>
  <c r="M218" i="12"/>
  <c r="M217" i="12"/>
  <c r="M216" i="12"/>
  <c r="M215" i="12"/>
  <c r="M214" i="12"/>
  <c r="M213" i="12"/>
  <c r="M212" i="12"/>
  <c r="M211" i="12"/>
  <c r="M210" i="12"/>
  <c r="M209" i="12"/>
  <c r="M208" i="12"/>
  <c r="M207" i="12"/>
  <c r="M206" i="12"/>
  <c r="M205" i="12"/>
  <c r="M204" i="12"/>
  <c r="M203" i="12"/>
  <c r="M202" i="12"/>
  <c r="M201" i="12"/>
  <c r="M200" i="12"/>
  <c r="M199" i="12"/>
  <c r="M198" i="12"/>
  <c r="M197" i="12"/>
  <c r="M196" i="12"/>
  <c r="M195" i="12"/>
  <c r="M194" i="12"/>
  <c r="M193" i="12"/>
  <c r="M192" i="12"/>
  <c r="M191" i="12"/>
  <c r="M190" i="12"/>
  <c r="M189" i="12"/>
  <c r="M188" i="12"/>
  <c r="M187" i="12"/>
  <c r="M186" i="12"/>
  <c r="M185" i="12"/>
  <c r="M184" i="12"/>
  <c r="M183" i="12"/>
  <c r="M182" i="12"/>
  <c r="M181" i="12"/>
  <c r="M180" i="12"/>
  <c r="M179" i="12"/>
  <c r="M178" i="12"/>
  <c r="M177" i="12"/>
  <c r="M176" i="12"/>
  <c r="M175" i="12"/>
  <c r="M174" i="12"/>
  <c r="M173" i="12"/>
  <c r="M172" i="12"/>
  <c r="M171" i="12"/>
  <c r="M170" i="12"/>
  <c r="M169" i="12"/>
  <c r="M168" i="12"/>
  <c r="M167" i="12"/>
  <c r="M166" i="12"/>
  <c r="M165" i="12"/>
  <c r="M164" i="12"/>
  <c r="M163" i="12"/>
  <c r="M162" i="12"/>
  <c r="M161" i="12"/>
  <c r="M160" i="12"/>
  <c r="M159" i="12"/>
  <c r="M158" i="12"/>
  <c r="M157" i="12"/>
  <c r="M156" i="12"/>
  <c r="M155" i="12"/>
  <c r="M154" i="12"/>
  <c r="M153" i="12"/>
  <c r="M152" i="12"/>
  <c r="M151" i="12"/>
  <c r="M150" i="12"/>
  <c r="M149" i="12"/>
  <c r="M148" i="12"/>
  <c r="M147" i="12"/>
  <c r="M146" i="12"/>
  <c r="M145" i="12"/>
  <c r="M144" i="12"/>
  <c r="M143" i="12"/>
  <c r="M142" i="12"/>
  <c r="M141" i="12"/>
  <c r="M140" i="12"/>
  <c r="M139" i="12"/>
  <c r="M138" i="12"/>
  <c r="M137" i="12"/>
  <c r="M136" i="12"/>
  <c r="M135" i="12"/>
  <c r="M134" i="12"/>
  <c r="M121" i="12"/>
  <c r="M120" i="12"/>
  <c r="M119" i="12"/>
  <c r="M118" i="12"/>
  <c r="M117" i="12"/>
  <c r="M116" i="12"/>
  <c r="M115" i="12"/>
  <c r="M114" i="12"/>
  <c r="M113" i="12"/>
  <c r="M112" i="12"/>
  <c r="M111" i="12"/>
  <c r="M110" i="12"/>
  <c r="M109" i="12"/>
  <c r="M108" i="12"/>
  <c r="M107" i="12"/>
  <c r="M106" i="12"/>
  <c r="M105" i="12"/>
  <c r="M104" i="12"/>
  <c r="M103" i="12"/>
  <c r="M102" i="12"/>
  <c r="M101" i="12"/>
  <c r="M100" i="12"/>
  <c r="M99" i="12"/>
  <c r="M98" i="12"/>
  <c r="M97" i="12"/>
  <c r="M96" i="12"/>
  <c r="M95" i="12"/>
  <c r="M94" i="12"/>
  <c r="M93" i="12"/>
  <c r="M92" i="12"/>
  <c r="M91" i="12"/>
  <c r="M90" i="12"/>
  <c r="M89" i="12"/>
  <c r="M88" i="12"/>
  <c r="M87" i="12"/>
  <c r="M86" i="12"/>
  <c r="M85" i="12"/>
  <c r="M84" i="12"/>
  <c r="M83" i="12"/>
  <c r="M82" i="12"/>
  <c r="M81" i="12"/>
  <c r="M80" i="12"/>
  <c r="M79" i="12"/>
  <c r="M78" i="12"/>
  <c r="M77" i="12"/>
  <c r="M76" i="12"/>
  <c r="M75" i="12"/>
  <c r="M74" i="12"/>
  <c r="M73" i="12"/>
  <c r="M72" i="12"/>
  <c r="M71" i="12"/>
  <c r="M70" i="12"/>
  <c r="M69" i="12"/>
  <c r="M68" i="12"/>
  <c r="M67" i="12"/>
  <c r="M66" i="12"/>
  <c r="M65" i="12"/>
  <c r="M64" i="12"/>
  <c r="M63" i="12"/>
  <c r="M62" i="12"/>
  <c r="M61" i="12"/>
  <c r="M60" i="12"/>
  <c r="M59" i="12"/>
  <c r="M58" i="12"/>
  <c r="M57" i="12"/>
  <c r="M56" i="12"/>
  <c r="M55" i="12"/>
  <c r="M54" i="12"/>
  <c r="M53" i="12"/>
  <c r="M52" i="12"/>
  <c r="M51" i="12"/>
  <c r="M50" i="12"/>
  <c r="M49" i="12"/>
  <c r="M48" i="12"/>
  <c r="M47" i="12"/>
  <c r="M46" i="12"/>
  <c r="M45" i="12"/>
  <c r="M44" i="12"/>
  <c r="M43" i="12"/>
  <c r="M42" i="12"/>
  <c r="M41" i="12"/>
  <c r="M40" i="12"/>
  <c r="M39" i="12"/>
  <c r="M36" i="12"/>
  <c r="M35" i="12"/>
  <c r="M34" i="12"/>
  <c r="M33" i="12"/>
  <c r="M32" i="12"/>
  <c r="M31" i="12"/>
  <c r="M30" i="12"/>
  <c r="M29" i="12"/>
  <c r="M28" i="12"/>
  <c r="M26" i="12"/>
  <c r="M25" i="12"/>
  <c r="M24" i="12"/>
  <c r="M23" i="12"/>
  <c r="M22" i="12"/>
  <c r="M21" i="12"/>
  <c r="M20" i="12"/>
  <c r="M19" i="12"/>
  <c r="M18" i="12"/>
  <c r="M17" i="12"/>
  <c r="M16" i="12"/>
  <c r="C8" i="8" l="1"/>
  <c r="D4" i="8"/>
  <c r="E10" i="8"/>
  <c r="F10" i="8"/>
  <c r="G2" i="8"/>
  <c r="H6" i="8"/>
  <c r="I6" i="8"/>
  <c r="J10" i="8"/>
  <c r="K10" i="8"/>
  <c r="M10" i="8"/>
  <c r="N2" i="8"/>
  <c r="O10" i="8"/>
  <c r="P6" i="8"/>
  <c r="Q10" i="8"/>
  <c r="R6" i="8"/>
  <c r="S6" i="8"/>
  <c r="T2" i="8"/>
  <c r="U6" i="8"/>
  <c r="V6" i="8"/>
  <c r="W10" i="8"/>
  <c r="Y10" i="8"/>
  <c r="Z6" i="8"/>
  <c r="AB6" i="8"/>
  <c r="AC2" i="8"/>
  <c r="AD10" i="8"/>
  <c r="AE10" i="8"/>
  <c r="AF2" i="8"/>
  <c r="AG10" i="8"/>
  <c r="AH10" i="8"/>
  <c r="AI2" i="8"/>
  <c r="AJ10" i="8"/>
  <c r="AK10" i="8"/>
  <c r="AL10" i="8"/>
  <c r="AO10" i="8"/>
  <c r="AP10" i="8"/>
  <c r="AQ10" i="8"/>
  <c r="AR2" i="8"/>
  <c r="AS10" i="8"/>
  <c r="AT10" i="8"/>
  <c r="AU2" i="8"/>
  <c r="AV6" i="8"/>
  <c r="AW6" i="8"/>
  <c r="AY6" i="8"/>
  <c r="AZ6" i="8"/>
  <c r="BA10" i="8"/>
  <c r="BC10" i="8"/>
  <c r="BD10" i="8"/>
  <c r="BE6" i="8"/>
  <c r="BF6" i="8"/>
  <c r="BH10" i="8"/>
  <c r="BI6" i="8"/>
  <c r="BJ6" i="8"/>
  <c r="BK10" i="8"/>
  <c r="C6" i="18"/>
  <c r="D2" i="18"/>
  <c r="E2" i="18"/>
  <c r="E10" i="18"/>
  <c r="F10" i="18"/>
  <c r="G10" i="18"/>
  <c r="H6" i="18"/>
  <c r="I6" i="18"/>
  <c r="M2" i="18"/>
  <c r="N2" i="18"/>
  <c r="O2" i="18"/>
  <c r="O10" i="18"/>
  <c r="P10" i="18"/>
  <c r="Q10" i="18"/>
  <c r="R10" i="18"/>
  <c r="S10" i="18"/>
  <c r="T6" i="18"/>
  <c r="U6" i="18"/>
  <c r="V6" i="18"/>
  <c r="W6" i="18"/>
  <c r="W10" i="18"/>
  <c r="Y10" i="18"/>
  <c r="Z10" i="18"/>
  <c r="AB6" i="18"/>
  <c r="AC6" i="18"/>
  <c r="AD2" i="18"/>
  <c r="AE2" i="18"/>
  <c r="AF2" i="18"/>
  <c r="AF10" i="18"/>
  <c r="AG10" i="18"/>
  <c r="AH10" i="18"/>
  <c r="AI10" i="18"/>
  <c r="AJ6" i="18"/>
  <c r="AK2" i="18"/>
  <c r="AL2" i="18"/>
  <c r="AO2" i="18"/>
  <c r="AO10" i="18"/>
  <c r="AP10" i="18"/>
  <c r="AQ6" i="18"/>
  <c r="AR2" i="18"/>
  <c r="AR10" i="18"/>
  <c r="AS6" i="18"/>
  <c r="AT2" i="18"/>
  <c r="AT10" i="18"/>
  <c r="AU6" i="18"/>
  <c r="AV2" i="18"/>
  <c r="AY2" i="18"/>
  <c r="C2" i="8"/>
  <c r="C6" i="8"/>
  <c r="D2" i="8"/>
  <c r="D10" i="8"/>
  <c r="E8" i="8"/>
  <c r="E12" i="8"/>
  <c r="F8" i="8"/>
  <c r="G4" i="8"/>
  <c r="G8" i="8"/>
  <c r="H4" i="8"/>
  <c r="H12" i="8"/>
  <c r="I4" i="8"/>
  <c r="I12" i="8"/>
  <c r="J8" i="8"/>
  <c r="J12" i="8"/>
  <c r="K8" i="8"/>
  <c r="M4" i="8"/>
  <c r="M8" i="8"/>
  <c r="N4" i="8"/>
  <c r="N8" i="8"/>
  <c r="O4" i="8"/>
  <c r="O8" i="8"/>
  <c r="P4" i="8"/>
  <c r="P8" i="8"/>
  <c r="Q4" i="8"/>
  <c r="Q12" i="8"/>
  <c r="R4" i="8"/>
  <c r="R8" i="8"/>
  <c r="S4" i="8"/>
  <c r="S8" i="8"/>
  <c r="T4" i="8"/>
  <c r="T8" i="8"/>
  <c r="U4" i="8"/>
  <c r="U8" i="8"/>
  <c r="V4" i="8"/>
  <c r="V8" i="8"/>
  <c r="W4" i="8"/>
  <c r="W8" i="8"/>
  <c r="Y4" i="8"/>
  <c r="Y8" i="8"/>
  <c r="Z4" i="8"/>
  <c r="Z8" i="8"/>
  <c r="AB4" i="8"/>
  <c r="AB12" i="8"/>
  <c r="AC4" i="8"/>
  <c r="AC12" i="8"/>
  <c r="AD4" i="8"/>
  <c r="AD12" i="8"/>
  <c r="AE8" i="8"/>
  <c r="AE12" i="8"/>
  <c r="AF8" i="8"/>
  <c r="AG4" i="8"/>
  <c r="AG12" i="8"/>
  <c r="AH4" i="8"/>
  <c r="AH12" i="8"/>
  <c r="AI4" i="8"/>
  <c r="AI12" i="8"/>
  <c r="AJ4" i="8"/>
  <c r="AJ8" i="8"/>
  <c r="AK4" i="8"/>
  <c r="AK8" i="8"/>
  <c r="AL4" i="8"/>
  <c r="AL8" i="8"/>
  <c r="AO4" i="8"/>
  <c r="AO8" i="8"/>
  <c r="AP4" i="8"/>
  <c r="AP12" i="8"/>
  <c r="AR8" i="8"/>
  <c r="C3" i="8"/>
  <c r="C7" i="8"/>
  <c r="C11" i="8"/>
  <c r="D3" i="8"/>
  <c r="D7" i="8"/>
  <c r="D11" i="8"/>
  <c r="E5" i="8"/>
  <c r="E9" i="8"/>
  <c r="E13" i="8"/>
  <c r="F5" i="8"/>
  <c r="F9" i="8"/>
  <c r="F13" i="8"/>
  <c r="G5" i="8"/>
  <c r="G9" i="8"/>
  <c r="G13" i="8"/>
  <c r="H5" i="8"/>
  <c r="H9" i="8"/>
  <c r="H13" i="8"/>
  <c r="I5" i="8"/>
  <c r="I9" i="8"/>
  <c r="I13" i="8"/>
  <c r="J5" i="8"/>
  <c r="J9" i="8"/>
  <c r="J13" i="8"/>
  <c r="K5" i="8"/>
  <c r="K9" i="8"/>
  <c r="K13" i="8"/>
  <c r="M5" i="8"/>
  <c r="M9" i="8"/>
  <c r="M13" i="8"/>
  <c r="N5" i="8"/>
  <c r="N9" i="8"/>
  <c r="N13" i="8"/>
  <c r="O5" i="8"/>
  <c r="O9" i="8"/>
  <c r="O13" i="8"/>
  <c r="P5" i="8"/>
  <c r="P9" i="8"/>
  <c r="P13" i="8"/>
  <c r="Q5" i="8"/>
  <c r="Q9" i="8"/>
  <c r="Q13" i="8"/>
  <c r="R5" i="8"/>
  <c r="R9" i="8"/>
  <c r="R13" i="8"/>
  <c r="S5" i="8"/>
  <c r="S9" i="8"/>
  <c r="S13" i="8"/>
  <c r="T5" i="8"/>
  <c r="T9" i="8"/>
  <c r="T13" i="8"/>
  <c r="U5" i="8"/>
  <c r="U9" i="8"/>
  <c r="U13" i="8"/>
  <c r="V5" i="8"/>
  <c r="V9" i="8"/>
  <c r="V13" i="8"/>
  <c r="W5" i="8"/>
  <c r="W9" i="8"/>
  <c r="W13" i="8"/>
  <c r="Y5" i="8"/>
  <c r="Y9" i="8"/>
  <c r="Y13" i="8"/>
  <c r="Z5" i="8"/>
  <c r="Z9" i="8"/>
  <c r="Z13" i="8"/>
  <c r="AB5" i="8"/>
  <c r="AB9" i="8"/>
  <c r="AB13" i="8"/>
  <c r="AC5" i="8"/>
  <c r="AC9" i="8"/>
  <c r="AC13" i="8"/>
  <c r="AD5" i="8"/>
  <c r="AD9" i="8"/>
  <c r="AD13" i="8"/>
  <c r="AE5" i="8"/>
  <c r="AE9" i="8"/>
  <c r="AE13" i="8"/>
  <c r="AF5" i="8"/>
  <c r="AF9" i="8"/>
  <c r="AF13" i="8"/>
  <c r="AG5" i="8"/>
  <c r="AG9" i="8"/>
  <c r="AG13" i="8"/>
  <c r="AH5" i="8"/>
  <c r="AH9" i="8"/>
  <c r="AH13" i="8"/>
  <c r="AI5" i="8"/>
  <c r="AI9" i="8"/>
  <c r="AI13" i="8"/>
  <c r="AJ5" i="8"/>
  <c r="AJ9" i="8"/>
  <c r="AJ13" i="8"/>
  <c r="AK5" i="8"/>
  <c r="AK9" i="8"/>
  <c r="AK13" i="8"/>
  <c r="AL5" i="8"/>
  <c r="AL9" i="8"/>
  <c r="AL13" i="8"/>
  <c r="AO5" i="8"/>
  <c r="AO9" i="8"/>
  <c r="AO13" i="8"/>
  <c r="AP5" i="8"/>
  <c r="AP9" i="8"/>
  <c r="AP13" i="8"/>
  <c r="AQ5" i="8"/>
  <c r="AQ9" i="8"/>
  <c r="AQ13" i="8"/>
  <c r="AR5" i="8"/>
  <c r="AR9" i="8"/>
  <c r="AR13" i="8"/>
  <c r="AS5" i="8"/>
  <c r="AS9" i="8"/>
  <c r="AS13" i="8"/>
  <c r="AT5" i="8"/>
  <c r="AT9" i="8"/>
  <c r="AT13" i="8"/>
  <c r="AU5" i="8"/>
  <c r="AU9" i="8"/>
  <c r="AU13" i="8"/>
  <c r="AV5" i="8"/>
  <c r="AV9" i="8"/>
  <c r="AV13" i="8"/>
  <c r="AW5" i="8"/>
  <c r="AW9" i="8"/>
  <c r="AW13" i="8"/>
  <c r="AY5" i="8"/>
  <c r="AY9" i="8"/>
  <c r="AY13" i="8"/>
  <c r="AZ5" i="8"/>
  <c r="AZ9" i="8"/>
  <c r="AZ13" i="8"/>
  <c r="BA5" i="8"/>
  <c r="BA9" i="8"/>
  <c r="BA13" i="8"/>
  <c r="BC5" i="8"/>
  <c r="BC9" i="8"/>
  <c r="BC13" i="8"/>
  <c r="BD5" i="8"/>
  <c r="BD9" i="8"/>
  <c r="BD13" i="8"/>
  <c r="BE5" i="8"/>
  <c r="BE9" i="8"/>
  <c r="BE13" i="8"/>
  <c r="BF5" i="8"/>
  <c r="BF13" i="8"/>
  <c r="BH5" i="8"/>
  <c r="BH9" i="8"/>
  <c r="BH13" i="8"/>
  <c r="BI5" i="8"/>
  <c r="BI9" i="8"/>
  <c r="BI13" i="8"/>
  <c r="BJ5" i="8"/>
  <c r="BJ9" i="8"/>
  <c r="BJ13" i="8"/>
  <c r="BK5" i="8"/>
  <c r="BK9" i="8"/>
  <c r="BK13" i="8"/>
  <c r="C5" i="18"/>
  <c r="C9" i="18"/>
  <c r="C13" i="18"/>
  <c r="D5" i="18"/>
  <c r="D9" i="18"/>
  <c r="D13" i="18"/>
  <c r="E5" i="18"/>
  <c r="E9" i="18"/>
  <c r="E13" i="18"/>
  <c r="F5" i="18"/>
  <c r="F9" i="18"/>
  <c r="F13" i="18"/>
  <c r="G5" i="18"/>
  <c r="G9" i="18"/>
  <c r="G13" i="18"/>
  <c r="H5" i="18"/>
  <c r="H9" i="18"/>
  <c r="H13" i="18"/>
  <c r="I5" i="18"/>
  <c r="I9" i="18"/>
  <c r="I13" i="18"/>
  <c r="K5" i="18"/>
  <c r="K9" i="18"/>
  <c r="K13" i="18"/>
  <c r="M5" i="18"/>
  <c r="M9" i="18"/>
  <c r="M13" i="18"/>
  <c r="N5" i="18"/>
  <c r="N9" i="18"/>
  <c r="N13" i="18"/>
  <c r="O5" i="18"/>
  <c r="O9" i="18"/>
  <c r="O13" i="18"/>
  <c r="P5" i="18"/>
  <c r="P9" i="18"/>
  <c r="P13" i="18"/>
  <c r="Q5" i="18"/>
  <c r="Q9" i="18"/>
  <c r="Q13" i="18"/>
  <c r="R5" i="18"/>
  <c r="R9" i="18"/>
  <c r="R13" i="18"/>
  <c r="S5" i="18"/>
  <c r="S9" i="18"/>
  <c r="S13" i="18"/>
  <c r="T5" i="18"/>
  <c r="T9" i="18"/>
  <c r="T13" i="18"/>
  <c r="U5" i="18"/>
  <c r="U9" i="18"/>
  <c r="U13" i="18"/>
  <c r="V5" i="18"/>
  <c r="V9" i="18"/>
  <c r="V13" i="18"/>
  <c r="W5" i="18"/>
  <c r="W9" i="18"/>
  <c r="W13" i="18"/>
  <c r="Y5" i="18"/>
  <c r="Y9" i="18"/>
  <c r="Y13" i="18"/>
  <c r="Z5" i="18"/>
  <c r="Z9" i="18"/>
  <c r="Z13" i="18"/>
  <c r="AB5" i="18"/>
  <c r="AB9" i="18"/>
  <c r="AB13" i="18"/>
  <c r="AC5" i="18"/>
  <c r="AC9" i="18"/>
  <c r="AC13" i="18"/>
  <c r="AD5" i="18"/>
  <c r="AD9" i="18"/>
  <c r="AD13" i="18"/>
  <c r="AE5" i="18"/>
  <c r="AE9" i="18"/>
  <c r="AE13" i="18"/>
  <c r="AF5" i="18"/>
  <c r="AF9" i="18"/>
  <c r="AF13" i="18"/>
  <c r="AG5" i="18"/>
  <c r="AG9" i="18"/>
  <c r="AG13" i="18"/>
  <c r="AH5" i="18"/>
  <c r="AH9" i="18"/>
  <c r="AH13" i="18"/>
  <c r="AI5" i="18"/>
  <c r="AI9" i="18"/>
  <c r="AI13" i="18"/>
  <c r="AJ5" i="18"/>
  <c r="AJ9" i="18"/>
  <c r="AJ13" i="18"/>
  <c r="AK5" i="18"/>
  <c r="AK9" i="18"/>
  <c r="AK13" i="18"/>
  <c r="AL5" i="18"/>
  <c r="AL9" i="18"/>
  <c r="AL13" i="18"/>
  <c r="AO5" i="18"/>
  <c r="AO9" i="18"/>
  <c r="AO13" i="18"/>
  <c r="AP5" i="18"/>
  <c r="AP9" i="18"/>
  <c r="AP13" i="18"/>
  <c r="AQ5" i="18"/>
  <c r="AQ9" i="18"/>
  <c r="AQ13" i="18"/>
  <c r="AR5" i="18"/>
  <c r="AR9" i="18"/>
  <c r="AR13" i="18"/>
  <c r="AS5" i="18"/>
  <c r="AS9" i="18"/>
  <c r="AS13" i="18"/>
  <c r="AT5" i="18"/>
  <c r="AT9" i="18"/>
  <c r="AT13" i="18"/>
  <c r="AU5" i="18"/>
  <c r="AU9" i="18"/>
  <c r="AU13" i="18"/>
  <c r="AV5" i="18"/>
  <c r="AV9" i="18"/>
  <c r="AV13" i="18"/>
  <c r="AW5" i="18"/>
  <c r="AW9" i="18"/>
  <c r="AW13" i="18"/>
  <c r="AY5" i="18"/>
  <c r="AY9" i="18"/>
  <c r="AY13" i="18"/>
  <c r="AZ5" i="18"/>
  <c r="AZ9" i="18"/>
  <c r="AZ13" i="18"/>
  <c r="BA5" i="18"/>
  <c r="BA9" i="18"/>
  <c r="BA13" i="18"/>
  <c r="BC5" i="18"/>
  <c r="BC9" i="18"/>
  <c r="BC13" i="18"/>
  <c r="BD5" i="18"/>
  <c r="BD9" i="18"/>
  <c r="BD13" i="18"/>
  <c r="BE5" i="18"/>
  <c r="BE9" i="18"/>
  <c r="BE13" i="18"/>
  <c r="BF5" i="18"/>
  <c r="BF9" i="18"/>
  <c r="BF13" i="18"/>
  <c r="BH5" i="18"/>
  <c r="BH9" i="18"/>
  <c r="BH13" i="18"/>
  <c r="BI5" i="18"/>
  <c r="BI9" i="18"/>
  <c r="BI13" i="18"/>
  <c r="BJ5" i="18"/>
  <c r="BJ9" i="18"/>
  <c r="BJ13" i="18"/>
  <c r="BK5" i="18"/>
  <c r="BK9" i="18"/>
  <c r="BK13" i="18"/>
  <c r="C4" i="8"/>
  <c r="D8" i="8"/>
  <c r="E6" i="8"/>
  <c r="F2" i="8"/>
  <c r="G6" i="8"/>
  <c r="H10" i="8"/>
  <c r="I10" i="8"/>
  <c r="J6" i="8"/>
  <c r="K6" i="8"/>
  <c r="M6" i="8"/>
  <c r="N10" i="8"/>
  <c r="O2" i="8"/>
  <c r="P10" i="8"/>
  <c r="Q6" i="8"/>
  <c r="R10" i="8"/>
  <c r="S10" i="8"/>
  <c r="T10" i="8"/>
  <c r="U2" i="8"/>
  <c r="V10" i="8"/>
  <c r="W6" i="8"/>
  <c r="Y6" i="8"/>
  <c r="Z10" i="8"/>
  <c r="AB2" i="8"/>
  <c r="AC6" i="8"/>
  <c r="AD6" i="8"/>
  <c r="AE6" i="8"/>
  <c r="AF10" i="8"/>
  <c r="AG2" i="8"/>
  <c r="AH6" i="8"/>
  <c r="AI10" i="8"/>
  <c r="AJ2" i="8"/>
  <c r="AK6" i="8"/>
  <c r="AL2" i="8"/>
  <c r="AO6" i="8"/>
  <c r="AP6" i="8"/>
  <c r="AQ2" i="8"/>
  <c r="AR6" i="8"/>
  <c r="AS6" i="8"/>
  <c r="AT6" i="8"/>
  <c r="AU10" i="8"/>
  <c r="AV10" i="8"/>
  <c r="AW10" i="8"/>
  <c r="AY10" i="8"/>
  <c r="AZ10" i="8"/>
  <c r="BA6" i="8"/>
  <c r="BC2" i="8"/>
  <c r="BD2" i="8"/>
  <c r="BE10" i="8"/>
  <c r="BF10" i="8"/>
  <c r="BH6" i="8"/>
  <c r="BI10" i="8"/>
  <c r="BJ2" i="8"/>
  <c r="BK6" i="8"/>
  <c r="C2" i="18"/>
  <c r="D6" i="18"/>
  <c r="E6" i="18"/>
  <c r="F6" i="18"/>
  <c r="G2" i="18"/>
  <c r="H2" i="18"/>
  <c r="I2" i="18"/>
  <c r="I10" i="18"/>
  <c r="J5" i="18"/>
  <c r="K6" i="18"/>
  <c r="M6" i="18"/>
  <c r="N6" i="18"/>
  <c r="O6" i="18"/>
  <c r="P6" i="18"/>
  <c r="Q6" i="18"/>
  <c r="R6" i="18"/>
  <c r="S2" i="18"/>
  <c r="T2" i="18"/>
  <c r="U2" i="18"/>
  <c r="V2" i="18"/>
  <c r="W2" i="18"/>
  <c r="Y2" i="18"/>
  <c r="Z2" i="18"/>
  <c r="AB2" i="18"/>
  <c r="AC2" i="18"/>
  <c r="AC10" i="18"/>
  <c r="AD10" i="18"/>
  <c r="AE6" i="18"/>
  <c r="AF6" i="18"/>
  <c r="AG6" i="18"/>
  <c r="AH6" i="18"/>
  <c r="AI2" i="18"/>
  <c r="AJ2" i="18"/>
  <c r="AK6" i="18"/>
  <c r="AL6" i="18"/>
  <c r="AO6" i="18"/>
  <c r="AP2" i="18"/>
  <c r="AQ2" i="18"/>
  <c r="AQ10" i="18"/>
  <c r="AS2" i="18"/>
  <c r="AS10" i="18"/>
  <c r="AT6" i="18"/>
  <c r="AU2" i="18"/>
  <c r="AU10" i="18"/>
  <c r="AV6" i="18"/>
  <c r="AV10" i="18"/>
  <c r="AW2" i="18"/>
  <c r="AW6" i="18"/>
  <c r="AW10" i="18"/>
  <c r="AY10" i="18"/>
  <c r="AZ2" i="18"/>
  <c r="AZ6" i="18"/>
  <c r="AZ10" i="18"/>
  <c r="BA2" i="18"/>
  <c r="BA6" i="18"/>
  <c r="BA10" i="18"/>
  <c r="BC2" i="18"/>
  <c r="BC6" i="18"/>
  <c r="BC10" i="18"/>
  <c r="BD2" i="18"/>
  <c r="BD6" i="18"/>
  <c r="BD10" i="18"/>
  <c r="BE2" i="18"/>
  <c r="BE6" i="18"/>
  <c r="BE10" i="18"/>
  <c r="BF2" i="18"/>
  <c r="BF6" i="18"/>
  <c r="BF10" i="18"/>
  <c r="BH2" i="18"/>
  <c r="BH6" i="18"/>
  <c r="BH10" i="18"/>
  <c r="BI2" i="18"/>
  <c r="BI6" i="18"/>
  <c r="BI10" i="18"/>
  <c r="BJ2" i="18"/>
  <c r="BJ6" i="18"/>
  <c r="BJ10" i="18"/>
  <c r="BK2" i="18"/>
  <c r="BK6" i="18"/>
  <c r="BK10" i="18"/>
  <c r="C5" i="8"/>
  <c r="C9" i="8"/>
  <c r="C13" i="8"/>
  <c r="D5" i="8"/>
  <c r="D9" i="8"/>
  <c r="E3" i="8"/>
  <c r="E7" i="8"/>
  <c r="E11" i="8"/>
  <c r="F3" i="8"/>
  <c r="F7" i="8"/>
  <c r="F11" i="8"/>
  <c r="G3" i="8"/>
  <c r="G7" i="8"/>
  <c r="G11" i="8"/>
  <c r="H3" i="8"/>
  <c r="H7" i="8"/>
  <c r="H11" i="8"/>
  <c r="I3" i="8"/>
  <c r="I7" i="8"/>
  <c r="I11" i="8"/>
  <c r="J3" i="8"/>
  <c r="J7" i="8"/>
  <c r="J11" i="8"/>
  <c r="K3" i="8"/>
  <c r="K7" i="8"/>
  <c r="K11" i="8"/>
  <c r="M3" i="8"/>
  <c r="M7" i="8"/>
  <c r="M11" i="8"/>
  <c r="N3" i="8"/>
  <c r="N7" i="8"/>
  <c r="N11" i="8"/>
  <c r="O3" i="8"/>
  <c r="O7" i="8"/>
  <c r="O11" i="8"/>
  <c r="P3" i="8"/>
  <c r="P7" i="8"/>
  <c r="P11" i="8"/>
  <c r="Q3" i="8"/>
  <c r="Q7" i="8"/>
  <c r="Q11" i="8"/>
  <c r="R3" i="8"/>
  <c r="R7" i="8"/>
  <c r="R11" i="8"/>
  <c r="S3" i="8"/>
  <c r="S7" i="8"/>
  <c r="S11" i="8"/>
  <c r="T3" i="8"/>
  <c r="T7" i="8"/>
  <c r="T11" i="8"/>
  <c r="U3" i="8"/>
  <c r="U7" i="8"/>
  <c r="U11" i="8"/>
  <c r="V3" i="8"/>
  <c r="V7" i="8"/>
  <c r="V11" i="8"/>
  <c r="W3" i="8"/>
  <c r="W7" i="8"/>
  <c r="W11" i="8"/>
  <c r="Y3" i="8"/>
  <c r="Y7" i="8"/>
  <c r="Y11" i="8"/>
  <c r="Z3" i="8"/>
  <c r="Z7" i="8"/>
  <c r="Z11" i="8"/>
  <c r="AB3" i="8"/>
  <c r="AB7" i="8"/>
  <c r="AB11" i="8"/>
  <c r="AC3" i="8"/>
  <c r="AC7" i="8"/>
  <c r="AC11" i="8"/>
  <c r="AD3" i="8"/>
  <c r="AD7" i="8"/>
  <c r="AD11" i="8"/>
  <c r="AE3" i="8"/>
  <c r="AE7" i="8"/>
  <c r="AE11" i="8"/>
  <c r="AF3" i="8"/>
  <c r="AF7" i="8"/>
  <c r="AF11" i="8"/>
  <c r="AG3" i="8"/>
  <c r="AG7" i="8"/>
  <c r="AG11" i="8"/>
  <c r="AH3" i="8"/>
  <c r="AH7" i="8"/>
  <c r="AH11" i="8"/>
  <c r="AI3" i="8"/>
  <c r="AI7" i="8"/>
  <c r="AI11" i="8"/>
  <c r="AJ3" i="8"/>
  <c r="AJ7" i="8"/>
  <c r="AJ11" i="8"/>
  <c r="AK3" i="8"/>
  <c r="AK7" i="8"/>
  <c r="AK11" i="8"/>
  <c r="AL3" i="8"/>
  <c r="AL7" i="8"/>
  <c r="AL11" i="8"/>
  <c r="AO3" i="8"/>
  <c r="AO7" i="8"/>
  <c r="AO11" i="8"/>
  <c r="AP3" i="8"/>
  <c r="AP7" i="8"/>
  <c r="AP11" i="8"/>
  <c r="AQ3" i="8"/>
  <c r="AQ7" i="8"/>
  <c r="AQ11" i="8"/>
  <c r="AR3" i="8"/>
  <c r="AR7" i="8"/>
  <c r="AR11" i="8"/>
  <c r="AS3" i="8"/>
  <c r="AS7" i="8"/>
  <c r="AS11" i="8"/>
  <c r="AT3" i="8"/>
  <c r="AT7" i="8"/>
  <c r="AT11" i="8"/>
  <c r="AU3" i="8"/>
  <c r="AU7" i="8"/>
  <c r="AU11" i="8"/>
  <c r="AV3" i="8"/>
  <c r="AV7" i="8"/>
  <c r="AV11" i="8"/>
  <c r="AW3" i="8"/>
  <c r="AW7" i="8"/>
  <c r="AW11" i="8"/>
  <c r="AY3" i="8"/>
  <c r="AY7" i="8"/>
  <c r="AY11" i="8"/>
  <c r="AZ3" i="8"/>
  <c r="AZ7" i="8"/>
  <c r="AZ11" i="8"/>
  <c r="BA3" i="8"/>
  <c r="BA7" i="8"/>
  <c r="BA11" i="8"/>
  <c r="BC3" i="8"/>
  <c r="BC7" i="8"/>
  <c r="BC11" i="8"/>
  <c r="BD3" i="8"/>
  <c r="BD7" i="8"/>
  <c r="BD11" i="8"/>
  <c r="BE3" i="8"/>
  <c r="BE7" i="8"/>
  <c r="BE11" i="8"/>
  <c r="BF3" i="8"/>
  <c r="BF7" i="8"/>
  <c r="BF11" i="8"/>
  <c r="BH3" i="8"/>
  <c r="BH7" i="8"/>
  <c r="BH11" i="8"/>
  <c r="BI3" i="8"/>
  <c r="BI7" i="8"/>
  <c r="BI11" i="8"/>
  <c r="BJ3" i="8"/>
  <c r="BJ7" i="8"/>
  <c r="BJ11" i="8"/>
  <c r="BK3" i="8"/>
  <c r="BK7" i="8"/>
  <c r="BK11" i="8"/>
  <c r="C3" i="18"/>
  <c r="C7" i="18"/>
  <c r="C11" i="18"/>
  <c r="D3" i="18"/>
  <c r="D7" i="18"/>
  <c r="D11" i="18"/>
  <c r="E3" i="18"/>
  <c r="E7" i="18"/>
  <c r="E11" i="18"/>
  <c r="F3" i="18"/>
  <c r="F7" i="18"/>
  <c r="F11" i="18"/>
  <c r="G3" i="18"/>
  <c r="G7" i="18"/>
  <c r="G11" i="18"/>
  <c r="H3" i="18"/>
  <c r="H7" i="18"/>
  <c r="H11" i="18"/>
  <c r="I3" i="18"/>
  <c r="I7" i="18"/>
  <c r="I11" i="18"/>
  <c r="K3" i="18"/>
  <c r="K7" i="18"/>
  <c r="K11" i="18"/>
  <c r="M3" i="18"/>
  <c r="M7" i="18"/>
  <c r="M11" i="18"/>
  <c r="N3" i="18"/>
  <c r="N7" i="18"/>
  <c r="N11" i="18"/>
  <c r="O3" i="18"/>
  <c r="O7" i="18"/>
  <c r="O11" i="18"/>
  <c r="P3" i="18"/>
  <c r="P7" i="18"/>
  <c r="P11" i="18"/>
  <c r="Q3" i="18"/>
  <c r="Q7" i="18"/>
  <c r="Q11" i="18"/>
  <c r="R3" i="18"/>
  <c r="R7" i="18"/>
  <c r="R11" i="18"/>
  <c r="S3" i="18"/>
  <c r="S7" i="18"/>
  <c r="S11" i="18"/>
  <c r="T3" i="18"/>
  <c r="T7" i="18"/>
  <c r="T11" i="18"/>
  <c r="U3" i="18"/>
  <c r="U7" i="18"/>
  <c r="U11" i="18"/>
  <c r="V3" i="18"/>
  <c r="V7" i="18"/>
  <c r="V11" i="18"/>
  <c r="W3" i="18"/>
  <c r="W7" i="18"/>
  <c r="W11" i="18"/>
  <c r="Y3" i="18"/>
  <c r="Y7" i="18"/>
  <c r="Y11" i="18"/>
  <c r="Z3" i="18"/>
  <c r="Z7" i="18"/>
  <c r="Z11" i="18"/>
  <c r="AB3" i="18"/>
  <c r="AB7" i="18"/>
  <c r="AB11" i="18"/>
  <c r="AC3" i="18"/>
  <c r="AC7" i="18"/>
  <c r="AC11" i="18"/>
  <c r="AD3" i="18"/>
  <c r="AD7" i="18"/>
  <c r="AD11" i="18"/>
  <c r="AE3" i="18"/>
  <c r="AE7" i="18"/>
  <c r="AE11" i="18"/>
  <c r="AF3" i="18"/>
  <c r="AF7" i="18"/>
  <c r="AF11" i="18"/>
  <c r="AG3" i="18"/>
  <c r="AG7" i="18"/>
  <c r="AG11" i="18"/>
  <c r="AH3" i="18"/>
  <c r="AH7" i="18"/>
  <c r="AH11" i="18"/>
  <c r="AI3" i="18"/>
  <c r="AI7" i="18"/>
  <c r="AI11" i="18"/>
  <c r="AJ3" i="18"/>
  <c r="AJ7" i="18"/>
  <c r="AJ11" i="18"/>
  <c r="AK3" i="18"/>
  <c r="AK7" i="18"/>
  <c r="AK11" i="18"/>
  <c r="AL3" i="18"/>
  <c r="AL7" i="18"/>
  <c r="AL11" i="18"/>
  <c r="AO3" i="18"/>
  <c r="AO7" i="18"/>
  <c r="AO11" i="18"/>
  <c r="AP3" i="18"/>
  <c r="AP7" i="18"/>
  <c r="AP11" i="18"/>
  <c r="AQ3" i="18"/>
  <c r="AQ7" i="18"/>
  <c r="AQ11" i="18"/>
  <c r="AR3" i="18"/>
  <c r="AR7" i="18"/>
  <c r="AR11" i="18"/>
  <c r="AS3" i="18"/>
  <c r="AS7" i="18"/>
  <c r="AS11" i="18"/>
  <c r="AT3" i="18"/>
  <c r="AT7" i="18"/>
  <c r="AT11" i="18"/>
  <c r="AU3" i="18"/>
  <c r="AU7" i="18"/>
  <c r="AU11" i="18"/>
  <c r="AV3" i="18"/>
  <c r="AV7" i="18"/>
  <c r="AV11" i="18"/>
  <c r="AW3" i="18"/>
  <c r="AW7" i="18"/>
  <c r="AW11" i="18"/>
  <c r="AY3" i="18"/>
  <c r="AY7" i="18"/>
  <c r="AY11" i="18"/>
  <c r="AZ3" i="18"/>
  <c r="AZ7" i="18"/>
  <c r="AZ11" i="18"/>
  <c r="BA3" i="18"/>
  <c r="BA7" i="18"/>
  <c r="BA11" i="18"/>
  <c r="BC3" i="18"/>
  <c r="BC7" i="18"/>
  <c r="BC11" i="18"/>
  <c r="BD3" i="18"/>
  <c r="BD7" i="18"/>
  <c r="BD11" i="18"/>
  <c r="BE3" i="18"/>
  <c r="BE7" i="18"/>
  <c r="BE11" i="18"/>
  <c r="BF3" i="18"/>
  <c r="BF7" i="18"/>
  <c r="BF11" i="18"/>
  <c r="BH3" i="18"/>
  <c r="BH7" i="18"/>
  <c r="BH11" i="18"/>
  <c r="BI3" i="18"/>
  <c r="BI7" i="18"/>
  <c r="BI11" i="18"/>
  <c r="BJ3" i="18"/>
  <c r="BJ7" i="18"/>
  <c r="BJ11" i="18"/>
  <c r="BK3" i="18"/>
  <c r="BK7" i="18"/>
  <c r="BK11" i="18"/>
  <c r="C12" i="8"/>
  <c r="D12" i="8"/>
  <c r="F6" i="8"/>
  <c r="G10" i="8"/>
  <c r="H2" i="8"/>
  <c r="I2" i="8"/>
  <c r="J2" i="8"/>
  <c r="K2" i="8"/>
  <c r="M2" i="8"/>
  <c r="N6" i="8"/>
  <c r="O6" i="8"/>
  <c r="P2" i="8"/>
  <c r="Q2" i="8"/>
  <c r="R2" i="8"/>
  <c r="S2" i="8"/>
  <c r="T6" i="8"/>
  <c r="U10" i="8"/>
  <c r="V2" i="8"/>
  <c r="W2" i="8"/>
  <c r="Y2" i="8"/>
  <c r="Z2" i="8"/>
  <c r="AB10" i="8"/>
  <c r="AC10" i="8"/>
  <c r="AD2" i="8"/>
  <c r="AE2" i="8"/>
  <c r="AF6" i="8"/>
  <c r="AG6" i="8"/>
  <c r="AH2" i="8"/>
  <c r="AI6" i="8"/>
  <c r="AJ6" i="8"/>
  <c r="AK2" i="8"/>
  <c r="AL6" i="8"/>
  <c r="AO2" i="8"/>
  <c r="AP2" i="8"/>
  <c r="AQ6" i="8"/>
  <c r="AR10" i="8"/>
  <c r="AS2" i="8"/>
  <c r="AT2" i="8"/>
  <c r="AU6" i="8"/>
  <c r="AV2" i="8"/>
  <c r="AW2" i="8"/>
  <c r="AY2" i="8"/>
  <c r="AZ2" i="8"/>
  <c r="BA2" i="8"/>
  <c r="BC6" i="8"/>
  <c r="BD6" i="8"/>
  <c r="BE2" i="8"/>
  <c r="BF2" i="8"/>
  <c r="BH2" i="8"/>
  <c r="BI2" i="8"/>
  <c r="BJ10" i="8"/>
  <c r="BK2" i="8"/>
  <c r="C10" i="18"/>
  <c r="D10" i="18"/>
  <c r="F2" i="18"/>
  <c r="G6" i="18"/>
  <c r="H10" i="18"/>
  <c r="K10" i="18"/>
  <c r="M10" i="18"/>
  <c r="N10" i="18"/>
  <c r="P2" i="18"/>
  <c r="Q2" i="18"/>
  <c r="R2" i="18"/>
  <c r="S6" i="18"/>
  <c r="T10" i="18"/>
  <c r="U10" i="18"/>
  <c r="V10" i="18"/>
  <c r="Y6" i="18"/>
  <c r="Z6" i="18"/>
  <c r="AB10" i="18"/>
  <c r="AD6" i="18"/>
  <c r="AE10" i="18"/>
  <c r="AG2" i="18"/>
  <c r="AH2" i="18"/>
  <c r="AI6" i="18"/>
  <c r="AJ10" i="18"/>
  <c r="AK10" i="18"/>
  <c r="AL10" i="18"/>
  <c r="AP6" i="18"/>
  <c r="AR6" i="18"/>
  <c r="AY6" i="18"/>
  <c r="C10" i="8"/>
  <c r="D6" i="8"/>
  <c r="E4" i="8"/>
  <c r="F4" i="8"/>
  <c r="F12" i="8"/>
  <c r="G12" i="8"/>
  <c r="H8" i="8"/>
  <c r="I8" i="8"/>
  <c r="J4" i="8"/>
  <c r="K4" i="8"/>
  <c r="K12" i="8"/>
  <c r="M12" i="8"/>
  <c r="N12" i="8"/>
  <c r="O12" i="8"/>
  <c r="P12" i="8"/>
  <c r="Q8" i="8"/>
  <c r="R12" i="8"/>
  <c r="S12" i="8"/>
  <c r="T12" i="8"/>
  <c r="U12" i="8"/>
  <c r="V12" i="8"/>
  <c r="W12" i="8"/>
  <c r="Y12" i="8"/>
  <c r="Z12" i="8"/>
  <c r="AB8" i="8"/>
  <c r="AC8" i="8"/>
  <c r="AD8" i="8"/>
  <c r="AE4" i="8"/>
  <c r="AF4" i="8"/>
  <c r="AF12" i="8"/>
  <c r="AG8" i="8"/>
  <c r="AH8" i="8"/>
  <c r="AI8" i="8"/>
  <c r="AJ12" i="8"/>
  <c r="AK12" i="8"/>
  <c r="AL12" i="8"/>
  <c r="AO12" i="8"/>
  <c r="AP8" i="8"/>
  <c r="AQ4" i="8"/>
  <c r="AQ8" i="8"/>
  <c r="AQ12" i="8"/>
  <c r="AR4" i="8"/>
  <c r="AR12" i="8"/>
  <c r="AS4" i="8"/>
  <c r="AS8" i="8"/>
  <c r="AS12" i="8"/>
  <c r="AT4" i="8"/>
  <c r="AT8" i="8"/>
  <c r="AT12" i="8"/>
  <c r="AU4" i="8"/>
  <c r="AU8" i="8"/>
  <c r="AU12" i="8"/>
  <c r="AV4" i="8"/>
  <c r="AV8" i="8"/>
  <c r="AV12" i="8"/>
  <c r="AW4" i="8"/>
  <c r="AW8" i="8"/>
  <c r="AW12" i="8"/>
  <c r="AY4" i="8"/>
  <c r="AY8" i="8"/>
  <c r="AY12" i="8"/>
  <c r="AZ4" i="8"/>
  <c r="AZ8" i="8"/>
  <c r="AZ12" i="8"/>
  <c r="BA4" i="8"/>
  <c r="BA8" i="8"/>
  <c r="BA12" i="8"/>
  <c r="BC4" i="8"/>
  <c r="BC8" i="8"/>
  <c r="BC12" i="8"/>
  <c r="BD4" i="8"/>
  <c r="BD8" i="8"/>
  <c r="BD12" i="8"/>
  <c r="BE4" i="8"/>
  <c r="BE8" i="8"/>
  <c r="BE12" i="8"/>
  <c r="BF4" i="8"/>
  <c r="BF8" i="8"/>
  <c r="BF12" i="8"/>
  <c r="BH4" i="8"/>
  <c r="BH8" i="8"/>
  <c r="BH12" i="8"/>
  <c r="BI4" i="8"/>
  <c r="BI8" i="8"/>
  <c r="BI12" i="8"/>
  <c r="BJ4" i="8"/>
  <c r="BJ8" i="8"/>
  <c r="BJ12" i="8"/>
  <c r="BK4" i="8"/>
  <c r="BK8" i="8"/>
  <c r="BK12" i="8"/>
  <c r="C4" i="18"/>
  <c r="C8" i="18"/>
  <c r="C12" i="18"/>
  <c r="D4" i="18"/>
  <c r="D8" i="18"/>
  <c r="D12" i="18"/>
  <c r="E4" i="18"/>
  <c r="E8" i="18"/>
  <c r="E12" i="18"/>
  <c r="F4" i="18"/>
  <c r="F8" i="18"/>
  <c r="F12" i="18"/>
  <c r="G4" i="18"/>
  <c r="G8" i="18"/>
  <c r="G12" i="18"/>
  <c r="H4" i="18"/>
  <c r="H8" i="18"/>
  <c r="H12" i="18"/>
  <c r="I4" i="18"/>
  <c r="I8" i="18"/>
  <c r="I12" i="18"/>
  <c r="K4" i="18"/>
  <c r="K8" i="18"/>
  <c r="K12" i="18"/>
  <c r="M4" i="18"/>
  <c r="M8" i="18"/>
  <c r="M12" i="18"/>
  <c r="N4" i="18"/>
  <c r="N8" i="18"/>
  <c r="N12" i="18"/>
  <c r="O4" i="18"/>
  <c r="O8" i="18"/>
  <c r="O12" i="18"/>
  <c r="P4" i="18"/>
  <c r="P8" i="18"/>
  <c r="P12" i="18"/>
  <c r="Q4" i="18"/>
  <c r="Q8" i="18"/>
  <c r="Q12" i="18"/>
  <c r="R4" i="18"/>
  <c r="R8" i="18"/>
  <c r="R12" i="18"/>
  <c r="S4" i="18"/>
  <c r="S8" i="18"/>
  <c r="S12" i="18"/>
  <c r="T4" i="18"/>
  <c r="T8" i="18"/>
  <c r="T12" i="18"/>
  <c r="U4" i="18"/>
  <c r="U8" i="18"/>
  <c r="U12" i="18"/>
  <c r="V4" i="18"/>
  <c r="V8" i="18"/>
  <c r="V12" i="18"/>
  <c r="W4" i="18"/>
  <c r="W8" i="18"/>
  <c r="W12" i="18"/>
  <c r="Y4" i="18"/>
  <c r="Y8" i="18"/>
  <c r="Y12" i="18"/>
  <c r="Z4" i="18"/>
  <c r="Z8" i="18"/>
  <c r="Z12" i="18"/>
  <c r="AB4" i="18"/>
  <c r="AB8" i="18"/>
  <c r="AB12" i="18"/>
  <c r="AC4" i="18"/>
  <c r="AC8" i="18"/>
  <c r="AC12" i="18"/>
  <c r="AD4" i="18"/>
  <c r="AD8" i="18"/>
  <c r="AD12" i="18"/>
  <c r="AE4" i="18"/>
  <c r="AE8" i="18"/>
  <c r="AE12" i="18"/>
  <c r="AF4" i="18"/>
  <c r="AF8" i="18"/>
  <c r="AF12" i="18"/>
  <c r="AG4" i="18"/>
  <c r="AG8" i="18"/>
  <c r="AG12" i="18"/>
  <c r="AH4" i="18"/>
  <c r="AH8" i="18"/>
  <c r="AH12" i="18"/>
  <c r="AI4" i="18"/>
  <c r="AI8" i="18"/>
  <c r="AI12" i="18"/>
  <c r="AJ4" i="18"/>
  <c r="AJ8" i="18"/>
  <c r="AJ12" i="18"/>
  <c r="AK4" i="18"/>
  <c r="AK8" i="18"/>
  <c r="AK12" i="18"/>
  <c r="AL4" i="18"/>
  <c r="AL8" i="18"/>
  <c r="AL12" i="18"/>
  <c r="AO4" i="18"/>
  <c r="AO8" i="18"/>
  <c r="AO12" i="18"/>
  <c r="AP4" i="18"/>
  <c r="AP8" i="18"/>
  <c r="AP12" i="18"/>
  <c r="AQ4" i="18"/>
  <c r="AQ8" i="18"/>
  <c r="AQ12" i="18"/>
  <c r="AR4" i="18"/>
  <c r="AR8" i="18"/>
  <c r="AR12" i="18"/>
  <c r="AS4" i="18"/>
  <c r="AS8" i="18"/>
  <c r="AS12" i="18"/>
  <c r="AT4" i="18"/>
  <c r="AT8" i="18"/>
  <c r="AT12" i="18"/>
  <c r="AU4" i="18"/>
  <c r="AU8" i="18"/>
  <c r="AU12" i="18"/>
  <c r="AV4" i="18"/>
  <c r="AV8" i="18"/>
  <c r="AV12" i="18"/>
  <c r="AW4" i="18"/>
  <c r="AW8" i="18"/>
  <c r="AW12" i="18"/>
  <c r="AY4" i="18"/>
  <c r="AY8" i="18"/>
  <c r="AY12" i="18"/>
  <c r="AZ4" i="18"/>
  <c r="AZ8" i="18"/>
  <c r="AZ12" i="18"/>
  <c r="BA4" i="18"/>
  <c r="BA8" i="18"/>
  <c r="BA12" i="18"/>
  <c r="BC4" i="18"/>
  <c r="BC8" i="18"/>
  <c r="BC12" i="18"/>
  <c r="BD4" i="18"/>
  <c r="BD8" i="18"/>
  <c r="BD12" i="18"/>
  <c r="BE4" i="18"/>
  <c r="BE8" i="18"/>
  <c r="BE12" i="18"/>
  <c r="BF4" i="18"/>
  <c r="BF8" i="18"/>
  <c r="BF12" i="18"/>
  <c r="BH4" i="18"/>
  <c r="BH8" i="18"/>
  <c r="BH12" i="18"/>
  <c r="BI4" i="18"/>
  <c r="BI8" i="18"/>
  <c r="BI12" i="18"/>
  <c r="BJ4" i="18"/>
  <c r="BJ8" i="18"/>
  <c r="BJ12" i="18"/>
  <c r="BK4" i="18"/>
  <c r="BK8" i="18"/>
  <c r="BK12" i="18"/>
  <c r="J12" i="18"/>
  <c r="J8" i="18"/>
  <c r="J4" i="18"/>
  <c r="J11" i="18"/>
  <c r="J7" i="18"/>
  <c r="J3" i="18"/>
  <c r="J2" i="18"/>
  <c r="J10" i="18"/>
  <c r="J6" i="18"/>
  <c r="J13" i="18"/>
  <c r="J9" i="18"/>
  <c r="F738" i="12"/>
  <c r="F591" i="12"/>
  <c r="F592" i="12"/>
  <c r="F593" i="12"/>
  <c r="F594" i="12"/>
  <c r="F595" i="12"/>
  <c r="AY7" i="13" s="1"/>
  <c r="F596" i="12"/>
  <c r="AY8" i="13" s="1"/>
  <c r="F597" i="12"/>
  <c r="F598" i="12"/>
  <c r="F599" i="12"/>
  <c r="F600" i="12"/>
  <c r="F601" i="12"/>
  <c r="F602" i="12"/>
  <c r="F603" i="12"/>
  <c r="F604" i="12"/>
  <c r="AZ4" i="13" s="1"/>
  <c r="F605" i="12"/>
  <c r="F606" i="12"/>
  <c r="F607" i="12"/>
  <c r="F608" i="12"/>
  <c r="F609" i="12"/>
  <c r="F610" i="12"/>
  <c r="F611" i="12"/>
  <c r="AZ11" i="13" s="1"/>
  <c r="F612" i="12"/>
  <c r="AZ12" i="13" s="1"/>
  <c r="F613" i="12"/>
  <c r="F614" i="12"/>
  <c r="F615" i="12"/>
  <c r="F616" i="12"/>
  <c r="BA4" i="13" s="1"/>
  <c r="F617" i="12"/>
  <c r="BA5" i="13" s="1"/>
  <c r="F618" i="12"/>
  <c r="F619" i="12"/>
  <c r="F620" i="12"/>
  <c r="BA8" i="13" s="1"/>
  <c r="F621" i="12"/>
  <c r="F622" i="12"/>
  <c r="F623" i="12"/>
  <c r="F624" i="12"/>
  <c r="F625" i="12"/>
  <c r="F638" i="12"/>
  <c r="F639" i="12"/>
  <c r="F640" i="12"/>
  <c r="BC4" i="13" s="1"/>
  <c r="F641" i="12"/>
  <c r="BC5" i="13" s="1"/>
  <c r="F642" i="12"/>
  <c r="F643" i="12"/>
  <c r="F644" i="12"/>
  <c r="F645" i="12"/>
  <c r="F646" i="12"/>
  <c r="F647" i="12"/>
  <c r="F648" i="12"/>
  <c r="BC12" i="13" s="1"/>
  <c r="F649" i="12"/>
  <c r="F650" i="12"/>
  <c r="F651" i="12"/>
  <c r="BD3" i="13" s="1"/>
  <c r="F652" i="12"/>
  <c r="F653" i="12"/>
  <c r="F654" i="12"/>
  <c r="F655" i="12"/>
  <c r="F656" i="12"/>
  <c r="BD8" i="13" s="1"/>
  <c r="F657" i="12"/>
  <c r="F658" i="12"/>
  <c r="F659" i="12"/>
  <c r="F660" i="12"/>
  <c r="F661" i="12"/>
  <c r="F662" i="12"/>
  <c r="F663" i="12"/>
  <c r="F664" i="12"/>
  <c r="BE4" i="13" s="1"/>
  <c r="F665" i="12"/>
  <c r="F666" i="12"/>
  <c r="F667" i="12"/>
  <c r="F668" i="12"/>
  <c r="F669" i="12"/>
  <c r="F670" i="12"/>
  <c r="F671" i="12"/>
  <c r="F672" i="12"/>
  <c r="BE12" i="13" s="1"/>
  <c r="F673" i="12"/>
  <c r="F674" i="12"/>
  <c r="F675" i="12"/>
  <c r="F676" i="12"/>
  <c r="F677" i="12"/>
  <c r="BF5" i="13" s="1"/>
  <c r="F678" i="12"/>
  <c r="F679" i="12"/>
  <c r="F680" i="12"/>
  <c r="BF8" i="13" s="1"/>
  <c r="F681" i="12"/>
  <c r="BF9" i="13" s="1"/>
  <c r="F682" i="12"/>
  <c r="F683" i="12"/>
  <c r="F684" i="12"/>
  <c r="F685" i="12"/>
  <c r="F698" i="12"/>
  <c r="F699" i="12"/>
  <c r="F700" i="12"/>
  <c r="BH4" i="13" s="1"/>
  <c r="F701" i="12"/>
  <c r="F702" i="12"/>
  <c r="F703" i="12"/>
  <c r="F704" i="12"/>
  <c r="F705" i="12"/>
  <c r="BH9" i="13" s="1"/>
  <c r="F706" i="12"/>
  <c r="F707" i="12"/>
  <c r="F708" i="12"/>
  <c r="BH12" i="13" s="1"/>
  <c r="F709" i="12"/>
  <c r="F710" i="12"/>
  <c r="F711" i="12"/>
  <c r="F712" i="12"/>
  <c r="F713" i="12"/>
  <c r="F714" i="12"/>
  <c r="F715" i="12"/>
  <c r="BI7" i="13" s="1"/>
  <c r="F716" i="12"/>
  <c r="BI8" i="13" s="1"/>
  <c r="F717" i="12"/>
  <c r="F718" i="12"/>
  <c r="F719" i="12"/>
  <c r="F720" i="12"/>
  <c r="F721" i="12"/>
  <c r="F722" i="12"/>
  <c r="F723" i="12"/>
  <c r="F724" i="12"/>
  <c r="BJ4" i="13" s="1"/>
  <c r="F725" i="12"/>
  <c r="F726" i="12"/>
  <c r="F727" i="12"/>
  <c r="F728" i="12"/>
  <c r="F729" i="12"/>
  <c r="F730" i="12"/>
  <c r="F731" i="12"/>
  <c r="BJ11" i="13" s="1"/>
  <c r="F732" i="12"/>
  <c r="BJ12" i="13" s="1"/>
  <c r="F733" i="12"/>
  <c r="F734" i="12"/>
  <c r="F735" i="12"/>
  <c r="F736" i="12"/>
  <c r="BK4" i="13" s="1"/>
  <c r="F737" i="12"/>
  <c r="F739" i="12"/>
  <c r="F740" i="12"/>
  <c r="BK8" i="13" s="1"/>
  <c r="F741" i="12"/>
  <c r="BK9" i="13" s="1"/>
  <c r="F742" i="12"/>
  <c r="F743" i="12"/>
  <c r="F744" i="12"/>
  <c r="F745" i="12"/>
  <c r="BK13" i="13" s="1"/>
  <c r="F590" i="12"/>
  <c r="F577" i="12"/>
  <c r="F576" i="12"/>
  <c r="F575" i="12"/>
  <c r="F574" i="12"/>
  <c r="F573" i="12"/>
  <c r="F572" i="12"/>
  <c r="F571" i="12"/>
  <c r="F570" i="12"/>
  <c r="F569" i="12"/>
  <c r="F568" i="12"/>
  <c r="F567" i="12"/>
  <c r="F566" i="12"/>
  <c r="F565" i="12"/>
  <c r="F564" i="12"/>
  <c r="F563" i="12"/>
  <c r="F562" i="12"/>
  <c r="F561" i="12"/>
  <c r="F560" i="12"/>
  <c r="F559" i="12"/>
  <c r="F558" i="12"/>
  <c r="F557" i="12"/>
  <c r="F556" i="12"/>
  <c r="F555" i="12"/>
  <c r="F554" i="12"/>
  <c r="F553" i="12"/>
  <c r="F552" i="12"/>
  <c r="F551" i="12"/>
  <c r="F550" i="12"/>
  <c r="F549" i="12"/>
  <c r="F548" i="12"/>
  <c r="F547" i="12"/>
  <c r="F546" i="12"/>
  <c r="F545" i="12"/>
  <c r="F544" i="12"/>
  <c r="F543" i="12"/>
  <c r="F542" i="12"/>
  <c r="F541" i="12"/>
  <c r="F540" i="12"/>
  <c r="F539" i="12"/>
  <c r="F538" i="12"/>
  <c r="F537" i="12"/>
  <c r="F536" i="12"/>
  <c r="F535" i="12"/>
  <c r="F534" i="12"/>
  <c r="F533" i="12"/>
  <c r="F532" i="12"/>
  <c r="F531" i="12"/>
  <c r="F530" i="12"/>
  <c r="F529" i="12"/>
  <c r="F528" i="12"/>
  <c r="F527" i="12"/>
  <c r="F526" i="12"/>
  <c r="F525" i="12"/>
  <c r="F524" i="12"/>
  <c r="F523" i="12"/>
  <c r="F522" i="12"/>
  <c r="F521" i="12"/>
  <c r="F520" i="12"/>
  <c r="F519" i="12"/>
  <c r="F518" i="12"/>
  <c r="F517" i="12"/>
  <c r="F516" i="12"/>
  <c r="F515" i="12"/>
  <c r="F514" i="12"/>
  <c r="F513" i="12"/>
  <c r="F512" i="12"/>
  <c r="F511" i="12"/>
  <c r="F510" i="12"/>
  <c r="F509" i="12"/>
  <c r="F508" i="12"/>
  <c r="F507" i="12"/>
  <c r="F506" i="12"/>
  <c r="F505" i="12"/>
  <c r="F504" i="12"/>
  <c r="F503" i="12"/>
  <c r="F502" i="12"/>
  <c r="F501" i="12"/>
  <c r="F500" i="12"/>
  <c r="F499" i="12"/>
  <c r="F498" i="12"/>
  <c r="F497" i="12"/>
  <c r="F496" i="12"/>
  <c r="F495" i="12"/>
  <c r="F494" i="12"/>
  <c r="F493" i="12"/>
  <c r="F492" i="12"/>
  <c r="F491" i="12"/>
  <c r="F490" i="12"/>
  <c r="F489" i="12"/>
  <c r="F488" i="12"/>
  <c r="F487" i="12"/>
  <c r="F486" i="12"/>
  <c r="F485" i="12"/>
  <c r="F484" i="12"/>
  <c r="F483" i="12"/>
  <c r="F482" i="12"/>
  <c r="F481" i="12"/>
  <c r="F480" i="12"/>
  <c r="F479" i="12"/>
  <c r="AO11" i="13" s="1"/>
  <c r="F478" i="12"/>
  <c r="F477" i="12"/>
  <c r="F476" i="12"/>
  <c r="F475" i="12"/>
  <c r="F474" i="12"/>
  <c r="F473" i="12"/>
  <c r="F472" i="12"/>
  <c r="F471" i="12"/>
  <c r="F470" i="12"/>
  <c r="F445" i="12"/>
  <c r="F444" i="12"/>
  <c r="F443" i="12"/>
  <c r="F442" i="12"/>
  <c r="F441" i="12"/>
  <c r="F440" i="12"/>
  <c r="F439" i="12"/>
  <c r="F438" i="12"/>
  <c r="F437" i="12"/>
  <c r="F436" i="12"/>
  <c r="F435" i="12"/>
  <c r="F434" i="12"/>
  <c r="F433" i="12"/>
  <c r="F432" i="12"/>
  <c r="F431" i="12"/>
  <c r="F430" i="12"/>
  <c r="F429" i="12"/>
  <c r="F428" i="12"/>
  <c r="F427" i="12"/>
  <c r="F426" i="12"/>
  <c r="F425" i="12"/>
  <c r="F424" i="12"/>
  <c r="F423" i="12"/>
  <c r="F422" i="12"/>
  <c r="F421" i="12"/>
  <c r="F420" i="12"/>
  <c r="F419" i="12"/>
  <c r="F418" i="12"/>
  <c r="F417" i="12"/>
  <c r="F416" i="12"/>
  <c r="F415" i="12"/>
  <c r="F414" i="12"/>
  <c r="F413" i="12"/>
  <c r="F412" i="12"/>
  <c r="F411" i="12"/>
  <c r="F410" i="12"/>
  <c r="F409" i="12"/>
  <c r="F408" i="12"/>
  <c r="F407" i="12"/>
  <c r="F406" i="12"/>
  <c r="F405" i="12"/>
  <c r="F404" i="12"/>
  <c r="F403" i="12"/>
  <c r="F402" i="12"/>
  <c r="F401" i="12"/>
  <c r="F400" i="12"/>
  <c r="F399" i="12"/>
  <c r="F398" i="12"/>
  <c r="F397" i="12"/>
  <c r="F396" i="12"/>
  <c r="F395" i="12"/>
  <c r="F394" i="12"/>
  <c r="F393" i="12"/>
  <c r="F392" i="12"/>
  <c r="F391" i="12"/>
  <c r="F390" i="12"/>
  <c r="F389" i="12"/>
  <c r="F388" i="12"/>
  <c r="F387" i="12"/>
  <c r="F386" i="12"/>
  <c r="F385" i="12"/>
  <c r="F384" i="12"/>
  <c r="F383" i="12"/>
  <c r="F382" i="12"/>
  <c r="F381" i="12"/>
  <c r="F380" i="12"/>
  <c r="F379" i="12"/>
  <c r="F378" i="12"/>
  <c r="F377" i="12"/>
  <c r="F376" i="12"/>
  <c r="F375" i="12"/>
  <c r="AG3" i="13" s="1"/>
  <c r="F374" i="12"/>
  <c r="F373" i="12"/>
  <c r="F372" i="12"/>
  <c r="F371" i="12"/>
  <c r="F370" i="12"/>
  <c r="F369" i="12"/>
  <c r="F368" i="12"/>
  <c r="F367" i="12"/>
  <c r="F366" i="12"/>
  <c r="F365" i="12"/>
  <c r="F364" i="12"/>
  <c r="F363" i="12"/>
  <c r="F362" i="12"/>
  <c r="F361" i="12"/>
  <c r="F360" i="12"/>
  <c r="F359" i="12"/>
  <c r="F358" i="12"/>
  <c r="F357" i="12"/>
  <c r="F356" i="12"/>
  <c r="F355" i="12"/>
  <c r="F354" i="12"/>
  <c r="F353" i="12"/>
  <c r="F352" i="12"/>
  <c r="F351" i="12"/>
  <c r="F350" i="12"/>
  <c r="F349" i="12"/>
  <c r="F348" i="12"/>
  <c r="F347" i="12"/>
  <c r="F346" i="12"/>
  <c r="F345" i="12"/>
  <c r="F344" i="12"/>
  <c r="F343" i="12"/>
  <c r="F342" i="12"/>
  <c r="F341" i="12"/>
  <c r="F340" i="12"/>
  <c r="F339" i="12"/>
  <c r="AD3" i="13" s="1"/>
  <c r="F338" i="12"/>
  <c r="F337" i="12"/>
  <c r="F336" i="12"/>
  <c r="F335" i="12"/>
  <c r="F334" i="12"/>
  <c r="F333" i="12"/>
  <c r="F332" i="12"/>
  <c r="F331" i="12"/>
  <c r="F330" i="12"/>
  <c r="F329" i="12"/>
  <c r="F328" i="12"/>
  <c r="F327" i="12"/>
  <c r="F326" i="12"/>
  <c r="F325" i="12"/>
  <c r="F324" i="12"/>
  <c r="F323" i="12"/>
  <c r="F322" i="12"/>
  <c r="F321" i="12"/>
  <c r="F320" i="12"/>
  <c r="F319" i="12"/>
  <c r="F318" i="12"/>
  <c r="F317" i="12"/>
  <c r="F316" i="12"/>
  <c r="F315" i="12"/>
  <c r="F314" i="12"/>
  <c r="F301" i="12"/>
  <c r="F300" i="12"/>
  <c r="F299" i="12"/>
  <c r="F298" i="12"/>
  <c r="F297" i="12"/>
  <c r="F296" i="12"/>
  <c r="F295" i="12"/>
  <c r="F294" i="12"/>
  <c r="F293" i="12"/>
  <c r="F292" i="12"/>
  <c r="F291" i="12"/>
  <c r="F290" i="12"/>
  <c r="F289" i="12"/>
  <c r="F288" i="12"/>
  <c r="F287" i="12"/>
  <c r="F286" i="12"/>
  <c r="F285" i="12"/>
  <c r="F284" i="12"/>
  <c r="F283" i="12"/>
  <c r="F282" i="12"/>
  <c r="F281" i="12"/>
  <c r="F280" i="12"/>
  <c r="F279" i="12"/>
  <c r="F278" i="12"/>
  <c r="F265" i="12"/>
  <c r="F264" i="12"/>
  <c r="F263" i="12"/>
  <c r="F262" i="12"/>
  <c r="F261" i="12"/>
  <c r="F260" i="12"/>
  <c r="F259" i="12"/>
  <c r="F258" i="12"/>
  <c r="F257" i="12"/>
  <c r="F256" i="12"/>
  <c r="F255" i="12"/>
  <c r="F254" i="12"/>
  <c r="F253" i="12"/>
  <c r="F252" i="12"/>
  <c r="F251" i="12"/>
  <c r="F250" i="12"/>
  <c r="F249" i="12"/>
  <c r="F248" i="12"/>
  <c r="F247" i="12"/>
  <c r="F246" i="12"/>
  <c r="F245" i="12"/>
  <c r="F244" i="12"/>
  <c r="F243" i="12"/>
  <c r="F242" i="12"/>
  <c r="F241" i="12"/>
  <c r="F240" i="12"/>
  <c r="F239" i="12"/>
  <c r="F238" i="12"/>
  <c r="F237" i="12"/>
  <c r="F236" i="12"/>
  <c r="F235" i="12"/>
  <c r="F234" i="12"/>
  <c r="F233" i="12"/>
  <c r="F232" i="12"/>
  <c r="F231" i="12"/>
  <c r="F230" i="12"/>
  <c r="F229" i="12"/>
  <c r="F228" i="12"/>
  <c r="F227" i="12"/>
  <c r="F226" i="12"/>
  <c r="F225" i="12"/>
  <c r="F224" i="12"/>
  <c r="F223" i="12"/>
  <c r="F222" i="12"/>
  <c r="F221" i="12"/>
  <c r="F220" i="12"/>
  <c r="F219" i="12"/>
  <c r="F218" i="12"/>
  <c r="F217" i="12"/>
  <c r="F216" i="12"/>
  <c r="F215" i="12"/>
  <c r="F214" i="12"/>
  <c r="F213" i="12"/>
  <c r="F212" i="12"/>
  <c r="F211" i="12"/>
  <c r="F210" i="12"/>
  <c r="F209" i="12"/>
  <c r="F208" i="12"/>
  <c r="F207" i="12"/>
  <c r="S3" i="13" s="1"/>
  <c r="F206" i="12"/>
  <c r="F205" i="12"/>
  <c r="F204" i="12"/>
  <c r="F203" i="12"/>
  <c r="F202" i="12"/>
  <c r="F201" i="12"/>
  <c r="F200" i="12"/>
  <c r="F199" i="12"/>
  <c r="F198" i="12"/>
  <c r="F197" i="12"/>
  <c r="F196" i="12"/>
  <c r="F195" i="12"/>
  <c r="F194" i="12"/>
  <c r="F193" i="12"/>
  <c r="F192" i="12"/>
  <c r="F191" i="12"/>
  <c r="F190" i="12"/>
  <c r="F189" i="12"/>
  <c r="F188" i="12"/>
  <c r="F187" i="12"/>
  <c r="F186" i="12"/>
  <c r="F185" i="12"/>
  <c r="F184" i="12"/>
  <c r="F183" i="12"/>
  <c r="F182" i="12"/>
  <c r="F181" i="12"/>
  <c r="F180" i="12"/>
  <c r="F179" i="12"/>
  <c r="F178" i="12"/>
  <c r="F177" i="12"/>
  <c r="F176" i="12"/>
  <c r="F175" i="12"/>
  <c r="F174" i="12"/>
  <c r="F173" i="12"/>
  <c r="F172" i="12"/>
  <c r="F171" i="12"/>
  <c r="F170" i="12"/>
  <c r="F169" i="12"/>
  <c r="F168" i="12"/>
  <c r="F167" i="12"/>
  <c r="F166" i="12"/>
  <c r="F165" i="12"/>
  <c r="F164" i="12"/>
  <c r="F163" i="12"/>
  <c r="F162" i="12"/>
  <c r="F161" i="12"/>
  <c r="F160" i="12"/>
  <c r="F159" i="12"/>
  <c r="F158" i="12"/>
  <c r="F157" i="12"/>
  <c r="F156" i="12"/>
  <c r="F155" i="12"/>
  <c r="F154" i="12"/>
  <c r="F153" i="12"/>
  <c r="F152" i="12"/>
  <c r="F151" i="12"/>
  <c r="F150" i="12"/>
  <c r="F149" i="12"/>
  <c r="F148" i="12"/>
  <c r="F147" i="12"/>
  <c r="F146" i="12"/>
  <c r="F145" i="12"/>
  <c r="F144" i="12"/>
  <c r="F143" i="12"/>
  <c r="F142" i="12"/>
  <c r="F141" i="12"/>
  <c r="F140" i="12"/>
  <c r="F139" i="12"/>
  <c r="F138" i="12"/>
  <c r="F137" i="12"/>
  <c r="F136" i="12"/>
  <c r="F135" i="12"/>
  <c r="F134" i="12"/>
  <c r="F121" i="12"/>
  <c r="F120" i="12"/>
  <c r="F119" i="12"/>
  <c r="F118" i="12"/>
  <c r="F117" i="12"/>
  <c r="F116" i="12"/>
  <c r="F115" i="12"/>
  <c r="F114" i="12"/>
  <c r="F113" i="12"/>
  <c r="F112" i="12"/>
  <c r="F111" i="12"/>
  <c r="F110" i="12"/>
  <c r="F109" i="12"/>
  <c r="F108" i="12"/>
  <c r="F107" i="12"/>
  <c r="F106" i="12"/>
  <c r="F105" i="12"/>
  <c r="F104" i="12"/>
  <c r="F103" i="12"/>
  <c r="F102" i="12"/>
  <c r="F101" i="12"/>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BP3" i="18" l="1"/>
  <c r="BM3" i="18"/>
  <c r="BP9" i="8"/>
  <c r="BP8" i="8"/>
  <c r="BM9" i="8"/>
  <c r="BP2" i="18"/>
  <c r="BM2" i="18"/>
  <c r="V2" i="12" s="1"/>
  <c r="BP9" i="18"/>
  <c r="Z9" i="12" s="1"/>
  <c r="Z21" i="12" s="1"/>
  <c r="Z33" i="12" s="1"/>
  <c r="Z45" i="12" s="1"/>
  <c r="Z57" i="12" s="1"/>
  <c r="Z69" i="12" s="1"/>
  <c r="Z81" i="12" s="1"/>
  <c r="Z93" i="12" s="1"/>
  <c r="Z105" i="12" s="1"/>
  <c r="Z117" i="12" s="1"/>
  <c r="Z129" i="12" s="1"/>
  <c r="Z141" i="12" s="1"/>
  <c r="Z153" i="12" s="1"/>
  <c r="Z165" i="12" s="1"/>
  <c r="Z177" i="12" s="1"/>
  <c r="Z189" i="12" s="1"/>
  <c r="Z201" i="12" s="1"/>
  <c r="Z213" i="12" s="1"/>
  <c r="Z225" i="12" s="1"/>
  <c r="Z237" i="12" s="1"/>
  <c r="Z249" i="12" s="1"/>
  <c r="Z261" i="12" s="1"/>
  <c r="Z273" i="12" s="1"/>
  <c r="Z285" i="12" s="1"/>
  <c r="Z297" i="12" s="1"/>
  <c r="Z309" i="12" s="1"/>
  <c r="Z321" i="12" s="1"/>
  <c r="Z333" i="12" s="1"/>
  <c r="Z345" i="12" s="1"/>
  <c r="Z357" i="12" s="1"/>
  <c r="Z369" i="12" s="1"/>
  <c r="Z381" i="12" s="1"/>
  <c r="Z393" i="12" s="1"/>
  <c r="Z405" i="12" s="1"/>
  <c r="Z417" i="12" s="1"/>
  <c r="Z429" i="12" s="1"/>
  <c r="Z441" i="12" s="1"/>
  <c r="Z453" i="12" s="1"/>
  <c r="Z465" i="12" s="1"/>
  <c r="Z477" i="12" s="1"/>
  <c r="Z489" i="12" s="1"/>
  <c r="Z501" i="12" s="1"/>
  <c r="Z513" i="12" s="1"/>
  <c r="Z525" i="12" s="1"/>
  <c r="Z537" i="12" s="1"/>
  <c r="Z549" i="12" s="1"/>
  <c r="Z561" i="12" s="1"/>
  <c r="Z573" i="12" s="1"/>
  <c r="Z585" i="12" s="1"/>
  <c r="Z597" i="12" s="1"/>
  <c r="Z609" i="12" s="1"/>
  <c r="Z621" i="12" s="1"/>
  <c r="Z633" i="12" s="1"/>
  <c r="Z645" i="12" s="1"/>
  <c r="Z657" i="12" s="1"/>
  <c r="Z669" i="12" s="1"/>
  <c r="Z681" i="12" s="1"/>
  <c r="Z693" i="12" s="1"/>
  <c r="Z705" i="12" s="1"/>
  <c r="Z717" i="12" s="1"/>
  <c r="Z729" i="12" s="1"/>
  <c r="Z741" i="12" s="1"/>
  <c r="Z753" i="12" s="1"/>
  <c r="BM9" i="18"/>
  <c r="V9" i="12" s="1"/>
  <c r="V21" i="12" s="1"/>
  <c r="V33" i="12" s="1"/>
  <c r="V45" i="12" s="1"/>
  <c r="V57" i="12" s="1"/>
  <c r="V69" i="12" s="1"/>
  <c r="V81" i="12" s="1"/>
  <c r="V93" i="12" s="1"/>
  <c r="V105" i="12" s="1"/>
  <c r="V117" i="12" s="1"/>
  <c r="V129" i="12" s="1"/>
  <c r="V141" i="12" s="1"/>
  <c r="V153" i="12" s="1"/>
  <c r="V165" i="12" s="1"/>
  <c r="V177" i="12" s="1"/>
  <c r="V189" i="12" s="1"/>
  <c r="V201" i="12" s="1"/>
  <c r="V213" i="12" s="1"/>
  <c r="V225" i="12" s="1"/>
  <c r="V237" i="12" s="1"/>
  <c r="V249" i="12" s="1"/>
  <c r="V261" i="12" s="1"/>
  <c r="V273" i="12" s="1"/>
  <c r="V285" i="12" s="1"/>
  <c r="V297" i="12" s="1"/>
  <c r="V309" i="12" s="1"/>
  <c r="V321" i="12" s="1"/>
  <c r="V333" i="12" s="1"/>
  <c r="V345" i="12" s="1"/>
  <c r="V357" i="12" s="1"/>
  <c r="V369" i="12" s="1"/>
  <c r="V381" i="12" s="1"/>
  <c r="V393" i="12" s="1"/>
  <c r="V405" i="12" s="1"/>
  <c r="V417" i="12" s="1"/>
  <c r="V429" i="12" s="1"/>
  <c r="V441" i="12" s="1"/>
  <c r="V453" i="12" s="1"/>
  <c r="V465" i="12" s="1"/>
  <c r="V477" i="12" s="1"/>
  <c r="V489" i="12" s="1"/>
  <c r="V501" i="12" s="1"/>
  <c r="V513" i="12" s="1"/>
  <c r="V525" i="12" s="1"/>
  <c r="V537" i="12" s="1"/>
  <c r="V549" i="12" s="1"/>
  <c r="V561" i="12" s="1"/>
  <c r="V573" i="12" s="1"/>
  <c r="V585" i="12" s="1"/>
  <c r="V597" i="12" s="1"/>
  <c r="V609" i="12" s="1"/>
  <c r="V621" i="12" s="1"/>
  <c r="V633" i="12" s="1"/>
  <c r="V645" i="12" s="1"/>
  <c r="V657" i="12" s="1"/>
  <c r="V669" i="12" s="1"/>
  <c r="V681" i="12" s="1"/>
  <c r="V693" i="12" s="1"/>
  <c r="V705" i="12" s="1"/>
  <c r="V717" i="12" s="1"/>
  <c r="V729" i="12" s="1"/>
  <c r="V741" i="12" s="1"/>
  <c r="V753" i="12" s="1"/>
  <c r="BP11" i="8"/>
  <c r="BM11" i="8"/>
  <c r="BP10" i="8"/>
  <c r="BM8" i="18"/>
  <c r="V8" i="12" s="1"/>
  <c r="V20" i="12" s="1"/>
  <c r="V32" i="12" s="1"/>
  <c r="V44" i="12" s="1"/>
  <c r="V56" i="12" s="1"/>
  <c r="V68" i="12" s="1"/>
  <c r="V80" i="12" s="1"/>
  <c r="V92" i="12" s="1"/>
  <c r="V104" i="12" s="1"/>
  <c r="V116" i="12" s="1"/>
  <c r="V128" i="12" s="1"/>
  <c r="V140" i="12" s="1"/>
  <c r="V152" i="12" s="1"/>
  <c r="V164" i="12" s="1"/>
  <c r="V176" i="12" s="1"/>
  <c r="V188" i="12" s="1"/>
  <c r="V200" i="12" s="1"/>
  <c r="V212" i="12" s="1"/>
  <c r="V224" i="12" s="1"/>
  <c r="V236" i="12" s="1"/>
  <c r="V248" i="12" s="1"/>
  <c r="V260" i="12" s="1"/>
  <c r="V272" i="12" s="1"/>
  <c r="V284" i="12" s="1"/>
  <c r="V296" i="12" s="1"/>
  <c r="V308" i="12" s="1"/>
  <c r="V320" i="12" s="1"/>
  <c r="V332" i="12" s="1"/>
  <c r="V344" i="12" s="1"/>
  <c r="V356" i="12" s="1"/>
  <c r="V368" i="12" s="1"/>
  <c r="V380" i="12" s="1"/>
  <c r="V392" i="12" s="1"/>
  <c r="V404" i="12" s="1"/>
  <c r="V416" i="12" s="1"/>
  <c r="V428" i="12" s="1"/>
  <c r="V440" i="12" s="1"/>
  <c r="V452" i="12" s="1"/>
  <c r="V464" i="12" s="1"/>
  <c r="V476" i="12" s="1"/>
  <c r="V488" i="12" s="1"/>
  <c r="V500" i="12" s="1"/>
  <c r="V512" i="12" s="1"/>
  <c r="V524" i="12" s="1"/>
  <c r="V536" i="12" s="1"/>
  <c r="V548" i="12" s="1"/>
  <c r="V560" i="12" s="1"/>
  <c r="V572" i="12" s="1"/>
  <c r="V584" i="12" s="1"/>
  <c r="V596" i="12" s="1"/>
  <c r="V608" i="12" s="1"/>
  <c r="V620" i="12" s="1"/>
  <c r="V632" i="12" s="1"/>
  <c r="V644" i="12" s="1"/>
  <c r="V656" i="12" s="1"/>
  <c r="V668" i="12" s="1"/>
  <c r="V680" i="12" s="1"/>
  <c r="V692" i="12" s="1"/>
  <c r="V704" i="12" s="1"/>
  <c r="V716" i="12" s="1"/>
  <c r="V728" i="12" s="1"/>
  <c r="V740" i="12" s="1"/>
  <c r="V752" i="12" s="1"/>
  <c r="BP8" i="18"/>
  <c r="Z8" i="12" s="1"/>
  <c r="Z20" i="12" s="1"/>
  <c r="Z32" i="12" s="1"/>
  <c r="Z44" i="12" s="1"/>
  <c r="Z56" i="12" s="1"/>
  <c r="Z68" i="12" s="1"/>
  <c r="Z80" i="12" s="1"/>
  <c r="Z92" i="12" s="1"/>
  <c r="Z104" i="12" s="1"/>
  <c r="Z116" i="12" s="1"/>
  <c r="Z128" i="12" s="1"/>
  <c r="Z140" i="12" s="1"/>
  <c r="Z152" i="12" s="1"/>
  <c r="Z164" i="12" s="1"/>
  <c r="Z176" i="12" s="1"/>
  <c r="Z188" i="12" s="1"/>
  <c r="Z200" i="12" s="1"/>
  <c r="Z212" i="12" s="1"/>
  <c r="Z224" i="12" s="1"/>
  <c r="Z236" i="12" s="1"/>
  <c r="Z248" i="12" s="1"/>
  <c r="Z260" i="12" s="1"/>
  <c r="Z272" i="12" s="1"/>
  <c r="Z284" i="12" s="1"/>
  <c r="Z296" i="12" s="1"/>
  <c r="Z308" i="12" s="1"/>
  <c r="Z320" i="12" s="1"/>
  <c r="Z332" i="12" s="1"/>
  <c r="Z344" i="12" s="1"/>
  <c r="Z356" i="12" s="1"/>
  <c r="Z368" i="12" s="1"/>
  <c r="Z380" i="12" s="1"/>
  <c r="Z392" i="12" s="1"/>
  <c r="Z404" i="12" s="1"/>
  <c r="Z416" i="12" s="1"/>
  <c r="Z428" i="12" s="1"/>
  <c r="Z440" i="12" s="1"/>
  <c r="Z452" i="12" s="1"/>
  <c r="Z464" i="12" s="1"/>
  <c r="Z476" i="12" s="1"/>
  <c r="Z488" i="12" s="1"/>
  <c r="Z500" i="12" s="1"/>
  <c r="Z512" i="12" s="1"/>
  <c r="Z524" i="12" s="1"/>
  <c r="Z536" i="12" s="1"/>
  <c r="Z548" i="12" s="1"/>
  <c r="Z560" i="12" s="1"/>
  <c r="Z572" i="12" s="1"/>
  <c r="Z584" i="12" s="1"/>
  <c r="Z596" i="12" s="1"/>
  <c r="Z608" i="12" s="1"/>
  <c r="Z620" i="12" s="1"/>
  <c r="Z632" i="12" s="1"/>
  <c r="Z644" i="12" s="1"/>
  <c r="Z656" i="12" s="1"/>
  <c r="Z668" i="12" s="1"/>
  <c r="Z680" i="12" s="1"/>
  <c r="Z692" i="12" s="1"/>
  <c r="Z704" i="12" s="1"/>
  <c r="Z716" i="12" s="1"/>
  <c r="Z728" i="12" s="1"/>
  <c r="Z740" i="12" s="1"/>
  <c r="Z752" i="12" s="1"/>
  <c r="BP10" i="18"/>
  <c r="Z10" i="12" s="1"/>
  <c r="Z22" i="12" s="1"/>
  <c r="Z34" i="12" s="1"/>
  <c r="Z46" i="12" s="1"/>
  <c r="Z58" i="12" s="1"/>
  <c r="Z70" i="12" s="1"/>
  <c r="Z82" i="12" s="1"/>
  <c r="Z94" i="12" s="1"/>
  <c r="Z106" i="12" s="1"/>
  <c r="Z118" i="12" s="1"/>
  <c r="Z130" i="12" s="1"/>
  <c r="Z142" i="12" s="1"/>
  <c r="Z154" i="12" s="1"/>
  <c r="Z166" i="12" s="1"/>
  <c r="Z178" i="12" s="1"/>
  <c r="Z190" i="12" s="1"/>
  <c r="Z202" i="12" s="1"/>
  <c r="Z214" i="12" s="1"/>
  <c r="Z226" i="12" s="1"/>
  <c r="Z238" i="12" s="1"/>
  <c r="Z250" i="12" s="1"/>
  <c r="Z262" i="12" s="1"/>
  <c r="Z274" i="12" s="1"/>
  <c r="Z286" i="12" s="1"/>
  <c r="Z298" i="12" s="1"/>
  <c r="Z310" i="12" s="1"/>
  <c r="Z322" i="12" s="1"/>
  <c r="Z334" i="12" s="1"/>
  <c r="Z346" i="12" s="1"/>
  <c r="Z358" i="12" s="1"/>
  <c r="Z370" i="12" s="1"/>
  <c r="Z382" i="12" s="1"/>
  <c r="Z394" i="12" s="1"/>
  <c r="Z406" i="12" s="1"/>
  <c r="Z418" i="12" s="1"/>
  <c r="Z430" i="12" s="1"/>
  <c r="Z442" i="12" s="1"/>
  <c r="Z454" i="12" s="1"/>
  <c r="Z466" i="12" s="1"/>
  <c r="Z478" i="12" s="1"/>
  <c r="Z490" i="12" s="1"/>
  <c r="Z502" i="12" s="1"/>
  <c r="Z514" i="12" s="1"/>
  <c r="Z526" i="12" s="1"/>
  <c r="Z538" i="12" s="1"/>
  <c r="Z550" i="12" s="1"/>
  <c r="Z562" i="12" s="1"/>
  <c r="Z574" i="12" s="1"/>
  <c r="Z586" i="12" s="1"/>
  <c r="Z598" i="12" s="1"/>
  <c r="Z610" i="12" s="1"/>
  <c r="Z622" i="12" s="1"/>
  <c r="Z634" i="12" s="1"/>
  <c r="Z646" i="12" s="1"/>
  <c r="Z658" i="12" s="1"/>
  <c r="Z670" i="12" s="1"/>
  <c r="Z682" i="12" s="1"/>
  <c r="Z694" i="12" s="1"/>
  <c r="Z706" i="12" s="1"/>
  <c r="Z718" i="12" s="1"/>
  <c r="Z730" i="12" s="1"/>
  <c r="Z742" i="12" s="1"/>
  <c r="Z754" i="12" s="1"/>
  <c r="BM10" i="18"/>
  <c r="V10" i="12" s="1"/>
  <c r="V22" i="12" s="1"/>
  <c r="V34" i="12" s="1"/>
  <c r="V46" i="12" s="1"/>
  <c r="V58" i="12" s="1"/>
  <c r="V70" i="12" s="1"/>
  <c r="V82" i="12" s="1"/>
  <c r="V94" i="12" s="1"/>
  <c r="V106" i="12" s="1"/>
  <c r="V118" i="12" s="1"/>
  <c r="V130" i="12" s="1"/>
  <c r="V142" i="12" s="1"/>
  <c r="V154" i="12" s="1"/>
  <c r="V166" i="12" s="1"/>
  <c r="V178" i="12" s="1"/>
  <c r="V190" i="12" s="1"/>
  <c r="V202" i="12" s="1"/>
  <c r="V214" i="12" s="1"/>
  <c r="V226" i="12" s="1"/>
  <c r="V238" i="12" s="1"/>
  <c r="V250" i="12" s="1"/>
  <c r="V262" i="12" s="1"/>
  <c r="V274" i="12" s="1"/>
  <c r="V286" i="12" s="1"/>
  <c r="V298" i="12" s="1"/>
  <c r="V310" i="12" s="1"/>
  <c r="V322" i="12" s="1"/>
  <c r="V334" i="12" s="1"/>
  <c r="V346" i="12" s="1"/>
  <c r="V358" i="12" s="1"/>
  <c r="V370" i="12" s="1"/>
  <c r="V382" i="12" s="1"/>
  <c r="V394" i="12" s="1"/>
  <c r="V406" i="12" s="1"/>
  <c r="V418" i="12" s="1"/>
  <c r="V430" i="12" s="1"/>
  <c r="V442" i="12" s="1"/>
  <c r="V454" i="12" s="1"/>
  <c r="V466" i="12" s="1"/>
  <c r="V478" i="12" s="1"/>
  <c r="V490" i="12" s="1"/>
  <c r="V502" i="12" s="1"/>
  <c r="V514" i="12" s="1"/>
  <c r="V526" i="12" s="1"/>
  <c r="V538" i="12" s="1"/>
  <c r="V550" i="12" s="1"/>
  <c r="V562" i="12" s="1"/>
  <c r="V574" i="12" s="1"/>
  <c r="V586" i="12" s="1"/>
  <c r="V598" i="12" s="1"/>
  <c r="V610" i="12" s="1"/>
  <c r="V622" i="12" s="1"/>
  <c r="V634" i="12" s="1"/>
  <c r="V646" i="12" s="1"/>
  <c r="V658" i="12" s="1"/>
  <c r="V670" i="12" s="1"/>
  <c r="V682" i="12" s="1"/>
  <c r="V694" i="12" s="1"/>
  <c r="V706" i="12" s="1"/>
  <c r="V718" i="12" s="1"/>
  <c r="V730" i="12" s="1"/>
  <c r="V742" i="12" s="1"/>
  <c r="V754" i="12" s="1"/>
  <c r="BP5" i="8"/>
  <c r="BP4" i="8"/>
  <c r="BM5" i="8"/>
  <c r="BP5" i="18"/>
  <c r="Z5" i="12" s="1"/>
  <c r="Z17" i="12" s="1"/>
  <c r="Z29" i="12" s="1"/>
  <c r="Z41" i="12" s="1"/>
  <c r="Z53" i="12" s="1"/>
  <c r="Z65" i="12" s="1"/>
  <c r="Z77" i="12" s="1"/>
  <c r="Z89" i="12" s="1"/>
  <c r="Z101" i="12" s="1"/>
  <c r="Z113" i="12" s="1"/>
  <c r="Z125" i="12" s="1"/>
  <c r="Z137" i="12" s="1"/>
  <c r="Z149" i="12" s="1"/>
  <c r="Z161" i="12" s="1"/>
  <c r="Z173" i="12" s="1"/>
  <c r="Z185" i="12" s="1"/>
  <c r="Z197" i="12" s="1"/>
  <c r="Z209" i="12" s="1"/>
  <c r="Z221" i="12" s="1"/>
  <c r="Z233" i="12" s="1"/>
  <c r="Z245" i="12" s="1"/>
  <c r="Z257" i="12" s="1"/>
  <c r="Z269" i="12" s="1"/>
  <c r="Z281" i="12" s="1"/>
  <c r="Z293" i="12" s="1"/>
  <c r="Z305" i="12" s="1"/>
  <c r="Z317" i="12" s="1"/>
  <c r="Z329" i="12" s="1"/>
  <c r="Z341" i="12" s="1"/>
  <c r="Z353" i="12" s="1"/>
  <c r="Z365" i="12" s="1"/>
  <c r="Z377" i="12" s="1"/>
  <c r="Z389" i="12" s="1"/>
  <c r="Z401" i="12" s="1"/>
  <c r="Z413" i="12" s="1"/>
  <c r="Z425" i="12" s="1"/>
  <c r="Z437" i="12" s="1"/>
  <c r="Z449" i="12" s="1"/>
  <c r="Z461" i="12" s="1"/>
  <c r="Z473" i="12" s="1"/>
  <c r="Z485" i="12" s="1"/>
  <c r="Z497" i="12" s="1"/>
  <c r="Z509" i="12" s="1"/>
  <c r="Z521" i="12" s="1"/>
  <c r="Z533" i="12" s="1"/>
  <c r="Z545" i="12" s="1"/>
  <c r="Z557" i="12" s="1"/>
  <c r="Z569" i="12" s="1"/>
  <c r="Z581" i="12" s="1"/>
  <c r="Z593" i="12" s="1"/>
  <c r="Z605" i="12" s="1"/>
  <c r="Z617" i="12" s="1"/>
  <c r="Z629" i="12" s="1"/>
  <c r="Z641" i="12" s="1"/>
  <c r="Z653" i="12" s="1"/>
  <c r="Z665" i="12" s="1"/>
  <c r="Z677" i="12" s="1"/>
  <c r="Z689" i="12" s="1"/>
  <c r="Z701" i="12" s="1"/>
  <c r="Z713" i="12" s="1"/>
  <c r="Z725" i="12" s="1"/>
  <c r="Z737" i="12" s="1"/>
  <c r="Z749" i="12" s="1"/>
  <c r="BM5" i="18"/>
  <c r="V5" i="12" s="1"/>
  <c r="V17" i="12" s="1"/>
  <c r="V29" i="12" s="1"/>
  <c r="V41" i="12" s="1"/>
  <c r="V53" i="12" s="1"/>
  <c r="V65" i="12" s="1"/>
  <c r="V77" i="12" s="1"/>
  <c r="V89" i="12" s="1"/>
  <c r="V101" i="12" s="1"/>
  <c r="V113" i="12" s="1"/>
  <c r="V125" i="12" s="1"/>
  <c r="V137" i="12" s="1"/>
  <c r="V149" i="12" s="1"/>
  <c r="V161" i="12" s="1"/>
  <c r="V173" i="12" s="1"/>
  <c r="V185" i="12" s="1"/>
  <c r="V197" i="12" s="1"/>
  <c r="V209" i="12" s="1"/>
  <c r="V221" i="12" s="1"/>
  <c r="V233" i="12" s="1"/>
  <c r="V245" i="12" s="1"/>
  <c r="V257" i="12" s="1"/>
  <c r="V269" i="12" s="1"/>
  <c r="V281" i="12" s="1"/>
  <c r="V293" i="12" s="1"/>
  <c r="V305" i="12" s="1"/>
  <c r="V317" i="12" s="1"/>
  <c r="V329" i="12" s="1"/>
  <c r="V341" i="12" s="1"/>
  <c r="V353" i="12" s="1"/>
  <c r="V365" i="12" s="1"/>
  <c r="V377" i="12" s="1"/>
  <c r="V389" i="12" s="1"/>
  <c r="V401" i="12" s="1"/>
  <c r="V413" i="12" s="1"/>
  <c r="V425" i="12" s="1"/>
  <c r="V437" i="12" s="1"/>
  <c r="V449" i="12" s="1"/>
  <c r="V461" i="12" s="1"/>
  <c r="V473" i="12" s="1"/>
  <c r="V485" i="12" s="1"/>
  <c r="V497" i="12" s="1"/>
  <c r="V509" i="12" s="1"/>
  <c r="V521" i="12" s="1"/>
  <c r="V533" i="12" s="1"/>
  <c r="V545" i="12" s="1"/>
  <c r="V557" i="12" s="1"/>
  <c r="V569" i="12" s="1"/>
  <c r="V581" i="12" s="1"/>
  <c r="V593" i="12" s="1"/>
  <c r="V605" i="12" s="1"/>
  <c r="V617" i="12" s="1"/>
  <c r="V629" i="12" s="1"/>
  <c r="V641" i="12" s="1"/>
  <c r="V653" i="12" s="1"/>
  <c r="V665" i="12" s="1"/>
  <c r="V677" i="12" s="1"/>
  <c r="V689" i="12" s="1"/>
  <c r="V701" i="12" s="1"/>
  <c r="V713" i="12" s="1"/>
  <c r="V725" i="12" s="1"/>
  <c r="V737" i="12" s="1"/>
  <c r="V749" i="12" s="1"/>
  <c r="BP7" i="8"/>
  <c r="BP6" i="8"/>
  <c r="BM7" i="8"/>
  <c r="BM6" i="8"/>
  <c r="BP6" i="18"/>
  <c r="Z6" i="12" s="1"/>
  <c r="Z18" i="12" s="1"/>
  <c r="Z30" i="12" s="1"/>
  <c r="Z42" i="12" s="1"/>
  <c r="Z54" i="12" s="1"/>
  <c r="Z66" i="12" s="1"/>
  <c r="Z78" i="12" s="1"/>
  <c r="Z90" i="12" s="1"/>
  <c r="Z102" i="12" s="1"/>
  <c r="Z114" i="12" s="1"/>
  <c r="Z126" i="12" s="1"/>
  <c r="Z138" i="12" s="1"/>
  <c r="Z150" i="12" s="1"/>
  <c r="Z162" i="12" s="1"/>
  <c r="Z174" i="12" s="1"/>
  <c r="Z186" i="12" s="1"/>
  <c r="Z198" i="12" s="1"/>
  <c r="Z210" i="12" s="1"/>
  <c r="Z222" i="12" s="1"/>
  <c r="Z234" i="12" s="1"/>
  <c r="Z246" i="12" s="1"/>
  <c r="Z258" i="12" s="1"/>
  <c r="Z270" i="12" s="1"/>
  <c r="Z282" i="12" s="1"/>
  <c r="Z294" i="12" s="1"/>
  <c r="Z306" i="12" s="1"/>
  <c r="Z318" i="12" s="1"/>
  <c r="Z330" i="12" s="1"/>
  <c r="Z342" i="12" s="1"/>
  <c r="Z354" i="12" s="1"/>
  <c r="Z366" i="12" s="1"/>
  <c r="Z378" i="12" s="1"/>
  <c r="Z390" i="12" s="1"/>
  <c r="Z402" i="12" s="1"/>
  <c r="Z414" i="12" s="1"/>
  <c r="Z426" i="12" s="1"/>
  <c r="Z438" i="12" s="1"/>
  <c r="Z450" i="12" s="1"/>
  <c r="Z462" i="12" s="1"/>
  <c r="Z474" i="12" s="1"/>
  <c r="Z486" i="12" s="1"/>
  <c r="Z498" i="12" s="1"/>
  <c r="Z510" i="12" s="1"/>
  <c r="Z522" i="12" s="1"/>
  <c r="Z534" i="12" s="1"/>
  <c r="Z546" i="12" s="1"/>
  <c r="Z558" i="12" s="1"/>
  <c r="Z570" i="12" s="1"/>
  <c r="Z582" i="12" s="1"/>
  <c r="Z594" i="12" s="1"/>
  <c r="Z606" i="12" s="1"/>
  <c r="Z618" i="12" s="1"/>
  <c r="Z630" i="12" s="1"/>
  <c r="Z642" i="12" s="1"/>
  <c r="Z654" i="12" s="1"/>
  <c r="Z666" i="12" s="1"/>
  <c r="Z678" i="12" s="1"/>
  <c r="Z690" i="12" s="1"/>
  <c r="Z702" i="12" s="1"/>
  <c r="Z714" i="12" s="1"/>
  <c r="Z726" i="12" s="1"/>
  <c r="Z738" i="12" s="1"/>
  <c r="Z750" i="12" s="1"/>
  <c r="BM6" i="18"/>
  <c r="V6" i="12" s="1"/>
  <c r="V18" i="12" s="1"/>
  <c r="V30" i="12" s="1"/>
  <c r="V42" i="12" s="1"/>
  <c r="V54" i="12" s="1"/>
  <c r="V66" i="12" s="1"/>
  <c r="V78" i="12" s="1"/>
  <c r="V90" i="12" s="1"/>
  <c r="V102" i="12" s="1"/>
  <c r="V114" i="12" s="1"/>
  <c r="V126" i="12" s="1"/>
  <c r="V138" i="12" s="1"/>
  <c r="V150" i="12" s="1"/>
  <c r="V162" i="12" s="1"/>
  <c r="V174" i="12" s="1"/>
  <c r="V186" i="12" s="1"/>
  <c r="V198" i="12" s="1"/>
  <c r="V210" i="12" s="1"/>
  <c r="V222" i="12" s="1"/>
  <c r="V234" i="12" s="1"/>
  <c r="V246" i="12" s="1"/>
  <c r="V258" i="12" s="1"/>
  <c r="V270" i="12" s="1"/>
  <c r="V282" i="12" s="1"/>
  <c r="V294" i="12" s="1"/>
  <c r="V306" i="12" s="1"/>
  <c r="V318" i="12" s="1"/>
  <c r="V330" i="12" s="1"/>
  <c r="V342" i="12" s="1"/>
  <c r="V354" i="12" s="1"/>
  <c r="V366" i="12" s="1"/>
  <c r="V378" i="12" s="1"/>
  <c r="V390" i="12" s="1"/>
  <c r="V402" i="12" s="1"/>
  <c r="V414" i="12" s="1"/>
  <c r="V426" i="12" s="1"/>
  <c r="V438" i="12" s="1"/>
  <c r="V450" i="12" s="1"/>
  <c r="V462" i="12" s="1"/>
  <c r="V474" i="12" s="1"/>
  <c r="V486" i="12" s="1"/>
  <c r="V498" i="12" s="1"/>
  <c r="V510" i="12" s="1"/>
  <c r="V522" i="12" s="1"/>
  <c r="V534" i="12" s="1"/>
  <c r="V546" i="12" s="1"/>
  <c r="V558" i="12" s="1"/>
  <c r="V570" i="12" s="1"/>
  <c r="V582" i="12" s="1"/>
  <c r="V594" i="12" s="1"/>
  <c r="V606" i="12" s="1"/>
  <c r="V618" i="12" s="1"/>
  <c r="V630" i="12" s="1"/>
  <c r="V642" i="12" s="1"/>
  <c r="V654" i="12" s="1"/>
  <c r="V666" i="12" s="1"/>
  <c r="V678" i="12" s="1"/>
  <c r="V690" i="12" s="1"/>
  <c r="V702" i="12" s="1"/>
  <c r="V714" i="12" s="1"/>
  <c r="V726" i="12" s="1"/>
  <c r="V738" i="12" s="1"/>
  <c r="V750" i="12" s="1"/>
  <c r="BM4" i="18"/>
  <c r="V4" i="12" s="1"/>
  <c r="V16" i="12" s="1"/>
  <c r="V28" i="12" s="1"/>
  <c r="V40" i="12" s="1"/>
  <c r="V52" i="12" s="1"/>
  <c r="V64" i="12" s="1"/>
  <c r="V76" i="12" s="1"/>
  <c r="V88" i="12" s="1"/>
  <c r="V100" i="12" s="1"/>
  <c r="V112" i="12" s="1"/>
  <c r="V124" i="12" s="1"/>
  <c r="V136" i="12" s="1"/>
  <c r="V148" i="12" s="1"/>
  <c r="V160" i="12" s="1"/>
  <c r="V172" i="12" s="1"/>
  <c r="V184" i="12" s="1"/>
  <c r="V196" i="12" s="1"/>
  <c r="V208" i="12" s="1"/>
  <c r="V220" i="12" s="1"/>
  <c r="V232" i="12" s="1"/>
  <c r="V244" i="12" s="1"/>
  <c r="V256" i="12" s="1"/>
  <c r="V268" i="12" s="1"/>
  <c r="V280" i="12" s="1"/>
  <c r="V292" i="12" s="1"/>
  <c r="V304" i="12" s="1"/>
  <c r="V316" i="12" s="1"/>
  <c r="V328" i="12" s="1"/>
  <c r="V340" i="12" s="1"/>
  <c r="V352" i="12" s="1"/>
  <c r="V364" i="12" s="1"/>
  <c r="V376" i="12" s="1"/>
  <c r="V388" i="12" s="1"/>
  <c r="V400" i="12" s="1"/>
  <c r="V412" i="12" s="1"/>
  <c r="V424" i="12" s="1"/>
  <c r="V436" i="12" s="1"/>
  <c r="V448" i="12" s="1"/>
  <c r="V460" i="12" s="1"/>
  <c r="V472" i="12" s="1"/>
  <c r="V484" i="12" s="1"/>
  <c r="V496" i="12" s="1"/>
  <c r="V508" i="12" s="1"/>
  <c r="V520" i="12" s="1"/>
  <c r="V532" i="12" s="1"/>
  <c r="V544" i="12" s="1"/>
  <c r="V556" i="12" s="1"/>
  <c r="V568" i="12" s="1"/>
  <c r="V580" i="12" s="1"/>
  <c r="V592" i="12" s="1"/>
  <c r="V604" i="12" s="1"/>
  <c r="V616" i="12" s="1"/>
  <c r="V628" i="12" s="1"/>
  <c r="V640" i="12" s="1"/>
  <c r="V652" i="12" s="1"/>
  <c r="V664" i="12" s="1"/>
  <c r="V676" i="12" s="1"/>
  <c r="V688" i="12" s="1"/>
  <c r="V700" i="12" s="1"/>
  <c r="V712" i="12" s="1"/>
  <c r="V724" i="12" s="1"/>
  <c r="V736" i="12" s="1"/>
  <c r="V748" i="12" s="1"/>
  <c r="BP4" i="18"/>
  <c r="Z4" i="12" s="1"/>
  <c r="Z16" i="12" s="1"/>
  <c r="Z28" i="12" s="1"/>
  <c r="Z40" i="12" s="1"/>
  <c r="Z52" i="12" s="1"/>
  <c r="Z64" i="12" s="1"/>
  <c r="Z76" i="12" s="1"/>
  <c r="Z88" i="12" s="1"/>
  <c r="Z100" i="12" s="1"/>
  <c r="Z112" i="12" s="1"/>
  <c r="Z124" i="12" s="1"/>
  <c r="Z136" i="12" s="1"/>
  <c r="Z148" i="12" s="1"/>
  <c r="Z160" i="12" s="1"/>
  <c r="Z172" i="12" s="1"/>
  <c r="Z184" i="12" s="1"/>
  <c r="Z196" i="12" s="1"/>
  <c r="Z208" i="12" s="1"/>
  <c r="Z220" i="12" s="1"/>
  <c r="Z232" i="12" s="1"/>
  <c r="Z244" i="12" s="1"/>
  <c r="Z256" i="12" s="1"/>
  <c r="Z268" i="12" s="1"/>
  <c r="Z280" i="12" s="1"/>
  <c r="Z292" i="12" s="1"/>
  <c r="Z304" i="12" s="1"/>
  <c r="Z316" i="12" s="1"/>
  <c r="Z328" i="12" s="1"/>
  <c r="Z340" i="12" s="1"/>
  <c r="Z352" i="12" s="1"/>
  <c r="Z364" i="12" s="1"/>
  <c r="Z376" i="12" s="1"/>
  <c r="Z388" i="12" s="1"/>
  <c r="Z400" i="12" s="1"/>
  <c r="Z412" i="12" s="1"/>
  <c r="Z424" i="12" s="1"/>
  <c r="Z436" i="12" s="1"/>
  <c r="Z448" i="12" s="1"/>
  <c r="Z460" i="12" s="1"/>
  <c r="Z472" i="12" s="1"/>
  <c r="Z484" i="12" s="1"/>
  <c r="Z496" i="12" s="1"/>
  <c r="Z508" i="12" s="1"/>
  <c r="Z520" i="12" s="1"/>
  <c r="Z532" i="12" s="1"/>
  <c r="Z544" i="12" s="1"/>
  <c r="Z556" i="12" s="1"/>
  <c r="Z568" i="12" s="1"/>
  <c r="Z580" i="12" s="1"/>
  <c r="Z592" i="12" s="1"/>
  <c r="Z604" i="12" s="1"/>
  <c r="Z616" i="12" s="1"/>
  <c r="Z628" i="12" s="1"/>
  <c r="Z640" i="12" s="1"/>
  <c r="Z652" i="12" s="1"/>
  <c r="Z664" i="12" s="1"/>
  <c r="Z676" i="12" s="1"/>
  <c r="Z688" i="12" s="1"/>
  <c r="Z700" i="12" s="1"/>
  <c r="Z712" i="12" s="1"/>
  <c r="Z724" i="12" s="1"/>
  <c r="Z736" i="12" s="1"/>
  <c r="Z748" i="12" s="1"/>
  <c r="BM11" i="18"/>
  <c r="V11" i="12" s="1"/>
  <c r="V23" i="12" s="1"/>
  <c r="V35" i="12" s="1"/>
  <c r="V47" i="12" s="1"/>
  <c r="V59" i="12" s="1"/>
  <c r="V71" i="12" s="1"/>
  <c r="V83" i="12" s="1"/>
  <c r="V95" i="12" s="1"/>
  <c r="V107" i="12" s="1"/>
  <c r="V119" i="12" s="1"/>
  <c r="V131" i="12" s="1"/>
  <c r="V143" i="12" s="1"/>
  <c r="V155" i="12" s="1"/>
  <c r="V167" i="12" s="1"/>
  <c r="V179" i="12" s="1"/>
  <c r="V191" i="12" s="1"/>
  <c r="V203" i="12" s="1"/>
  <c r="V215" i="12" s="1"/>
  <c r="V227" i="12" s="1"/>
  <c r="V239" i="12" s="1"/>
  <c r="V251" i="12" s="1"/>
  <c r="V263" i="12" s="1"/>
  <c r="V275" i="12" s="1"/>
  <c r="V287" i="12" s="1"/>
  <c r="V299" i="12" s="1"/>
  <c r="V311" i="12" s="1"/>
  <c r="V323" i="12" s="1"/>
  <c r="V335" i="12" s="1"/>
  <c r="V347" i="12" s="1"/>
  <c r="V359" i="12" s="1"/>
  <c r="V371" i="12" s="1"/>
  <c r="V383" i="12" s="1"/>
  <c r="V395" i="12" s="1"/>
  <c r="V407" i="12" s="1"/>
  <c r="V419" i="12" s="1"/>
  <c r="V431" i="12" s="1"/>
  <c r="V443" i="12" s="1"/>
  <c r="V455" i="12" s="1"/>
  <c r="V467" i="12" s="1"/>
  <c r="V479" i="12" s="1"/>
  <c r="V491" i="12" s="1"/>
  <c r="V503" i="12" s="1"/>
  <c r="V515" i="12" s="1"/>
  <c r="V527" i="12" s="1"/>
  <c r="V539" i="12" s="1"/>
  <c r="V551" i="12" s="1"/>
  <c r="V563" i="12" s="1"/>
  <c r="V575" i="12" s="1"/>
  <c r="V587" i="12" s="1"/>
  <c r="V599" i="12" s="1"/>
  <c r="V611" i="12" s="1"/>
  <c r="V623" i="12" s="1"/>
  <c r="V635" i="12" s="1"/>
  <c r="V647" i="12" s="1"/>
  <c r="V659" i="12" s="1"/>
  <c r="V671" i="12" s="1"/>
  <c r="V683" i="12" s="1"/>
  <c r="V695" i="12" s="1"/>
  <c r="V707" i="12" s="1"/>
  <c r="V719" i="12" s="1"/>
  <c r="V731" i="12" s="1"/>
  <c r="V743" i="12" s="1"/>
  <c r="V755" i="12" s="1"/>
  <c r="BP11" i="18"/>
  <c r="Z11" i="12" s="1"/>
  <c r="Z23" i="12" s="1"/>
  <c r="Z35" i="12" s="1"/>
  <c r="Z47" i="12" s="1"/>
  <c r="Z59" i="12" s="1"/>
  <c r="Z71" i="12" s="1"/>
  <c r="Z83" i="12" s="1"/>
  <c r="Z95" i="12" s="1"/>
  <c r="Z107" i="12" s="1"/>
  <c r="Z119" i="12" s="1"/>
  <c r="Z131" i="12" s="1"/>
  <c r="Z143" i="12" s="1"/>
  <c r="Z155" i="12" s="1"/>
  <c r="Z167" i="12" s="1"/>
  <c r="Z179" i="12" s="1"/>
  <c r="Z191" i="12" s="1"/>
  <c r="Z203" i="12" s="1"/>
  <c r="Z215" i="12" s="1"/>
  <c r="Z227" i="12" s="1"/>
  <c r="Z239" i="12" s="1"/>
  <c r="Z251" i="12" s="1"/>
  <c r="Z263" i="12" s="1"/>
  <c r="Z275" i="12" s="1"/>
  <c r="Z287" i="12" s="1"/>
  <c r="Z299" i="12" s="1"/>
  <c r="Z311" i="12" s="1"/>
  <c r="Z323" i="12" s="1"/>
  <c r="Z335" i="12" s="1"/>
  <c r="Z347" i="12" s="1"/>
  <c r="Z359" i="12" s="1"/>
  <c r="Z371" i="12" s="1"/>
  <c r="Z383" i="12" s="1"/>
  <c r="Z395" i="12" s="1"/>
  <c r="Z407" i="12" s="1"/>
  <c r="Z419" i="12" s="1"/>
  <c r="Z431" i="12" s="1"/>
  <c r="Z443" i="12" s="1"/>
  <c r="Z455" i="12" s="1"/>
  <c r="Z467" i="12" s="1"/>
  <c r="Z479" i="12" s="1"/>
  <c r="Z491" i="12" s="1"/>
  <c r="Z503" i="12" s="1"/>
  <c r="Z515" i="12" s="1"/>
  <c r="Z527" i="12" s="1"/>
  <c r="Z539" i="12" s="1"/>
  <c r="Z551" i="12" s="1"/>
  <c r="Z563" i="12" s="1"/>
  <c r="Z575" i="12" s="1"/>
  <c r="Z587" i="12" s="1"/>
  <c r="Z599" i="12" s="1"/>
  <c r="Z611" i="12" s="1"/>
  <c r="Z623" i="12" s="1"/>
  <c r="Z635" i="12" s="1"/>
  <c r="Z647" i="12" s="1"/>
  <c r="Z659" i="12" s="1"/>
  <c r="Z671" i="12" s="1"/>
  <c r="Z683" i="12" s="1"/>
  <c r="Z695" i="12" s="1"/>
  <c r="Z707" i="12" s="1"/>
  <c r="Z719" i="12" s="1"/>
  <c r="Z731" i="12" s="1"/>
  <c r="Z743" i="12" s="1"/>
  <c r="Z755" i="12" s="1"/>
  <c r="BM4" i="8"/>
  <c r="BM3" i="8"/>
  <c r="BP2" i="8"/>
  <c r="BM2" i="8"/>
  <c r="O2" i="12" s="1"/>
  <c r="O14" i="12" s="1"/>
  <c r="BM12" i="8"/>
  <c r="BM12" i="18"/>
  <c r="BP12" i="18"/>
  <c r="BM10" i="8"/>
  <c r="BM7" i="18"/>
  <c r="V7" i="12" s="1"/>
  <c r="V19" i="12" s="1"/>
  <c r="V31" i="12" s="1"/>
  <c r="V43" i="12" s="1"/>
  <c r="V55" i="12" s="1"/>
  <c r="V67" i="12" s="1"/>
  <c r="V79" i="12" s="1"/>
  <c r="V91" i="12" s="1"/>
  <c r="V103" i="12" s="1"/>
  <c r="V115" i="12" s="1"/>
  <c r="V127" i="12" s="1"/>
  <c r="V139" i="12" s="1"/>
  <c r="V151" i="12" s="1"/>
  <c r="V163" i="12" s="1"/>
  <c r="V175" i="12" s="1"/>
  <c r="V187" i="12" s="1"/>
  <c r="V199" i="12" s="1"/>
  <c r="V211" i="12" s="1"/>
  <c r="V223" i="12" s="1"/>
  <c r="V235" i="12" s="1"/>
  <c r="V247" i="12" s="1"/>
  <c r="V259" i="12" s="1"/>
  <c r="V271" i="12" s="1"/>
  <c r="V283" i="12" s="1"/>
  <c r="V295" i="12" s="1"/>
  <c r="V307" i="12" s="1"/>
  <c r="V319" i="12" s="1"/>
  <c r="V331" i="12" s="1"/>
  <c r="V343" i="12" s="1"/>
  <c r="V355" i="12" s="1"/>
  <c r="V367" i="12" s="1"/>
  <c r="V379" i="12" s="1"/>
  <c r="V391" i="12" s="1"/>
  <c r="V403" i="12" s="1"/>
  <c r="V415" i="12" s="1"/>
  <c r="V427" i="12" s="1"/>
  <c r="V439" i="12" s="1"/>
  <c r="V451" i="12" s="1"/>
  <c r="V463" i="12" s="1"/>
  <c r="V475" i="12" s="1"/>
  <c r="V487" i="12" s="1"/>
  <c r="V499" i="12" s="1"/>
  <c r="V511" i="12" s="1"/>
  <c r="V523" i="12" s="1"/>
  <c r="V535" i="12" s="1"/>
  <c r="V547" i="12" s="1"/>
  <c r="V559" i="12" s="1"/>
  <c r="V571" i="12" s="1"/>
  <c r="V583" i="12" s="1"/>
  <c r="V595" i="12" s="1"/>
  <c r="V607" i="12" s="1"/>
  <c r="V619" i="12" s="1"/>
  <c r="V631" i="12" s="1"/>
  <c r="V643" i="12" s="1"/>
  <c r="V655" i="12" s="1"/>
  <c r="V667" i="12" s="1"/>
  <c r="V679" i="12" s="1"/>
  <c r="V691" i="12" s="1"/>
  <c r="V703" i="12" s="1"/>
  <c r="V715" i="12" s="1"/>
  <c r="V727" i="12" s="1"/>
  <c r="V739" i="12" s="1"/>
  <c r="V751" i="12" s="1"/>
  <c r="BP7" i="18"/>
  <c r="Z7" i="12" s="1"/>
  <c r="Z19" i="12" s="1"/>
  <c r="Z31" i="12" s="1"/>
  <c r="Z43" i="12" s="1"/>
  <c r="Z55" i="12" s="1"/>
  <c r="Z67" i="12" s="1"/>
  <c r="Z79" i="12" s="1"/>
  <c r="Z91" i="12" s="1"/>
  <c r="Z103" i="12" s="1"/>
  <c r="Z115" i="12" s="1"/>
  <c r="Z127" i="12" s="1"/>
  <c r="Z139" i="12" s="1"/>
  <c r="Z151" i="12" s="1"/>
  <c r="Z163" i="12" s="1"/>
  <c r="Z175" i="12" s="1"/>
  <c r="Z187" i="12" s="1"/>
  <c r="Z199" i="12" s="1"/>
  <c r="Z211" i="12" s="1"/>
  <c r="Z223" i="12" s="1"/>
  <c r="Z235" i="12" s="1"/>
  <c r="Z247" i="12" s="1"/>
  <c r="Z259" i="12" s="1"/>
  <c r="Z271" i="12" s="1"/>
  <c r="Z283" i="12" s="1"/>
  <c r="Z295" i="12" s="1"/>
  <c r="Z307" i="12" s="1"/>
  <c r="Z319" i="12" s="1"/>
  <c r="Z331" i="12" s="1"/>
  <c r="Z343" i="12" s="1"/>
  <c r="Z355" i="12" s="1"/>
  <c r="Z367" i="12" s="1"/>
  <c r="Z379" i="12" s="1"/>
  <c r="Z391" i="12" s="1"/>
  <c r="Z403" i="12" s="1"/>
  <c r="Z415" i="12" s="1"/>
  <c r="Z427" i="12" s="1"/>
  <c r="Z439" i="12" s="1"/>
  <c r="Z451" i="12" s="1"/>
  <c r="Z463" i="12" s="1"/>
  <c r="Z475" i="12" s="1"/>
  <c r="Z487" i="12" s="1"/>
  <c r="Z499" i="12" s="1"/>
  <c r="Z511" i="12" s="1"/>
  <c r="Z523" i="12" s="1"/>
  <c r="Z535" i="12" s="1"/>
  <c r="Z547" i="12" s="1"/>
  <c r="Z559" i="12" s="1"/>
  <c r="Z571" i="12" s="1"/>
  <c r="Z583" i="12" s="1"/>
  <c r="Z595" i="12" s="1"/>
  <c r="Z607" i="12" s="1"/>
  <c r="Z619" i="12" s="1"/>
  <c r="Z631" i="12" s="1"/>
  <c r="Z643" i="12" s="1"/>
  <c r="Z655" i="12" s="1"/>
  <c r="Z667" i="12" s="1"/>
  <c r="Z679" i="12" s="1"/>
  <c r="Z691" i="12" s="1"/>
  <c r="Z703" i="12" s="1"/>
  <c r="Z715" i="12" s="1"/>
  <c r="Z727" i="12" s="1"/>
  <c r="Z739" i="12" s="1"/>
  <c r="Z751" i="12" s="1"/>
  <c r="BP13" i="8"/>
  <c r="BM13" i="8"/>
  <c r="BP12" i="8"/>
  <c r="BP13" i="18"/>
  <c r="Z13" i="12" s="1"/>
  <c r="Z25" i="12" s="1"/>
  <c r="Z37" i="12" s="1"/>
  <c r="Z49" i="12" s="1"/>
  <c r="Z61" i="12" s="1"/>
  <c r="Z73" i="12" s="1"/>
  <c r="Z85" i="12" s="1"/>
  <c r="Z97" i="12" s="1"/>
  <c r="Z109" i="12" s="1"/>
  <c r="Z121" i="12" s="1"/>
  <c r="Z133" i="12" s="1"/>
  <c r="Z145" i="12" s="1"/>
  <c r="Z157" i="12" s="1"/>
  <c r="Z169" i="12" s="1"/>
  <c r="Z181" i="12" s="1"/>
  <c r="Z193" i="12" s="1"/>
  <c r="Z205" i="12" s="1"/>
  <c r="Z217" i="12" s="1"/>
  <c r="Z229" i="12" s="1"/>
  <c r="Z241" i="12" s="1"/>
  <c r="Z253" i="12" s="1"/>
  <c r="Z265" i="12" s="1"/>
  <c r="Z277" i="12" s="1"/>
  <c r="Z289" i="12" s="1"/>
  <c r="Z301" i="12" s="1"/>
  <c r="Z313" i="12" s="1"/>
  <c r="Z325" i="12" s="1"/>
  <c r="Z337" i="12" s="1"/>
  <c r="Z349" i="12" s="1"/>
  <c r="Z361" i="12" s="1"/>
  <c r="Z373" i="12" s="1"/>
  <c r="Z385" i="12" s="1"/>
  <c r="Z397" i="12" s="1"/>
  <c r="Z409" i="12" s="1"/>
  <c r="Z421" i="12" s="1"/>
  <c r="Z433" i="12" s="1"/>
  <c r="Z445" i="12" s="1"/>
  <c r="Z457" i="12" s="1"/>
  <c r="Z469" i="12" s="1"/>
  <c r="Z481" i="12" s="1"/>
  <c r="Z493" i="12" s="1"/>
  <c r="Z505" i="12" s="1"/>
  <c r="Z517" i="12" s="1"/>
  <c r="Z529" i="12" s="1"/>
  <c r="Z541" i="12" s="1"/>
  <c r="Z553" i="12" s="1"/>
  <c r="Z565" i="12" s="1"/>
  <c r="Z577" i="12" s="1"/>
  <c r="Z589" i="12" s="1"/>
  <c r="Z601" i="12" s="1"/>
  <c r="Z613" i="12" s="1"/>
  <c r="Z625" i="12" s="1"/>
  <c r="Z637" i="12" s="1"/>
  <c r="Z649" i="12" s="1"/>
  <c r="Z661" i="12" s="1"/>
  <c r="Z673" i="12" s="1"/>
  <c r="Z685" i="12" s="1"/>
  <c r="Z697" i="12" s="1"/>
  <c r="Z709" i="12" s="1"/>
  <c r="Z721" i="12" s="1"/>
  <c r="Z733" i="12" s="1"/>
  <c r="Z745" i="12" s="1"/>
  <c r="Z757" i="12" s="1"/>
  <c r="BM13" i="18"/>
  <c r="V13" i="12" s="1"/>
  <c r="V25" i="12" s="1"/>
  <c r="V37" i="12" s="1"/>
  <c r="V49" i="12" s="1"/>
  <c r="V61" i="12" s="1"/>
  <c r="V73" i="12" s="1"/>
  <c r="V85" i="12" s="1"/>
  <c r="V97" i="12" s="1"/>
  <c r="V109" i="12" s="1"/>
  <c r="V121" i="12" s="1"/>
  <c r="V133" i="12" s="1"/>
  <c r="V145" i="12" s="1"/>
  <c r="V157" i="12" s="1"/>
  <c r="V169" i="12" s="1"/>
  <c r="V181" i="12" s="1"/>
  <c r="V193" i="12" s="1"/>
  <c r="V205" i="12" s="1"/>
  <c r="V217" i="12" s="1"/>
  <c r="V229" i="12" s="1"/>
  <c r="V241" i="12" s="1"/>
  <c r="V253" i="12" s="1"/>
  <c r="V265" i="12" s="1"/>
  <c r="V277" i="12" s="1"/>
  <c r="V289" i="12" s="1"/>
  <c r="V301" i="12" s="1"/>
  <c r="V313" i="12" s="1"/>
  <c r="V325" i="12" s="1"/>
  <c r="V337" i="12" s="1"/>
  <c r="V349" i="12" s="1"/>
  <c r="V361" i="12" s="1"/>
  <c r="V373" i="12" s="1"/>
  <c r="V385" i="12" s="1"/>
  <c r="V397" i="12" s="1"/>
  <c r="V409" i="12" s="1"/>
  <c r="V421" i="12" s="1"/>
  <c r="V433" i="12" s="1"/>
  <c r="V445" i="12" s="1"/>
  <c r="V457" i="12" s="1"/>
  <c r="V469" i="12" s="1"/>
  <c r="V481" i="12" s="1"/>
  <c r="V493" i="12" s="1"/>
  <c r="V505" i="12" s="1"/>
  <c r="V517" i="12" s="1"/>
  <c r="V529" i="12" s="1"/>
  <c r="V541" i="12" s="1"/>
  <c r="V553" i="12" s="1"/>
  <c r="V565" i="12" s="1"/>
  <c r="V577" i="12" s="1"/>
  <c r="V589" i="12" s="1"/>
  <c r="V601" i="12" s="1"/>
  <c r="V613" i="12" s="1"/>
  <c r="V625" i="12" s="1"/>
  <c r="V637" i="12" s="1"/>
  <c r="V649" i="12" s="1"/>
  <c r="V661" i="12" s="1"/>
  <c r="V673" i="12" s="1"/>
  <c r="V685" i="12" s="1"/>
  <c r="V697" i="12" s="1"/>
  <c r="V709" i="12" s="1"/>
  <c r="V721" i="12" s="1"/>
  <c r="V733" i="12" s="1"/>
  <c r="V745" i="12" s="1"/>
  <c r="V757" i="12" s="1"/>
  <c r="BM8" i="8"/>
  <c r="BP3" i="8"/>
  <c r="V12" i="12"/>
  <c r="V24" i="12" s="1"/>
  <c r="V36" i="12" s="1"/>
  <c r="V48" i="12" s="1"/>
  <c r="V60" i="12" s="1"/>
  <c r="V72" i="12" s="1"/>
  <c r="V84" i="12" s="1"/>
  <c r="V96" i="12" s="1"/>
  <c r="V108" i="12" s="1"/>
  <c r="V120" i="12" s="1"/>
  <c r="V132" i="12" s="1"/>
  <c r="V144" i="12" s="1"/>
  <c r="V156" i="12" s="1"/>
  <c r="V168" i="12" s="1"/>
  <c r="V180" i="12" s="1"/>
  <c r="V192" i="12" s="1"/>
  <c r="V204" i="12" s="1"/>
  <c r="V216" i="12" s="1"/>
  <c r="V228" i="12" s="1"/>
  <c r="V240" i="12" s="1"/>
  <c r="V252" i="12" s="1"/>
  <c r="V264" i="12" s="1"/>
  <c r="V276" i="12" s="1"/>
  <c r="V288" i="12" s="1"/>
  <c r="V300" i="12" s="1"/>
  <c r="V312" i="12" s="1"/>
  <c r="V324" i="12" s="1"/>
  <c r="V336" i="12" s="1"/>
  <c r="V348" i="12" s="1"/>
  <c r="V360" i="12" s="1"/>
  <c r="V372" i="12" s="1"/>
  <c r="V384" i="12" s="1"/>
  <c r="V396" i="12" s="1"/>
  <c r="V408" i="12" s="1"/>
  <c r="V420" i="12" s="1"/>
  <c r="V432" i="12" s="1"/>
  <c r="V444" i="12" s="1"/>
  <c r="V456" i="12" s="1"/>
  <c r="V468" i="12" s="1"/>
  <c r="V480" i="12" s="1"/>
  <c r="V492" i="12" s="1"/>
  <c r="V504" i="12" s="1"/>
  <c r="V516" i="12" s="1"/>
  <c r="V528" i="12" s="1"/>
  <c r="V540" i="12" s="1"/>
  <c r="V552" i="12" s="1"/>
  <c r="V564" i="12" s="1"/>
  <c r="V576" i="12" s="1"/>
  <c r="V588" i="12" s="1"/>
  <c r="V600" i="12" s="1"/>
  <c r="V612" i="12" s="1"/>
  <c r="V624" i="12" s="1"/>
  <c r="V636" i="12" s="1"/>
  <c r="V648" i="12" s="1"/>
  <c r="V660" i="12" s="1"/>
  <c r="V672" i="12" s="1"/>
  <c r="V684" i="12" s="1"/>
  <c r="V696" i="12" s="1"/>
  <c r="V708" i="12" s="1"/>
  <c r="V720" i="12" s="1"/>
  <c r="V732" i="12" s="1"/>
  <c r="V744" i="12" s="1"/>
  <c r="V756" i="12" s="1"/>
  <c r="Z12" i="12"/>
  <c r="Z24" i="12" s="1"/>
  <c r="Z36" i="12" s="1"/>
  <c r="Z48" i="12" s="1"/>
  <c r="Z60" i="12" s="1"/>
  <c r="Z72" i="12" s="1"/>
  <c r="Z84" i="12" s="1"/>
  <c r="Z96" i="12" s="1"/>
  <c r="Z108" i="12" s="1"/>
  <c r="Z120" i="12" s="1"/>
  <c r="Z132" i="12" s="1"/>
  <c r="Z144" i="12" s="1"/>
  <c r="Z156" i="12" s="1"/>
  <c r="Z168" i="12" s="1"/>
  <c r="Z180" i="12" s="1"/>
  <c r="Z192" i="12" s="1"/>
  <c r="Z204" i="12" s="1"/>
  <c r="Z216" i="12" s="1"/>
  <c r="Z228" i="12" s="1"/>
  <c r="Z240" i="12" s="1"/>
  <c r="Z252" i="12" s="1"/>
  <c r="Z264" i="12" s="1"/>
  <c r="Z276" i="12" s="1"/>
  <c r="Z288" i="12" s="1"/>
  <c r="Z300" i="12" s="1"/>
  <c r="Z312" i="12" s="1"/>
  <c r="Z324" i="12" s="1"/>
  <c r="Z336" i="12" s="1"/>
  <c r="Z348" i="12" s="1"/>
  <c r="Z360" i="12" s="1"/>
  <c r="Z372" i="12" s="1"/>
  <c r="Z384" i="12" s="1"/>
  <c r="Z396" i="12" s="1"/>
  <c r="Z408" i="12" s="1"/>
  <c r="Z420" i="12" s="1"/>
  <c r="Z432" i="12" s="1"/>
  <c r="Z444" i="12" s="1"/>
  <c r="Z456" i="12" s="1"/>
  <c r="Z468" i="12" s="1"/>
  <c r="Z480" i="12" s="1"/>
  <c r="Z492" i="12" s="1"/>
  <c r="Z504" i="12" s="1"/>
  <c r="Z516" i="12" s="1"/>
  <c r="Z528" i="12" s="1"/>
  <c r="Z540" i="12" s="1"/>
  <c r="Z552" i="12" s="1"/>
  <c r="Z564" i="12" s="1"/>
  <c r="Z576" i="12" s="1"/>
  <c r="Z588" i="12" s="1"/>
  <c r="Z600" i="12" s="1"/>
  <c r="Z612" i="12" s="1"/>
  <c r="Z624" i="12" s="1"/>
  <c r="Z636" i="12" s="1"/>
  <c r="Z648" i="12" s="1"/>
  <c r="Z660" i="12" s="1"/>
  <c r="Z672" i="12" s="1"/>
  <c r="Z684" i="12" s="1"/>
  <c r="Z696" i="12" s="1"/>
  <c r="Z708" i="12" s="1"/>
  <c r="Z720" i="12" s="1"/>
  <c r="Z732" i="12" s="1"/>
  <c r="Z744" i="12" s="1"/>
  <c r="Z756" i="12" s="1"/>
  <c r="Z2" i="12"/>
  <c r="C12" i="13"/>
  <c r="D12" i="13"/>
  <c r="E8" i="13"/>
  <c r="F12" i="13"/>
  <c r="G12" i="13"/>
  <c r="H8" i="13"/>
  <c r="I8" i="13"/>
  <c r="J4" i="13"/>
  <c r="K4" i="13"/>
  <c r="K12" i="13"/>
  <c r="N4" i="13"/>
  <c r="O4" i="13"/>
  <c r="O12" i="13"/>
  <c r="P12" i="13"/>
  <c r="Q8" i="13"/>
  <c r="R8" i="13"/>
  <c r="S12" i="13"/>
  <c r="T8" i="13"/>
  <c r="U8" i="13"/>
  <c r="V8" i="13"/>
  <c r="W4" i="13"/>
  <c r="Y4" i="13"/>
  <c r="Z4" i="13"/>
  <c r="AB4" i="13"/>
  <c r="AB12" i="13"/>
  <c r="AC12" i="13"/>
  <c r="AD12" i="13"/>
  <c r="AE8" i="13"/>
  <c r="AF4" i="13"/>
  <c r="AF12" i="13"/>
  <c r="AG12" i="13"/>
  <c r="AH4" i="13"/>
  <c r="AH12" i="13"/>
  <c r="AI12" i="13"/>
  <c r="AJ8" i="13"/>
  <c r="AK4" i="13"/>
  <c r="AK8" i="13"/>
  <c r="AL8" i="13"/>
  <c r="AO4" i="13"/>
  <c r="AP4" i="13"/>
  <c r="AP12" i="13"/>
  <c r="AQ8" i="13"/>
  <c r="AR4" i="13"/>
  <c r="AR12" i="13"/>
  <c r="AS8" i="13"/>
  <c r="AV4" i="13"/>
  <c r="E12" i="13"/>
  <c r="S4" i="13"/>
  <c r="C8" i="13"/>
  <c r="D4" i="13"/>
  <c r="E4" i="13"/>
  <c r="F8" i="13"/>
  <c r="G4" i="13"/>
  <c r="H4" i="13"/>
  <c r="I4" i="13"/>
  <c r="J8" i="13"/>
  <c r="K8" i="13"/>
  <c r="M4" i="13"/>
  <c r="M12" i="13"/>
  <c r="N12" i="13"/>
  <c r="P4" i="13"/>
  <c r="Q4" i="13"/>
  <c r="Q12" i="13"/>
  <c r="R12" i="13"/>
  <c r="T4" i="13"/>
  <c r="U4" i="13"/>
  <c r="U12" i="13"/>
  <c r="V12" i="13"/>
  <c r="W12" i="13"/>
  <c r="Y8" i="13"/>
  <c r="Z8" i="13"/>
  <c r="AB8" i="13"/>
  <c r="AC8" i="13"/>
  <c r="AD4" i="13"/>
  <c r="AE4" i="13"/>
  <c r="AE12" i="13"/>
  <c r="AF8" i="13"/>
  <c r="AG8" i="13"/>
  <c r="AH8" i="13"/>
  <c r="AI4" i="13"/>
  <c r="AI8" i="13"/>
  <c r="AJ4" i="13"/>
  <c r="AJ12" i="13"/>
  <c r="AK12" i="13"/>
  <c r="AL12" i="13"/>
  <c r="AO8" i="13"/>
  <c r="AO12" i="13"/>
  <c r="AP8" i="13"/>
  <c r="AQ4" i="13"/>
  <c r="AQ12" i="13"/>
  <c r="AR8" i="13"/>
  <c r="AS4" i="13"/>
  <c r="AS12" i="13"/>
  <c r="AT4" i="13"/>
  <c r="AT8" i="13"/>
  <c r="AT12" i="13"/>
  <c r="AU4" i="13"/>
  <c r="AU8" i="13"/>
  <c r="AU12" i="13"/>
  <c r="AV8" i="13"/>
  <c r="AV12" i="13"/>
  <c r="AW4" i="13"/>
  <c r="AW8" i="13"/>
  <c r="AW12" i="13"/>
  <c r="C4" i="13"/>
  <c r="D8" i="13"/>
  <c r="F4" i="13"/>
  <c r="G8" i="13"/>
  <c r="H12" i="13"/>
  <c r="I12" i="13"/>
  <c r="J12" i="13"/>
  <c r="M8" i="13"/>
  <c r="N8" i="13"/>
  <c r="O8" i="13"/>
  <c r="P8" i="13"/>
  <c r="R4" i="13"/>
  <c r="S8" i="13"/>
  <c r="T12" i="13"/>
  <c r="V4" i="13"/>
  <c r="W8" i="13"/>
  <c r="Y12" i="13"/>
  <c r="Z12" i="13"/>
  <c r="AC4" i="13"/>
  <c r="AD8" i="13"/>
  <c r="AG4" i="13"/>
  <c r="AL4" i="13"/>
  <c r="BK12" i="13"/>
  <c r="BJ3" i="13"/>
  <c r="BI11" i="13"/>
  <c r="BF7" i="13"/>
  <c r="BE11" i="13"/>
  <c r="BE3" i="13"/>
  <c r="BC7" i="13"/>
  <c r="BC3" i="13"/>
  <c r="BA7" i="13"/>
  <c r="BA3" i="13"/>
  <c r="AZ7" i="13"/>
  <c r="C5" i="13"/>
  <c r="C9" i="13"/>
  <c r="C13" i="13"/>
  <c r="D5" i="13"/>
  <c r="D9" i="13"/>
  <c r="D13" i="13"/>
  <c r="E5" i="13"/>
  <c r="E9" i="13"/>
  <c r="E13" i="13"/>
  <c r="F5" i="13"/>
  <c r="F9" i="13"/>
  <c r="F13" i="13"/>
  <c r="G5" i="13"/>
  <c r="G9" i="13"/>
  <c r="G13" i="13"/>
  <c r="H5" i="13"/>
  <c r="H9" i="13"/>
  <c r="H13" i="13"/>
  <c r="I5" i="13"/>
  <c r="I9" i="13"/>
  <c r="I13" i="13"/>
  <c r="J5" i="13"/>
  <c r="J9" i="13"/>
  <c r="J13" i="13"/>
  <c r="K5" i="13"/>
  <c r="K9" i="13"/>
  <c r="K13" i="13"/>
  <c r="M5" i="13"/>
  <c r="M9" i="13"/>
  <c r="M13" i="13"/>
  <c r="N5" i="13"/>
  <c r="N9" i="13"/>
  <c r="N13" i="13"/>
  <c r="O5" i="13"/>
  <c r="O9" i="13"/>
  <c r="O13" i="13"/>
  <c r="P5" i="13"/>
  <c r="P9" i="13"/>
  <c r="P13" i="13"/>
  <c r="Q5" i="13"/>
  <c r="Q9" i="13"/>
  <c r="Q13" i="13"/>
  <c r="R5" i="13"/>
  <c r="R9" i="13"/>
  <c r="R13" i="13"/>
  <c r="S5" i="13"/>
  <c r="S9" i="13"/>
  <c r="S13" i="13"/>
  <c r="T5" i="13"/>
  <c r="T9" i="13"/>
  <c r="T13" i="13"/>
  <c r="U5" i="13"/>
  <c r="U9" i="13"/>
  <c r="U13" i="13"/>
  <c r="V5" i="13"/>
  <c r="V9" i="13"/>
  <c r="V13" i="13"/>
  <c r="W5" i="13"/>
  <c r="W9" i="13"/>
  <c r="W13" i="13"/>
  <c r="Y5" i="13"/>
  <c r="Y9" i="13"/>
  <c r="Y13" i="13"/>
  <c r="Z5" i="13"/>
  <c r="Z9" i="13"/>
  <c r="Z13" i="13"/>
  <c r="AB5" i="13"/>
  <c r="AB9" i="13"/>
  <c r="AB13" i="13"/>
  <c r="AC5" i="13"/>
  <c r="AC9" i="13"/>
  <c r="AC13" i="13"/>
  <c r="AD5" i="13"/>
  <c r="AD9" i="13"/>
  <c r="AD13" i="13"/>
  <c r="AE5" i="13"/>
  <c r="AE9" i="13"/>
  <c r="AE13" i="13"/>
  <c r="AF5" i="13"/>
  <c r="AF9" i="13"/>
  <c r="AF13" i="13"/>
  <c r="AG5" i="13"/>
  <c r="AG9" i="13"/>
  <c r="AG13" i="13"/>
  <c r="AH5" i="13"/>
  <c r="AH9" i="13"/>
  <c r="AH13" i="13"/>
  <c r="AI5" i="13"/>
  <c r="AI9" i="13"/>
  <c r="AI13" i="13"/>
  <c r="AJ5" i="13"/>
  <c r="AJ9" i="13"/>
  <c r="AJ13" i="13"/>
  <c r="AK5" i="13"/>
  <c r="AK9" i="13"/>
  <c r="AK13" i="13"/>
  <c r="AL5" i="13"/>
  <c r="AL9" i="13"/>
  <c r="AL13" i="13"/>
  <c r="AO5" i="13"/>
  <c r="AO9" i="13"/>
  <c r="AO13" i="13"/>
  <c r="AP5" i="13"/>
  <c r="AP9" i="13"/>
  <c r="AP13" i="13"/>
  <c r="AQ5" i="13"/>
  <c r="AQ9" i="13"/>
  <c r="AQ13" i="13"/>
  <c r="AR5" i="13"/>
  <c r="AR9" i="13"/>
  <c r="AR13" i="13"/>
  <c r="AS5" i="13"/>
  <c r="AS9" i="13"/>
  <c r="AS13" i="13"/>
  <c r="AT5" i="13"/>
  <c r="AT9" i="13"/>
  <c r="AT13" i="13"/>
  <c r="AU5" i="13"/>
  <c r="AU9" i="13"/>
  <c r="AU13" i="13"/>
  <c r="AV5" i="13"/>
  <c r="AV9" i="13"/>
  <c r="AV13" i="13"/>
  <c r="AW5" i="13"/>
  <c r="AW9" i="13"/>
  <c r="AW13" i="13"/>
  <c r="BH3" i="13"/>
  <c r="BK11" i="13"/>
  <c r="BK7" i="13"/>
  <c r="BK2" i="13"/>
  <c r="BJ10" i="13"/>
  <c r="BJ6" i="13"/>
  <c r="BJ2" i="13"/>
  <c r="BI10" i="13"/>
  <c r="BI6" i="13"/>
  <c r="BI2" i="13"/>
  <c r="BH10" i="13"/>
  <c r="BH6" i="13"/>
  <c r="BH2" i="13"/>
  <c r="BF10" i="13"/>
  <c r="BF6" i="13"/>
  <c r="BF2" i="13"/>
  <c r="BE10" i="13"/>
  <c r="BE6" i="13"/>
  <c r="BE2" i="13"/>
  <c r="BD10" i="13"/>
  <c r="BD6" i="13"/>
  <c r="BD2" i="13"/>
  <c r="BC10" i="13"/>
  <c r="BC6" i="13"/>
  <c r="BC2" i="13"/>
  <c r="BA10" i="13"/>
  <c r="BA6" i="13"/>
  <c r="BA2" i="13"/>
  <c r="AZ10" i="13"/>
  <c r="AZ6" i="13"/>
  <c r="AZ2" i="13"/>
  <c r="AY10" i="13"/>
  <c r="AY6" i="13"/>
  <c r="BK6" i="13"/>
  <c r="C6" i="13"/>
  <c r="C10" i="13"/>
  <c r="D2" i="13"/>
  <c r="D6" i="13"/>
  <c r="D10" i="13"/>
  <c r="E2" i="13"/>
  <c r="E6" i="13"/>
  <c r="E10" i="13"/>
  <c r="F2" i="13"/>
  <c r="F6" i="13"/>
  <c r="F10" i="13"/>
  <c r="G2" i="13"/>
  <c r="G6" i="13"/>
  <c r="G10" i="13"/>
  <c r="H2" i="13"/>
  <c r="H6" i="13"/>
  <c r="H10" i="13"/>
  <c r="I2" i="13"/>
  <c r="I6" i="13"/>
  <c r="J2" i="13"/>
  <c r="J6" i="13"/>
  <c r="K2" i="13"/>
  <c r="K6" i="13"/>
  <c r="M2" i="13"/>
  <c r="M10" i="13"/>
  <c r="N6" i="13"/>
  <c r="N10" i="13"/>
  <c r="O6" i="13"/>
  <c r="O10" i="13"/>
  <c r="P6" i="13"/>
  <c r="Q2" i="13"/>
  <c r="Q6" i="13"/>
  <c r="R2" i="13"/>
  <c r="R6" i="13"/>
  <c r="S2" i="13"/>
  <c r="S6" i="13"/>
  <c r="T2" i="13"/>
  <c r="T10" i="13"/>
  <c r="U2" i="13"/>
  <c r="U10" i="13"/>
  <c r="V2" i="13"/>
  <c r="V10" i="13"/>
  <c r="W2" i="13"/>
  <c r="W10" i="13"/>
  <c r="Y2" i="13"/>
  <c r="Y10" i="13"/>
  <c r="Z6" i="13"/>
  <c r="Z10" i="13"/>
  <c r="AB6" i="13"/>
  <c r="AB10" i="13"/>
  <c r="AC6" i="13"/>
  <c r="AC10" i="13"/>
  <c r="AD6" i="13"/>
  <c r="AD10" i="13"/>
  <c r="AE6" i="13"/>
  <c r="AF2" i="13"/>
  <c r="AF10" i="13"/>
  <c r="AG2" i="13"/>
  <c r="AG10" i="13"/>
  <c r="AH2" i="13"/>
  <c r="AH10" i="13"/>
  <c r="AI2" i="13"/>
  <c r="AI10" i="13"/>
  <c r="AJ6" i="13"/>
  <c r="AJ10" i="13"/>
  <c r="AK6" i="13"/>
  <c r="AL2" i="13"/>
  <c r="AL10" i="13"/>
  <c r="AO6" i="13"/>
  <c r="AP6" i="13"/>
  <c r="AQ6" i="13"/>
  <c r="AR2" i="13"/>
  <c r="AR10" i="13"/>
  <c r="AS6" i="13"/>
  <c r="AT6" i="13"/>
  <c r="AU6" i="13"/>
  <c r="AV2" i="13"/>
  <c r="AV10" i="13"/>
  <c r="AW10" i="13"/>
  <c r="BJ13" i="13"/>
  <c r="BJ5" i="13"/>
  <c r="BI9" i="13"/>
  <c r="BI5" i="13"/>
  <c r="BH13" i="13"/>
  <c r="BH5" i="13"/>
  <c r="BF13" i="13"/>
  <c r="BE9" i="13"/>
  <c r="BE5" i="13"/>
  <c r="BD9" i="13"/>
  <c r="BC13" i="13"/>
  <c r="BA9" i="13"/>
  <c r="AZ13" i="13"/>
  <c r="BK3" i="13"/>
  <c r="BJ7" i="13"/>
  <c r="BI3" i="13"/>
  <c r="BH7" i="13"/>
  <c r="BF11" i="13"/>
  <c r="BF3" i="13"/>
  <c r="BE7" i="13"/>
  <c r="BD11" i="13"/>
  <c r="BD7" i="13"/>
  <c r="BC11" i="13"/>
  <c r="AZ3" i="13"/>
  <c r="AY11" i="13"/>
  <c r="AY3" i="13"/>
  <c r="I10" i="13"/>
  <c r="J10" i="13"/>
  <c r="K10" i="13"/>
  <c r="M6" i="13"/>
  <c r="N2" i="13"/>
  <c r="O2" i="13"/>
  <c r="P2" i="13"/>
  <c r="P10" i="13"/>
  <c r="Q10" i="13"/>
  <c r="R10" i="13"/>
  <c r="S10" i="13"/>
  <c r="T6" i="13"/>
  <c r="U6" i="13"/>
  <c r="V6" i="13"/>
  <c r="W6" i="13"/>
  <c r="Y6" i="13"/>
  <c r="Z2" i="13"/>
  <c r="AB2" i="13"/>
  <c r="AC2" i="13"/>
  <c r="AD2" i="13"/>
  <c r="AE2" i="13"/>
  <c r="AE10" i="13"/>
  <c r="AF6" i="13"/>
  <c r="AG6" i="13"/>
  <c r="AH6" i="13"/>
  <c r="AI6" i="13"/>
  <c r="AJ2" i="13"/>
  <c r="AK2" i="13"/>
  <c r="AK10" i="13"/>
  <c r="AL6" i="13"/>
  <c r="AO2" i="13"/>
  <c r="AO10" i="13"/>
  <c r="AP2" i="13"/>
  <c r="AP10" i="13"/>
  <c r="AQ2" i="13"/>
  <c r="AQ10" i="13"/>
  <c r="AR6" i="13"/>
  <c r="AS2" i="13"/>
  <c r="AS10" i="13"/>
  <c r="AT2" i="13"/>
  <c r="AT10" i="13"/>
  <c r="AU2" i="13"/>
  <c r="AU10" i="13"/>
  <c r="AV6" i="13"/>
  <c r="AW2" i="13"/>
  <c r="AW6" i="13"/>
  <c r="AY2" i="13"/>
  <c r="BA11" i="13"/>
  <c r="BK10" i="13"/>
  <c r="BJ9" i="13"/>
  <c r="BI13" i="13"/>
  <c r="BE13" i="13"/>
  <c r="BD13" i="13"/>
  <c r="BD5" i="13"/>
  <c r="BC9" i="13"/>
  <c r="BA13" i="13"/>
  <c r="AZ9" i="13"/>
  <c r="AZ5" i="13"/>
  <c r="AY13" i="13"/>
  <c r="AY9" i="13"/>
  <c r="AY5" i="13"/>
  <c r="C3" i="13"/>
  <c r="C7" i="13"/>
  <c r="C11" i="13"/>
  <c r="D3" i="13"/>
  <c r="D7" i="13"/>
  <c r="D11" i="13"/>
  <c r="E3" i="13"/>
  <c r="E7" i="13"/>
  <c r="E11" i="13"/>
  <c r="F3" i="13"/>
  <c r="F7" i="13"/>
  <c r="F11" i="13"/>
  <c r="G3" i="13"/>
  <c r="G7" i="13"/>
  <c r="G11" i="13"/>
  <c r="H3" i="13"/>
  <c r="H7" i="13"/>
  <c r="H11" i="13"/>
  <c r="I3" i="13"/>
  <c r="I7" i="13"/>
  <c r="I11" i="13"/>
  <c r="J3" i="13"/>
  <c r="J7" i="13"/>
  <c r="J11" i="13"/>
  <c r="K3" i="13"/>
  <c r="K7" i="13"/>
  <c r="K11" i="13"/>
  <c r="M3" i="13"/>
  <c r="M7" i="13"/>
  <c r="M11" i="13"/>
  <c r="N3" i="13"/>
  <c r="N7" i="13"/>
  <c r="N11" i="13"/>
  <c r="O3" i="13"/>
  <c r="O7" i="13"/>
  <c r="O11" i="13"/>
  <c r="P3" i="13"/>
  <c r="P7" i="13"/>
  <c r="P11" i="13"/>
  <c r="Q3" i="13"/>
  <c r="Q7" i="13"/>
  <c r="Q11" i="13"/>
  <c r="R3" i="13"/>
  <c r="R7" i="13"/>
  <c r="R11" i="13"/>
  <c r="S7" i="13"/>
  <c r="S11" i="13"/>
  <c r="T3" i="13"/>
  <c r="T7" i="13"/>
  <c r="T11" i="13"/>
  <c r="U3" i="13"/>
  <c r="U7" i="13"/>
  <c r="U11" i="13"/>
  <c r="V3" i="13"/>
  <c r="V7" i="13"/>
  <c r="V11" i="13"/>
  <c r="W3" i="13"/>
  <c r="W7" i="13"/>
  <c r="W11" i="13"/>
  <c r="Y3" i="13"/>
  <c r="Y7" i="13"/>
  <c r="Y11" i="13"/>
  <c r="Z3" i="13"/>
  <c r="Z7" i="13"/>
  <c r="Z11" i="13"/>
  <c r="AB3" i="13"/>
  <c r="AB7" i="13"/>
  <c r="AB11" i="13"/>
  <c r="AC3" i="13"/>
  <c r="AC7" i="13"/>
  <c r="AC11" i="13"/>
  <c r="AD7" i="13"/>
  <c r="AD11" i="13"/>
  <c r="AE3" i="13"/>
  <c r="AE7" i="13"/>
  <c r="AE11" i="13"/>
  <c r="AF3" i="13"/>
  <c r="AF7" i="13"/>
  <c r="AF11" i="13"/>
  <c r="AG7" i="13"/>
  <c r="AG11" i="13"/>
  <c r="AH3" i="13"/>
  <c r="AH7" i="13"/>
  <c r="AH11" i="13"/>
  <c r="AI3" i="13"/>
  <c r="AI7" i="13"/>
  <c r="AI11" i="13"/>
  <c r="AJ3" i="13"/>
  <c r="AJ7" i="13"/>
  <c r="AJ11" i="13"/>
  <c r="AK3" i="13"/>
  <c r="AK7" i="13"/>
  <c r="AK11" i="13"/>
  <c r="AL3" i="13"/>
  <c r="AL7" i="13"/>
  <c r="AL11" i="13"/>
  <c r="AO3" i="13"/>
  <c r="AO7" i="13"/>
  <c r="AP3" i="13"/>
  <c r="AP7" i="13"/>
  <c r="AP11" i="13"/>
  <c r="AQ3" i="13"/>
  <c r="AQ7" i="13"/>
  <c r="AQ11" i="13"/>
  <c r="AR3" i="13"/>
  <c r="AR7" i="13"/>
  <c r="AR11" i="13"/>
  <c r="AS3" i="13"/>
  <c r="AS7" i="13"/>
  <c r="AS11" i="13"/>
  <c r="AT3" i="13"/>
  <c r="AT7" i="13"/>
  <c r="AT11" i="13"/>
  <c r="AU3" i="13"/>
  <c r="AU7" i="13"/>
  <c r="AU11" i="13"/>
  <c r="AV7" i="13"/>
  <c r="AV11" i="13"/>
  <c r="AW3" i="13"/>
  <c r="AW7" i="13"/>
  <c r="AW11" i="13"/>
  <c r="AV3" i="13"/>
  <c r="BK5" i="13"/>
  <c r="BH11" i="13"/>
  <c r="BJ8" i="13"/>
  <c r="BI12" i="13"/>
  <c r="BI4" i="13"/>
  <c r="BH8" i="13"/>
  <c r="BF12" i="13"/>
  <c r="BF4" i="13"/>
  <c r="BE8" i="13"/>
  <c r="BD12" i="13"/>
  <c r="BD4" i="13"/>
  <c r="BC8" i="13"/>
  <c r="BA12" i="13"/>
  <c r="AZ8" i="13"/>
  <c r="AY12" i="13"/>
  <c r="AY4" i="13"/>
  <c r="H14" i="12" l="1"/>
  <c r="H26" i="12" s="1"/>
  <c r="H38" i="12" s="1"/>
  <c r="H50" i="12" s="1"/>
  <c r="H62" i="12" s="1"/>
  <c r="H74" i="12" s="1"/>
  <c r="H86" i="12" s="1"/>
  <c r="H98" i="12" s="1"/>
  <c r="H110" i="12" s="1"/>
  <c r="H122" i="12" s="1"/>
  <c r="H134" i="12" s="1"/>
  <c r="H146" i="12" s="1"/>
  <c r="H158" i="12" s="1"/>
  <c r="H170" i="12" s="1"/>
  <c r="H182" i="12" s="1"/>
  <c r="H194" i="12" s="1"/>
  <c r="H206" i="12" s="1"/>
  <c r="H218" i="12" s="1"/>
  <c r="H230" i="12" s="1"/>
  <c r="H242" i="12" s="1"/>
  <c r="H254" i="12" s="1"/>
  <c r="H266" i="12" s="1"/>
  <c r="H278" i="12" s="1"/>
  <c r="H290" i="12" s="1"/>
  <c r="H302" i="12" s="1"/>
  <c r="H314" i="12" s="1"/>
  <c r="H326" i="12" s="1"/>
  <c r="H338" i="12" s="1"/>
  <c r="H350" i="12" s="1"/>
  <c r="H362" i="12" s="1"/>
  <c r="H374" i="12" s="1"/>
  <c r="H386" i="12" s="1"/>
  <c r="H398" i="12" s="1"/>
  <c r="H410" i="12" s="1"/>
  <c r="H422" i="12" s="1"/>
  <c r="H434" i="12" s="1"/>
  <c r="H446" i="12" s="1"/>
  <c r="H458" i="12" s="1"/>
  <c r="H470" i="12" s="1"/>
  <c r="H482" i="12" s="1"/>
  <c r="H494" i="12" s="1"/>
  <c r="H506" i="12" s="1"/>
  <c r="H518" i="12" s="1"/>
  <c r="H530" i="12" s="1"/>
  <c r="H542" i="12" s="1"/>
  <c r="H554" i="12" s="1"/>
  <c r="H566" i="12" s="1"/>
  <c r="H16" i="12"/>
  <c r="H28" i="12" s="1"/>
  <c r="H40" i="12" s="1"/>
  <c r="H52" i="12" s="1"/>
  <c r="H64" i="12" s="1"/>
  <c r="H76" i="12" s="1"/>
  <c r="H88" i="12" s="1"/>
  <c r="H100" i="12" s="1"/>
  <c r="H112" i="12" s="1"/>
  <c r="H124" i="12" s="1"/>
  <c r="H136" i="12" s="1"/>
  <c r="H148" i="12" s="1"/>
  <c r="H160" i="12" s="1"/>
  <c r="H172" i="12" s="1"/>
  <c r="H184" i="12" s="1"/>
  <c r="H196" i="12" s="1"/>
  <c r="H208" i="12" s="1"/>
  <c r="H220" i="12" s="1"/>
  <c r="H232" i="12" s="1"/>
  <c r="H244" i="12" s="1"/>
  <c r="H256" i="12" s="1"/>
  <c r="H268" i="12" s="1"/>
  <c r="H280" i="12" s="1"/>
  <c r="H292" i="12" s="1"/>
  <c r="H304" i="12" s="1"/>
  <c r="H316" i="12" s="1"/>
  <c r="H328" i="12" s="1"/>
  <c r="H340" i="12" s="1"/>
  <c r="H352" i="12" s="1"/>
  <c r="H364" i="12" s="1"/>
  <c r="H376" i="12" s="1"/>
  <c r="H388" i="12" s="1"/>
  <c r="H400" i="12" s="1"/>
  <c r="H412" i="12" s="1"/>
  <c r="H424" i="12" s="1"/>
  <c r="H436" i="12" s="1"/>
  <c r="H448" i="12" s="1"/>
  <c r="H460" i="12" s="1"/>
  <c r="H472" i="12" s="1"/>
  <c r="H484" i="12" s="1"/>
  <c r="H496" i="12" s="1"/>
  <c r="H508" i="12" s="1"/>
  <c r="H520" i="12" s="1"/>
  <c r="H532" i="12" s="1"/>
  <c r="H544" i="12" s="1"/>
  <c r="H556" i="12" s="1"/>
  <c r="H568" i="12" s="1"/>
  <c r="H25" i="12"/>
  <c r="H37" i="12" s="1"/>
  <c r="H49" i="12" s="1"/>
  <c r="H61" i="12" s="1"/>
  <c r="H73" i="12" s="1"/>
  <c r="H85" i="12" s="1"/>
  <c r="H97" i="12" s="1"/>
  <c r="H109" i="12" s="1"/>
  <c r="H121" i="12" s="1"/>
  <c r="H133" i="12" s="1"/>
  <c r="H145" i="12" s="1"/>
  <c r="H157" i="12" s="1"/>
  <c r="H169" i="12" s="1"/>
  <c r="H181" i="12" s="1"/>
  <c r="H193" i="12" s="1"/>
  <c r="H205" i="12" s="1"/>
  <c r="H217" i="12" s="1"/>
  <c r="H229" i="12" s="1"/>
  <c r="H241" i="12" s="1"/>
  <c r="H253" i="12" s="1"/>
  <c r="H265" i="12" s="1"/>
  <c r="H277" i="12" s="1"/>
  <c r="H289" i="12" s="1"/>
  <c r="H301" i="12" s="1"/>
  <c r="H313" i="12" s="1"/>
  <c r="H325" i="12" s="1"/>
  <c r="H337" i="12" s="1"/>
  <c r="H349" i="12" s="1"/>
  <c r="H361" i="12" s="1"/>
  <c r="H373" i="12" s="1"/>
  <c r="H385" i="12" s="1"/>
  <c r="H397" i="12" s="1"/>
  <c r="H409" i="12" s="1"/>
  <c r="H421" i="12" s="1"/>
  <c r="H433" i="12" s="1"/>
  <c r="H445" i="12" s="1"/>
  <c r="H457" i="12" s="1"/>
  <c r="H469" i="12" s="1"/>
  <c r="H481" i="12" s="1"/>
  <c r="H493" i="12" s="1"/>
  <c r="H505" i="12" s="1"/>
  <c r="H517" i="12" s="1"/>
  <c r="H529" i="12" s="1"/>
  <c r="H541" i="12" s="1"/>
  <c r="H553" i="12" s="1"/>
  <c r="H565" i="12" s="1"/>
  <c r="H577" i="12" s="1"/>
  <c r="H21" i="12"/>
  <c r="H33" i="12" s="1"/>
  <c r="H45" i="12" s="1"/>
  <c r="H57" i="12" s="1"/>
  <c r="H69" i="12" s="1"/>
  <c r="H81" i="12" s="1"/>
  <c r="H93" i="12" s="1"/>
  <c r="H105" i="12" s="1"/>
  <c r="H117" i="12" s="1"/>
  <c r="H129" i="12" s="1"/>
  <c r="H141" i="12" s="1"/>
  <c r="H153" i="12" s="1"/>
  <c r="H165" i="12" s="1"/>
  <c r="H177" i="12" s="1"/>
  <c r="H189" i="12" s="1"/>
  <c r="H201" i="12" s="1"/>
  <c r="H213" i="12" s="1"/>
  <c r="H225" i="12" s="1"/>
  <c r="H237" i="12" s="1"/>
  <c r="H249" i="12" s="1"/>
  <c r="H261" i="12" s="1"/>
  <c r="H273" i="12" s="1"/>
  <c r="H285" i="12" s="1"/>
  <c r="H297" i="12" s="1"/>
  <c r="H309" i="12" s="1"/>
  <c r="H321" i="12" s="1"/>
  <c r="H333" i="12" s="1"/>
  <c r="H345" i="12" s="1"/>
  <c r="H357" i="12" s="1"/>
  <c r="H369" i="12" s="1"/>
  <c r="H381" i="12" s="1"/>
  <c r="H393" i="12" s="1"/>
  <c r="H405" i="12" s="1"/>
  <c r="H417" i="12" s="1"/>
  <c r="H429" i="12" s="1"/>
  <c r="H441" i="12" s="1"/>
  <c r="H453" i="12" s="1"/>
  <c r="H465" i="12" s="1"/>
  <c r="H477" i="12" s="1"/>
  <c r="H489" i="12" s="1"/>
  <c r="H501" i="12" s="1"/>
  <c r="H513" i="12" s="1"/>
  <c r="H525" i="12" s="1"/>
  <c r="H537" i="12" s="1"/>
  <c r="H549" i="12" s="1"/>
  <c r="H561" i="12" s="1"/>
  <c r="H573" i="12" s="1"/>
  <c r="H15" i="12"/>
  <c r="H27" i="12" s="1"/>
  <c r="H39" i="12" s="1"/>
  <c r="H51" i="12" s="1"/>
  <c r="H63" i="12" s="1"/>
  <c r="H75" i="12" s="1"/>
  <c r="H87" i="12" s="1"/>
  <c r="H99" i="12" s="1"/>
  <c r="H111" i="12" s="1"/>
  <c r="H123" i="12" s="1"/>
  <c r="H135" i="12" s="1"/>
  <c r="H147" i="12" s="1"/>
  <c r="H159" i="12" s="1"/>
  <c r="H171" i="12" s="1"/>
  <c r="H183" i="12" s="1"/>
  <c r="H195" i="12" s="1"/>
  <c r="H207" i="12" s="1"/>
  <c r="H219" i="12" s="1"/>
  <c r="H231" i="12" s="1"/>
  <c r="H243" i="12" s="1"/>
  <c r="H255" i="12" s="1"/>
  <c r="H267" i="12" s="1"/>
  <c r="H279" i="12" s="1"/>
  <c r="H291" i="12" s="1"/>
  <c r="H303" i="12" s="1"/>
  <c r="H315" i="12" s="1"/>
  <c r="H327" i="12" s="1"/>
  <c r="H339" i="12" s="1"/>
  <c r="H351" i="12" s="1"/>
  <c r="H363" i="12" s="1"/>
  <c r="H375" i="12" s="1"/>
  <c r="H387" i="12" s="1"/>
  <c r="H399" i="12" s="1"/>
  <c r="H411" i="12" s="1"/>
  <c r="H423" i="12" s="1"/>
  <c r="H435" i="12" s="1"/>
  <c r="H447" i="12" s="1"/>
  <c r="H459" i="12" s="1"/>
  <c r="H471" i="12" s="1"/>
  <c r="H483" i="12" s="1"/>
  <c r="H495" i="12" s="1"/>
  <c r="H507" i="12" s="1"/>
  <c r="H519" i="12" s="1"/>
  <c r="H531" i="12" s="1"/>
  <c r="H543" i="12" s="1"/>
  <c r="H555" i="12" s="1"/>
  <c r="H567" i="12" s="1"/>
  <c r="H22" i="12"/>
  <c r="H34" i="12" s="1"/>
  <c r="H46" i="12" s="1"/>
  <c r="H58" i="12" s="1"/>
  <c r="H70" i="12" s="1"/>
  <c r="H82" i="12" s="1"/>
  <c r="H94" i="12" s="1"/>
  <c r="H106" i="12" s="1"/>
  <c r="H118" i="12" s="1"/>
  <c r="H130" i="12" s="1"/>
  <c r="H142" i="12" s="1"/>
  <c r="H154" i="12" s="1"/>
  <c r="H166" i="12" s="1"/>
  <c r="H178" i="12" s="1"/>
  <c r="H190" i="12" s="1"/>
  <c r="H202" i="12" s="1"/>
  <c r="H214" i="12" s="1"/>
  <c r="H226" i="12" s="1"/>
  <c r="H238" i="12" s="1"/>
  <c r="H250" i="12" s="1"/>
  <c r="H262" i="12" s="1"/>
  <c r="H274" i="12" s="1"/>
  <c r="H286" i="12" s="1"/>
  <c r="H298" i="12" s="1"/>
  <c r="H310" i="12" s="1"/>
  <c r="H322" i="12" s="1"/>
  <c r="H334" i="12" s="1"/>
  <c r="H346" i="12" s="1"/>
  <c r="H358" i="12" s="1"/>
  <c r="H370" i="12" s="1"/>
  <c r="H382" i="12" s="1"/>
  <c r="H394" i="12" s="1"/>
  <c r="H406" i="12" s="1"/>
  <c r="H418" i="12" s="1"/>
  <c r="H430" i="12" s="1"/>
  <c r="H442" i="12" s="1"/>
  <c r="H454" i="12" s="1"/>
  <c r="H466" i="12" s="1"/>
  <c r="H478" i="12" s="1"/>
  <c r="H490" i="12" s="1"/>
  <c r="H502" i="12" s="1"/>
  <c r="H514" i="12" s="1"/>
  <c r="H526" i="12" s="1"/>
  <c r="H538" i="12" s="1"/>
  <c r="H550" i="12" s="1"/>
  <c r="H562" i="12" s="1"/>
  <c r="H574" i="12" s="1"/>
  <c r="H20" i="12"/>
  <c r="H32" i="12" s="1"/>
  <c r="H44" i="12" s="1"/>
  <c r="H56" i="12" s="1"/>
  <c r="H68" i="12" s="1"/>
  <c r="H80" i="12" s="1"/>
  <c r="H92" i="12" s="1"/>
  <c r="H104" i="12" s="1"/>
  <c r="H116" i="12" s="1"/>
  <c r="H128" i="12" s="1"/>
  <c r="H140" i="12" s="1"/>
  <c r="H152" i="12" s="1"/>
  <c r="H164" i="12" s="1"/>
  <c r="H176" i="12" s="1"/>
  <c r="H188" i="12" s="1"/>
  <c r="H200" i="12" s="1"/>
  <c r="H212" i="12" s="1"/>
  <c r="H224" i="12" s="1"/>
  <c r="H236" i="12" s="1"/>
  <c r="H248" i="12" s="1"/>
  <c r="H260" i="12" s="1"/>
  <c r="H272" i="12" s="1"/>
  <c r="H284" i="12" s="1"/>
  <c r="H296" i="12" s="1"/>
  <c r="H308" i="12" s="1"/>
  <c r="H320" i="12" s="1"/>
  <c r="H332" i="12" s="1"/>
  <c r="H344" i="12" s="1"/>
  <c r="H356" i="12" s="1"/>
  <c r="H368" i="12" s="1"/>
  <c r="H380" i="12" s="1"/>
  <c r="H392" i="12" s="1"/>
  <c r="H404" i="12" s="1"/>
  <c r="H416" i="12" s="1"/>
  <c r="H428" i="12" s="1"/>
  <c r="H440" i="12" s="1"/>
  <c r="H452" i="12" s="1"/>
  <c r="H464" i="12" s="1"/>
  <c r="H476" i="12" s="1"/>
  <c r="H488" i="12" s="1"/>
  <c r="H500" i="12" s="1"/>
  <c r="H512" i="12" s="1"/>
  <c r="H524" i="12" s="1"/>
  <c r="H536" i="12" s="1"/>
  <c r="H548" i="12" s="1"/>
  <c r="H560" i="12" s="1"/>
  <c r="H572" i="12" s="1"/>
  <c r="H24" i="12"/>
  <c r="H36" i="12" s="1"/>
  <c r="H48" i="12" s="1"/>
  <c r="H60" i="12" s="1"/>
  <c r="H72" i="12" s="1"/>
  <c r="H84" i="12" s="1"/>
  <c r="H96" i="12" s="1"/>
  <c r="H108" i="12" s="1"/>
  <c r="H120" i="12" s="1"/>
  <c r="H132" i="12" s="1"/>
  <c r="H144" i="12" s="1"/>
  <c r="H156" i="12" s="1"/>
  <c r="H168" i="12" s="1"/>
  <c r="H180" i="12" s="1"/>
  <c r="H192" i="12" s="1"/>
  <c r="H204" i="12" s="1"/>
  <c r="H216" i="12" s="1"/>
  <c r="H228" i="12" s="1"/>
  <c r="H240" i="12" s="1"/>
  <c r="H252" i="12" s="1"/>
  <c r="H264" i="12" s="1"/>
  <c r="H276" i="12" s="1"/>
  <c r="H288" i="12" s="1"/>
  <c r="H300" i="12" s="1"/>
  <c r="H312" i="12" s="1"/>
  <c r="H324" i="12" s="1"/>
  <c r="H336" i="12" s="1"/>
  <c r="H348" i="12" s="1"/>
  <c r="H360" i="12" s="1"/>
  <c r="H372" i="12" s="1"/>
  <c r="H384" i="12" s="1"/>
  <c r="H396" i="12" s="1"/>
  <c r="H408" i="12" s="1"/>
  <c r="H420" i="12" s="1"/>
  <c r="H432" i="12" s="1"/>
  <c r="H444" i="12" s="1"/>
  <c r="H456" i="12" s="1"/>
  <c r="H468" i="12" s="1"/>
  <c r="H480" i="12" s="1"/>
  <c r="H492" i="12" s="1"/>
  <c r="H504" i="12" s="1"/>
  <c r="H516" i="12" s="1"/>
  <c r="H528" i="12" s="1"/>
  <c r="H540" i="12" s="1"/>
  <c r="H552" i="12" s="1"/>
  <c r="H564" i="12" s="1"/>
  <c r="H576" i="12" s="1"/>
  <c r="H18" i="12"/>
  <c r="H30" i="12" s="1"/>
  <c r="H42" i="12" s="1"/>
  <c r="H54" i="12" s="1"/>
  <c r="H66" i="12" s="1"/>
  <c r="H78" i="12" s="1"/>
  <c r="H90" i="12" s="1"/>
  <c r="H102" i="12" s="1"/>
  <c r="H114" i="12" s="1"/>
  <c r="H126" i="12" s="1"/>
  <c r="H138" i="12" s="1"/>
  <c r="H150" i="12" s="1"/>
  <c r="H162" i="12" s="1"/>
  <c r="H174" i="12" s="1"/>
  <c r="H186" i="12" s="1"/>
  <c r="H198" i="12" s="1"/>
  <c r="H210" i="12" s="1"/>
  <c r="H222" i="12" s="1"/>
  <c r="H234" i="12" s="1"/>
  <c r="H246" i="12" s="1"/>
  <c r="H258" i="12" s="1"/>
  <c r="H270" i="12" s="1"/>
  <c r="H282" i="12" s="1"/>
  <c r="H294" i="12" s="1"/>
  <c r="H306" i="12" s="1"/>
  <c r="H318" i="12" s="1"/>
  <c r="H330" i="12" s="1"/>
  <c r="H342" i="12" s="1"/>
  <c r="H354" i="12" s="1"/>
  <c r="H366" i="12" s="1"/>
  <c r="H378" i="12" s="1"/>
  <c r="H390" i="12" s="1"/>
  <c r="H402" i="12" s="1"/>
  <c r="H414" i="12" s="1"/>
  <c r="H426" i="12" s="1"/>
  <c r="H438" i="12" s="1"/>
  <c r="H450" i="12" s="1"/>
  <c r="H462" i="12" s="1"/>
  <c r="H474" i="12" s="1"/>
  <c r="H486" i="12" s="1"/>
  <c r="H498" i="12" s="1"/>
  <c r="H510" i="12" s="1"/>
  <c r="H522" i="12" s="1"/>
  <c r="H534" i="12" s="1"/>
  <c r="H546" i="12" s="1"/>
  <c r="H558" i="12" s="1"/>
  <c r="H570" i="12" s="1"/>
  <c r="BN3" i="8"/>
  <c r="H23" i="12"/>
  <c r="H35" i="12" s="1"/>
  <c r="H47" i="12" s="1"/>
  <c r="H59" i="12" s="1"/>
  <c r="H71" i="12" s="1"/>
  <c r="H83" i="12" s="1"/>
  <c r="H95" i="12" s="1"/>
  <c r="H107" i="12" s="1"/>
  <c r="H119" i="12" s="1"/>
  <c r="H131" i="12" s="1"/>
  <c r="H143" i="12" s="1"/>
  <c r="H155" i="12" s="1"/>
  <c r="H167" i="12" s="1"/>
  <c r="H179" i="12" s="1"/>
  <c r="H191" i="12" s="1"/>
  <c r="H203" i="12" s="1"/>
  <c r="H215" i="12" s="1"/>
  <c r="H227" i="12" s="1"/>
  <c r="H239" i="12" s="1"/>
  <c r="H251" i="12" s="1"/>
  <c r="H263" i="12" s="1"/>
  <c r="H275" i="12" s="1"/>
  <c r="H287" i="12" s="1"/>
  <c r="H299" i="12" s="1"/>
  <c r="H311" i="12" s="1"/>
  <c r="H323" i="12" s="1"/>
  <c r="H335" i="12" s="1"/>
  <c r="H347" i="12" s="1"/>
  <c r="H359" i="12" s="1"/>
  <c r="H371" i="12" s="1"/>
  <c r="H383" i="12" s="1"/>
  <c r="H395" i="12" s="1"/>
  <c r="H407" i="12" s="1"/>
  <c r="H419" i="12" s="1"/>
  <c r="H431" i="12" s="1"/>
  <c r="H443" i="12" s="1"/>
  <c r="H455" i="12" s="1"/>
  <c r="H467" i="12" s="1"/>
  <c r="H479" i="12" s="1"/>
  <c r="H491" i="12" s="1"/>
  <c r="H503" i="12" s="1"/>
  <c r="H515" i="12" s="1"/>
  <c r="H527" i="12" s="1"/>
  <c r="H539" i="12" s="1"/>
  <c r="H551" i="12" s="1"/>
  <c r="H563" i="12" s="1"/>
  <c r="H575" i="12" s="1"/>
  <c r="BO4" i="18"/>
  <c r="X4" i="12" s="1"/>
  <c r="Y4" i="12" s="1"/>
  <c r="Y16" i="12" s="1"/>
  <c r="Y28" i="12" s="1"/>
  <c r="Y40" i="12" s="1"/>
  <c r="Y52" i="12" s="1"/>
  <c r="Y64" i="12" s="1"/>
  <c r="Y76" i="12" s="1"/>
  <c r="Y88" i="12" s="1"/>
  <c r="Y100" i="12" s="1"/>
  <c r="Y112" i="12" s="1"/>
  <c r="Y124" i="12" s="1"/>
  <c r="Y136" i="12" s="1"/>
  <c r="Y148" i="12" s="1"/>
  <c r="Y160" i="12" s="1"/>
  <c r="Y172" i="12" s="1"/>
  <c r="Y184" i="12" s="1"/>
  <c r="Y196" i="12" s="1"/>
  <c r="Y208" i="12" s="1"/>
  <c r="Y220" i="12" s="1"/>
  <c r="Y232" i="12" s="1"/>
  <c r="Y244" i="12" s="1"/>
  <c r="Y256" i="12" s="1"/>
  <c r="Y268" i="12" s="1"/>
  <c r="Y280" i="12" s="1"/>
  <c r="Y292" i="12" s="1"/>
  <c r="Y304" i="12" s="1"/>
  <c r="Y316" i="12" s="1"/>
  <c r="Y328" i="12" s="1"/>
  <c r="Y340" i="12" s="1"/>
  <c r="Y352" i="12" s="1"/>
  <c r="Y364" i="12" s="1"/>
  <c r="Y376" i="12" s="1"/>
  <c r="Y388" i="12" s="1"/>
  <c r="Y400" i="12" s="1"/>
  <c r="Y412" i="12" s="1"/>
  <c r="Y424" i="12" s="1"/>
  <c r="Y436" i="12" s="1"/>
  <c r="Y448" i="12" s="1"/>
  <c r="Y460" i="12" s="1"/>
  <c r="Y472" i="12" s="1"/>
  <c r="Y484" i="12" s="1"/>
  <c r="Y496" i="12" s="1"/>
  <c r="Y508" i="12" s="1"/>
  <c r="Y520" i="12" s="1"/>
  <c r="Y532" i="12" s="1"/>
  <c r="Y544" i="12" s="1"/>
  <c r="Y556" i="12" s="1"/>
  <c r="Y568" i="12" s="1"/>
  <c r="Y580" i="12" s="1"/>
  <c r="Y592" i="12" s="1"/>
  <c r="Y604" i="12" s="1"/>
  <c r="Y616" i="12" s="1"/>
  <c r="Y628" i="12" s="1"/>
  <c r="Y640" i="12" s="1"/>
  <c r="Y652" i="12" s="1"/>
  <c r="Y664" i="12" s="1"/>
  <c r="Y676" i="12" s="1"/>
  <c r="Y688" i="12" s="1"/>
  <c r="Y700" i="12" s="1"/>
  <c r="Y712" i="12" s="1"/>
  <c r="Y724" i="12" s="1"/>
  <c r="Y736" i="12" s="1"/>
  <c r="Y748" i="12" s="1"/>
  <c r="BN4" i="18"/>
  <c r="W4" i="12" s="1"/>
  <c r="H19" i="12"/>
  <c r="H31" i="12" s="1"/>
  <c r="H43" i="12" s="1"/>
  <c r="H55" i="12" s="1"/>
  <c r="H67" i="12" s="1"/>
  <c r="H79" i="12" s="1"/>
  <c r="H91" i="12" s="1"/>
  <c r="H103" i="12" s="1"/>
  <c r="H115" i="12" s="1"/>
  <c r="H127" i="12" s="1"/>
  <c r="H139" i="12" s="1"/>
  <c r="H151" i="12" s="1"/>
  <c r="H163" i="12" s="1"/>
  <c r="H175" i="12" s="1"/>
  <c r="H187" i="12" s="1"/>
  <c r="H199" i="12" s="1"/>
  <c r="H211" i="12" s="1"/>
  <c r="H223" i="12" s="1"/>
  <c r="H235" i="12" s="1"/>
  <c r="H247" i="12" s="1"/>
  <c r="H259" i="12" s="1"/>
  <c r="H271" i="12" s="1"/>
  <c r="H283" i="12" s="1"/>
  <c r="H295" i="12" s="1"/>
  <c r="H307" i="12" s="1"/>
  <c r="H319" i="12" s="1"/>
  <c r="H331" i="12" s="1"/>
  <c r="H343" i="12" s="1"/>
  <c r="H355" i="12" s="1"/>
  <c r="H367" i="12" s="1"/>
  <c r="H379" i="12" s="1"/>
  <c r="H391" i="12" s="1"/>
  <c r="H403" i="12" s="1"/>
  <c r="H415" i="12" s="1"/>
  <c r="H427" i="12" s="1"/>
  <c r="H439" i="12" s="1"/>
  <c r="H451" i="12" s="1"/>
  <c r="H463" i="12" s="1"/>
  <c r="H475" i="12" s="1"/>
  <c r="H487" i="12" s="1"/>
  <c r="H499" i="12" s="1"/>
  <c r="H511" i="12" s="1"/>
  <c r="H523" i="12" s="1"/>
  <c r="H535" i="12" s="1"/>
  <c r="H547" i="12" s="1"/>
  <c r="H559" i="12" s="1"/>
  <c r="H571" i="12" s="1"/>
  <c r="BO10" i="18"/>
  <c r="X10" i="12" s="1"/>
  <c r="Y10" i="12" s="1"/>
  <c r="Y22" i="12" s="1"/>
  <c r="Y34" i="12" s="1"/>
  <c r="Y46" i="12" s="1"/>
  <c r="Y58" i="12" s="1"/>
  <c r="Y70" i="12" s="1"/>
  <c r="Y82" i="12" s="1"/>
  <c r="Y94" i="12" s="1"/>
  <c r="Y106" i="12" s="1"/>
  <c r="Y118" i="12" s="1"/>
  <c r="Y130" i="12" s="1"/>
  <c r="Y142" i="12" s="1"/>
  <c r="Y154" i="12" s="1"/>
  <c r="Y166" i="12" s="1"/>
  <c r="Y178" i="12" s="1"/>
  <c r="Y190" i="12" s="1"/>
  <c r="Y202" i="12" s="1"/>
  <c r="Y214" i="12" s="1"/>
  <c r="Y226" i="12" s="1"/>
  <c r="Y238" i="12" s="1"/>
  <c r="Y250" i="12" s="1"/>
  <c r="Y262" i="12" s="1"/>
  <c r="Y274" i="12" s="1"/>
  <c r="Y286" i="12" s="1"/>
  <c r="Y298" i="12" s="1"/>
  <c r="Y310" i="12" s="1"/>
  <c r="Y322" i="12" s="1"/>
  <c r="Y334" i="12" s="1"/>
  <c r="Y346" i="12" s="1"/>
  <c r="Y358" i="12" s="1"/>
  <c r="Y370" i="12" s="1"/>
  <c r="Y382" i="12" s="1"/>
  <c r="Y394" i="12" s="1"/>
  <c r="Y406" i="12" s="1"/>
  <c r="Y418" i="12" s="1"/>
  <c r="Y430" i="12" s="1"/>
  <c r="Y442" i="12" s="1"/>
  <c r="Y454" i="12" s="1"/>
  <c r="Y466" i="12" s="1"/>
  <c r="Y478" i="12" s="1"/>
  <c r="Y490" i="12" s="1"/>
  <c r="Y502" i="12" s="1"/>
  <c r="Y514" i="12" s="1"/>
  <c r="Y526" i="12" s="1"/>
  <c r="Y538" i="12" s="1"/>
  <c r="Y550" i="12" s="1"/>
  <c r="Y562" i="12" s="1"/>
  <c r="Y574" i="12" s="1"/>
  <c r="Y586" i="12" s="1"/>
  <c r="Y598" i="12" s="1"/>
  <c r="Y610" i="12" s="1"/>
  <c r="Y622" i="12" s="1"/>
  <c r="Y634" i="12" s="1"/>
  <c r="Y646" i="12" s="1"/>
  <c r="Y658" i="12" s="1"/>
  <c r="Y670" i="12" s="1"/>
  <c r="Y682" i="12" s="1"/>
  <c r="Y694" i="12" s="1"/>
  <c r="Y706" i="12" s="1"/>
  <c r="Y718" i="12" s="1"/>
  <c r="Y730" i="12" s="1"/>
  <c r="Y742" i="12" s="1"/>
  <c r="Y754" i="12" s="1"/>
  <c r="BN12" i="18"/>
  <c r="W12" i="12" s="1"/>
  <c r="BN10" i="18"/>
  <c r="W10" i="12" s="1"/>
  <c r="BN8" i="18"/>
  <c r="W8" i="12" s="1"/>
  <c r="U20" i="12" s="1"/>
  <c r="BO12" i="18"/>
  <c r="X12" i="12" s="1"/>
  <c r="Y12" i="12" s="1"/>
  <c r="Y24" i="12" s="1"/>
  <c r="Y36" i="12" s="1"/>
  <c r="Y48" i="12" s="1"/>
  <c r="Y60" i="12" s="1"/>
  <c r="Y72" i="12" s="1"/>
  <c r="Y84" i="12" s="1"/>
  <c r="Y96" i="12" s="1"/>
  <c r="Y108" i="12" s="1"/>
  <c r="Y120" i="12" s="1"/>
  <c r="Y132" i="12" s="1"/>
  <c r="Y144" i="12" s="1"/>
  <c r="Y156" i="12" s="1"/>
  <c r="Y168" i="12" s="1"/>
  <c r="Y180" i="12" s="1"/>
  <c r="Y192" i="12" s="1"/>
  <c r="Y204" i="12" s="1"/>
  <c r="Y216" i="12" s="1"/>
  <c r="Y228" i="12" s="1"/>
  <c r="Y240" i="12" s="1"/>
  <c r="Y252" i="12" s="1"/>
  <c r="Y264" i="12" s="1"/>
  <c r="Y276" i="12" s="1"/>
  <c r="Y288" i="12" s="1"/>
  <c r="Y300" i="12" s="1"/>
  <c r="Y312" i="12" s="1"/>
  <c r="Y324" i="12" s="1"/>
  <c r="Y336" i="12" s="1"/>
  <c r="Y348" i="12" s="1"/>
  <c r="Y360" i="12" s="1"/>
  <c r="Y372" i="12" s="1"/>
  <c r="Y384" i="12" s="1"/>
  <c r="Y396" i="12" s="1"/>
  <c r="Y408" i="12" s="1"/>
  <c r="Y420" i="12" s="1"/>
  <c r="Y432" i="12" s="1"/>
  <c r="Y444" i="12" s="1"/>
  <c r="Y456" i="12" s="1"/>
  <c r="Y468" i="12" s="1"/>
  <c r="Y480" i="12" s="1"/>
  <c r="Y492" i="12" s="1"/>
  <c r="Y504" i="12" s="1"/>
  <c r="Y516" i="12" s="1"/>
  <c r="Y528" i="12" s="1"/>
  <c r="Y540" i="12" s="1"/>
  <c r="Y552" i="12" s="1"/>
  <c r="Y564" i="12" s="1"/>
  <c r="Y576" i="12" s="1"/>
  <c r="Y588" i="12" s="1"/>
  <c r="Y600" i="12" s="1"/>
  <c r="Y612" i="12" s="1"/>
  <c r="Y624" i="12" s="1"/>
  <c r="Y636" i="12" s="1"/>
  <c r="Y648" i="12" s="1"/>
  <c r="Y660" i="12" s="1"/>
  <c r="Y672" i="12" s="1"/>
  <c r="Y684" i="12" s="1"/>
  <c r="Y696" i="12" s="1"/>
  <c r="Y708" i="12" s="1"/>
  <c r="Y720" i="12" s="1"/>
  <c r="Y732" i="12" s="1"/>
  <c r="Y744" i="12" s="1"/>
  <c r="Y756" i="12" s="1"/>
  <c r="BO8" i="18"/>
  <c r="X8" i="12" s="1"/>
  <c r="Y8" i="12" s="1"/>
  <c r="Y20" i="12" s="1"/>
  <c r="Y32" i="12" s="1"/>
  <c r="Y44" i="12" s="1"/>
  <c r="Y56" i="12" s="1"/>
  <c r="Y68" i="12" s="1"/>
  <c r="Y80" i="12" s="1"/>
  <c r="Y92" i="12" s="1"/>
  <c r="Y104" i="12" s="1"/>
  <c r="Y116" i="12" s="1"/>
  <c r="Y128" i="12" s="1"/>
  <c r="Y140" i="12" s="1"/>
  <c r="Y152" i="12" s="1"/>
  <c r="Y164" i="12" s="1"/>
  <c r="Y176" i="12" s="1"/>
  <c r="Y188" i="12" s="1"/>
  <c r="Y200" i="12" s="1"/>
  <c r="Y212" i="12" s="1"/>
  <c r="Y224" i="12" s="1"/>
  <c r="Y236" i="12" s="1"/>
  <c r="Y248" i="12" s="1"/>
  <c r="Y260" i="12" s="1"/>
  <c r="Y272" i="12" s="1"/>
  <c r="Y284" i="12" s="1"/>
  <c r="Y296" i="12" s="1"/>
  <c r="Y308" i="12" s="1"/>
  <c r="Y320" i="12" s="1"/>
  <c r="Y332" i="12" s="1"/>
  <c r="Y344" i="12" s="1"/>
  <c r="Y356" i="12" s="1"/>
  <c r="Y368" i="12" s="1"/>
  <c r="Y380" i="12" s="1"/>
  <c r="Y392" i="12" s="1"/>
  <c r="Y404" i="12" s="1"/>
  <c r="Y416" i="12" s="1"/>
  <c r="Y428" i="12" s="1"/>
  <c r="Y440" i="12" s="1"/>
  <c r="Y452" i="12" s="1"/>
  <c r="Y464" i="12" s="1"/>
  <c r="Y476" i="12" s="1"/>
  <c r="Y488" i="12" s="1"/>
  <c r="Y500" i="12" s="1"/>
  <c r="Y512" i="12" s="1"/>
  <c r="Y524" i="12" s="1"/>
  <c r="Y536" i="12" s="1"/>
  <c r="Y548" i="12" s="1"/>
  <c r="Y560" i="12" s="1"/>
  <c r="Y572" i="12" s="1"/>
  <c r="Y584" i="12" s="1"/>
  <c r="Y596" i="12" s="1"/>
  <c r="Y608" i="12" s="1"/>
  <c r="Y620" i="12" s="1"/>
  <c r="Y632" i="12" s="1"/>
  <c r="Y644" i="12" s="1"/>
  <c r="Y656" i="12" s="1"/>
  <c r="Y668" i="12" s="1"/>
  <c r="Y680" i="12" s="1"/>
  <c r="Y692" i="12" s="1"/>
  <c r="Y704" i="12" s="1"/>
  <c r="Y716" i="12" s="1"/>
  <c r="Y728" i="12" s="1"/>
  <c r="Y740" i="12" s="1"/>
  <c r="Y752" i="12" s="1"/>
  <c r="BN6" i="18"/>
  <c r="W6" i="12" s="1"/>
  <c r="U18" i="12" s="1"/>
  <c r="BO6" i="18"/>
  <c r="X6" i="12" s="1"/>
  <c r="Y6" i="12" s="1"/>
  <c r="Y18" i="12" s="1"/>
  <c r="Y30" i="12" s="1"/>
  <c r="Y42" i="12" s="1"/>
  <c r="Y54" i="12" s="1"/>
  <c r="Y66" i="12" s="1"/>
  <c r="Y78" i="12" s="1"/>
  <c r="Y90" i="12" s="1"/>
  <c r="Y102" i="12" s="1"/>
  <c r="Y114" i="12" s="1"/>
  <c r="Y126" i="12" s="1"/>
  <c r="Y138" i="12" s="1"/>
  <c r="Y150" i="12" s="1"/>
  <c r="Y162" i="12" s="1"/>
  <c r="Y174" i="12" s="1"/>
  <c r="Y186" i="12" s="1"/>
  <c r="Y198" i="12" s="1"/>
  <c r="Y210" i="12" s="1"/>
  <c r="Y222" i="12" s="1"/>
  <c r="Y234" i="12" s="1"/>
  <c r="Y246" i="12" s="1"/>
  <c r="Y258" i="12" s="1"/>
  <c r="Y270" i="12" s="1"/>
  <c r="Y282" i="12" s="1"/>
  <c r="Y294" i="12" s="1"/>
  <c r="Y306" i="12" s="1"/>
  <c r="Y318" i="12" s="1"/>
  <c r="Y330" i="12" s="1"/>
  <c r="Y342" i="12" s="1"/>
  <c r="Y354" i="12" s="1"/>
  <c r="Y366" i="12" s="1"/>
  <c r="Y378" i="12" s="1"/>
  <c r="Y390" i="12" s="1"/>
  <c r="Y402" i="12" s="1"/>
  <c r="Y414" i="12" s="1"/>
  <c r="Y426" i="12" s="1"/>
  <c r="Y438" i="12" s="1"/>
  <c r="Y450" i="12" s="1"/>
  <c r="Y462" i="12" s="1"/>
  <c r="Y474" i="12" s="1"/>
  <c r="Y486" i="12" s="1"/>
  <c r="Y498" i="12" s="1"/>
  <c r="Y510" i="12" s="1"/>
  <c r="Y522" i="12" s="1"/>
  <c r="Y534" i="12" s="1"/>
  <c r="Y546" i="12" s="1"/>
  <c r="Y558" i="12" s="1"/>
  <c r="Y570" i="12" s="1"/>
  <c r="Y582" i="12" s="1"/>
  <c r="Y594" i="12" s="1"/>
  <c r="Y606" i="12" s="1"/>
  <c r="Y618" i="12" s="1"/>
  <c r="Y630" i="12" s="1"/>
  <c r="Y642" i="12" s="1"/>
  <c r="Y654" i="12" s="1"/>
  <c r="Y666" i="12" s="1"/>
  <c r="Y678" i="12" s="1"/>
  <c r="Y690" i="12" s="1"/>
  <c r="Y702" i="12" s="1"/>
  <c r="Y714" i="12" s="1"/>
  <c r="Y726" i="12" s="1"/>
  <c r="Y738" i="12" s="1"/>
  <c r="Y750" i="12" s="1"/>
  <c r="BO13" i="18"/>
  <c r="X13" i="12" s="1"/>
  <c r="Y13" i="12" s="1"/>
  <c r="Y25" i="12" s="1"/>
  <c r="Y37" i="12" s="1"/>
  <c r="Y49" i="12" s="1"/>
  <c r="Y61" i="12" s="1"/>
  <c r="Y73" i="12" s="1"/>
  <c r="Y85" i="12" s="1"/>
  <c r="Y97" i="12" s="1"/>
  <c r="Y109" i="12" s="1"/>
  <c r="Y121" i="12" s="1"/>
  <c r="Y133" i="12" s="1"/>
  <c r="Y145" i="12" s="1"/>
  <c r="Y157" i="12" s="1"/>
  <c r="Y169" i="12" s="1"/>
  <c r="Y181" i="12" s="1"/>
  <c r="Y193" i="12" s="1"/>
  <c r="Y205" i="12" s="1"/>
  <c r="Y217" i="12" s="1"/>
  <c r="Y229" i="12" s="1"/>
  <c r="Y241" i="12" s="1"/>
  <c r="Y253" i="12" s="1"/>
  <c r="Y265" i="12" s="1"/>
  <c r="Y277" i="12" s="1"/>
  <c r="Y289" i="12" s="1"/>
  <c r="Y301" i="12" s="1"/>
  <c r="Y313" i="12" s="1"/>
  <c r="Y325" i="12" s="1"/>
  <c r="Y337" i="12" s="1"/>
  <c r="Y349" i="12" s="1"/>
  <c r="Y361" i="12" s="1"/>
  <c r="Y373" i="12" s="1"/>
  <c r="Y385" i="12" s="1"/>
  <c r="Y397" i="12" s="1"/>
  <c r="Y409" i="12" s="1"/>
  <c r="Y421" i="12" s="1"/>
  <c r="Y433" i="12" s="1"/>
  <c r="Y445" i="12" s="1"/>
  <c r="Y457" i="12" s="1"/>
  <c r="Y469" i="12" s="1"/>
  <c r="Y481" i="12" s="1"/>
  <c r="Y493" i="12" s="1"/>
  <c r="Y505" i="12" s="1"/>
  <c r="Y517" i="12" s="1"/>
  <c r="Y529" i="12" s="1"/>
  <c r="Y541" i="12" s="1"/>
  <c r="Y553" i="12" s="1"/>
  <c r="Y565" i="12" s="1"/>
  <c r="Y577" i="12" s="1"/>
  <c r="Y589" i="12" s="1"/>
  <c r="Y601" i="12" s="1"/>
  <c r="Y613" i="12" s="1"/>
  <c r="Y625" i="12" s="1"/>
  <c r="Y637" i="12" s="1"/>
  <c r="Y649" i="12" s="1"/>
  <c r="Y661" i="12" s="1"/>
  <c r="Y673" i="12" s="1"/>
  <c r="Y685" i="12" s="1"/>
  <c r="Y697" i="12" s="1"/>
  <c r="Y709" i="12" s="1"/>
  <c r="Y721" i="12" s="1"/>
  <c r="Y733" i="12" s="1"/>
  <c r="Y745" i="12" s="1"/>
  <c r="Y757" i="12" s="1"/>
  <c r="BN13" i="18"/>
  <c r="W13" i="12" s="1"/>
  <c r="U25" i="12" s="1"/>
  <c r="BO5" i="18"/>
  <c r="X5" i="12" s="1"/>
  <c r="Y5" i="12" s="1"/>
  <c r="Y17" i="12" s="1"/>
  <c r="Y29" i="12" s="1"/>
  <c r="Y41" i="12" s="1"/>
  <c r="Y53" i="12" s="1"/>
  <c r="Y65" i="12" s="1"/>
  <c r="Y77" i="12" s="1"/>
  <c r="Y89" i="12" s="1"/>
  <c r="Y101" i="12" s="1"/>
  <c r="Y113" i="12" s="1"/>
  <c r="Y125" i="12" s="1"/>
  <c r="Y137" i="12" s="1"/>
  <c r="Y149" i="12" s="1"/>
  <c r="Y161" i="12" s="1"/>
  <c r="Y173" i="12" s="1"/>
  <c r="Y185" i="12" s="1"/>
  <c r="Y197" i="12" s="1"/>
  <c r="Y209" i="12" s="1"/>
  <c r="Y221" i="12" s="1"/>
  <c r="Y233" i="12" s="1"/>
  <c r="Y245" i="12" s="1"/>
  <c r="Y257" i="12" s="1"/>
  <c r="Y269" i="12" s="1"/>
  <c r="Y281" i="12" s="1"/>
  <c r="Y293" i="12" s="1"/>
  <c r="Y305" i="12" s="1"/>
  <c r="Y317" i="12" s="1"/>
  <c r="Y329" i="12" s="1"/>
  <c r="Y341" i="12" s="1"/>
  <c r="Y353" i="12" s="1"/>
  <c r="Y365" i="12" s="1"/>
  <c r="Y377" i="12" s="1"/>
  <c r="Y389" i="12" s="1"/>
  <c r="Y401" i="12" s="1"/>
  <c r="Y413" i="12" s="1"/>
  <c r="Y425" i="12" s="1"/>
  <c r="Y437" i="12" s="1"/>
  <c r="Y449" i="12" s="1"/>
  <c r="Y461" i="12" s="1"/>
  <c r="Y473" i="12" s="1"/>
  <c r="Y485" i="12" s="1"/>
  <c r="Y497" i="12" s="1"/>
  <c r="Y509" i="12" s="1"/>
  <c r="Y521" i="12" s="1"/>
  <c r="Y533" i="12" s="1"/>
  <c r="Y545" i="12" s="1"/>
  <c r="Y557" i="12" s="1"/>
  <c r="Y569" i="12" s="1"/>
  <c r="Y581" i="12" s="1"/>
  <c r="Y593" i="12" s="1"/>
  <c r="Y605" i="12" s="1"/>
  <c r="Y617" i="12" s="1"/>
  <c r="Y629" i="12" s="1"/>
  <c r="Y641" i="12" s="1"/>
  <c r="Y653" i="12" s="1"/>
  <c r="Y665" i="12" s="1"/>
  <c r="Y677" i="12" s="1"/>
  <c r="Y689" i="12" s="1"/>
  <c r="Y701" i="12" s="1"/>
  <c r="Y713" i="12" s="1"/>
  <c r="Y725" i="12" s="1"/>
  <c r="Y737" i="12" s="1"/>
  <c r="Y749" i="12" s="1"/>
  <c r="BN5" i="18"/>
  <c r="W5" i="12" s="1"/>
  <c r="BO9" i="18"/>
  <c r="X9" i="12" s="1"/>
  <c r="Y9" i="12" s="1"/>
  <c r="Y21" i="12" s="1"/>
  <c r="Y33" i="12" s="1"/>
  <c r="Y45" i="12" s="1"/>
  <c r="Y57" i="12" s="1"/>
  <c r="Y69" i="12" s="1"/>
  <c r="Y81" i="12" s="1"/>
  <c r="Y93" i="12" s="1"/>
  <c r="Y105" i="12" s="1"/>
  <c r="Y117" i="12" s="1"/>
  <c r="Y129" i="12" s="1"/>
  <c r="Y141" i="12" s="1"/>
  <c r="Y153" i="12" s="1"/>
  <c r="Y165" i="12" s="1"/>
  <c r="Y177" i="12" s="1"/>
  <c r="Y189" i="12" s="1"/>
  <c r="Y201" i="12" s="1"/>
  <c r="Y213" i="12" s="1"/>
  <c r="Y225" i="12" s="1"/>
  <c r="Y237" i="12" s="1"/>
  <c r="Y249" i="12" s="1"/>
  <c r="Y261" i="12" s="1"/>
  <c r="Y273" i="12" s="1"/>
  <c r="Y285" i="12" s="1"/>
  <c r="Y297" i="12" s="1"/>
  <c r="Y309" i="12" s="1"/>
  <c r="Y321" i="12" s="1"/>
  <c r="Y333" i="12" s="1"/>
  <c r="Y345" i="12" s="1"/>
  <c r="Y357" i="12" s="1"/>
  <c r="Y369" i="12" s="1"/>
  <c r="Y381" i="12" s="1"/>
  <c r="Y393" i="12" s="1"/>
  <c r="Y405" i="12" s="1"/>
  <c r="Y417" i="12" s="1"/>
  <c r="Y429" i="12" s="1"/>
  <c r="Y441" i="12" s="1"/>
  <c r="Y453" i="12" s="1"/>
  <c r="Y465" i="12" s="1"/>
  <c r="Y477" i="12" s="1"/>
  <c r="Y489" i="12" s="1"/>
  <c r="Y501" i="12" s="1"/>
  <c r="Y513" i="12" s="1"/>
  <c r="Y525" i="12" s="1"/>
  <c r="Y537" i="12" s="1"/>
  <c r="Y549" i="12" s="1"/>
  <c r="Y561" i="12" s="1"/>
  <c r="Y573" i="12" s="1"/>
  <c r="Y585" i="12" s="1"/>
  <c r="Y597" i="12" s="1"/>
  <c r="Y609" i="12" s="1"/>
  <c r="Y621" i="12" s="1"/>
  <c r="Y633" i="12" s="1"/>
  <c r="Y645" i="12" s="1"/>
  <c r="Y657" i="12" s="1"/>
  <c r="Y669" i="12" s="1"/>
  <c r="Y681" i="12" s="1"/>
  <c r="Y693" i="12" s="1"/>
  <c r="Y705" i="12" s="1"/>
  <c r="Y717" i="12" s="1"/>
  <c r="Y729" i="12" s="1"/>
  <c r="Y741" i="12" s="1"/>
  <c r="Y753" i="12" s="1"/>
  <c r="BN9" i="18"/>
  <c r="W9" i="12" s="1"/>
  <c r="BO7" i="18"/>
  <c r="X7" i="12" s="1"/>
  <c r="Y7" i="12" s="1"/>
  <c r="Y19" i="12" s="1"/>
  <c r="Y31" i="12" s="1"/>
  <c r="Y43" i="12" s="1"/>
  <c r="Y55" i="12" s="1"/>
  <c r="Y67" i="12" s="1"/>
  <c r="Y79" i="12" s="1"/>
  <c r="Y91" i="12" s="1"/>
  <c r="Y103" i="12" s="1"/>
  <c r="Y115" i="12" s="1"/>
  <c r="Y127" i="12" s="1"/>
  <c r="Y139" i="12" s="1"/>
  <c r="Y151" i="12" s="1"/>
  <c r="Y163" i="12" s="1"/>
  <c r="Y175" i="12" s="1"/>
  <c r="Y187" i="12" s="1"/>
  <c r="Y199" i="12" s="1"/>
  <c r="Y211" i="12" s="1"/>
  <c r="Y223" i="12" s="1"/>
  <c r="Y235" i="12" s="1"/>
  <c r="Y247" i="12" s="1"/>
  <c r="Y259" i="12" s="1"/>
  <c r="Y271" i="12" s="1"/>
  <c r="Y283" i="12" s="1"/>
  <c r="Y295" i="12" s="1"/>
  <c r="Y307" i="12" s="1"/>
  <c r="Y319" i="12" s="1"/>
  <c r="Y331" i="12" s="1"/>
  <c r="Y343" i="12" s="1"/>
  <c r="Y355" i="12" s="1"/>
  <c r="Y367" i="12" s="1"/>
  <c r="Y379" i="12" s="1"/>
  <c r="Y391" i="12" s="1"/>
  <c r="Y403" i="12" s="1"/>
  <c r="Y415" i="12" s="1"/>
  <c r="Y427" i="12" s="1"/>
  <c r="Y439" i="12" s="1"/>
  <c r="Y451" i="12" s="1"/>
  <c r="Y463" i="12" s="1"/>
  <c r="Y475" i="12" s="1"/>
  <c r="Y487" i="12" s="1"/>
  <c r="Y499" i="12" s="1"/>
  <c r="Y511" i="12" s="1"/>
  <c r="Y523" i="12" s="1"/>
  <c r="Y535" i="12" s="1"/>
  <c r="Y547" i="12" s="1"/>
  <c r="Y559" i="12" s="1"/>
  <c r="Y571" i="12" s="1"/>
  <c r="Y583" i="12" s="1"/>
  <c r="Y595" i="12" s="1"/>
  <c r="Y607" i="12" s="1"/>
  <c r="Y619" i="12" s="1"/>
  <c r="Y631" i="12" s="1"/>
  <c r="Y643" i="12" s="1"/>
  <c r="Y655" i="12" s="1"/>
  <c r="Y667" i="12" s="1"/>
  <c r="Y679" i="12" s="1"/>
  <c r="Y691" i="12" s="1"/>
  <c r="Y703" i="12" s="1"/>
  <c r="Y715" i="12" s="1"/>
  <c r="Y727" i="12" s="1"/>
  <c r="Y739" i="12" s="1"/>
  <c r="Y751" i="12" s="1"/>
  <c r="BN7" i="18"/>
  <c r="W7" i="12" s="1"/>
  <c r="U19" i="12" s="1"/>
  <c r="BO11" i="18"/>
  <c r="X11" i="12" s="1"/>
  <c r="Y11" i="12" s="1"/>
  <c r="Y23" i="12" s="1"/>
  <c r="Y35" i="12" s="1"/>
  <c r="Y47" i="12" s="1"/>
  <c r="Y59" i="12" s="1"/>
  <c r="Y71" i="12" s="1"/>
  <c r="Y83" i="12" s="1"/>
  <c r="Y95" i="12" s="1"/>
  <c r="Y107" i="12" s="1"/>
  <c r="Y119" i="12" s="1"/>
  <c r="Y131" i="12" s="1"/>
  <c r="Y143" i="12" s="1"/>
  <c r="Y155" i="12" s="1"/>
  <c r="Y167" i="12" s="1"/>
  <c r="Y179" i="12" s="1"/>
  <c r="Y191" i="12" s="1"/>
  <c r="Y203" i="12" s="1"/>
  <c r="Y215" i="12" s="1"/>
  <c r="Y227" i="12" s="1"/>
  <c r="Y239" i="12" s="1"/>
  <c r="Y251" i="12" s="1"/>
  <c r="Y263" i="12" s="1"/>
  <c r="Y275" i="12" s="1"/>
  <c r="Y287" i="12" s="1"/>
  <c r="Y299" i="12" s="1"/>
  <c r="Y311" i="12" s="1"/>
  <c r="Y323" i="12" s="1"/>
  <c r="Y335" i="12" s="1"/>
  <c r="Y347" i="12" s="1"/>
  <c r="Y359" i="12" s="1"/>
  <c r="Y371" i="12" s="1"/>
  <c r="Y383" i="12" s="1"/>
  <c r="Y395" i="12" s="1"/>
  <c r="Y407" i="12" s="1"/>
  <c r="Y419" i="12" s="1"/>
  <c r="Y431" i="12" s="1"/>
  <c r="Y443" i="12" s="1"/>
  <c r="Y455" i="12" s="1"/>
  <c r="Y467" i="12" s="1"/>
  <c r="Y479" i="12" s="1"/>
  <c r="Y491" i="12" s="1"/>
  <c r="Y503" i="12" s="1"/>
  <c r="Y515" i="12" s="1"/>
  <c r="Y527" i="12" s="1"/>
  <c r="Y539" i="12" s="1"/>
  <c r="Y551" i="12" s="1"/>
  <c r="Y563" i="12" s="1"/>
  <c r="Y575" i="12" s="1"/>
  <c r="Y587" i="12" s="1"/>
  <c r="Y599" i="12" s="1"/>
  <c r="Y611" i="12" s="1"/>
  <c r="Y623" i="12" s="1"/>
  <c r="Y635" i="12" s="1"/>
  <c r="Y647" i="12" s="1"/>
  <c r="Y659" i="12" s="1"/>
  <c r="Y671" i="12" s="1"/>
  <c r="Y683" i="12" s="1"/>
  <c r="Y695" i="12" s="1"/>
  <c r="Y707" i="12" s="1"/>
  <c r="Y719" i="12" s="1"/>
  <c r="Y731" i="12" s="1"/>
  <c r="Y743" i="12" s="1"/>
  <c r="Y755" i="12" s="1"/>
  <c r="BN11" i="18"/>
  <c r="W11" i="12" s="1"/>
  <c r="U23" i="12" s="1"/>
  <c r="H588" i="12" l="1"/>
  <c r="H600" i="12" s="1"/>
  <c r="H612" i="12" s="1"/>
  <c r="H624" i="12" s="1"/>
  <c r="H636" i="12" s="1"/>
  <c r="H648" i="12" s="1"/>
  <c r="H660" i="12" s="1"/>
  <c r="H672" i="12" s="1"/>
  <c r="H684" i="12" s="1"/>
  <c r="H696" i="12" s="1"/>
  <c r="H708" i="12" s="1"/>
  <c r="H720" i="12" s="1"/>
  <c r="H732" i="12" s="1"/>
  <c r="H744" i="12" s="1"/>
  <c r="H756" i="12" s="1"/>
  <c r="H585" i="12"/>
  <c r="H597" i="12" s="1"/>
  <c r="H609" i="12" s="1"/>
  <c r="H621" i="12" s="1"/>
  <c r="H633" i="12" s="1"/>
  <c r="H645" i="12" s="1"/>
  <c r="H657" i="12" s="1"/>
  <c r="H669" i="12" s="1"/>
  <c r="H681" i="12" s="1"/>
  <c r="H693" i="12" s="1"/>
  <c r="H705" i="12" s="1"/>
  <c r="H717" i="12" s="1"/>
  <c r="H729" i="12" s="1"/>
  <c r="H741" i="12" s="1"/>
  <c r="H753" i="12" s="1"/>
  <c r="H587" i="12"/>
  <c r="H599" i="12" s="1"/>
  <c r="H611" i="12" s="1"/>
  <c r="H623" i="12" s="1"/>
  <c r="H635" i="12" s="1"/>
  <c r="H647" i="12" s="1"/>
  <c r="H659" i="12" s="1"/>
  <c r="H671" i="12" s="1"/>
  <c r="H683" i="12" s="1"/>
  <c r="H695" i="12" s="1"/>
  <c r="H707" i="12" s="1"/>
  <c r="H719" i="12" s="1"/>
  <c r="H731" i="12" s="1"/>
  <c r="H743" i="12" s="1"/>
  <c r="H755" i="12" s="1"/>
  <c r="H584" i="12"/>
  <c r="H596" i="12" s="1"/>
  <c r="H608" i="12" s="1"/>
  <c r="H620" i="12" s="1"/>
  <c r="H632" i="12" s="1"/>
  <c r="H644" i="12" s="1"/>
  <c r="H656" i="12" s="1"/>
  <c r="H668" i="12" s="1"/>
  <c r="H680" i="12" s="1"/>
  <c r="H692" i="12" s="1"/>
  <c r="H704" i="12" s="1"/>
  <c r="H716" i="12" s="1"/>
  <c r="H728" i="12" s="1"/>
  <c r="H740" i="12" s="1"/>
  <c r="H752" i="12" s="1"/>
  <c r="H589" i="12"/>
  <c r="H601" i="12" s="1"/>
  <c r="H613" i="12" s="1"/>
  <c r="H625" i="12" s="1"/>
  <c r="H637" i="12" s="1"/>
  <c r="H649" i="12" s="1"/>
  <c r="H661" i="12" s="1"/>
  <c r="H673" i="12" s="1"/>
  <c r="H685" i="12" s="1"/>
  <c r="H697" i="12" s="1"/>
  <c r="H709" i="12" s="1"/>
  <c r="H721" i="12" s="1"/>
  <c r="H733" i="12" s="1"/>
  <c r="H745" i="12" s="1"/>
  <c r="H757" i="12" s="1"/>
  <c r="H583" i="12"/>
  <c r="H595" i="12" s="1"/>
  <c r="H607" i="12" s="1"/>
  <c r="H619" i="12" s="1"/>
  <c r="H631" i="12" s="1"/>
  <c r="H643" i="12" s="1"/>
  <c r="H655" i="12" s="1"/>
  <c r="H667" i="12" s="1"/>
  <c r="H679" i="12" s="1"/>
  <c r="H691" i="12" s="1"/>
  <c r="H703" i="12" s="1"/>
  <c r="H715" i="12" s="1"/>
  <c r="H727" i="12" s="1"/>
  <c r="H739" i="12" s="1"/>
  <c r="H751" i="12" s="1"/>
  <c r="H586" i="12"/>
  <c r="H598" i="12" s="1"/>
  <c r="H610" i="12" s="1"/>
  <c r="H622" i="12" s="1"/>
  <c r="H634" i="12" s="1"/>
  <c r="H646" i="12" s="1"/>
  <c r="H658" i="12" s="1"/>
  <c r="H670" i="12" s="1"/>
  <c r="H682" i="12" s="1"/>
  <c r="H694" i="12" s="1"/>
  <c r="H706" i="12" s="1"/>
  <c r="H718" i="12" s="1"/>
  <c r="H730" i="12" s="1"/>
  <c r="H742" i="12" s="1"/>
  <c r="H754" i="12" s="1"/>
  <c r="H580" i="12"/>
  <c r="H592" i="12" s="1"/>
  <c r="H604" i="12" s="1"/>
  <c r="H616" i="12" s="1"/>
  <c r="H628" i="12" s="1"/>
  <c r="H640" i="12" s="1"/>
  <c r="H652" i="12" s="1"/>
  <c r="H664" i="12" s="1"/>
  <c r="H676" i="12" s="1"/>
  <c r="H688" i="12" s="1"/>
  <c r="H700" i="12" s="1"/>
  <c r="H712" i="12" s="1"/>
  <c r="H724" i="12" s="1"/>
  <c r="H736" i="12" s="1"/>
  <c r="H748" i="12" s="1"/>
  <c r="H582" i="12"/>
  <c r="H594" i="12" s="1"/>
  <c r="H606" i="12" s="1"/>
  <c r="H618" i="12" s="1"/>
  <c r="H630" i="12" s="1"/>
  <c r="H642" i="12" s="1"/>
  <c r="H654" i="12" s="1"/>
  <c r="H666" i="12" s="1"/>
  <c r="H678" i="12" s="1"/>
  <c r="H690" i="12" s="1"/>
  <c r="H702" i="12" s="1"/>
  <c r="H714" i="12" s="1"/>
  <c r="H726" i="12" s="1"/>
  <c r="H738" i="12" s="1"/>
  <c r="H750" i="12" s="1"/>
  <c r="H579" i="12"/>
  <c r="H591" i="12" s="1"/>
  <c r="H603" i="12" s="1"/>
  <c r="H615" i="12" s="1"/>
  <c r="H627" i="12" s="1"/>
  <c r="H639" i="12" s="1"/>
  <c r="H651" i="12" s="1"/>
  <c r="H663" i="12" s="1"/>
  <c r="H675" i="12" s="1"/>
  <c r="H687" i="12" s="1"/>
  <c r="H699" i="12" s="1"/>
  <c r="H711" i="12" s="1"/>
  <c r="H723" i="12" s="1"/>
  <c r="H735" i="12" s="1"/>
  <c r="H747" i="12" s="1"/>
  <c r="H578" i="12"/>
  <c r="H590" i="12" s="1"/>
  <c r="H602" i="12" s="1"/>
  <c r="H614" i="12" s="1"/>
  <c r="H626" i="12" s="1"/>
  <c r="H638" i="12" s="1"/>
  <c r="H650" i="12" s="1"/>
  <c r="H662" i="12" s="1"/>
  <c r="H674" i="12" s="1"/>
  <c r="H686" i="12" s="1"/>
  <c r="H698" i="12" s="1"/>
  <c r="H710" i="12" s="1"/>
  <c r="H722" i="12" s="1"/>
  <c r="H734" i="12" s="1"/>
  <c r="H746" i="12" s="1"/>
  <c r="U24" i="12"/>
  <c r="U22" i="12"/>
  <c r="U21" i="12"/>
  <c r="U17" i="12"/>
  <c r="U16" i="12"/>
  <c r="BN8" i="13"/>
  <c r="I8" i="12" s="1"/>
  <c r="BN7" i="13"/>
  <c r="I7" i="12" s="1"/>
  <c r="BN5" i="13"/>
  <c r="I5" i="12" s="1"/>
  <c r="BN6" i="13"/>
  <c r="I6" i="12" s="1"/>
  <c r="BO6" i="13"/>
  <c r="J6" i="12" s="1"/>
  <c r="BO12" i="13"/>
  <c r="J12" i="12" s="1"/>
  <c r="BN12" i="13"/>
  <c r="I12" i="12" s="1"/>
  <c r="BN10" i="13"/>
  <c r="I10" i="12" s="1"/>
  <c r="H17" i="12"/>
  <c r="H29" i="12" s="1"/>
  <c r="H41" i="12" s="1"/>
  <c r="H53" i="12" s="1"/>
  <c r="H65" i="12" s="1"/>
  <c r="H77" i="12" s="1"/>
  <c r="H89" i="12" s="1"/>
  <c r="H101" i="12" s="1"/>
  <c r="H113" i="12" s="1"/>
  <c r="H125" i="12" s="1"/>
  <c r="H137" i="12" s="1"/>
  <c r="H149" i="12" s="1"/>
  <c r="H161" i="12" s="1"/>
  <c r="H173" i="12" s="1"/>
  <c r="H185" i="12" s="1"/>
  <c r="H197" i="12" s="1"/>
  <c r="H209" i="12" s="1"/>
  <c r="H221" i="12" s="1"/>
  <c r="H233" i="12" s="1"/>
  <c r="H245" i="12" s="1"/>
  <c r="H257" i="12" s="1"/>
  <c r="H269" i="12" s="1"/>
  <c r="H281" i="12" s="1"/>
  <c r="H293" i="12" s="1"/>
  <c r="H305" i="12" s="1"/>
  <c r="H317" i="12" s="1"/>
  <c r="H329" i="12" s="1"/>
  <c r="H341" i="12" s="1"/>
  <c r="H353" i="12" s="1"/>
  <c r="H365" i="12" s="1"/>
  <c r="H377" i="12" s="1"/>
  <c r="H389" i="12" s="1"/>
  <c r="H401" i="12" s="1"/>
  <c r="H413" i="12" s="1"/>
  <c r="H425" i="12" s="1"/>
  <c r="H437" i="12" s="1"/>
  <c r="H449" i="12" s="1"/>
  <c r="H461" i="12" s="1"/>
  <c r="H473" i="12" s="1"/>
  <c r="H485" i="12" s="1"/>
  <c r="H497" i="12" s="1"/>
  <c r="H509" i="12" s="1"/>
  <c r="H521" i="12" s="1"/>
  <c r="H533" i="12" s="1"/>
  <c r="H545" i="12" s="1"/>
  <c r="H557" i="12" s="1"/>
  <c r="H569" i="12" s="1"/>
  <c r="BO7" i="13"/>
  <c r="J7" i="12" s="1"/>
  <c r="BO10" i="13"/>
  <c r="J10" i="12" s="1"/>
  <c r="BN13" i="13"/>
  <c r="I13" i="12" s="1"/>
  <c r="BO5" i="13"/>
  <c r="J5" i="12" s="1"/>
  <c r="BO2" i="13"/>
  <c r="J2" i="12" s="1"/>
  <c r="BO13" i="13"/>
  <c r="J13" i="12" s="1"/>
  <c r="BN9" i="13"/>
  <c r="I9" i="12" s="1"/>
  <c r="BO3" i="13"/>
  <c r="J3" i="12" s="1"/>
  <c r="BO9" i="13"/>
  <c r="J9" i="12" s="1"/>
  <c r="BO4" i="13"/>
  <c r="J4" i="12" s="1"/>
  <c r="BN2" i="13"/>
  <c r="I2" i="12" s="1"/>
  <c r="BN11" i="13"/>
  <c r="I11" i="12" s="1"/>
  <c r="BN4" i="13"/>
  <c r="I4" i="12" s="1"/>
  <c r="BO8" i="13"/>
  <c r="J8" i="12" s="1"/>
  <c r="BO11" i="13"/>
  <c r="J11" i="12" s="1"/>
  <c r="BN3" i="13"/>
  <c r="I3" i="12" s="1"/>
  <c r="W16" i="12"/>
  <c r="U28" i="12" s="1"/>
  <c r="W23" i="12"/>
  <c r="U35" i="12" s="1"/>
  <c r="W21" i="12"/>
  <c r="U33" i="12" s="1"/>
  <c r="W18" i="12"/>
  <c r="U30" i="12" s="1"/>
  <c r="W20" i="12"/>
  <c r="U32" i="12" s="1"/>
  <c r="W17" i="12"/>
  <c r="U29" i="12" s="1"/>
  <c r="W25" i="12"/>
  <c r="U37" i="12" s="1"/>
  <c r="W22" i="12"/>
  <c r="U34" i="12" s="1"/>
  <c r="W19" i="12"/>
  <c r="U31" i="12" s="1"/>
  <c r="W24" i="12"/>
  <c r="U36" i="12" s="1"/>
  <c r="X21" i="12"/>
  <c r="X33" i="12" s="1"/>
  <c r="X45" i="12" s="1"/>
  <c r="X57" i="12" s="1"/>
  <c r="X69" i="12" s="1"/>
  <c r="X81" i="12" s="1"/>
  <c r="X93" i="12" s="1"/>
  <c r="X105" i="12" s="1"/>
  <c r="X117" i="12" s="1"/>
  <c r="X129" i="12" s="1"/>
  <c r="X141" i="12" s="1"/>
  <c r="X153" i="12" s="1"/>
  <c r="X165" i="12" s="1"/>
  <c r="X177" i="12" s="1"/>
  <c r="X189" i="12" s="1"/>
  <c r="X201" i="12" s="1"/>
  <c r="X213" i="12" s="1"/>
  <c r="X225" i="12" s="1"/>
  <c r="X237" i="12" s="1"/>
  <c r="X249" i="12" s="1"/>
  <c r="X261" i="12" s="1"/>
  <c r="X273" i="12" s="1"/>
  <c r="X285" i="12" s="1"/>
  <c r="X297" i="12" s="1"/>
  <c r="X309" i="12" s="1"/>
  <c r="X321" i="12" s="1"/>
  <c r="X333" i="12" s="1"/>
  <c r="X345" i="12" s="1"/>
  <c r="X357" i="12" s="1"/>
  <c r="X369" i="12" s="1"/>
  <c r="X381" i="12" s="1"/>
  <c r="X393" i="12" s="1"/>
  <c r="X405" i="12" s="1"/>
  <c r="X417" i="12" s="1"/>
  <c r="X429" i="12" s="1"/>
  <c r="X441" i="12" s="1"/>
  <c r="X453" i="12" s="1"/>
  <c r="X465" i="12" s="1"/>
  <c r="X477" i="12" s="1"/>
  <c r="X489" i="12" s="1"/>
  <c r="X501" i="12" s="1"/>
  <c r="X513" i="12" s="1"/>
  <c r="X525" i="12" s="1"/>
  <c r="X537" i="12" s="1"/>
  <c r="X549" i="12" s="1"/>
  <c r="X561" i="12" s="1"/>
  <c r="X573" i="12" s="1"/>
  <c r="X585" i="12" s="1"/>
  <c r="X597" i="12" s="1"/>
  <c r="X609" i="12" s="1"/>
  <c r="X621" i="12" s="1"/>
  <c r="X633" i="12" s="1"/>
  <c r="X645" i="12" s="1"/>
  <c r="X657" i="12" s="1"/>
  <c r="X669" i="12" s="1"/>
  <c r="X681" i="12" s="1"/>
  <c r="X693" i="12" s="1"/>
  <c r="X705" i="12" s="1"/>
  <c r="X717" i="12" s="1"/>
  <c r="X729" i="12" s="1"/>
  <c r="X741" i="12" s="1"/>
  <c r="X753" i="12" s="1"/>
  <c r="X20" i="12"/>
  <c r="X32" i="12" s="1"/>
  <c r="X44" i="12" s="1"/>
  <c r="X56" i="12" s="1"/>
  <c r="X68" i="12" s="1"/>
  <c r="X80" i="12" s="1"/>
  <c r="X92" i="12" s="1"/>
  <c r="X104" i="12" s="1"/>
  <c r="X116" i="12" s="1"/>
  <c r="X128" i="12" s="1"/>
  <c r="X140" i="12" s="1"/>
  <c r="X152" i="12" s="1"/>
  <c r="X164" i="12" s="1"/>
  <c r="X176" i="12" s="1"/>
  <c r="X188" i="12" s="1"/>
  <c r="X200" i="12" s="1"/>
  <c r="X212" i="12" s="1"/>
  <c r="X224" i="12" s="1"/>
  <c r="X236" i="12" s="1"/>
  <c r="X248" i="12" s="1"/>
  <c r="X260" i="12" s="1"/>
  <c r="X272" i="12" s="1"/>
  <c r="X284" i="12" s="1"/>
  <c r="X296" i="12" s="1"/>
  <c r="X308" i="12" s="1"/>
  <c r="X320" i="12" s="1"/>
  <c r="X332" i="12" s="1"/>
  <c r="X344" i="12" s="1"/>
  <c r="X356" i="12" s="1"/>
  <c r="X368" i="12" s="1"/>
  <c r="X380" i="12" s="1"/>
  <c r="X392" i="12" s="1"/>
  <c r="X404" i="12" s="1"/>
  <c r="X416" i="12" s="1"/>
  <c r="X428" i="12" s="1"/>
  <c r="X440" i="12" s="1"/>
  <c r="X452" i="12" s="1"/>
  <c r="X464" i="12" s="1"/>
  <c r="X476" i="12" s="1"/>
  <c r="X488" i="12" s="1"/>
  <c r="X500" i="12" s="1"/>
  <c r="X512" i="12" s="1"/>
  <c r="X524" i="12" s="1"/>
  <c r="X536" i="12" s="1"/>
  <c r="X548" i="12" s="1"/>
  <c r="X560" i="12" s="1"/>
  <c r="X572" i="12" s="1"/>
  <c r="X584" i="12" s="1"/>
  <c r="X596" i="12" s="1"/>
  <c r="X608" i="12" s="1"/>
  <c r="X620" i="12" s="1"/>
  <c r="X632" i="12" s="1"/>
  <c r="X644" i="12" s="1"/>
  <c r="X656" i="12" s="1"/>
  <c r="X668" i="12" s="1"/>
  <c r="X680" i="12" s="1"/>
  <c r="X692" i="12" s="1"/>
  <c r="X704" i="12" s="1"/>
  <c r="X716" i="12" s="1"/>
  <c r="X728" i="12" s="1"/>
  <c r="X740" i="12" s="1"/>
  <c r="X752" i="12" s="1"/>
  <c r="X19" i="12"/>
  <c r="X31" i="12" s="1"/>
  <c r="X43" i="12" s="1"/>
  <c r="X55" i="12" s="1"/>
  <c r="X67" i="12" s="1"/>
  <c r="X79" i="12" s="1"/>
  <c r="X91" i="12" s="1"/>
  <c r="X103" i="12" s="1"/>
  <c r="X115" i="12" s="1"/>
  <c r="X127" i="12" s="1"/>
  <c r="X139" i="12" s="1"/>
  <c r="X151" i="12" s="1"/>
  <c r="X163" i="12" s="1"/>
  <c r="X175" i="12" s="1"/>
  <c r="X187" i="12" s="1"/>
  <c r="X199" i="12" s="1"/>
  <c r="X211" i="12" s="1"/>
  <c r="X223" i="12" s="1"/>
  <c r="X235" i="12" s="1"/>
  <c r="X247" i="12" s="1"/>
  <c r="X259" i="12" s="1"/>
  <c r="X271" i="12" s="1"/>
  <c r="X283" i="12" s="1"/>
  <c r="X295" i="12" s="1"/>
  <c r="X307" i="12" s="1"/>
  <c r="X319" i="12" s="1"/>
  <c r="X331" i="12" s="1"/>
  <c r="X343" i="12" s="1"/>
  <c r="X355" i="12" s="1"/>
  <c r="X367" i="12" s="1"/>
  <c r="X379" i="12" s="1"/>
  <c r="X391" i="12" s="1"/>
  <c r="X403" i="12" s="1"/>
  <c r="X415" i="12" s="1"/>
  <c r="X427" i="12" s="1"/>
  <c r="X439" i="12" s="1"/>
  <c r="X451" i="12" s="1"/>
  <c r="X463" i="12" s="1"/>
  <c r="X475" i="12" s="1"/>
  <c r="X487" i="12" s="1"/>
  <c r="X499" i="12" s="1"/>
  <c r="X511" i="12" s="1"/>
  <c r="X523" i="12" s="1"/>
  <c r="X535" i="12" s="1"/>
  <c r="X547" i="12" s="1"/>
  <c r="X559" i="12" s="1"/>
  <c r="X571" i="12" s="1"/>
  <c r="X583" i="12" s="1"/>
  <c r="X595" i="12" s="1"/>
  <c r="X607" i="12" s="1"/>
  <c r="X619" i="12" s="1"/>
  <c r="X631" i="12" s="1"/>
  <c r="X643" i="12" s="1"/>
  <c r="X655" i="12" s="1"/>
  <c r="X667" i="12" s="1"/>
  <c r="X679" i="12" s="1"/>
  <c r="X691" i="12" s="1"/>
  <c r="X703" i="12" s="1"/>
  <c r="X715" i="12" s="1"/>
  <c r="X727" i="12" s="1"/>
  <c r="X739" i="12" s="1"/>
  <c r="X751" i="12" s="1"/>
  <c r="X18" i="12"/>
  <c r="X30" i="12" s="1"/>
  <c r="X42" i="12" s="1"/>
  <c r="X54" i="12" s="1"/>
  <c r="X66" i="12" s="1"/>
  <c r="X78" i="12" s="1"/>
  <c r="X90" i="12" s="1"/>
  <c r="X102" i="12" s="1"/>
  <c r="X114" i="12" s="1"/>
  <c r="X126" i="12" s="1"/>
  <c r="X138" i="12" s="1"/>
  <c r="X150" i="12" s="1"/>
  <c r="X162" i="12" s="1"/>
  <c r="X174" i="12" s="1"/>
  <c r="X186" i="12" s="1"/>
  <c r="X198" i="12" s="1"/>
  <c r="X210" i="12" s="1"/>
  <c r="X222" i="12" s="1"/>
  <c r="X234" i="12" s="1"/>
  <c r="X246" i="12" s="1"/>
  <c r="X258" i="12" s="1"/>
  <c r="X270" i="12" s="1"/>
  <c r="X282" i="12" s="1"/>
  <c r="X294" i="12" s="1"/>
  <c r="X306" i="12" s="1"/>
  <c r="X318" i="12" s="1"/>
  <c r="X330" i="12" s="1"/>
  <c r="X342" i="12" s="1"/>
  <c r="X354" i="12" s="1"/>
  <c r="X366" i="12" s="1"/>
  <c r="X378" i="12" s="1"/>
  <c r="X390" i="12" s="1"/>
  <c r="X402" i="12" s="1"/>
  <c r="X414" i="12" s="1"/>
  <c r="X426" i="12" s="1"/>
  <c r="X438" i="12" s="1"/>
  <c r="X450" i="12" s="1"/>
  <c r="X462" i="12" s="1"/>
  <c r="X474" i="12" s="1"/>
  <c r="X486" i="12" s="1"/>
  <c r="X498" i="12" s="1"/>
  <c r="X510" i="12" s="1"/>
  <c r="X522" i="12" s="1"/>
  <c r="X534" i="12" s="1"/>
  <c r="X546" i="12" s="1"/>
  <c r="X558" i="12" s="1"/>
  <c r="X570" i="12" s="1"/>
  <c r="X582" i="12" s="1"/>
  <c r="X594" i="12" s="1"/>
  <c r="X606" i="12" s="1"/>
  <c r="X618" i="12" s="1"/>
  <c r="X630" i="12" s="1"/>
  <c r="X642" i="12" s="1"/>
  <c r="X654" i="12" s="1"/>
  <c r="X666" i="12" s="1"/>
  <c r="X678" i="12" s="1"/>
  <c r="X690" i="12" s="1"/>
  <c r="X702" i="12" s="1"/>
  <c r="X714" i="12" s="1"/>
  <c r="X726" i="12" s="1"/>
  <c r="X738" i="12" s="1"/>
  <c r="X750" i="12" s="1"/>
  <c r="X16" i="12"/>
  <c r="X28" i="12" s="1"/>
  <c r="X40" i="12" s="1"/>
  <c r="X52" i="12" s="1"/>
  <c r="X64" i="12" s="1"/>
  <c r="X76" i="12" s="1"/>
  <c r="X88" i="12" s="1"/>
  <c r="X100" i="12" s="1"/>
  <c r="X112" i="12" s="1"/>
  <c r="X124" i="12" s="1"/>
  <c r="X136" i="12" s="1"/>
  <c r="X148" i="12" s="1"/>
  <c r="X160" i="12" s="1"/>
  <c r="X172" i="12" s="1"/>
  <c r="X184" i="12" s="1"/>
  <c r="X196" i="12" s="1"/>
  <c r="X208" i="12" s="1"/>
  <c r="X220" i="12" s="1"/>
  <c r="X232" i="12" s="1"/>
  <c r="X244" i="12" s="1"/>
  <c r="X256" i="12" s="1"/>
  <c r="X268" i="12" s="1"/>
  <c r="X280" i="12" s="1"/>
  <c r="X292" i="12" s="1"/>
  <c r="X304" i="12" s="1"/>
  <c r="X316" i="12" s="1"/>
  <c r="X328" i="12" s="1"/>
  <c r="X340" i="12" s="1"/>
  <c r="X352" i="12" s="1"/>
  <c r="X364" i="12" s="1"/>
  <c r="X376" i="12" s="1"/>
  <c r="X388" i="12" s="1"/>
  <c r="X400" i="12" s="1"/>
  <c r="X412" i="12" s="1"/>
  <c r="X424" i="12" s="1"/>
  <c r="X436" i="12" s="1"/>
  <c r="X448" i="12" s="1"/>
  <c r="X460" i="12" s="1"/>
  <c r="X472" i="12" s="1"/>
  <c r="X484" i="12" s="1"/>
  <c r="X496" i="12" s="1"/>
  <c r="X508" i="12" s="1"/>
  <c r="X520" i="12" s="1"/>
  <c r="X532" i="12" s="1"/>
  <c r="X544" i="12" s="1"/>
  <c r="X556" i="12" s="1"/>
  <c r="X568" i="12" s="1"/>
  <c r="X580" i="12" s="1"/>
  <c r="X592" i="12" s="1"/>
  <c r="X604" i="12" s="1"/>
  <c r="X616" i="12" s="1"/>
  <c r="X628" i="12" s="1"/>
  <c r="X640" i="12" s="1"/>
  <c r="X652" i="12" s="1"/>
  <c r="X664" i="12" s="1"/>
  <c r="X676" i="12" s="1"/>
  <c r="X688" i="12" s="1"/>
  <c r="X700" i="12" s="1"/>
  <c r="X712" i="12" s="1"/>
  <c r="X724" i="12" s="1"/>
  <c r="X736" i="12" s="1"/>
  <c r="X748" i="12" s="1"/>
  <c r="X24" i="12"/>
  <c r="X36" i="12" s="1"/>
  <c r="X48" i="12" s="1"/>
  <c r="X60" i="12" s="1"/>
  <c r="X72" i="12" s="1"/>
  <c r="X84" i="12" s="1"/>
  <c r="X96" i="12" s="1"/>
  <c r="X108" i="12" s="1"/>
  <c r="X120" i="12" s="1"/>
  <c r="X132" i="12" s="1"/>
  <c r="X144" i="12" s="1"/>
  <c r="X156" i="12" s="1"/>
  <c r="X168" i="12" s="1"/>
  <c r="X180" i="12" s="1"/>
  <c r="X192" i="12" s="1"/>
  <c r="X204" i="12" s="1"/>
  <c r="X216" i="12" s="1"/>
  <c r="X228" i="12" s="1"/>
  <c r="X240" i="12" s="1"/>
  <c r="X252" i="12" s="1"/>
  <c r="X264" i="12" s="1"/>
  <c r="X276" i="12" s="1"/>
  <c r="X288" i="12" s="1"/>
  <c r="X300" i="12" s="1"/>
  <c r="X312" i="12" s="1"/>
  <c r="X324" i="12" s="1"/>
  <c r="X336" i="12" s="1"/>
  <c r="X348" i="12" s="1"/>
  <c r="X360" i="12" s="1"/>
  <c r="X372" i="12" s="1"/>
  <c r="X384" i="12" s="1"/>
  <c r="X396" i="12" s="1"/>
  <c r="X408" i="12" s="1"/>
  <c r="X420" i="12" s="1"/>
  <c r="X432" i="12" s="1"/>
  <c r="X444" i="12" s="1"/>
  <c r="X456" i="12" s="1"/>
  <c r="X468" i="12" s="1"/>
  <c r="X480" i="12" s="1"/>
  <c r="X492" i="12" s="1"/>
  <c r="X504" i="12" s="1"/>
  <c r="X516" i="12" s="1"/>
  <c r="X528" i="12" s="1"/>
  <c r="X540" i="12" s="1"/>
  <c r="X552" i="12" s="1"/>
  <c r="X564" i="12" s="1"/>
  <c r="X576" i="12" s="1"/>
  <c r="X588" i="12" s="1"/>
  <c r="X600" i="12" s="1"/>
  <c r="X612" i="12" s="1"/>
  <c r="X624" i="12" s="1"/>
  <c r="X636" i="12" s="1"/>
  <c r="X648" i="12" s="1"/>
  <c r="X660" i="12" s="1"/>
  <c r="X672" i="12" s="1"/>
  <c r="X684" i="12" s="1"/>
  <c r="X696" i="12" s="1"/>
  <c r="X708" i="12" s="1"/>
  <c r="X720" i="12" s="1"/>
  <c r="X732" i="12" s="1"/>
  <c r="X744" i="12" s="1"/>
  <c r="X756" i="12" s="1"/>
  <c r="X25" i="12"/>
  <c r="X37" i="12" s="1"/>
  <c r="X49" i="12" s="1"/>
  <c r="X61" i="12" s="1"/>
  <c r="X73" i="12" s="1"/>
  <c r="X85" i="12" s="1"/>
  <c r="X97" i="12" s="1"/>
  <c r="X109" i="12" s="1"/>
  <c r="X121" i="12" s="1"/>
  <c r="X133" i="12" s="1"/>
  <c r="X145" i="12" s="1"/>
  <c r="X157" i="12" s="1"/>
  <c r="X169" i="12" s="1"/>
  <c r="X181" i="12" s="1"/>
  <c r="X193" i="12" s="1"/>
  <c r="X205" i="12" s="1"/>
  <c r="X217" i="12" s="1"/>
  <c r="X229" i="12" s="1"/>
  <c r="X241" i="12" s="1"/>
  <c r="X253" i="12" s="1"/>
  <c r="X265" i="12" s="1"/>
  <c r="X277" i="12" s="1"/>
  <c r="X289" i="12" s="1"/>
  <c r="X301" i="12" s="1"/>
  <c r="X313" i="12" s="1"/>
  <c r="X325" i="12" s="1"/>
  <c r="X337" i="12" s="1"/>
  <c r="X349" i="12" s="1"/>
  <c r="X361" i="12" s="1"/>
  <c r="X373" i="12" s="1"/>
  <c r="X385" i="12" s="1"/>
  <c r="X397" i="12" s="1"/>
  <c r="X409" i="12" s="1"/>
  <c r="X421" i="12" s="1"/>
  <c r="X433" i="12" s="1"/>
  <c r="X445" i="12" s="1"/>
  <c r="X457" i="12" s="1"/>
  <c r="X469" i="12" s="1"/>
  <c r="X481" i="12" s="1"/>
  <c r="X493" i="12" s="1"/>
  <c r="X505" i="12" s="1"/>
  <c r="X517" i="12" s="1"/>
  <c r="X529" i="12" s="1"/>
  <c r="X541" i="12" s="1"/>
  <c r="X553" i="12" s="1"/>
  <c r="X565" i="12" s="1"/>
  <c r="X577" i="12" s="1"/>
  <c r="X589" i="12" s="1"/>
  <c r="X601" i="12" s="1"/>
  <c r="X613" i="12" s="1"/>
  <c r="X625" i="12" s="1"/>
  <c r="X637" i="12" s="1"/>
  <c r="X649" i="12" s="1"/>
  <c r="X661" i="12" s="1"/>
  <c r="X673" i="12" s="1"/>
  <c r="X685" i="12" s="1"/>
  <c r="X697" i="12" s="1"/>
  <c r="X709" i="12" s="1"/>
  <c r="X721" i="12" s="1"/>
  <c r="X733" i="12" s="1"/>
  <c r="X745" i="12" s="1"/>
  <c r="X757" i="12" s="1"/>
  <c r="X22" i="12"/>
  <c r="X34" i="12" s="1"/>
  <c r="X46" i="12" s="1"/>
  <c r="X58" i="12" s="1"/>
  <c r="X70" i="12" s="1"/>
  <c r="X82" i="12" s="1"/>
  <c r="X94" i="12" s="1"/>
  <c r="X106" i="12" s="1"/>
  <c r="X118" i="12" s="1"/>
  <c r="X130" i="12" s="1"/>
  <c r="X142" i="12" s="1"/>
  <c r="X154" i="12" s="1"/>
  <c r="X166" i="12" s="1"/>
  <c r="X178" i="12" s="1"/>
  <c r="X190" i="12" s="1"/>
  <c r="X202" i="12" s="1"/>
  <c r="X214" i="12" s="1"/>
  <c r="X226" i="12" s="1"/>
  <c r="X238" i="12" s="1"/>
  <c r="X250" i="12" s="1"/>
  <c r="X262" i="12" s="1"/>
  <c r="X274" i="12" s="1"/>
  <c r="X286" i="12" s="1"/>
  <c r="X298" i="12" s="1"/>
  <c r="X310" i="12" s="1"/>
  <c r="X322" i="12" s="1"/>
  <c r="X334" i="12" s="1"/>
  <c r="X346" i="12" s="1"/>
  <c r="X358" i="12" s="1"/>
  <c r="X370" i="12" s="1"/>
  <c r="X382" i="12" s="1"/>
  <c r="X394" i="12" s="1"/>
  <c r="X406" i="12" s="1"/>
  <c r="X418" i="12" s="1"/>
  <c r="X430" i="12" s="1"/>
  <c r="X442" i="12" s="1"/>
  <c r="X454" i="12" s="1"/>
  <c r="X466" i="12" s="1"/>
  <c r="X478" i="12" s="1"/>
  <c r="X490" i="12" s="1"/>
  <c r="X502" i="12" s="1"/>
  <c r="X514" i="12" s="1"/>
  <c r="X526" i="12" s="1"/>
  <c r="X538" i="12" s="1"/>
  <c r="X550" i="12" s="1"/>
  <c r="X562" i="12" s="1"/>
  <c r="X574" i="12" s="1"/>
  <c r="X586" i="12" s="1"/>
  <c r="X598" i="12" s="1"/>
  <c r="X610" i="12" s="1"/>
  <c r="X622" i="12" s="1"/>
  <c r="X634" i="12" s="1"/>
  <c r="X646" i="12" s="1"/>
  <c r="X658" i="12" s="1"/>
  <c r="X670" i="12" s="1"/>
  <c r="X682" i="12" s="1"/>
  <c r="X694" i="12" s="1"/>
  <c r="X706" i="12" s="1"/>
  <c r="X718" i="12" s="1"/>
  <c r="X730" i="12" s="1"/>
  <c r="X742" i="12" s="1"/>
  <c r="X754" i="12" s="1"/>
  <c r="X17" i="12"/>
  <c r="X29" i="12" s="1"/>
  <c r="X41" i="12" s="1"/>
  <c r="X53" i="12" s="1"/>
  <c r="X65" i="12" s="1"/>
  <c r="X77" i="12" s="1"/>
  <c r="X89" i="12" s="1"/>
  <c r="X101" i="12" s="1"/>
  <c r="X113" i="12" s="1"/>
  <c r="X125" i="12" s="1"/>
  <c r="X137" i="12" s="1"/>
  <c r="X149" i="12" s="1"/>
  <c r="X161" i="12" s="1"/>
  <c r="X173" i="12" s="1"/>
  <c r="X185" i="12" s="1"/>
  <c r="X197" i="12" s="1"/>
  <c r="X209" i="12" s="1"/>
  <c r="X221" i="12" s="1"/>
  <c r="X233" i="12" s="1"/>
  <c r="X245" i="12" s="1"/>
  <c r="X257" i="12" s="1"/>
  <c r="X269" i="12" s="1"/>
  <c r="X281" i="12" s="1"/>
  <c r="X293" i="12" s="1"/>
  <c r="X305" i="12" s="1"/>
  <c r="X317" i="12" s="1"/>
  <c r="X329" i="12" s="1"/>
  <c r="X341" i="12" s="1"/>
  <c r="X353" i="12" s="1"/>
  <c r="X365" i="12" s="1"/>
  <c r="X377" i="12" s="1"/>
  <c r="X389" i="12" s="1"/>
  <c r="X401" i="12" s="1"/>
  <c r="X413" i="12" s="1"/>
  <c r="X425" i="12" s="1"/>
  <c r="X437" i="12" s="1"/>
  <c r="X449" i="12" s="1"/>
  <c r="X461" i="12" s="1"/>
  <c r="X473" i="12" s="1"/>
  <c r="X485" i="12" s="1"/>
  <c r="X497" i="12" s="1"/>
  <c r="X509" i="12" s="1"/>
  <c r="X521" i="12" s="1"/>
  <c r="X533" i="12" s="1"/>
  <c r="X545" i="12" s="1"/>
  <c r="X557" i="12" s="1"/>
  <c r="X569" i="12" s="1"/>
  <c r="X581" i="12" s="1"/>
  <c r="X593" i="12" s="1"/>
  <c r="X605" i="12" s="1"/>
  <c r="X617" i="12" s="1"/>
  <c r="X629" i="12" s="1"/>
  <c r="X641" i="12" s="1"/>
  <c r="X653" i="12" s="1"/>
  <c r="X665" i="12" s="1"/>
  <c r="X677" i="12" s="1"/>
  <c r="X689" i="12" s="1"/>
  <c r="X701" i="12" s="1"/>
  <c r="X713" i="12" s="1"/>
  <c r="X725" i="12" s="1"/>
  <c r="X737" i="12" s="1"/>
  <c r="X749" i="12" s="1"/>
  <c r="X23" i="12"/>
  <c r="X35" i="12" s="1"/>
  <c r="X47" i="12" s="1"/>
  <c r="X59" i="12" s="1"/>
  <c r="X71" i="12" s="1"/>
  <c r="X83" i="12" s="1"/>
  <c r="X95" i="12" s="1"/>
  <c r="X107" i="12" s="1"/>
  <c r="X119" i="12" s="1"/>
  <c r="X131" i="12" s="1"/>
  <c r="X143" i="12" s="1"/>
  <c r="X155" i="12" s="1"/>
  <c r="X167" i="12" s="1"/>
  <c r="X179" i="12" s="1"/>
  <c r="X191" i="12" s="1"/>
  <c r="X203" i="12" s="1"/>
  <c r="X215" i="12" s="1"/>
  <c r="X227" i="12" s="1"/>
  <c r="X239" i="12" s="1"/>
  <c r="X251" i="12" s="1"/>
  <c r="X263" i="12" s="1"/>
  <c r="X275" i="12" s="1"/>
  <c r="X287" i="12" s="1"/>
  <c r="X299" i="12" s="1"/>
  <c r="X311" i="12" s="1"/>
  <c r="X323" i="12" s="1"/>
  <c r="X335" i="12" s="1"/>
  <c r="X347" i="12" s="1"/>
  <c r="X359" i="12" s="1"/>
  <c r="X371" i="12" s="1"/>
  <c r="X383" i="12" s="1"/>
  <c r="X395" i="12" s="1"/>
  <c r="X407" i="12" s="1"/>
  <c r="X419" i="12" s="1"/>
  <c r="X431" i="12" s="1"/>
  <c r="X443" i="12" s="1"/>
  <c r="X455" i="12" s="1"/>
  <c r="X467" i="12" s="1"/>
  <c r="X479" i="12" s="1"/>
  <c r="X491" i="12" s="1"/>
  <c r="X503" i="12" s="1"/>
  <c r="X515" i="12" s="1"/>
  <c r="X527" i="12" s="1"/>
  <c r="X539" i="12" s="1"/>
  <c r="X551" i="12" s="1"/>
  <c r="X563" i="12" s="1"/>
  <c r="X575" i="12" s="1"/>
  <c r="X587" i="12" s="1"/>
  <c r="X599" i="12" s="1"/>
  <c r="X611" i="12" s="1"/>
  <c r="X623" i="12" s="1"/>
  <c r="X635" i="12" s="1"/>
  <c r="X647" i="12" s="1"/>
  <c r="X659" i="12" s="1"/>
  <c r="X671" i="12" s="1"/>
  <c r="X683" i="12" s="1"/>
  <c r="X695" i="12" s="1"/>
  <c r="X707" i="12" s="1"/>
  <c r="X719" i="12" s="1"/>
  <c r="X731" i="12" s="1"/>
  <c r="X743" i="12" s="1"/>
  <c r="X755" i="12" s="1"/>
  <c r="Z14" i="12"/>
  <c r="Z26" i="12" s="1"/>
  <c r="Z38" i="12" s="1"/>
  <c r="Z50" i="12" s="1"/>
  <c r="Z62" i="12" s="1"/>
  <c r="Z74" i="12" s="1"/>
  <c r="Z86" i="12" s="1"/>
  <c r="Z98" i="12" s="1"/>
  <c r="Z110" i="12" s="1"/>
  <c r="Z122" i="12" s="1"/>
  <c r="Z134" i="12" s="1"/>
  <c r="Z146" i="12" s="1"/>
  <c r="Z158" i="12" s="1"/>
  <c r="Z170" i="12" s="1"/>
  <c r="Z182" i="12" s="1"/>
  <c r="Z194" i="12" s="1"/>
  <c r="Z206" i="12" s="1"/>
  <c r="Z218" i="12" s="1"/>
  <c r="Z230" i="12" s="1"/>
  <c r="Z242" i="12" s="1"/>
  <c r="Z254" i="12" s="1"/>
  <c r="Z266" i="12" s="1"/>
  <c r="Z278" i="12" s="1"/>
  <c r="Z290" i="12" s="1"/>
  <c r="Z302" i="12" s="1"/>
  <c r="Z314" i="12" s="1"/>
  <c r="Z326" i="12" s="1"/>
  <c r="Z338" i="12" s="1"/>
  <c r="Z350" i="12" s="1"/>
  <c r="Z362" i="12" s="1"/>
  <c r="Z374" i="12" s="1"/>
  <c r="Z386" i="12" s="1"/>
  <c r="Z398" i="12" s="1"/>
  <c r="Z410" i="12" s="1"/>
  <c r="Z422" i="12" s="1"/>
  <c r="Z434" i="12" s="1"/>
  <c r="Z446" i="12" s="1"/>
  <c r="Z458" i="12" s="1"/>
  <c r="Z470" i="12" s="1"/>
  <c r="Z482" i="12" s="1"/>
  <c r="Z494" i="12" s="1"/>
  <c r="Z506" i="12" s="1"/>
  <c r="Z518" i="12" s="1"/>
  <c r="Z530" i="12" s="1"/>
  <c r="Z542" i="12" s="1"/>
  <c r="Z554" i="12" s="1"/>
  <c r="Z566" i="12" s="1"/>
  <c r="Z578" i="12" s="1"/>
  <c r="Z590" i="12" s="1"/>
  <c r="Z602" i="12" s="1"/>
  <c r="Z614" i="12" s="1"/>
  <c r="Z626" i="12" s="1"/>
  <c r="Z638" i="12" s="1"/>
  <c r="Z650" i="12" s="1"/>
  <c r="Z662" i="12" s="1"/>
  <c r="Z674" i="12" s="1"/>
  <c r="Z686" i="12" s="1"/>
  <c r="Z698" i="12" s="1"/>
  <c r="Z710" i="12" s="1"/>
  <c r="Z722" i="12" s="1"/>
  <c r="Z734" i="12" s="1"/>
  <c r="Z746" i="12" s="1"/>
  <c r="H581" i="12" l="1"/>
  <c r="H593" i="12" s="1"/>
  <c r="H605" i="12" s="1"/>
  <c r="H617" i="12" s="1"/>
  <c r="H629" i="12" s="1"/>
  <c r="H641" i="12" s="1"/>
  <c r="H653" i="12" s="1"/>
  <c r="H665" i="12" s="1"/>
  <c r="H677" i="12" s="1"/>
  <c r="H689" i="12" s="1"/>
  <c r="H701" i="12" s="1"/>
  <c r="H713" i="12" s="1"/>
  <c r="H725" i="12" s="1"/>
  <c r="H737" i="12" s="1"/>
  <c r="H749" i="12" s="1"/>
  <c r="J16" i="12"/>
  <c r="J28" i="12" s="1"/>
  <c r="J40" i="12" s="1"/>
  <c r="J52" i="12" s="1"/>
  <c r="J64" i="12" s="1"/>
  <c r="J76" i="12" s="1"/>
  <c r="J88" i="12" s="1"/>
  <c r="J100" i="12" s="1"/>
  <c r="J112" i="12" s="1"/>
  <c r="J124" i="12" s="1"/>
  <c r="J136" i="12" s="1"/>
  <c r="J148" i="12" s="1"/>
  <c r="J160" i="12" s="1"/>
  <c r="J172" i="12" s="1"/>
  <c r="J184" i="12" s="1"/>
  <c r="J196" i="12" s="1"/>
  <c r="J208" i="12" s="1"/>
  <c r="J220" i="12" s="1"/>
  <c r="J232" i="12" s="1"/>
  <c r="J244" i="12" s="1"/>
  <c r="J256" i="12" s="1"/>
  <c r="J268" i="12" s="1"/>
  <c r="J280" i="12" s="1"/>
  <c r="J292" i="12" s="1"/>
  <c r="J304" i="12" s="1"/>
  <c r="J316" i="12" s="1"/>
  <c r="J328" i="12" s="1"/>
  <c r="J340" i="12" s="1"/>
  <c r="J352" i="12" s="1"/>
  <c r="J364" i="12" s="1"/>
  <c r="J376" i="12" s="1"/>
  <c r="J388" i="12" s="1"/>
  <c r="J400" i="12" s="1"/>
  <c r="J412" i="12" s="1"/>
  <c r="J424" i="12" s="1"/>
  <c r="J436" i="12" s="1"/>
  <c r="J448" i="12" s="1"/>
  <c r="J460" i="12" s="1"/>
  <c r="J472" i="12" s="1"/>
  <c r="J484" i="12" s="1"/>
  <c r="J496" i="12" s="1"/>
  <c r="J508" i="12" s="1"/>
  <c r="J520" i="12" s="1"/>
  <c r="J532" i="12" s="1"/>
  <c r="J544" i="12" s="1"/>
  <c r="J556" i="12" s="1"/>
  <c r="J568" i="12" s="1"/>
  <c r="J24" i="12"/>
  <c r="J36" i="12" s="1"/>
  <c r="J48" i="12" s="1"/>
  <c r="J60" i="12" s="1"/>
  <c r="J72" i="12" s="1"/>
  <c r="J84" i="12" s="1"/>
  <c r="J96" i="12" s="1"/>
  <c r="J108" i="12" s="1"/>
  <c r="J120" i="12" s="1"/>
  <c r="J132" i="12" s="1"/>
  <c r="J144" i="12" s="1"/>
  <c r="J156" i="12" s="1"/>
  <c r="J168" i="12" s="1"/>
  <c r="J180" i="12" s="1"/>
  <c r="J192" i="12" s="1"/>
  <c r="J204" i="12" s="1"/>
  <c r="J216" i="12" s="1"/>
  <c r="J228" i="12" s="1"/>
  <c r="J240" i="12" s="1"/>
  <c r="J252" i="12" s="1"/>
  <c r="J264" i="12" s="1"/>
  <c r="J276" i="12" s="1"/>
  <c r="J288" i="12" s="1"/>
  <c r="J300" i="12" s="1"/>
  <c r="J312" i="12" s="1"/>
  <c r="J324" i="12" s="1"/>
  <c r="J336" i="12" s="1"/>
  <c r="J348" i="12" s="1"/>
  <c r="J360" i="12" s="1"/>
  <c r="J372" i="12" s="1"/>
  <c r="J384" i="12" s="1"/>
  <c r="J396" i="12" s="1"/>
  <c r="J408" i="12" s="1"/>
  <c r="J420" i="12" s="1"/>
  <c r="J432" i="12" s="1"/>
  <c r="J444" i="12" s="1"/>
  <c r="J456" i="12" s="1"/>
  <c r="J468" i="12" s="1"/>
  <c r="J480" i="12" s="1"/>
  <c r="J492" i="12" s="1"/>
  <c r="J504" i="12" s="1"/>
  <c r="J516" i="12" s="1"/>
  <c r="J528" i="12" s="1"/>
  <c r="J540" i="12" s="1"/>
  <c r="J552" i="12" s="1"/>
  <c r="J564" i="12" s="1"/>
  <c r="J576" i="12" s="1"/>
  <c r="I19" i="12"/>
  <c r="J25" i="12"/>
  <c r="J37" i="12" s="1"/>
  <c r="J49" i="12" s="1"/>
  <c r="J61" i="12" s="1"/>
  <c r="J73" i="12" s="1"/>
  <c r="J85" i="12" s="1"/>
  <c r="J97" i="12" s="1"/>
  <c r="J109" i="12" s="1"/>
  <c r="J121" i="12" s="1"/>
  <c r="J133" i="12" s="1"/>
  <c r="J145" i="12" s="1"/>
  <c r="J157" i="12" s="1"/>
  <c r="J169" i="12" s="1"/>
  <c r="J181" i="12" s="1"/>
  <c r="J193" i="12" s="1"/>
  <c r="J205" i="12" s="1"/>
  <c r="J217" i="12" s="1"/>
  <c r="J229" i="12" s="1"/>
  <c r="J241" i="12" s="1"/>
  <c r="J253" i="12" s="1"/>
  <c r="J265" i="12" s="1"/>
  <c r="J277" i="12" s="1"/>
  <c r="J289" i="12" s="1"/>
  <c r="J301" i="12" s="1"/>
  <c r="J313" i="12" s="1"/>
  <c r="J325" i="12" s="1"/>
  <c r="J337" i="12" s="1"/>
  <c r="J349" i="12" s="1"/>
  <c r="J361" i="12" s="1"/>
  <c r="J373" i="12" s="1"/>
  <c r="J385" i="12" s="1"/>
  <c r="J397" i="12" s="1"/>
  <c r="J409" i="12" s="1"/>
  <c r="J421" i="12" s="1"/>
  <c r="J433" i="12" s="1"/>
  <c r="J445" i="12" s="1"/>
  <c r="J457" i="12" s="1"/>
  <c r="J469" i="12" s="1"/>
  <c r="J481" i="12" s="1"/>
  <c r="J493" i="12" s="1"/>
  <c r="J505" i="12" s="1"/>
  <c r="J517" i="12" s="1"/>
  <c r="J529" i="12" s="1"/>
  <c r="J541" i="12" s="1"/>
  <c r="J553" i="12" s="1"/>
  <c r="J565" i="12" s="1"/>
  <c r="J577" i="12" s="1"/>
  <c r="I24" i="12"/>
  <c r="G16" i="12"/>
  <c r="J21" i="12"/>
  <c r="J33" i="12" s="1"/>
  <c r="J45" i="12" s="1"/>
  <c r="J57" i="12" s="1"/>
  <c r="J69" i="12" s="1"/>
  <c r="J81" i="12" s="1"/>
  <c r="J93" i="12" s="1"/>
  <c r="J105" i="12" s="1"/>
  <c r="J117" i="12" s="1"/>
  <c r="J129" i="12" s="1"/>
  <c r="J141" i="12" s="1"/>
  <c r="J153" i="12" s="1"/>
  <c r="J165" i="12" s="1"/>
  <c r="J177" i="12" s="1"/>
  <c r="J189" i="12" s="1"/>
  <c r="J201" i="12" s="1"/>
  <c r="J213" i="12" s="1"/>
  <c r="J225" i="12" s="1"/>
  <c r="J237" i="12" s="1"/>
  <c r="J249" i="12" s="1"/>
  <c r="J261" i="12" s="1"/>
  <c r="J273" i="12" s="1"/>
  <c r="J285" i="12" s="1"/>
  <c r="J297" i="12" s="1"/>
  <c r="J309" i="12" s="1"/>
  <c r="J321" i="12" s="1"/>
  <c r="J333" i="12" s="1"/>
  <c r="J345" i="12" s="1"/>
  <c r="J357" i="12" s="1"/>
  <c r="J369" i="12" s="1"/>
  <c r="J381" i="12" s="1"/>
  <c r="J393" i="12" s="1"/>
  <c r="J405" i="12" s="1"/>
  <c r="J417" i="12" s="1"/>
  <c r="J429" i="12" s="1"/>
  <c r="J441" i="12" s="1"/>
  <c r="J453" i="12" s="1"/>
  <c r="J465" i="12" s="1"/>
  <c r="J477" i="12" s="1"/>
  <c r="J489" i="12" s="1"/>
  <c r="J501" i="12" s="1"/>
  <c r="J513" i="12" s="1"/>
  <c r="J525" i="12" s="1"/>
  <c r="J537" i="12" s="1"/>
  <c r="J549" i="12" s="1"/>
  <c r="J561" i="12" s="1"/>
  <c r="J573" i="12" s="1"/>
  <c r="J19" i="12"/>
  <c r="J31" i="12" s="1"/>
  <c r="J43" i="12" s="1"/>
  <c r="J55" i="12" s="1"/>
  <c r="J67" i="12" s="1"/>
  <c r="J79" i="12" s="1"/>
  <c r="J91" i="12" s="1"/>
  <c r="J103" i="12" s="1"/>
  <c r="J115" i="12" s="1"/>
  <c r="J127" i="12" s="1"/>
  <c r="J139" i="12" s="1"/>
  <c r="J151" i="12" s="1"/>
  <c r="J163" i="12" s="1"/>
  <c r="J175" i="12" s="1"/>
  <c r="J187" i="12" s="1"/>
  <c r="J199" i="12" s="1"/>
  <c r="J211" i="12" s="1"/>
  <c r="J223" i="12" s="1"/>
  <c r="J235" i="12" s="1"/>
  <c r="J247" i="12" s="1"/>
  <c r="J259" i="12" s="1"/>
  <c r="J271" i="12" s="1"/>
  <c r="J283" i="12" s="1"/>
  <c r="J295" i="12" s="1"/>
  <c r="J307" i="12" s="1"/>
  <c r="J319" i="12" s="1"/>
  <c r="J331" i="12" s="1"/>
  <c r="J343" i="12" s="1"/>
  <c r="J355" i="12" s="1"/>
  <c r="J367" i="12" s="1"/>
  <c r="J379" i="12" s="1"/>
  <c r="J391" i="12" s="1"/>
  <c r="J403" i="12" s="1"/>
  <c r="J415" i="12" s="1"/>
  <c r="J427" i="12" s="1"/>
  <c r="J439" i="12" s="1"/>
  <c r="J451" i="12" s="1"/>
  <c r="J463" i="12" s="1"/>
  <c r="J475" i="12" s="1"/>
  <c r="J487" i="12" s="1"/>
  <c r="J499" i="12" s="1"/>
  <c r="J511" i="12" s="1"/>
  <c r="J523" i="12" s="1"/>
  <c r="J535" i="12" s="1"/>
  <c r="J547" i="12" s="1"/>
  <c r="J559" i="12" s="1"/>
  <c r="J571" i="12" s="1"/>
  <c r="I15" i="12"/>
  <c r="J15" i="12"/>
  <c r="J27" i="12" s="1"/>
  <c r="J39" i="12" s="1"/>
  <c r="J51" i="12" s="1"/>
  <c r="J63" i="12" s="1"/>
  <c r="J75" i="12" s="1"/>
  <c r="J87" i="12" s="1"/>
  <c r="J99" i="12" s="1"/>
  <c r="J111" i="12" s="1"/>
  <c r="J123" i="12" s="1"/>
  <c r="J135" i="12" s="1"/>
  <c r="J147" i="12" s="1"/>
  <c r="J159" i="12" s="1"/>
  <c r="J171" i="12" s="1"/>
  <c r="J183" i="12" s="1"/>
  <c r="J195" i="12" s="1"/>
  <c r="J207" i="12" s="1"/>
  <c r="J219" i="12" s="1"/>
  <c r="J231" i="12" s="1"/>
  <c r="J243" i="12" s="1"/>
  <c r="J255" i="12" s="1"/>
  <c r="J267" i="12" s="1"/>
  <c r="J279" i="12" s="1"/>
  <c r="J291" i="12" s="1"/>
  <c r="J303" i="12" s="1"/>
  <c r="J315" i="12" s="1"/>
  <c r="J327" i="12" s="1"/>
  <c r="J339" i="12" s="1"/>
  <c r="J351" i="12" s="1"/>
  <c r="J363" i="12" s="1"/>
  <c r="J375" i="12" s="1"/>
  <c r="J387" i="12" s="1"/>
  <c r="J399" i="12" s="1"/>
  <c r="J411" i="12" s="1"/>
  <c r="J423" i="12" s="1"/>
  <c r="J435" i="12" s="1"/>
  <c r="J447" i="12" s="1"/>
  <c r="J459" i="12" s="1"/>
  <c r="J471" i="12" s="1"/>
  <c r="J483" i="12" s="1"/>
  <c r="J495" i="12" s="1"/>
  <c r="J507" i="12" s="1"/>
  <c r="J519" i="12" s="1"/>
  <c r="J531" i="12" s="1"/>
  <c r="J543" i="12" s="1"/>
  <c r="J555" i="12" s="1"/>
  <c r="J567" i="12" s="1"/>
  <c r="J17" i="12"/>
  <c r="J29" i="12" s="1"/>
  <c r="J41" i="12" s="1"/>
  <c r="J53" i="12" s="1"/>
  <c r="J65" i="12" s="1"/>
  <c r="J77" i="12" s="1"/>
  <c r="J89" i="12" s="1"/>
  <c r="J101" i="12" s="1"/>
  <c r="J113" i="12" s="1"/>
  <c r="J125" i="12" s="1"/>
  <c r="J137" i="12" s="1"/>
  <c r="J149" i="12" s="1"/>
  <c r="J161" i="12" s="1"/>
  <c r="J173" i="12" s="1"/>
  <c r="J185" i="12" s="1"/>
  <c r="J197" i="12" s="1"/>
  <c r="J209" i="12" s="1"/>
  <c r="J221" i="12" s="1"/>
  <c r="J233" i="12" s="1"/>
  <c r="J245" i="12" s="1"/>
  <c r="J257" i="12" s="1"/>
  <c r="J269" i="12" s="1"/>
  <c r="J281" i="12" s="1"/>
  <c r="J293" i="12" s="1"/>
  <c r="J305" i="12" s="1"/>
  <c r="J317" i="12" s="1"/>
  <c r="J329" i="12" s="1"/>
  <c r="J341" i="12" s="1"/>
  <c r="J353" i="12" s="1"/>
  <c r="J365" i="12" s="1"/>
  <c r="J377" i="12" s="1"/>
  <c r="J389" i="12" s="1"/>
  <c r="J401" i="12" s="1"/>
  <c r="J413" i="12" s="1"/>
  <c r="J425" i="12" s="1"/>
  <c r="J437" i="12" s="1"/>
  <c r="J449" i="12" s="1"/>
  <c r="J461" i="12" s="1"/>
  <c r="J473" i="12" s="1"/>
  <c r="J485" i="12" s="1"/>
  <c r="J497" i="12" s="1"/>
  <c r="J509" i="12" s="1"/>
  <c r="J521" i="12" s="1"/>
  <c r="J533" i="12" s="1"/>
  <c r="J545" i="12" s="1"/>
  <c r="J557" i="12" s="1"/>
  <c r="J569" i="12" s="1"/>
  <c r="J18" i="12"/>
  <c r="J30" i="12" s="1"/>
  <c r="J42" i="12" s="1"/>
  <c r="J54" i="12" s="1"/>
  <c r="J66" i="12" s="1"/>
  <c r="J78" i="12" s="1"/>
  <c r="J90" i="12" s="1"/>
  <c r="J102" i="12" s="1"/>
  <c r="J114" i="12" s="1"/>
  <c r="J126" i="12" s="1"/>
  <c r="J138" i="12" s="1"/>
  <c r="J150" i="12" s="1"/>
  <c r="J162" i="12" s="1"/>
  <c r="J174" i="12" s="1"/>
  <c r="J186" i="12" s="1"/>
  <c r="J198" i="12" s="1"/>
  <c r="J210" i="12" s="1"/>
  <c r="J222" i="12" s="1"/>
  <c r="J234" i="12" s="1"/>
  <c r="J246" i="12" s="1"/>
  <c r="J258" i="12" s="1"/>
  <c r="J270" i="12" s="1"/>
  <c r="J282" i="12" s="1"/>
  <c r="J294" i="12" s="1"/>
  <c r="J306" i="12" s="1"/>
  <c r="J318" i="12" s="1"/>
  <c r="J330" i="12" s="1"/>
  <c r="J342" i="12" s="1"/>
  <c r="J354" i="12" s="1"/>
  <c r="J366" i="12" s="1"/>
  <c r="J378" i="12" s="1"/>
  <c r="J390" i="12" s="1"/>
  <c r="J402" i="12" s="1"/>
  <c r="J414" i="12" s="1"/>
  <c r="J426" i="12" s="1"/>
  <c r="J438" i="12" s="1"/>
  <c r="J450" i="12" s="1"/>
  <c r="J462" i="12" s="1"/>
  <c r="J474" i="12" s="1"/>
  <c r="J486" i="12" s="1"/>
  <c r="J498" i="12" s="1"/>
  <c r="J510" i="12" s="1"/>
  <c r="J522" i="12" s="1"/>
  <c r="J534" i="12" s="1"/>
  <c r="J546" i="12" s="1"/>
  <c r="J558" i="12" s="1"/>
  <c r="J570" i="12" s="1"/>
  <c r="I20" i="12"/>
  <c r="J20" i="12"/>
  <c r="J32" i="12" s="1"/>
  <c r="J44" i="12" s="1"/>
  <c r="J56" i="12" s="1"/>
  <c r="J68" i="12" s="1"/>
  <c r="J80" i="12" s="1"/>
  <c r="J92" i="12" s="1"/>
  <c r="J104" i="12" s="1"/>
  <c r="J116" i="12" s="1"/>
  <c r="J128" i="12" s="1"/>
  <c r="J140" i="12" s="1"/>
  <c r="J152" i="12" s="1"/>
  <c r="J164" i="12" s="1"/>
  <c r="J176" i="12" s="1"/>
  <c r="J188" i="12" s="1"/>
  <c r="J200" i="12" s="1"/>
  <c r="J212" i="12" s="1"/>
  <c r="J224" i="12" s="1"/>
  <c r="J236" i="12" s="1"/>
  <c r="J248" i="12" s="1"/>
  <c r="J260" i="12" s="1"/>
  <c r="J272" i="12" s="1"/>
  <c r="J284" i="12" s="1"/>
  <c r="J296" i="12" s="1"/>
  <c r="J308" i="12" s="1"/>
  <c r="J320" i="12" s="1"/>
  <c r="J332" i="12" s="1"/>
  <c r="J344" i="12" s="1"/>
  <c r="J356" i="12" s="1"/>
  <c r="J368" i="12" s="1"/>
  <c r="J380" i="12" s="1"/>
  <c r="J392" i="12" s="1"/>
  <c r="J404" i="12" s="1"/>
  <c r="J416" i="12" s="1"/>
  <c r="J428" i="12" s="1"/>
  <c r="J440" i="12" s="1"/>
  <c r="J452" i="12" s="1"/>
  <c r="J464" i="12" s="1"/>
  <c r="J476" i="12" s="1"/>
  <c r="J488" i="12" s="1"/>
  <c r="J500" i="12" s="1"/>
  <c r="J512" i="12" s="1"/>
  <c r="J524" i="12" s="1"/>
  <c r="J536" i="12" s="1"/>
  <c r="J548" i="12" s="1"/>
  <c r="J560" i="12" s="1"/>
  <c r="J572" i="12" s="1"/>
  <c r="J22" i="12"/>
  <c r="J34" i="12" s="1"/>
  <c r="J46" i="12" s="1"/>
  <c r="J58" i="12" s="1"/>
  <c r="J70" i="12" s="1"/>
  <c r="J82" i="12" s="1"/>
  <c r="J94" i="12" s="1"/>
  <c r="J106" i="12" s="1"/>
  <c r="J118" i="12" s="1"/>
  <c r="J130" i="12" s="1"/>
  <c r="J142" i="12" s="1"/>
  <c r="J154" i="12" s="1"/>
  <c r="J166" i="12" s="1"/>
  <c r="J178" i="12" s="1"/>
  <c r="J190" i="12" s="1"/>
  <c r="J202" i="12" s="1"/>
  <c r="J214" i="12" s="1"/>
  <c r="J226" i="12" s="1"/>
  <c r="J238" i="12" s="1"/>
  <c r="J250" i="12" s="1"/>
  <c r="J262" i="12" s="1"/>
  <c r="J274" i="12" s="1"/>
  <c r="J286" i="12" s="1"/>
  <c r="J298" i="12" s="1"/>
  <c r="J310" i="12" s="1"/>
  <c r="J322" i="12" s="1"/>
  <c r="J334" i="12" s="1"/>
  <c r="J346" i="12" s="1"/>
  <c r="J358" i="12" s="1"/>
  <c r="J370" i="12" s="1"/>
  <c r="J382" i="12" s="1"/>
  <c r="J394" i="12" s="1"/>
  <c r="J406" i="12" s="1"/>
  <c r="J418" i="12" s="1"/>
  <c r="J430" i="12" s="1"/>
  <c r="J442" i="12" s="1"/>
  <c r="J454" i="12" s="1"/>
  <c r="J466" i="12" s="1"/>
  <c r="J478" i="12" s="1"/>
  <c r="J490" i="12" s="1"/>
  <c r="J502" i="12" s="1"/>
  <c r="J514" i="12" s="1"/>
  <c r="J526" i="12" s="1"/>
  <c r="J538" i="12" s="1"/>
  <c r="J550" i="12" s="1"/>
  <c r="J562" i="12" s="1"/>
  <c r="J574" i="12" s="1"/>
  <c r="I17" i="12"/>
  <c r="J23" i="12"/>
  <c r="J35" i="12" s="1"/>
  <c r="J47" i="12" s="1"/>
  <c r="J59" i="12" s="1"/>
  <c r="J71" i="12" s="1"/>
  <c r="J83" i="12" s="1"/>
  <c r="J95" i="12" s="1"/>
  <c r="J107" i="12" s="1"/>
  <c r="J119" i="12" s="1"/>
  <c r="J131" i="12" s="1"/>
  <c r="J143" i="12" s="1"/>
  <c r="J155" i="12" s="1"/>
  <c r="J167" i="12" s="1"/>
  <c r="J179" i="12" s="1"/>
  <c r="J191" i="12" s="1"/>
  <c r="J203" i="12" s="1"/>
  <c r="J215" i="12" s="1"/>
  <c r="J227" i="12" s="1"/>
  <c r="J239" i="12" s="1"/>
  <c r="J251" i="12" s="1"/>
  <c r="J263" i="12" s="1"/>
  <c r="J275" i="12" s="1"/>
  <c r="J287" i="12" s="1"/>
  <c r="J299" i="12" s="1"/>
  <c r="J311" i="12" s="1"/>
  <c r="J323" i="12" s="1"/>
  <c r="J335" i="12" s="1"/>
  <c r="J347" i="12" s="1"/>
  <c r="J359" i="12" s="1"/>
  <c r="J371" i="12" s="1"/>
  <c r="J383" i="12" s="1"/>
  <c r="J395" i="12" s="1"/>
  <c r="J407" i="12" s="1"/>
  <c r="J419" i="12" s="1"/>
  <c r="J431" i="12" s="1"/>
  <c r="J443" i="12" s="1"/>
  <c r="J455" i="12" s="1"/>
  <c r="J467" i="12" s="1"/>
  <c r="J479" i="12" s="1"/>
  <c r="J491" i="12" s="1"/>
  <c r="J503" i="12" s="1"/>
  <c r="J515" i="12" s="1"/>
  <c r="J527" i="12" s="1"/>
  <c r="J539" i="12" s="1"/>
  <c r="J551" i="12" s="1"/>
  <c r="J563" i="12" s="1"/>
  <c r="J575" i="12" s="1"/>
  <c r="G21" i="12"/>
  <c r="I25" i="12"/>
  <c r="G22" i="12"/>
  <c r="I18" i="12"/>
  <c r="J14" i="12"/>
  <c r="J26" i="12" s="1"/>
  <c r="J38" i="12" s="1"/>
  <c r="J50" i="12" s="1"/>
  <c r="J62" i="12" s="1"/>
  <c r="J74" i="12" s="1"/>
  <c r="J86" i="12" s="1"/>
  <c r="J98" i="12" s="1"/>
  <c r="J110" i="12" s="1"/>
  <c r="J122" i="12" s="1"/>
  <c r="J134" i="12" s="1"/>
  <c r="J146" i="12" s="1"/>
  <c r="J158" i="12" s="1"/>
  <c r="J170" i="12" s="1"/>
  <c r="J182" i="12" s="1"/>
  <c r="J194" i="12" s="1"/>
  <c r="J206" i="12" s="1"/>
  <c r="J218" i="12" s="1"/>
  <c r="J230" i="12" s="1"/>
  <c r="J242" i="12" s="1"/>
  <c r="J254" i="12" s="1"/>
  <c r="J266" i="12" s="1"/>
  <c r="J278" i="12" s="1"/>
  <c r="J290" i="12" s="1"/>
  <c r="J302" i="12" s="1"/>
  <c r="J314" i="12" s="1"/>
  <c r="J326" i="12" s="1"/>
  <c r="J338" i="12" s="1"/>
  <c r="J350" i="12" s="1"/>
  <c r="J362" i="12" s="1"/>
  <c r="J374" i="12" s="1"/>
  <c r="J386" i="12" s="1"/>
  <c r="J398" i="12" s="1"/>
  <c r="J410" i="12" s="1"/>
  <c r="J422" i="12" s="1"/>
  <c r="J434" i="12" s="1"/>
  <c r="J446" i="12" s="1"/>
  <c r="J458" i="12" s="1"/>
  <c r="J470" i="12" s="1"/>
  <c r="J482" i="12" s="1"/>
  <c r="J494" i="12" s="1"/>
  <c r="J506" i="12" s="1"/>
  <c r="J518" i="12" s="1"/>
  <c r="J530" i="12" s="1"/>
  <c r="J542" i="12" s="1"/>
  <c r="J554" i="12" s="1"/>
  <c r="J566" i="12" s="1"/>
  <c r="G14" i="12"/>
  <c r="G19" i="12"/>
  <c r="G18" i="12"/>
  <c r="G23" i="12"/>
  <c r="G24" i="12"/>
  <c r="G25" i="12"/>
  <c r="G20" i="12"/>
  <c r="I23" i="12"/>
  <c r="G35" i="12" s="1"/>
  <c r="G15" i="12"/>
  <c r="W36" i="12"/>
  <c r="W34" i="12"/>
  <c r="W29" i="12"/>
  <c r="W30" i="12"/>
  <c r="W35" i="12"/>
  <c r="W31" i="12"/>
  <c r="W37" i="12"/>
  <c r="W32" i="12"/>
  <c r="W33" i="12"/>
  <c r="W28" i="12"/>
  <c r="Z3" i="12"/>
  <c r="Z15" i="12" s="1"/>
  <c r="Z27" i="12" s="1"/>
  <c r="Z39" i="12" s="1"/>
  <c r="Z51" i="12" s="1"/>
  <c r="Z63" i="12" s="1"/>
  <c r="Z75" i="12" s="1"/>
  <c r="Z87" i="12" s="1"/>
  <c r="Z99" i="12" s="1"/>
  <c r="Z111" i="12" s="1"/>
  <c r="Z123" i="12" s="1"/>
  <c r="Z135" i="12" s="1"/>
  <c r="Z147" i="12" s="1"/>
  <c r="Z159" i="12" s="1"/>
  <c r="Z171" i="12" s="1"/>
  <c r="Z183" i="12" s="1"/>
  <c r="Z195" i="12" s="1"/>
  <c r="Z207" i="12" s="1"/>
  <c r="Z219" i="12" s="1"/>
  <c r="Z231" i="12" s="1"/>
  <c r="Z243" i="12" s="1"/>
  <c r="Z255" i="12" s="1"/>
  <c r="Z267" i="12" s="1"/>
  <c r="Z279" i="12" s="1"/>
  <c r="Z291" i="12" s="1"/>
  <c r="Z303" i="12" s="1"/>
  <c r="Z315" i="12" s="1"/>
  <c r="Z327" i="12" s="1"/>
  <c r="Z339" i="12" s="1"/>
  <c r="Z351" i="12" s="1"/>
  <c r="Z363" i="12" s="1"/>
  <c r="Z375" i="12" s="1"/>
  <c r="Z387" i="12" s="1"/>
  <c r="Z399" i="12" s="1"/>
  <c r="Z411" i="12" s="1"/>
  <c r="Z423" i="12" s="1"/>
  <c r="Z435" i="12" s="1"/>
  <c r="Z447" i="12" s="1"/>
  <c r="Z459" i="12" s="1"/>
  <c r="Z471" i="12" s="1"/>
  <c r="Z483" i="12" s="1"/>
  <c r="Z495" i="12" s="1"/>
  <c r="Z507" i="12" s="1"/>
  <c r="Z519" i="12" s="1"/>
  <c r="Z531" i="12" s="1"/>
  <c r="Z543" i="12" s="1"/>
  <c r="Z555" i="12" s="1"/>
  <c r="Z567" i="12" s="1"/>
  <c r="Z579" i="12" s="1"/>
  <c r="Z591" i="12" s="1"/>
  <c r="Z603" i="12" s="1"/>
  <c r="Z615" i="12" s="1"/>
  <c r="Z627" i="12" s="1"/>
  <c r="Z639" i="12" s="1"/>
  <c r="Z651" i="12" s="1"/>
  <c r="Z663" i="12" s="1"/>
  <c r="Z675" i="12" s="1"/>
  <c r="Z687" i="12" s="1"/>
  <c r="Z699" i="12" s="1"/>
  <c r="Z711" i="12" s="1"/>
  <c r="Z723" i="12" s="1"/>
  <c r="Z735" i="12" s="1"/>
  <c r="Z747" i="12" s="1"/>
  <c r="V3" i="12"/>
  <c r="V15" i="12" s="1"/>
  <c r="V27" i="12" s="1"/>
  <c r="V39" i="12" s="1"/>
  <c r="V51" i="12" s="1"/>
  <c r="V63" i="12" s="1"/>
  <c r="V75" i="12" s="1"/>
  <c r="V87" i="12" s="1"/>
  <c r="V99" i="12" s="1"/>
  <c r="V111" i="12" s="1"/>
  <c r="V123" i="12" s="1"/>
  <c r="V135" i="12" s="1"/>
  <c r="V147" i="12" s="1"/>
  <c r="V159" i="12" s="1"/>
  <c r="V171" i="12" s="1"/>
  <c r="V183" i="12" s="1"/>
  <c r="V195" i="12" s="1"/>
  <c r="V207" i="12" s="1"/>
  <c r="V219" i="12" s="1"/>
  <c r="V231" i="12" s="1"/>
  <c r="V243" i="12" s="1"/>
  <c r="V255" i="12" s="1"/>
  <c r="V267" i="12" s="1"/>
  <c r="V279" i="12" s="1"/>
  <c r="V291" i="12" s="1"/>
  <c r="V303" i="12" s="1"/>
  <c r="V315" i="12" s="1"/>
  <c r="V327" i="12" s="1"/>
  <c r="V339" i="12" s="1"/>
  <c r="V351" i="12" s="1"/>
  <c r="V363" i="12" s="1"/>
  <c r="V375" i="12" s="1"/>
  <c r="V387" i="12" s="1"/>
  <c r="V399" i="12" s="1"/>
  <c r="V411" i="12" s="1"/>
  <c r="V423" i="12" s="1"/>
  <c r="V435" i="12" s="1"/>
  <c r="V447" i="12" s="1"/>
  <c r="V459" i="12" s="1"/>
  <c r="V471" i="12" s="1"/>
  <c r="V483" i="12" s="1"/>
  <c r="V495" i="12" s="1"/>
  <c r="V507" i="12" s="1"/>
  <c r="V519" i="12" s="1"/>
  <c r="V531" i="12" s="1"/>
  <c r="V543" i="12" s="1"/>
  <c r="V555" i="12" s="1"/>
  <c r="V567" i="12" s="1"/>
  <c r="V579" i="12" s="1"/>
  <c r="V591" i="12" s="1"/>
  <c r="V603" i="12" s="1"/>
  <c r="V615" i="12" s="1"/>
  <c r="V627" i="12" s="1"/>
  <c r="V639" i="12" s="1"/>
  <c r="V651" i="12" s="1"/>
  <c r="V663" i="12" s="1"/>
  <c r="V675" i="12" s="1"/>
  <c r="V687" i="12" s="1"/>
  <c r="V699" i="12" s="1"/>
  <c r="V711" i="12" s="1"/>
  <c r="V723" i="12" s="1"/>
  <c r="V735" i="12" s="1"/>
  <c r="V747" i="12" s="1"/>
  <c r="J584" i="12" l="1"/>
  <c r="J596" i="12" s="1"/>
  <c r="J608" i="12" s="1"/>
  <c r="J620" i="12" s="1"/>
  <c r="J632" i="12" s="1"/>
  <c r="J644" i="12" s="1"/>
  <c r="J656" i="12" s="1"/>
  <c r="J668" i="12" s="1"/>
  <c r="J680" i="12" s="1"/>
  <c r="J692" i="12" s="1"/>
  <c r="J704" i="12" s="1"/>
  <c r="J716" i="12" s="1"/>
  <c r="J728" i="12" s="1"/>
  <c r="J740" i="12" s="1"/>
  <c r="J752" i="12" s="1"/>
  <c r="J579" i="12"/>
  <c r="J591" i="12" s="1"/>
  <c r="J603" i="12" s="1"/>
  <c r="J615" i="12" s="1"/>
  <c r="J627" i="12" s="1"/>
  <c r="J639" i="12" s="1"/>
  <c r="J651" i="12" s="1"/>
  <c r="J663" i="12" s="1"/>
  <c r="J675" i="12" s="1"/>
  <c r="J687" i="12" s="1"/>
  <c r="J699" i="12" s="1"/>
  <c r="J711" i="12" s="1"/>
  <c r="J723" i="12" s="1"/>
  <c r="J735" i="12" s="1"/>
  <c r="J747" i="12" s="1"/>
  <c r="J588" i="12"/>
  <c r="J600" i="12" s="1"/>
  <c r="J612" i="12" s="1"/>
  <c r="J624" i="12" s="1"/>
  <c r="J636" i="12" s="1"/>
  <c r="J648" i="12" s="1"/>
  <c r="J660" i="12" s="1"/>
  <c r="J672" i="12" s="1"/>
  <c r="J684" i="12" s="1"/>
  <c r="J696" i="12" s="1"/>
  <c r="J708" i="12" s="1"/>
  <c r="J720" i="12" s="1"/>
  <c r="J732" i="12" s="1"/>
  <c r="J744" i="12" s="1"/>
  <c r="J756" i="12" s="1"/>
  <c r="J578" i="12"/>
  <c r="J590" i="12" s="1"/>
  <c r="J602" i="12" s="1"/>
  <c r="J614" i="12" s="1"/>
  <c r="J626" i="12" s="1"/>
  <c r="J638" i="12" s="1"/>
  <c r="J650" i="12" s="1"/>
  <c r="J662" i="12" s="1"/>
  <c r="J674" i="12" s="1"/>
  <c r="J686" i="12" s="1"/>
  <c r="J698" i="12" s="1"/>
  <c r="J710" i="12" s="1"/>
  <c r="J722" i="12" s="1"/>
  <c r="J734" i="12" s="1"/>
  <c r="J746" i="12" s="1"/>
  <c r="J587" i="12"/>
  <c r="J599" i="12" s="1"/>
  <c r="J611" i="12" s="1"/>
  <c r="J623" i="12" s="1"/>
  <c r="J635" i="12" s="1"/>
  <c r="J647" i="12" s="1"/>
  <c r="J659" i="12" s="1"/>
  <c r="J671" i="12" s="1"/>
  <c r="J683" i="12" s="1"/>
  <c r="J695" i="12" s="1"/>
  <c r="J707" i="12" s="1"/>
  <c r="J719" i="12" s="1"/>
  <c r="J731" i="12" s="1"/>
  <c r="J743" i="12" s="1"/>
  <c r="J755" i="12" s="1"/>
  <c r="J580" i="12"/>
  <c r="J592" i="12" s="1"/>
  <c r="J604" i="12" s="1"/>
  <c r="J616" i="12" s="1"/>
  <c r="J628" i="12" s="1"/>
  <c r="J640" i="12" s="1"/>
  <c r="J652" i="12" s="1"/>
  <c r="J664" i="12" s="1"/>
  <c r="J676" i="12" s="1"/>
  <c r="J688" i="12" s="1"/>
  <c r="J700" i="12" s="1"/>
  <c r="J712" i="12" s="1"/>
  <c r="J724" i="12" s="1"/>
  <c r="J736" i="12" s="1"/>
  <c r="J748" i="12" s="1"/>
  <c r="J582" i="12"/>
  <c r="J594" i="12" s="1"/>
  <c r="J606" i="12" s="1"/>
  <c r="J618" i="12" s="1"/>
  <c r="J630" i="12" s="1"/>
  <c r="J642" i="12" s="1"/>
  <c r="J654" i="12" s="1"/>
  <c r="J666" i="12" s="1"/>
  <c r="J678" i="12" s="1"/>
  <c r="J690" i="12" s="1"/>
  <c r="J702" i="12" s="1"/>
  <c r="J714" i="12" s="1"/>
  <c r="J726" i="12" s="1"/>
  <c r="J738" i="12" s="1"/>
  <c r="J750" i="12" s="1"/>
  <c r="J583" i="12"/>
  <c r="J595" i="12" s="1"/>
  <c r="J607" i="12" s="1"/>
  <c r="J619" i="12" s="1"/>
  <c r="J631" i="12" s="1"/>
  <c r="J643" i="12" s="1"/>
  <c r="J655" i="12" s="1"/>
  <c r="J667" i="12" s="1"/>
  <c r="J679" i="12" s="1"/>
  <c r="J691" i="12" s="1"/>
  <c r="J703" i="12" s="1"/>
  <c r="J715" i="12" s="1"/>
  <c r="J727" i="12" s="1"/>
  <c r="J739" i="12" s="1"/>
  <c r="J751" i="12" s="1"/>
  <c r="J589" i="12"/>
  <c r="J601" i="12" s="1"/>
  <c r="J613" i="12" s="1"/>
  <c r="J625" i="12" s="1"/>
  <c r="J637" i="12" s="1"/>
  <c r="J649" i="12" s="1"/>
  <c r="J661" i="12" s="1"/>
  <c r="J673" i="12" s="1"/>
  <c r="J685" i="12" s="1"/>
  <c r="J697" i="12" s="1"/>
  <c r="J709" i="12" s="1"/>
  <c r="J721" i="12" s="1"/>
  <c r="J733" i="12" s="1"/>
  <c r="J745" i="12" s="1"/>
  <c r="J757" i="12" s="1"/>
  <c r="J586" i="12"/>
  <c r="J598" i="12" s="1"/>
  <c r="J610" i="12" s="1"/>
  <c r="J622" i="12" s="1"/>
  <c r="J634" i="12" s="1"/>
  <c r="J646" i="12" s="1"/>
  <c r="J658" i="12" s="1"/>
  <c r="J670" i="12" s="1"/>
  <c r="J682" i="12" s="1"/>
  <c r="J694" i="12" s="1"/>
  <c r="J706" i="12" s="1"/>
  <c r="J718" i="12" s="1"/>
  <c r="J730" i="12" s="1"/>
  <c r="J742" i="12" s="1"/>
  <c r="J754" i="12" s="1"/>
  <c r="J581" i="12"/>
  <c r="J593" i="12" s="1"/>
  <c r="J605" i="12" s="1"/>
  <c r="J617" i="12" s="1"/>
  <c r="J629" i="12" s="1"/>
  <c r="J641" i="12" s="1"/>
  <c r="J653" i="12" s="1"/>
  <c r="J665" i="12" s="1"/>
  <c r="J677" i="12" s="1"/>
  <c r="J689" i="12" s="1"/>
  <c r="J701" i="12" s="1"/>
  <c r="J713" i="12" s="1"/>
  <c r="J725" i="12" s="1"/>
  <c r="J737" i="12" s="1"/>
  <c r="J749" i="12" s="1"/>
  <c r="J585" i="12"/>
  <c r="J597" i="12" s="1"/>
  <c r="J609" i="12" s="1"/>
  <c r="J621" i="12" s="1"/>
  <c r="J633" i="12" s="1"/>
  <c r="J645" i="12" s="1"/>
  <c r="J657" i="12" s="1"/>
  <c r="J669" i="12" s="1"/>
  <c r="J681" i="12" s="1"/>
  <c r="J693" i="12" s="1"/>
  <c r="J705" i="12" s="1"/>
  <c r="J717" i="12" s="1"/>
  <c r="J729" i="12" s="1"/>
  <c r="J741" i="12" s="1"/>
  <c r="J753" i="12" s="1"/>
  <c r="U45" i="12"/>
  <c r="W45" i="12"/>
  <c r="W57" i="12" s="1"/>
  <c r="W69" i="12" s="1"/>
  <c r="W81" i="12" s="1"/>
  <c r="W93" i="12" s="1"/>
  <c r="W105" i="12" s="1"/>
  <c r="W117" i="12" s="1"/>
  <c r="W129" i="12" s="1"/>
  <c r="W141" i="12" s="1"/>
  <c r="W153" i="12" s="1"/>
  <c r="W165" i="12" s="1"/>
  <c r="W177" i="12" s="1"/>
  <c r="W189" i="12" s="1"/>
  <c r="W201" i="12" s="1"/>
  <c r="W213" i="12" s="1"/>
  <c r="W225" i="12" s="1"/>
  <c r="W237" i="12" s="1"/>
  <c r="W249" i="12" s="1"/>
  <c r="W261" i="12" s="1"/>
  <c r="W273" i="12" s="1"/>
  <c r="W285" i="12" s="1"/>
  <c r="W297" i="12" s="1"/>
  <c r="W309" i="12" s="1"/>
  <c r="W321" i="12" s="1"/>
  <c r="W333" i="12" s="1"/>
  <c r="W345" i="12" s="1"/>
  <c r="W357" i="12" s="1"/>
  <c r="W369" i="12" s="1"/>
  <c r="W381" i="12" s="1"/>
  <c r="W393" i="12" s="1"/>
  <c r="W405" i="12" s="1"/>
  <c r="W417" i="12" s="1"/>
  <c r="W429" i="12" s="1"/>
  <c r="W441" i="12" s="1"/>
  <c r="W453" i="12" s="1"/>
  <c r="U47" i="12"/>
  <c r="W47" i="12"/>
  <c r="W59" i="12" s="1"/>
  <c r="W71" i="12" s="1"/>
  <c r="W83" i="12" s="1"/>
  <c r="W95" i="12" s="1"/>
  <c r="W107" i="12" s="1"/>
  <c r="W119" i="12" s="1"/>
  <c r="W131" i="12" s="1"/>
  <c r="W143" i="12" s="1"/>
  <c r="W155" i="12" s="1"/>
  <c r="W167" i="12" s="1"/>
  <c r="W179" i="12" s="1"/>
  <c r="W191" i="12" s="1"/>
  <c r="W203" i="12" s="1"/>
  <c r="W215" i="12" s="1"/>
  <c r="W227" i="12" s="1"/>
  <c r="W239" i="12" s="1"/>
  <c r="W251" i="12" s="1"/>
  <c r="W263" i="12" s="1"/>
  <c r="W275" i="12" s="1"/>
  <c r="W287" i="12" s="1"/>
  <c r="W299" i="12" s="1"/>
  <c r="W311" i="12" s="1"/>
  <c r="W323" i="12" s="1"/>
  <c r="W335" i="12" s="1"/>
  <c r="W347" i="12" s="1"/>
  <c r="W359" i="12" s="1"/>
  <c r="W371" i="12" s="1"/>
  <c r="W383" i="12" s="1"/>
  <c r="W395" i="12" s="1"/>
  <c r="W407" i="12" s="1"/>
  <c r="W419" i="12" s="1"/>
  <c r="W431" i="12" s="1"/>
  <c r="W443" i="12" s="1"/>
  <c r="W455" i="12" s="1"/>
  <c r="U48" i="12"/>
  <c r="W48" i="12"/>
  <c r="W60" i="12" s="1"/>
  <c r="W72" i="12" s="1"/>
  <c r="W84" i="12" s="1"/>
  <c r="W96" i="12" s="1"/>
  <c r="W108" i="12" s="1"/>
  <c r="W120" i="12" s="1"/>
  <c r="W132" i="12" s="1"/>
  <c r="W144" i="12" s="1"/>
  <c r="W156" i="12" s="1"/>
  <c r="W168" i="12" s="1"/>
  <c r="W180" i="12" s="1"/>
  <c r="W192" i="12" s="1"/>
  <c r="W204" i="12" s="1"/>
  <c r="W216" i="12" s="1"/>
  <c r="W228" i="12" s="1"/>
  <c r="W240" i="12" s="1"/>
  <c r="W252" i="12" s="1"/>
  <c r="W264" i="12" s="1"/>
  <c r="W276" i="12" s="1"/>
  <c r="W288" i="12" s="1"/>
  <c r="W300" i="12" s="1"/>
  <c r="W312" i="12" s="1"/>
  <c r="W324" i="12" s="1"/>
  <c r="W336" i="12" s="1"/>
  <c r="W348" i="12" s="1"/>
  <c r="W360" i="12" s="1"/>
  <c r="W372" i="12" s="1"/>
  <c r="W384" i="12" s="1"/>
  <c r="W396" i="12" s="1"/>
  <c r="W408" i="12" s="1"/>
  <c r="W420" i="12" s="1"/>
  <c r="W432" i="12" s="1"/>
  <c r="W444" i="12" s="1"/>
  <c r="W456" i="12" s="1"/>
  <c r="U44" i="12"/>
  <c r="W44" i="12"/>
  <c r="W56" i="12" s="1"/>
  <c r="W68" i="12" s="1"/>
  <c r="W80" i="12" s="1"/>
  <c r="W92" i="12" s="1"/>
  <c r="W104" i="12" s="1"/>
  <c r="W116" i="12" s="1"/>
  <c r="W128" i="12" s="1"/>
  <c r="W140" i="12" s="1"/>
  <c r="W152" i="12" s="1"/>
  <c r="W164" i="12" s="1"/>
  <c r="W176" i="12" s="1"/>
  <c r="W188" i="12" s="1"/>
  <c r="W200" i="12" s="1"/>
  <c r="W212" i="12" s="1"/>
  <c r="W224" i="12" s="1"/>
  <c r="W236" i="12" s="1"/>
  <c r="W248" i="12" s="1"/>
  <c r="W260" i="12" s="1"/>
  <c r="W272" i="12" s="1"/>
  <c r="W284" i="12" s="1"/>
  <c r="W296" i="12" s="1"/>
  <c r="W308" i="12" s="1"/>
  <c r="W320" i="12" s="1"/>
  <c r="W332" i="12" s="1"/>
  <c r="W344" i="12" s="1"/>
  <c r="W356" i="12" s="1"/>
  <c r="W368" i="12" s="1"/>
  <c r="W380" i="12" s="1"/>
  <c r="W392" i="12" s="1"/>
  <c r="W404" i="12" s="1"/>
  <c r="W416" i="12" s="1"/>
  <c r="W428" i="12" s="1"/>
  <c r="W440" i="12" s="1"/>
  <c r="W452" i="12" s="1"/>
  <c r="U42" i="12"/>
  <c r="W42" i="12"/>
  <c r="W54" i="12" s="1"/>
  <c r="W66" i="12" s="1"/>
  <c r="W78" i="12" s="1"/>
  <c r="W90" i="12" s="1"/>
  <c r="W102" i="12" s="1"/>
  <c r="W114" i="12" s="1"/>
  <c r="W126" i="12" s="1"/>
  <c r="W138" i="12" s="1"/>
  <c r="W150" i="12" s="1"/>
  <c r="W162" i="12" s="1"/>
  <c r="W174" i="12" s="1"/>
  <c r="W186" i="12" s="1"/>
  <c r="W198" i="12" s="1"/>
  <c r="W210" i="12" s="1"/>
  <c r="W222" i="12" s="1"/>
  <c r="W234" i="12" s="1"/>
  <c r="W246" i="12" s="1"/>
  <c r="W258" i="12" s="1"/>
  <c r="W270" i="12" s="1"/>
  <c r="W282" i="12" s="1"/>
  <c r="W294" i="12" s="1"/>
  <c r="W306" i="12" s="1"/>
  <c r="W318" i="12" s="1"/>
  <c r="W330" i="12" s="1"/>
  <c r="W342" i="12" s="1"/>
  <c r="W354" i="12" s="1"/>
  <c r="W366" i="12" s="1"/>
  <c r="W378" i="12" s="1"/>
  <c r="W390" i="12" s="1"/>
  <c r="W402" i="12" s="1"/>
  <c r="W414" i="12" s="1"/>
  <c r="W426" i="12" s="1"/>
  <c r="W438" i="12" s="1"/>
  <c r="W450" i="12" s="1"/>
  <c r="U49" i="12"/>
  <c r="W49" i="12"/>
  <c r="W61" i="12" s="1"/>
  <c r="W73" i="12" s="1"/>
  <c r="W85" i="12" s="1"/>
  <c r="W97" i="12" s="1"/>
  <c r="W109" i="12" s="1"/>
  <c r="W121" i="12" s="1"/>
  <c r="W133" i="12" s="1"/>
  <c r="W145" i="12" s="1"/>
  <c r="W157" i="12" s="1"/>
  <c r="W169" i="12" s="1"/>
  <c r="W181" i="12" s="1"/>
  <c r="W193" i="12" s="1"/>
  <c r="W205" i="12" s="1"/>
  <c r="W217" i="12" s="1"/>
  <c r="W229" i="12" s="1"/>
  <c r="W241" i="12" s="1"/>
  <c r="W253" i="12" s="1"/>
  <c r="W265" i="12" s="1"/>
  <c r="W277" i="12" s="1"/>
  <c r="W289" i="12" s="1"/>
  <c r="W301" i="12" s="1"/>
  <c r="W313" i="12" s="1"/>
  <c r="W325" i="12" s="1"/>
  <c r="W337" i="12" s="1"/>
  <c r="W349" i="12" s="1"/>
  <c r="W361" i="12" s="1"/>
  <c r="W373" i="12" s="1"/>
  <c r="W385" i="12" s="1"/>
  <c r="W397" i="12" s="1"/>
  <c r="W409" i="12" s="1"/>
  <c r="W421" i="12" s="1"/>
  <c r="W433" i="12" s="1"/>
  <c r="W445" i="12" s="1"/>
  <c r="W457" i="12" s="1"/>
  <c r="U41" i="12"/>
  <c r="W41" i="12"/>
  <c r="W53" i="12" s="1"/>
  <c r="W65" i="12" s="1"/>
  <c r="W77" i="12" s="1"/>
  <c r="W89" i="12" s="1"/>
  <c r="W101" i="12" s="1"/>
  <c r="W113" i="12" s="1"/>
  <c r="W125" i="12" s="1"/>
  <c r="W137" i="12" s="1"/>
  <c r="W149" i="12" s="1"/>
  <c r="W161" i="12" s="1"/>
  <c r="W173" i="12" s="1"/>
  <c r="W185" i="12" s="1"/>
  <c r="W197" i="12" s="1"/>
  <c r="W209" i="12" s="1"/>
  <c r="W221" i="12" s="1"/>
  <c r="W233" i="12" s="1"/>
  <c r="W245" i="12" s="1"/>
  <c r="W257" i="12" s="1"/>
  <c r="W269" i="12" s="1"/>
  <c r="W281" i="12" s="1"/>
  <c r="W293" i="12" s="1"/>
  <c r="W305" i="12" s="1"/>
  <c r="W317" i="12" s="1"/>
  <c r="W329" i="12" s="1"/>
  <c r="W341" i="12" s="1"/>
  <c r="W353" i="12" s="1"/>
  <c r="W365" i="12" s="1"/>
  <c r="W377" i="12" s="1"/>
  <c r="W389" i="12" s="1"/>
  <c r="W401" i="12" s="1"/>
  <c r="W413" i="12" s="1"/>
  <c r="W425" i="12" s="1"/>
  <c r="W437" i="12" s="1"/>
  <c r="W449" i="12" s="1"/>
  <c r="U40" i="12"/>
  <c r="W40" i="12"/>
  <c r="W52" i="12" s="1"/>
  <c r="W64" i="12" s="1"/>
  <c r="W76" i="12" s="1"/>
  <c r="W88" i="12" s="1"/>
  <c r="W100" i="12" s="1"/>
  <c r="W112" i="12" s="1"/>
  <c r="W124" i="12" s="1"/>
  <c r="W136" i="12" s="1"/>
  <c r="W148" i="12" s="1"/>
  <c r="W160" i="12" s="1"/>
  <c r="W172" i="12" s="1"/>
  <c r="W184" i="12" s="1"/>
  <c r="W196" i="12" s="1"/>
  <c r="W208" i="12" s="1"/>
  <c r="W220" i="12" s="1"/>
  <c r="W232" i="12" s="1"/>
  <c r="W244" i="12" s="1"/>
  <c r="W256" i="12" s="1"/>
  <c r="W268" i="12" s="1"/>
  <c r="W280" i="12" s="1"/>
  <c r="W292" i="12" s="1"/>
  <c r="W304" i="12" s="1"/>
  <c r="W316" i="12" s="1"/>
  <c r="W328" i="12" s="1"/>
  <c r="W340" i="12" s="1"/>
  <c r="W352" i="12" s="1"/>
  <c r="W364" i="12" s="1"/>
  <c r="W376" i="12" s="1"/>
  <c r="W388" i="12" s="1"/>
  <c r="W400" i="12" s="1"/>
  <c r="W412" i="12" s="1"/>
  <c r="W424" i="12" s="1"/>
  <c r="W436" i="12" s="1"/>
  <c r="W448" i="12" s="1"/>
  <c r="U43" i="12"/>
  <c r="W43" i="12"/>
  <c r="W55" i="12" s="1"/>
  <c r="W67" i="12" s="1"/>
  <c r="W79" i="12" s="1"/>
  <c r="W91" i="12" s="1"/>
  <c r="W103" i="12" s="1"/>
  <c r="W115" i="12" s="1"/>
  <c r="W127" i="12" s="1"/>
  <c r="W139" i="12" s="1"/>
  <c r="W151" i="12" s="1"/>
  <c r="W163" i="12" s="1"/>
  <c r="W175" i="12" s="1"/>
  <c r="W187" i="12" s="1"/>
  <c r="W199" i="12" s="1"/>
  <c r="W211" i="12" s="1"/>
  <c r="W223" i="12" s="1"/>
  <c r="W235" i="12" s="1"/>
  <c r="W247" i="12" s="1"/>
  <c r="W259" i="12" s="1"/>
  <c r="W271" i="12" s="1"/>
  <c r="W283" i="12" s="1"/>
  <c r="W295" i="12" s="1"/>
  <c r="W307" i="12" s="1"/>
  <c r="W319" i="12" s="1"/>
  <c r="W331" i="12" s="1"/>
  <c r="W343" i="12" s="1"/>
  <c r="W355" i="12" s="1"/>
  <c r="W367" i="12" s="1"/>
  <c r="W379" i="12" s="1"/>
  <c r="W391" i="12" s="1"/>
  <c r="W403" i="12" s="1"/>
  <c r="W415" i="12" s="1"/>
  <c r="W427" i="12" s="1"/>
  <c r="W439" i="12" s="1"/>
  <c r="W451" i="12" s="1"/>
  <c r="U46" i="12"/>
  <c r="W46" i="12"/>
  <c r="W58" i="12" s="1"/>
  <c r="W70" i="12" s="1"/>
  <c r="W82" i="12" s="1"/>
  <c r="W94" i="12" s="1"/>
  <c r="W106" i="12" s="1"/>
  <c r="W118" i="12" s="1"/>
  <c r="W130" i="12" s="1"/>
  <c r="W142" i="12" s="1"/>
  <c r="W154" i="12" s="1"/>
  <c r="W166" i="12" s="1"/>
  <c r="W178" i="12" s="1"/>
  <c r="W190" i="12" s="1"/>
  <c r="W202" i="12" s="1"/>
  <c r="W214" i="12" s="1"/>
  <c r="W226" i="12" s="1"/>
  <c r="W238" i="12" s="1"/>
  <c r="W250" i="12" s="1"/>
  <c r="W262" i="12" s="1"/>
  <c r="W274" i="12" s="1"/>
  <c r="W286" i="12" s="1"/>
  <c r="W298" i="12" s="1"/>
  <c r="W310" i="12" s="1"/>
  <c r="W322" i="12" s="1"/>
  <c r="W334" i="12" s="1"/>
  <c r="W346" i="12" s="1"/>
  <c r="W358" i="12" s="1"/>
  <c r="W370" i="12" s="1"/>
  <c r="W382" i="12" s="1"/>
  <c r="W394" i="12" s="1"/>
  <c r="W406" i="12" s="1"/>
  <c r="W418" i="12" s="1"/>
  <c r="W430" i="12" s="1"/>
  <c r="W442" i="12" s="1"/>
  <c r="W454" i="12" s="1"/>
  <c r="I37" i="12"/>
  <c r="G49" i="12" s="1"/>
  <c r="G37" i="12"/>
  <c r="I31" i="12"/>
  <c r="I43" i="12" s="1"/>
  <c r="G31" i="12"/>
  <c r="G29" i="12"/>
  <c r="I29" i="12"/>
  <c r="G41" i="12" s="1"/>
  <c r="I30" i="12"/>
  <c r="I42" i="12" s="1"/>
  <c r="G30" i="12"/>
  <c r="I32" i="12"/>
  <c r="G32" i="12"/>
  <c r="I27" i="12"/>
  <c r="I39" i="12" s="1"/>
  <c r="G27" i="12"/>
  <c r="I36" i="12"/>
  <c r="G48" i="12" s="1"/>
  <c r="G36" i="12"/>
  <c r="G17" i="12"/>
  <c r="I22" i="12"/>
  <c r="I21" i="12"/>
  <c r="I16" i="12"/>
  <c r="I14" i="12"/>
  <c r="I35" i="12"/>
  <c r="I47" i="12" s="1"/>
  <c r="I49" i="12"/>
  <c r="U54" i="12"/>
  <c r="BN2" i="18"/>
  <c r="W2" i="12" s="1"/>
  <c r="U14" i="12" s="1"/>
  <c r="O7" i="12"/>
  <c r="O26" i="12"/>
  <c r="O38" i="12" s="1"/>
  <c r="O50" i="12" s="1"/>
  <c r="O62" i="12" s="1"/>
  <c r="O74" i="12" s="1"/>
  <c r="O86" i="12" s="1"/>
  <c r="O98" i="12" s="1"/>
  <c r="O110" i="12" s="1"/>
  <c r="O9" i="12"/>
  <c r="BO2" i="18"/>
  <c r="BN3" i="18"/>
  <c r="W3" i="12" s="1"/>
  <c r="BO3" i="18"/>
  <c r="X3" i="12" s="1"/>
  <c r="Y3" i="12" s="1"/>
  <c r="Y15" i="12" s="1"/>
  <c r="Y27" i="12" s="1"/>
  <c r="Y39" i="12" s="1"/>
  <c r="Y51" i="12" s="1"/>
  <c r="Y63" i="12" s="1"/>
  <c r="Y75" i="12" s="1"/>
  <c r="Y87" i="12" s="1"/>
  <c r="Y99" i="12" s="1"/>
  <c r="Y111" i="12" s="1"/>
  <c r="Y123" i="12" s="1"/>
  <c r="Y135" i="12" s="1"/>
  <c r="Y147" i="12" s="1"/>
  <c r="Y159" i="12" s="1"/>
  <c r="Y171" i="12" s="1"/>
  <c r="Y183" i="12" s="1"/>
  <c r="Y195" i="12" s="1"/>
  <c r="Y207" i="12" s="1"/>
  <c r="Y219" i="12" s="1"/>
  <c r="Y231" i="12" s="1"/>
  <c r="Y243" i="12" s="1"/>
  <c r="Y255" i="12" s="1"/>
  <c r="Y267" i="12" s="1"/>
  <c r="Y279" i="12" s="1"/>
  <c r="Y291" i="12" s="1"/>
  <c r="Y303" i="12" s="1"/>
  <c r="Y315" i="12" s="1"/>
  <c r="Y327" i="12" s="1"/>
  <c r="Y339" i="12" s="1"/>
  <c r="Y351" i="12" s="1"/>
  <c r="Y363" i="12" s="1"/>
  <c r="Y375" i="12" s="1"/>
  <c r="Y387" i="12" s="1"/>
  <c r="Y399" i="12" s="1"/>
  <c r="Y411" i="12" s="1"/>
  <c r="Y423" i="12" s="1"/>
  <c r="Y435" i="12" s="1"/>
  <c r="Y447" i="12" s="1"/>
  <c r="Y459" i="12" s="1"/>
  <c r="Y471" i="12" s="1"/>
  <c r="Y483" i="12" s="1"/>
  <c r="Y495" i="12" s="1"/>
  <c r="Y507" i="12" s="1"/>
  <c r="Y519" i="12" s="1"/>
  <c r="Y531" i="12" s="1"/>
  <c r="Y543" i="12" s="1"/>
  <c r="Y555" i="12" s="1"/>
  <c r="Y567" i="12" s="1"/>
  <c r="Y579" i="12" s="1"/>
  <c r="Y591" i="12" s="1"/>
  <c r="Y603" i="12" s="1"/>
  <c r="Y615" i="12" s="1"/>
  <c r="Y627" i="12" s="1"/>
  <c r="Y639" i="12" s="1"/>
  <c r="Y651" i="12" s="1"/>
  <c r="Y663" i="12" s="1"/>
  <c r="Y675" i="12" s="1"/>
  <c r="Y687" i="12" s="1"/>
  <c r="Y699" i="12" s="1"/>
  <c r="Y711" i="12" s="1"/>
  <c r="Y723" i="12" s="1"/>
  <c r="Y735" i="12" s="1"/>
  <c r="Y747" i="12" s="1"/>
  <c r="O11" i="12"/>
  <c r="O4" i="12"/>
  <c r="O3" i="12"/>
  <c r="O12" i="12"/>
  <c r="O13" i="12"/>
  <c r="O6" i="12"/>
  <c r="O10" i="12"/>
  <c r="O8" i="12"/>
  <c r="U60" i="12" l="1"/>
  <c r="U57" i="12"/>
  <c r="O23" i="12"/>
  <c r="O35" i="12" s="1"/>
  <c r="O47" i="12" s="1"/>
  <c r="O59" i="12" s="1"/>
  <c r="O71" i="12" s="1"/>
  <c r="O83" i="12" s="1"/>
  <c r="O95" i="12" s="1"/>
  <c r="O107" i="12" s="1"/>
  <c r="O20" i="12"/>
  <c r="O32" i="12" s="1"/>
  <c r="O44" i="12" s="1"/>
  <c r="O56" i="12" s="1"/>
  <c r="O68" i="12" s="1"/>
  <c r="O80" i="12" s="1"/>
  <c r="O92" i="12" s="1"/>
  <c r="O104" i="12" s="1"/>
  <c r="O24" i="12"/>
  <c r="O36" i="12" s="1"/>
  <c r="O48" i="12" s="1"/>
  <c r="O60" i="12" s="1"/>
  <c r="O72" i="12" s="1"/>
  <c r="O84" i="12" s="1"/>
  <c r="O96" i="12" s="1"/>
  <c r="O108" i="12" s="1"/>
  <c r="O22" i="12"/>
  <c r="O34" i="12" s="1"/>
  <c r="O46" i="12" s="1"/>
  <c r="O58" i="12" s="1"/>
  <c r="O70" i="12" s="1"/>
  <c r="O82" i="12" s="1"/>
  <c r="O94" i="12" s="1"/>
  <c r="O106" i="12" s="1"/>
  <c r="O25" i="12"/>
  <c r="O37" i="12" s="1"/>
  <c r="O49" i="12" s="1"/>
  <c r="O61" i="12" s="1"/>
  <c r="O73" i="12" s="1"/>
  <c r="O85" i="12" s="1"/>
  <c r="O97" i="12" s="1"/>
  <c r="O109" i="12" s="1"/>
  <c r="O21" i="12"/>
  <c r="O33" i="12" s="1"/>
  <c r="O45" i="12" s="1"/>
  <c r="O57" i="12" s="1"/>
  <c r="O69" i="12" s="1"/>
  <c r="O81" i="12" s="1"/>
  <c r="O93" i="12" s="1"/>
  <c r="O105" i="12" s="1"/>
  <c r="O15" i="12"/>
  <c r="O27" i="12" s="1"/>
  <c r="O39" i="12" s="1"/>
  <c r="O51" i="12" s="1"/>
  <c r="O63" i="12" s="1"/>
  <c r="O75" i="12" s="1"/>
  <c r="O87" i="12" s="1"/>
  <c r="O99" i="12" s="1"/>
  <c r="O19" i="12"/>
  <c r="O31" i="12" s="1"/>
  <c r="O43" i="12" s="1"/>
  <c r="O55" i="12" s="1"/>
  <c r="O67" i="12" s="1"/>
  <c r="O79" i="12" s="1"/>
  <c r="O91" i="12" s="1"/>
  <c r="O103" i="12" s="1"/>
  <c r="O18" i="12"/>
  <c r="O30" i="12" s="1"/>
  <c r="O42" i="12" s="1"/>
  <c r="O54" i="12" s="1"/>
  <c r="O66" i="12" s="1"/>
  <c r="O78" i="12" s="1"/>
  <c r="O90" i="12" s="1"/>
  <c r="O102" i="12" s="1"/>
  <c r="O16" i="12"/>
  <c r="O28" i="12" s="1"/>
  <c r="O40" i="12" s="1"/>
  <c r="O52" i="12" s="1"/>
  <c r="O64" i="12" s="1"/>
  <c r="O76" i="12" s="1"/>
  <c r="O88" i="12" s="1"/>
  <c r="O100" i="12" s="1"/>
  <c r="I48" i="12"/>
  <c r="U56" i="12"/>
  <c r="U59" i="12"/>
  <c r="W466" i="12"/>
  <c r="U454" i="12"/>
  <c r="W464" i="12"/>
  <c r="U452" i="12"/>
  <c r="W467" i="12"/>
  <c r="U455" i="12"/>
  <c r="U53" i="12"/>
  <c r="U58" i="12"/>
  <c r="U52" i="12"/>
  <c r="W460" i="12"/>
  <c r="U448" i="12"/>
  <c r="W461" i="12"/>
  <c r="U449" i="12"/>
  <c r="W468" i="12"/>
  <c r="U456" i="12"/>
  <c r="W465" i="12"/>
  <c r="U453" i="12"/>
  <c r="W469" i="12"/>
  <c r="U457" i="12"/>
  <c r="W463" i="12"/>
  <c r="U451" i="12"/>
  <c r="W462" i="12"/>
  <c r="U450" i="12"/>
  <c r="U61" i="12"/>
  <c r="U55" i="12"/>
  <c r="I41" i="12"/>
  <c r="I53" i="12" s="1"/>
  <c r="I65" i="12" s="1"/>
  <c r="I77" i="12" s="1"/>
  <c r="I89" i="12" s="1"/>
  <c r="I101" i="12" s="1"/>
  <c r="I113" i="12" s="1"/>
  <c r="I125" i="12" s="1"/>
  <c r="I137" i="12" s="1"/>
  <c r="I149" i="12" s="1"/>
  <c r="I161" i="12" s="1"/>
  <c r="I173" i="12" s="1"/>
  <c r="I185" i="12" s="1"/>
  <c r="I197" i="12" s="1"/>
  <c r="I209" i="12" s="1"/>
  <c r="I221" i="12" s="1"/>
  <c r="I233" i="12" s="1"/>
  <c r="I245" i="12" s="1"/>
  <c r="I257" i="12" s="1"/>
  <c r="I269" i="12" s="1"/>
  <c r="I281" i="12" s="1"/>
  <c r="I293" i="12" s="1"/>
  <c r="I305" i="12" s="1"/>
  <c r="I317" i="12" s="1"/>
  <c r="I329" i="12" s="1"/>
  <c r="I341" i="12" s="1"/>
  <c r="I353" i="12" s="1"/>
  <c r="I365" i="12" s="1"/>
  <c r="I377" i="12" s="1"/>
  <c r="I389" i="12" s="1"/>
  <c r="I401" i="12" s="1"/>
  <c r="I413" i="12" s="1"/>
  <c r="I425" i="12" s="1"/>
  <c r="I437" i="12" s="1"/>
  <c r="I449" i="12" s="1"/>
  <c r="I461" i="12" s="1"/>
  <c r="I473" i="12" s="1"/>
  <c r="I485" i="12" s="1"/>
  <c r="I497" i="12" s="1"/>
  <c r="I509" i="12" s="1"/>
  <c r="I521" i="12" s="1"/>
  <c r="I533" i="12" s="1"/>
  <c r="I545" i="12" s="1"/>
  <c r="I557" i="12" s="1"/>
  <c r="I569" i="12" s="1"/>
  <c r="G43" i="12"/>
  <c r="G39" i="12"/>
  <c r="G42" i="12"/>
  <c r="I28" i="12"/>
  <c r="G28" i="12"/>
  <c r="I33" i="12"/>
  <c r="G33" i="12"/>
  <c r="I34" i="12"/>
  <c r="G34" i="12"/>
  <c r="I44" i="12"/>
  <c r="G44" i="12"/>
  <c r="G26" i="12"/>
  <c r="I26" i="12"/>
  <c r="X2" i="12"/>
  <c r="Y2" i="12" s="1"/>
  <c r="Y14" i="12" s="1"/>
  <c r="Y26" i="12" s="1"/>
  <c r="Y38" i="12" s="1"/>
  <c r="Y50" i="12" s="1"/>
  <c r="Y62" i="12" s="1"/>
  <c r="Y74" i="12" s="1"/>
  <c r="Y86" i="12" s="1"/>
  <c r="Y98" i="12" s="1"/>
  <c r="Y110" i="12" s="1"/>
  <c r="Y122" i="12" s="1"/>
  <c r="Y134" i="12" s="1"/>
  <c r="Y146" i="12" s="1"/>
  <c r="Y158" i="12" s="1"/>
  <c r="Y170" i="12" s="1"/>
  <c r="Y182" i="12" s="1"/>
  <c r="Y194" i="12" s="1"/>
  <c r="Y206" i="12" s="1"/>
  <c r="Y218" i="12" s="1"/>
  <c r="Y230" i="12" s="1"/>
  <c r="Y242" i="12" s="1"/>
  <c r="Y254" i="12" s="1"/>
  <c r="Y266" i="12" s="1"/>
  <c r="Y278" i="12" s="1"/>
  <c r="Y290" i="12" s="1"/>
  <c r="Y302" i="12" s="1"/>
  <c r="Y314" i="12" s="1"/>
  <c r="Y326" i="12" s="1"/>
  <c r="Y338" i="12" s="1"/>
  <c r="Y350" i="12" s="1"/>
  <c r="Y362" i="12" s="1"/>
  <c r="Y374" i="12" s="1"/>
  <c r="Y386" i="12" s="1"/>
  <c r="Y398" i="12" s="1"/>
  <c r="Y410" i="12" s="1"/>
  <c r="Y422" i="12" s="1"/>
  <c r="Y434" i="12" s="1"/>
  <c r="Y446" i="12" s="1"/>
  <c r="Y458" i="12" s="1"/>
  <c r="Y470" i="12" s="1"/>
  <c r="Y482" i="12" s="1"/>
  <c r="Y494" i="12" s="1"/>
  <c r="Y506" i="12" s="1"/>
  <c r="Y518" i="12" s="1"/>
  <c r="Y530" i="12" s="1"/>
  <c r="Y542" i="12" s="1"/>
  <c r="Y554" i="12" s="1"/>
  <c r="Y566" i="12" s="1"/>
  <c r="Y578" i="12" s="1"/>
  <c r="Y590" i="12" s="1"/>
  <c r="Y602" i="12" s="1"/>
  <c r="Y614" i="12" s="1"/>
  <c r="Y626" i="12" s="1"/>
  <c r="Y638" i="12" s="1"/>
  <c r="Y650" i="12" s="1"/>
  <c r="Y662" i="12" s="1"/>
  <c r="Y674" i="12" s="1"/>
  <c r="Y686" i="12" s="1"/>
  <c r="Y698" i="12" s="1"/>
  <c r="Y710" i="12" s="1"/>
  <c r="Y722" i="12" s="1"/>
  <c r="Y734" i="12" s="1"/>
  <c r="Y746" i="12" s="1"/>
  <c r="O122" i="12"/>
  <c r="O134" i="12" s="1"/>
  <c r="O146" i="12" s="1"/>
  <c r="O158" i="12" s="1"/>
  <c r="O170" i="12" s="1"/>
  <c r="O182" i="12" s="1"/>
  <c r="O194" i="12" s="1"/>
  <c r="O206" i="12" s="1"/>
  <c r="O218" i="12" s="1"/>
  <c r="G47" i="12"/>
  <c r="BN2" i="8"/>
  <c r="P2" i="12" s="1"/>
  <c r="N14" i="12" s="1"/>
  <c r="U15" i="12"/>
  <c r="I54" i="12"/>
  <c r="I66" i="12" s="1"/>
  <c r="I78" i="12" s="1"/>
  <c r="I90" i="12" s="1"/>
  <c r="I102" i="12" s="1"/>
  <c r="I114" i="12" s="1"/>
  <c r="I126" i="12" s="1"/>
  <c r="I138" i="12" s="1"/>
  <c r="I150" i="12" s="1"/>
  <c r="I162" i="12" s="1"/>
  <c r="I174" i="12" s="1"/>
  <c r="I186" i="12" s="1"/>
  <c r="I198" i="12" s="1"/>
  <c r="I210" i="12" s="1"/>
  <c r="I222" i="12" s="1"/>
  <c r="I234" i="12" s="1"/>
  <c r="I246" i="12" s="1"/>
  <c r="I258" i="12" s="1"/>
  <c r="I270" i="12" s="1"/>
  <c r="I282" i="12" s="1"/>
  <c r="I294" i="12" s="1"/>
  <c r="I306" i="12" s="1"/>
  <c r="I318" i="12" s="1"/>
  <c r="I330" i="12" s="1"/>
  <c r="I342" i="12" s="1"/>
  <c r="I354" i="12" s="1"/>
  <c r="I366" i="12" s="1"/>
  <c r="I378" i="12" s="1"/>
  <c r="I390" i="12" s="1"/>
  <c r="I402" i="12" s="1"/>
  <c r="I414" i="12" s="1"/>
  <c r="I426" i="12" s="1"/>
  <c r="I438" i="12" s="1"/>
  <c r="I450" i="12" s="1"/>
  <c r="I462" i="12" s="1"/>
  <c r="I474" i="12" s="1"/>
  <c r="I486" i="12" s="1"/>
  <c r="I498" i="12" s="1"/>
  <c r="I510" i="12" s="1"/>
  <c r="I522" i="12" s="1"/>
  <c r="I534" i="12" s="1"/>
  <c r="I546" i="12" s="1"/>
  <c r="I558" i="12" s="1"/>
  <c r="I570" i="12" s="1"/>
  <c r="G54" i="12"/>
  <c r="I60" i="12"/>
  <c r="I72" i="12" s="1"/>
  <c r="I84" i="12" s="1"/>
  <c r="I96" i="12" s="1"/>
  <c r="I108" i="12" s="1"/>
  <c r="I120" i="12" s="1"/>
  <c r="I132" i="12" s="1"/>
  <c r="I144" i="12" s="1"/>
  <c r="I156" i="12" s="1"/>
  <c r="I168" i="12" s="1"/>
  <c r="I180" i="12" s="1"/>
  <c r="I192" i="12" s="1"/>
  <c r="I204" i="12" s="1"/>
  <c r="I216" i="12" s="1"/>
  <c r="I228" i="12" s="1"/>
  <c r="I240" i="12" s="1"/>
  <c r="I252" i="12" s="1"/>
  <c r="I264" i="12" s="1"/>
  <c r="I276" i="12" s="1"/>
  <c r="I288" i="12" s="1"/>
  <c r="I300" i="12" s="1"/>
  <c r="I312" i="12" s="1"/>
  <c r="I324" i="12" s="1"/>
  <c r="I336" i="12" s="1"/>
  <c r="I348" i="12" s="1"/>
  <c r="I360" i="12" s="1"/>
  <c r="I372" i="12" s="1"/>
  <c r="I384" i="12" s="1"/>
  <c r="I396" i="12" s="1"/>
  <c r="I408" i="12" s="1"/>
  <c r="I420" i="12" s="1"/>
  <c r="I432" i="12" s="1"/>
  <c r="I444" i="12" s="1"/>
  <c r="I456" i="12" s="1"/>
  <c r="I468" i="12" s="1"/>
  <c r="I480" i="12" s="1"/>
  <c r="I492" i="12" s="1"/>
  <c r="I504" i="12" s="1"/>
  <c r="I516" i="12" s="1"/>
  <c r="I528" i="12" s="1"/>
  <c r="I540" i="12" s="1"/>
  <c r="I552" i="12" s="1"/>
  <c r="I564" i="12" s="1"/>
  <c r="I576" i="12" s="1"/>
  <c r="G60" i="12"/>
  <c r="I61" i="12"/>
  <c r="I73" i="12" s="1"/>
  <c r="I85" i="12" s="1"/>
  <c r="I97" i="12" s="1"/>
  <c r="I109" i="12" s="1"/>
  <c r="I121" i="12" s="1"/>
  <c r="I133" i="12" s="1"/>
  <c r="I145" i="12" s="1"/>
  <c r="I157" i="12" s="1"/>
  <c r="I169" i="12" s="1"/>
  <c r="I181" i="12" s="1"/>
  <c r="I193" i="12" s="1"/>
  <c r="I205" i="12" s="1"/>
  <c r="I217" i="12" s="1"/>
  <c r="I229" i="12" s="1"/>
  <c r="I241" i="12" s="1"/>
  <c r="I253" i="12" s="1"/>
  <c r="I265" i="12" s="1"/>
  <c r="I277" i="12" s="1"/>
  <c r="I289" i="12" s="1"/>
  <c r="I301" i="12" s="1"/>
  <c r="I313" i="12" s="1"/>
  <c r="I325" i="12" s="1"/>
  <c r="I337" i="12" s="1"/>
  <c r="I349" i="12" s="1"/>
  <c r="I361" i="12" s="1"/>
  <c r="I373" i="12" s="1"/>
  <c r="I385" i="12" s="1"/>
  <c r="I397" i="12" s="1"/>
  <c r="I409" i="12" s="1"/>
  <c r="I421" i="12" s="1"/>
  <c r="I433" i="12" s="1"/>
  <c r="I445" i="12" s="1"/>
  <c r="I457" i="12" s="1"/>
  <c r="I469" i="12" s="1"/>
  <c r="I481" i="12" s="1"/>
  <c r="I493" i="12" s="1"/>
  <c r="I505" i="12" s="1"/>
  <c r="I517" i="12" s="1"/>
  <c r="I529" i="12" s="1"/>
  <c r="I541" i="12" s="1"/>
  <c r="I553" i="12" s="1"/>
  <c r="I565" i="12" s="1"/>
  <c r="I577" i="12" s="1"/>
  <c r="G61" i="12"/>
  <c r="I55" i="12"/>
  <c r="I67" i="12" s="1"/>
  <c r="I79" i="12" s="1"/>
  <c r="I91" i="12" s="1"/>
  <c r="I103" i="12" s="1"/>
  <c r="I115" i="12" s="1"/>
  <c r="I127" i="12" s="1"/>
  <c r="I139" i="12" s="1"/>
  <c r="I151" i="12" s="1"/>
  <c r="I163" i="12" s="1"/>
  <c r="I175" i="12" s="1"/>
  <c r="I187" i="12" s="1"/>
  <c r="I199" i="12" s="1"/>
  <c r="I211" i="12" s="1"/>
  <c r="I223" i="12" s="1"/>
  <c r="I235" i="12" s="1"/>
  <c r="I247" i="12" s="1"/>
  <c r="I259" i="12" s="1"/>
  <c r="I271" i="12" s="1"/>
  <c r="I283" i="12" s="1"/>
  <c r="I295" i="12" s="1"/>
  <c r="I307" i="12" s="1"/>
  <c r="I319" i="12" s="1"/>
  <c r="I331" i="12" s="1"/>
  <c r="I343" i="12" s="1"/>
  <c r="I355" i="12" s="1"/>
  <c r="I367" i="12" s="1"/>
  <c r="I379" i="12" s="1"/>
  <c r="I391" i="12" s="1"/>
  <c r="I403" i="12" s="1"/>
  <c r="I415" i="12" s="1"/>
  <c r="I427" i="12" s="1"/>
  <c r="I439" i="12" s="1"/>
  <c r="I451" i="12" s="1"/>
  <c r="I463" i="12" s="1"/>
  <c r="I475" i="12" s="1"/>
  <c r="I487" i="12" s="1"/>
  <c r="I499" i="12" s="1"/>
  <c r="I511" i="12" s="1"/>
  <c r="I523" i="12" s="1"/>
  <c r="I535" i="12" s="1"/>
  <c r="I547" i="12" s="1"/>
  <c r="I559" i="12" s="1"/>
  <c r="I571" i="12" s="1"/>
  <c r="G55" i="12"/>
  <c r="I59" i="12"/>
  <c r="I71" i="12" s="1"/>
  <c r="I83" i="12" s="1"/>
  <c r="I95" i="12" s="1"/>
  <c r="I107" i="12" s="1"/>
  <c r="I119" i="12" s="1"/>
  <c r="I131" i="12" s="1"/>
  <c r="I143" i="12" s="1"/>
  <c r="I155" i="12" s="1"/>
  <c r="I167" i="12" s="1"/>
  <c r="I179" i="12" s="1"/>
  <c r="I191" i="12" s="1"/>
  <c r="I203" i="12" s="1"/>
  <c r="I215" i="12" s="1"/>
  <c r="I227" i="12" s="1"/>
  <c r="I239" i="12" s="1"/>
  <c r="I251" i="12" s="1"/>
  <c r="I263" i="12" s="1"/>
  <c r="I275" i="12" s="1"/>
  <c r="I287" i="12" s="1"/>
  <c r="I299" i="12" s="1"/>
  <c r="I311" i="12" s="1"/>
  <c r="I323" i="12" s="1"/>
  <c r="I335" i="12" s="1"/>
  <c r="I347" i="12" s="1"/>
  <c r="I359" i="12" s="1"/>
  <c r="I371" i="12" s="1"/>
  <c r="I383" i="12" s="1"/>
  <c r="I395" i="12" s="1"/>
  <c r="I407" i="12" s="1"/>
  <c r="I419" i="12" s="1"/>
  <c r="I431" i="12" s="1"/>
  <c r="I443" i="12" s="1"/>
  <c r="I455" i="12" s="1"/>
  <c r="I467" i="12" s="1"/>
  <c r="I479" i="12" s="1"/>
  <c r="I491" i="12" s="1"/>
  <c r="I503" i="12" s="1"/>
  <c r="I515" i="12" s="1"/>
  <c r="I527" i="12" s="1"/>
  <c r="I539" i="12" s="1"/>
  <c r="I551" i="12" s="1"/>
  <c r="I563" i="12" s="1"/>
  <c r="I575" i="12" s="1"/>
  <c r="G59" i="12"/>
  <c r="I51" i="12"/>
  <c r="I63" i="12" s="1"/>
  <c r="I75" i="12" s="1"/>
  <c r="I87" i="12" s="1"/>
  <c r="I99" i="12" s="1"/>
  <c r="I111" i="12" s="1"/>
  <c r="I123" i="12" s="1"/>
  <c r="I135" i="12" s="1"/>
  <c r="I147" i="12" s="1"/>
  <c r="I159" i="12" s="1"/>
  <c r="I171" i="12" s="1"/>
  <c r="I183" i="12" s="1"/>
  <c r="I195" i="12" s="1"/>
  <c r="I207" i="12" s="1"/>
  <c r="I219" i="12" s="1"/>
  <c r="I231" i="12" s="1"/>
  <c r="I243" i="12" s="1"/>
  <c r="I255" i="12" s="1"/>
  <c r="I267" i="12" s="1"/>
  <c r="I279" i="12" s="1"/>
  <c r="I291" i="12" s="1"/>
  <c r="I303" i="12" s="1"/>
  <c r="I315" i="12" s="1"/>
  <c r="I327" i="12" s="1"/>
  <c r="I339" i="12" s="1"/>
  <c r="I351" i="12" s="1"/>
  <c r="I363" i="12" s="1"/>
  <c r="I375" i="12" s="1"/>
  <c r="I387" i="12" s="1"/>
  <c r="I399" i="12" s="1"/>
  <c r="I411" i="12" s="1"/>
  <c r="I423" i="12" s="1"/>
  <c r="I435" i="12" s="1"/>
  <c r="I447" i="12" s="1"/>
  <c r="I459" i="12" s="1"/>
  <c r="I471" i="12" s="1"/>
  <c r="I483" i="12" s="1"/>
  <c r="I495" i="12" s="1"/>
  <c r="I507" i="12" s="1"/>
  <c r="I519" i="12" s="1"/>
  <c r="I531" i="12" s="1"/>
  <c r="I543" i="12" s="1"/>
  <c r="I555" i="12" s="1"/>
  <c r="I567" i="12" s="1"/>
  <c r="G51" i="12"/>
  <c r="U72" i="12"/>
  <c r="U71" i="12"/>
  <c r="U69" i="12"/>
  <c r="U66" i="12"/>
  <c r="U68" i="12"/>
  <c r="W15" i="12"/>
  <c r="U27" i="12" s="1"/>
  <c r="W14" i="12"/>
  <c r="U26" i="12" s="1"/>
  <c r="U65" i="12"/>
  <c r="U73" i="12"/>
  <c r="U70" i="12"/>
  <c r="U67" i="12"/>
  <c r="U64" i="12"/>
  <c r="BO9" i="8"/>
  <c r="Q9" i="12" s="1"/>
  <c r="Q21" i="12" s="1"/>
  <c r="Q33" i="12" s="1"/>
  <c r="Q45" i="12" s="1"/>
  <c r="Q57" i="12" s="1"/>
  <c r="Q69" i="12" s="1"/>
  <c r="Q81" i="12" s="1"/>
  <c r="Q93" i="12" s="1"/>
  <c r="Q105" i="12" s="1"/>
  <c r="Q117" i="12" s="1"/>
  <c r="BN9" i="8"/>
  <c r="P9" i="12" s="1"/>
  <c r="V14" i="12"/>
  <c r="V26" i="12" s="1"/>
  <c r="V38" i="12" s="1"/>
  <c r="V50" i="12" s="1"/>
  <c r="V62" i="12" s="1"/>
  <c r="V74" i="12" s="1"/>
  <c r="V86" i="12" s="1"/>
  <c r="V98" i="12" s="1"/>
  <c r="V110" i="12" s="1"/>
  <c r="V122" i="12" s="1"/>
  <c r="V134" i="12" s="1"/>
  <c r="V146" i="12" s="1"/>
  <c r="V158" i="12" s="1"/>
  <c r="V170" i="12" s="1"/>
  <c r="V182" i="12" s="1"/>
  <c r="V194" i="12" s="1"/>
  <c r="V206" i="12" s="1"/>
  <c r="V218" i="12" s="1"/>
  <c r="V230" i="12" s="1"/>
  <c r="V242" i="12" s="1"/>
  <c r="V254" i="12" s="1"/>
  <c r="V266" i="12" s="1"/>
  <c r="V278" i="12" s="1"/>
  <c r="V290" i="12" s="1"/>
  <c r="V302" i="12" s="1"/>
  <c r="V314" i="12" s="1"/>
  <c r="V326" i="12" s="1"/>
  <c r="V338" i="12" s="1"/>
  <c r="V350" i="12" s="1"/>
  <c r="V362" i="12" s="1"/>
  <c r="V374" i="12" s="1"/>
  <c r="V386" i="12" s="1"/>
  <c r="V398" i="12" s="1"/>
  <c r="V410" i="12" s="1"/>
  <c r="V422" i="12" s="1"/>
  <c r="V434" i="12" s="1"/>
  <c r="V446" i="12" s="1"/>
  <c r="V458" i="12" s="1"/>
  <c r="V470" i="12" s="1"/>
  <c r="V482" i="12" s="1"/>
  <c r="V494" i="12" s="1"/>
  <c r="V506" i="12" s="1"/>
  <c r="V518" i="12" s="1"/>
  <c r="V530" i="12" s="1"/>
  <c r="V542" i="12" s="1"/>
  <c r="V554" i="12" s="1"/>
  <c r="V566" i="12" s="1"/>
  <c r="V578" i="12" s="1"/>
  <c r="V590" i="12" s="1"/>
  <c r="V602" i="12" s="1"/>
  <c r="V614" i="12" s="1"/>
  <c r="V626" i="12" s="1"/>
  <c r="V638" i="12" s="1"/>
  <c r="V650" i="12" s="1"/>
  <c r="V662" i="12" s="1"/>
  <c r="V674" i="12" s="1"/>
  <c r="V686" i="12" s="1"/>
  <c r="V698" i="12" s="1"/>
  <c r="V710" i="12" s="1"/>
  <c r="V722" i="12" s="1"/>
  <c r="V734" i="12" s="1"/>
  <c r="V746" i="12" s="1"/>
  <c r="BO7" i="8"/>
  <c r="Q7" i="12" s="1"/>
  <c r="Q19" i="12" s="1"/>
  <c r="Q31" i="12" s="1"/>
  <c r="Q43" i="12" s="1"/>
  <c r="Q55" i="12" s="1"/>
  <c r="Q67" i="12" s="1"/>
  <c r="Q79" i="12" s="1"/>
  <c r="Q91" i="12" s="1"/>
  <c r="Q103" i="12" s="1"/>
  <c r="Q115" i="12" s="1"/>
  <c r="BO5" i="8"/>
  <c r="Q5" i="12" s="1"/>
  <c r="Q17" i="12" s="1"/>
  <c r="Q29" i="12" s="1"/>
  <c r="Q41" i="12" s="1"/>
  <c r="Q53" i="12" s="1"/>
  <c r="Q65" i="12" s="1"/>
  <c r="Q77" i="12" s="1"/>
  <c r="Q89" i="12" s="1"/>
  <c r="Q101" i="12" s="1"/>
  <c r="Q113" i="12" s="1"/>
  <c r="O5" i="12"/>
  <c r="X15" i="12"/>
  <c r="X27" i="12" s="1"/>
  <c r="X39" i="12" s="1"/>
  <c r="X51" i="12" s="1"/>
  <c r="X63" i="12" s="1"/>
  <c r="X75" i="12" s="1"/>
  <c r="X87" i="12" s="1"/>
  <c r="X99" i="12" s="1"/>
  <c r="X111" i="12" s="1"/>
  <c r="X123" i="12" s="1"/>
  <c r="X135" i="12" s="1"/>
  <c r="X147" i="12" s="1"/>
  <c r="X159" i="12" s="1"/>
  <c r="X171" i="12" s="1"/>
  <c r="X183" i="12" s="1"/>
  <c r="X195" i="12" s="1"/>
  <c r="X207" i="12" s="1"/>
  <c r="X219" i="12" s="1"/>
  <c r="X231" i="12" s="1"/>
  <c r="X243" i="12" s="1"/>
  <c r="X255" i="12" s="1"/>
  <c r="X267" i="12" s="1"/>
  <c r="X279" i="12" s="1"/>
  <c r="X291" i="12" s="1"/>
  <c r="X303" i="12" s="1"/>
  <c r="X315" i="12" s="1"/>
  <c r="X327" i="12" s="1"/>
  <c r="X339" i="12" s="1"/>
  <c r="X351" i="12" s="1"/>
  <c r="X363" i="12" s="1"/>
  <c r="X375" i="12" s="1"/>
  <c r="X387" i="12" s="1"/>
  <c r="X399" i="12" s="1"/>
  <c r="X411" i="12" s="1"/>
  <c r="X423" i="12" s="1"/>
  <c r="X435" i="12" s="1"/>
  <c r="X447" i="12" s="1"/>
  <c r="X459" i="12" s="1"/>
  <c r="X471" i="12" s="1"/>
  <c r="X483" i="12" s="1"/>
  <c r="X495" i="12" s="1"/>
  <c r="X507" i="12" s="1"/>
  <c r="X519" i="12" s="1"/>
  <c r="X531" i="12" s="1"/>
  <c r="X543" i="12" s="1"/>
  <c r="X555" i="12" s="1"/>
  <c r="X567" i="12" s="1"/>
  <c r="X579" i="12" s="1"/>
  <c r="X591" i="12" s="1"/>
  <c r="X603" i="12" s="1"/>
  <c r="X615" i="12" s="1"/>
  <c r="X627" i="12" s="1"/>
  <c r="X639" i="12" s="1"/>
  <c r="X651" i="12" s="1"/>
  <c r="X663" i="12" s="1"/>
  <c r="X675" i="12" s="1"/>
  <c r="X687" i="12" s="1"/>
  <c r="X699" i="12" s="1"/>
  <c r="X711" i="12" s="1"/>
  <c r="X723" i="12" s="1"/>
  <c r="X735" i="12" s="1"/>
  <c r="X747" i="12" s="1"/>
  <c r="P3" i="12"/>
  <c r="BN7" i="8"/>
  <c r="P7" i="12" s="1"/>
  <c r="N19" i="12" s="1"/>
  <c r="BO13" i="8"/>
  <c r="Q13" i="12" s="1"/>
  <c r="Q25" i="12" s="1"/>
  <c r="Q37" i="12" s="1"/>
  <c r="Q49" i="12" s="1"/>
  <c r="Q61" i="12" s="1"/>
  <c r="Q73" i="12" s="1"/>
  <c r="Q85" i="12" s="1"/>
  <c r="Q97" i="12" s="1"/>
  <c r="Q109" i="12" s="1"/>
  <c r="Q121" i="12" s="1"/>
  <c r="BO3" i="8"/>
  <c r="Q3" i="12" s="1"/>
  <c r="Q15" i="12" s="1"/>
  <c r="Q27" i="12" s="1"/>
  <c r="Q39" i="12" s="1"/>
  <c r="Q51" i="12" s="1"/>
  <c r="Q63" i="12" s="1"/>
  <c r="Q75" i="12" s="1"/>
  <c r="Q87" i="12" s="1"/>
  <c r="Q99" i="12" s="1"/>
  <c r="Q111" i="12" s="1"/>
  <c r="BO2" i="8"/>
  <c r="BO6" i="8"/>
  <c r="Q6" i="12" s="1"/>
  <c r="Q18" i="12" s="1"/>
  <c r="Q30" i="12" s="1"/>
  <c r="Q42" i="12" s="1"/>
  <c r="Q54" i="12" s="1"/>
  <c r="Q66" i="12" s="1"/>
  <c r="Q78" i="12" s="1"/>
  <c r="Q90" i="12" s="1"/>
  <c r="Q102" i="12" s="1"/>
  <c r="Q114" i="12" s="1"/>
  <c r="BN11" i="8"/>
  <c r="P11" i="12" s="1"/>
  <c r="BO11" i="8"/>
  <c r="Q11" i="12" s="1"/>
  <c r="Q23" i="12" s="1"/>
  <c r="Q35" i="12" s="1"/>
  <c r="Q47" i="12" s="1"/>
  <c r="Q59" i="12" s="1"/>
  <c r="Q71" i="12" s="1"/>
  <c r="Q83" i="12" s="1"/>
  <c r="Q95" i="12" s="1"/>
  <c r="Q107" i="12" s="1"/>
  <c r="Q119" i="12" s="1"/>
  <c r="BN6" i="8"/>
  <c r="P6" i="12" s="1"/>
  <c r="BO10" i="8"/>
  <c r="Q10" i="12" s="1"/>
  <c r="Q22" i="12" s="1"/>
  <c r="Q34" i="12" s="1"/>
  <c r="Q46" i="12" s="1"/>
  <c r="Q58" i="12" s="1"/>
  <c r="Q70" i="12" s="1"/>
  <c r="Q82" i="12" s="1"/>
  <c r="Q94" i="12" s="1"/>
  <c r="Q106" i="12" s="1"/>
  <c r="Q118" i="12" s="1"/>
  <c r="BO4" i="8"/>
  <c r="Q4" i="12" s="1"/>
  <c r="Q16" i="12" s="1"/>
  <c r="Q28" i="12" s="1"/>
  <c r="Q40" i="12" s="1"/>
  <c r="Q52" i="12" s="1"/>
  <c r="Q64" i="12" s="1"/>
  <c r="Q76" i="12" s="1"/>
  <c r="Q88" i="12" s="1"/>
  <c r="Q100" i="12" s="1"/>
  <c r="Q112" i="12" s="1"/>
  <c r="BN12" i="8"/>
  <c r="P12" i="12" s="1"/>
  <c r="BN13" i="8"/>
  <c r="P13" i="12" s="1"/>
  <c r="BO12" i="8"/>
  <c r="Q12" i="12" s="1"/>
  <c r="Q24" i="12" s="1"/>
  <c r="Q36" i="12" s="1"/>
  <c r="Q48" i="12" s="1"/>
  <c r="Q60" i="12" s="1"/>
  <c r="Q72" i="12" s="1"/>
  <c r="Q84" i="12" s="1"/>
  <c r="Q96" i="12" s="1"/>
  <c r="Q108" i="12" s="1"/>
  <c r="Q120" i="12" s="1"/>
  <c r="BN4" i="8"/>
  <c r="P4" i="12" s="1"/>
  <c r="N16" i="12" s="1"/>
  <c r="BO8" i="8"/>
  <c r="Q8" i="12" s="1"/>
  <c r="Q20" i="12" s="1"/>
  <c r="Q32" i="12" s="1"/>
  <c r="Q44" i="12" s="1"/>
  <c r="Q56" i="12" s="1"/>
  <c r="Q68" i="12" s="1"/>
  <c r="Q80" i="12" s="1"/>
  <c r="Q92" i="12" s="1"/>
  <c r="Q104" i="12" s="1"/>
  <c r="Q116" i="12" s="1"/>
  <c r="BN8" i="8"/>
  <c r="P8" i="12" s="1"/>
  <c r="BN10" i="8"/>
  <c r="P10" i="12" s="1"/>
  <c r="BN5" i="8"/>
  <c r="P5" i="12" s="1"/>
  <c r="F745" i="5"/>
  <c r="D745" i="5"/>
  <c r="F744" i="5"/>
  <c r="D744" i="5"/>
  <c r="F743" i="5"/>
  <c r="D743" i="5"/>
  <c r="F742" i="5"/>
  <c r="D742" i="5"/>
  <c r="F741" i="5"/>
  <c r="D741" i="5"/>
  <c r="F740" i="5"/>
  <c r="D740" i="5"/>
  <c r="F739" i="5"/>
  <c r="D739" i="5"/>
  <c r="F738" i="5"/>
  <c r="D738" i="5"/>
  <c r="F737" i="5"/>
  <c r="D737" i="5"/>
  <c r="F736" i="5"/>
  <c r="D736" i="5"/>
  <c r="F735" i="5"/>
  <c r="D735" i="5"/>
  <c r="F734" i="5"/>
  <c r="D734" i="5"/>
  <c r="F733" i="5"/>
  <c r="D733" i="5"/>
  <c r="F732" i="5"/>
  <c r="D732" i="5"/>
  <c r="F731" i="5"/>
  <c r="D731" i="5"/>
  <c r="F730" i="5"/>
  <c r="D730" i="5"/>
  <c r="F729" i="5"/>
  <c r="D729" i="5"/>
  <c r="F728" i="5"/>
  <c r="D728" i="5"/>
  <c r="F727" i="5"/>
  <c r="D727" i="5"/>
  <c r="F726" i="5"/>
  <c r="D726" i="5"/>
  <c r="F725" i="5"/>
  <c r="D725" i="5"/>
  <c r="F724" i="5"/>
  <c r="D724" i="5"/>
  <c r="F723" i="5"/>
  <c r="D723" i="5"/>
  <c r="F722" i="5"/>
  <c r="D722" i="5"/>
  <c r="F721" i="5"/>
  <c r="D721" i="5"/>
  <c r="F720" i="5"/>
  <c r="D720" i="5"/>
  <c r="F719" i="5"/>
  <c r="D719" i="5"/>
  <c r="F718" i="5"/>
  <c r="D718" i="5"/>
  <c r="F717" i="5"/>
  <c r="D717" i="5"/>
  <c r="F716" i="5"/>
  <c r="D716" i="5"/>
  <c r="F715" i="5"/>
  <c r="D715" i="5"/>
  <c r="F714" i="5"/>
  <c r="D714" i="5"/>
  <c r="F713" i="5"/>
  <c r="D713" i="5"/>
  <c r="F712" i="5"/>
  <c r="D712" i="5"/>
  <c r="F711" i="5"/>
  <c r="D711" i="5"/>
  <c r="F710" i="5"/>
  <c r="D710" i="5"/>
  <c r="F709" i="5"/>
  <c r="D709" i="5"/>
  <c r="F708" i="5"/>
  <c r="D708" i="5"/>
  <c r="F707" i="5"/>
  <c r="D707" i="5"/>
  <c r="F706" i="5"/>
  <c r="D706" i="5"/>
  <c r="F705" i="5"/>
  <c r="D705" i="5"/>
  <c r="F704" i="5"/>
  <c r="D704" i="5"/>
  <c r="F703" i="5"/>
  <c r="D703" i="5"/>
  <c r="F702" i="5"/>
  <c r="D702" i="5"/>
  <c r="F701" i="5"/>
  <c r="D701" i="5"/>
  <c r="F700" i="5"/>
  <c r="D700" i="5"/>
  <c r="F699" i="5"/>
  <c r="D699" i="5"/>
  <c r="F698" i="5"/>
  <c r="D698" i="5"/>
  <c r="F685" i="5"/>
  <c r="D685" i="5"/>
  <c r="F684" i="5"/>
  <c r="D684" i="5"/>
  <c r="F683" i="5"/>
  <c r="D683" i="5"/>
  <c r="F682" i="5"/>
  <c r="D682" i="5"/>
  <c r="F681" i="5"/>
  <c r="D681" i="5"/>
  <c r="F680" i="5"/>
  <c r="D680" i="5"/>
  <c r="F679" i="5"/>
  <c r="D679" i="5"/>
  <c r="F678" i="5"/>
  <c r="D678" i="5"/>
  <c r="F677" i="5"/>
  <c r="D677" i="5"/>
  <c r="F676" i="5"/>
  <c r="D676" i="5"/>
  <c r="F675" i="5"/>
  <c r="D675" i="5"/>
  <c r="F674" i="5"/>
  <c r="D674" i="5"/>
  <c r="F673" i="5"/>
  <c r="D673" i="5"/>
  <c r="F672" i="5"/>
  <c r="D672" i="5"/>
  <c r="F671" i="5"/>
  <c r="D671" i="5"/>
  <c r="F670" i="5"/>
  <c r="D670" i="5"/>
  <c r="F669" i="5"/>
  <c r="D669" i="5"/>
  <c r="F668" i="5"/>
  <c r="D668" i="5"/>
  <c r="F667" i="5"/>
  <c r="D667" i="5"/>
  <c r="F666" i="5"/>
  <c r="D666" i="5"/>
  <c r="F665" i="5"/>
  <c r="D665" i="5"/>
  <c r="F664" i="5"/>
  <c r="D664" i="5"/>
  <c r="F663" i="5"/>
  <c r="D663" i="5"/>
  <c r="F662" i="5"/>
  <c r="D662" i="5"/>
  <c r="F661" i="5"/>
  <c r="D661" i="5"/>
  <c r="F660" i="5"/>
  <c r="D660" i="5"/>
  <c r="F659" i="5"/>
  <c r="D659" i="5"/>
  <c r="F658" i="5"/>
  <c r="D658" i="5"/>
  <c r="F657" i="5"/>
  <c r="D657" i="5"/>
  <c r="F656" i="5"/>
  <c r="D656" i="5"/>
  <c r="F655" i="5"/>
  <c r="D655" i="5"/>
  <c r="F654" i="5"/>
  <c r="D654" i="5"/>
  <c r="F653" i="5"/>
  <c r="D653" i="5"/>
  <c r="F652" i="5"/>
  <c r="D652" i="5"/>
  <c r="F651" i="5"/>
  <c r="D651" i="5"/>
  <c r="F650" i="5"/>
  <c r="D650" i="5"/>
  <c r="F649" i="5"/>
  <c r="D649" i="5"/>
  <c r="F648" i="5"/>
  <c r="D648" i="5"/>
  <c r="F647" i="5"/>
  <c r="D647" i="5"/>
  <c r="F646" i="5"/>
  <c r="D646" i="5"/>
  <c r="F645" i="5"/>
  <c r="D645" i="5"/>
  <c r="F644" i="5"/>
  <c r="D644" i="5"/>
  <c r="F643" i="5"/>
  <c r="D643" i="5"/>
  <c r="F642" i="5"/>
  <c r="D642" i="5"/>
  <c r="F641" i="5"/>
  <c r="D641" i="5"/>
  <c r="F640" i="5"/>
  <c r="D640" i="5"/>
  <c r="F639" i="5"/>
  <c r="D639" i="5"/>
  <c r="F638" i="5"/>
  <c r="D638" i="5"/>
  <c r="F625" i="5"/>
  <c r="D625" i="5"/>
  <c r="F624" i="5"/>
  <c r="D624" i="5"/>
  <c r="F623" i="5"/>
  <c r="D623" i="5"/>
  <c r="F622" i="5"/>
  <c r="D622" i="5"/>
  <c r="F621" i="5"/>
  <c r="D621" i="5"/>
  <c r="F620" i="5"/>
  <c r="D620" i="5"/>
  <c r="F619" i="5"/>
  <c r="D619" i="5"/>
  <c r="F618" i="5"/>
  <c r="D618" i="5"/>
  <c r="F617" i="5"/>
  <c r="D617" i="5"/>
  <c r="F616" i="5"/>
  <c r="D616" i="5"/>
  <c r="F615" i="5"/>
  <c r="D615" i="5"/>
  <c r="F614" i="5"/>
  <c r="D614" i="5"/>
  <c r="F613" i="5"/>
  <c r="D613" i="5"/>
  <c r="F612" i="5"/>
  <c r="D612" i="5"/>
  <c r="F611" i="5"/>
  <c r="D611" i="5"/>
  <c r="F610" i="5"/>
  <c r="D610" i="5"/>
  <c r="F609" i="5"/>
  <c r="D609" i="5"/>
  <c r="F608" i="5"/>
  <c r="D608" i="5"/>
  <c r="F607" i="5"/>
  <c r="D607" i="5"/>
  <c r="F606" i="5"/>
  <c r="D606" i="5"/>
  <c r="F605" i="5"/>
  <c r="D605" i="5"/>
  <c r="F604" i="5"/>
  <c r="D604" i="5"/>
  <c r="F603" i="5"/>
  <c r="D603" i="5"/>
  <c r="F602" i="5"/>
  <c r="D602" i="5"/>
  <c r="F601" i="5"/>
  <c r="D601" i="5"/>
  <c r="F600" i="5"/>
  <c r="D600" i="5"/>
  <c r="F599" i="5"/>
  <c r="D599" i="5"/>
  <c r="F598" i="5"/>
  <c r="D598" i="5"/>
  <c r="F597" i="5"/>
  <c r="D597" i="5"/>
  <c r="F596" i="5"/>
  <c r="D596" i="5"/>
  <c r="F595" i="5"/>
  <c r="D595" i="5"/>
  <c r="F594" i="5"/>
  <c r="D594" i="5"/>
  <c r="F593" i="5"/>
  <c r="D593" i="5"/>
  <c r="F592" i="5"/>
  <c r="D592" i="5"/>
  <c r="F591" i="5"/>
  <c r="D591" i="5"/>
  <c r="F590" i="5"/>
  <c r="D590" i="5"/>
  <c r="F577" i="5"/>
  <c r="D577" i="5"/>
  <c r="F576" i="5"/>
  <c r="D576" i="5"/>
  <c r="F575" i="5"/>
  <c r="D575" i="5"/>
  <c r="F574" i="5"/>
  <c r="D574" i="5"/>
  <c r="F573" i="5"/>
  <c r="D573" i="5"/>
  <c r="F572" i="5"/>
  <c r="D572" i="5"/>
  <c r="F571" i="5"/>
  <c r="D571" i="5"/>
  <c r="F570" i="5"/>
  <c r="D570" i="5"/>
  <c r="F569" i="5"/>
  <c r="D569" i="5"/>
  <c r="F568" i="5"/>
  <c r="D568" i="5"/>
  <c r="F567" i="5"/>
  <c r="D567" i="5"/>
  <c r="F566" i="5"/>
  <c r="D566" i="5"/>
  <c r="F565" i="5"/>
  <c r="D565" i="5"/>
  <c r="F564" i="5"/>
  <c r="D564" i="5"/>
  <c r="F563" i="5"/>
  <c r="D563" i="5"/>
  <c r="F562" i="5"/>
  <c r="D562" i="5"/>
  <c r="F561" i="5"/>
  <c r="D561" i="5"/>
  <c r="F560" i="5"/>
  <c r="D560" i="5"/>
  <c r="F559" i="5"/>
  <c r="D559" i="5"/>
  <c r="F558" i="5"/>
  <c r="D558" i="5"/>
  <c r="F557" i="5"/>
  <c r="D557" i="5"/>
  <c r="F556" i="5"/>
  <c r="D556" i="5"/>
  <c r="F555" i="5"/>
  <c r="D555" i="5"/>
  <c r="F554" i="5"/>
  <c r="D554" i="5"/>
  <c r="F553" i="5"/>
  <c r="D553" i="5"/>
  <c r="F552" i="5"/>
  <c r="D552" i="5"/>
  <c r="F551" i="5"/>
  <c r="D551" i="5"/>
  <c r="F550" i="5"/>
  <c r="D550" i="5"/>
  <c r="F549" i="5"/>
  <c r="D549" i="5"/>
  <c r="F548" i="5"/>
  <c r="D548" i="5"/>
  <c r="F547" i="5"/>
  <c r="D547" i="5"/>
  <c r="F546" i="5"/>
  <c r="D546" i="5"/>
  <c r="F545" i="5"/>
  <c r="D545" i="5"/>
  <c r="F544" i="5"/>
  <c r="D544" i="5"/>
  <c r="F543" i="5"/>
  <c r="D543" i="5"/>
  <c r="F542" i="5"/>
  <c r="D542" i="5"/>
  <c r="F541" i="5"/>
  <c r="D541" i="5"/>
  <c r="F540" i="5"/>
  <c r="D540" i="5"/>
  <c r="F539" i="5"/>
  <c r="D539" i="5"/>
  <c r="F538" i="5"/>
  <c r="D538" i="5"/>
  <c r="F537" i="5"/>
  <c r="D537" i="5"/>
  <c r="F536" i="5"/>
  <c r="D536" i="5"/>
  <c r="F535" i="5"/>
  <c r="D535" i="5"/>
  <c r="F534" i="5"/>
  <c r="D534" i="5"/>
  <c r="F533" i="5"/>
  <c r="D533" i="5"/>
  <c r="F532" i="5"/>
  <c r="D532" i="5"/>
  <c r="F531" i="5"/>
  <c r="D531" i="5"/>
  <c r="F530" i="5"/>
  <c r="D530" i="5"/>
  <c r="F529" i="5"/>
  <c r="D529" i="5"/>
  <c r="F528" i="5"/>
  <c r="D528" i="5"/>
  <c r="F527" i="5"/>
  <c r="D527" i="5"/>
  <c r="F526" i="5"/>
  <c r="D526" i="5"/>
  <c r="F525" i="5"/>
  <c r="D525" i="5"/>
  <c r="F524" i="5"/>
  <c r="D524" i="5"/>
  <c r="F523" i="5"/>
  <c r="D523" i="5"/>
  <c r="F522" i="5"/>
  <c r="D522" i="5"/>
  <c r="F521" i="5"/>
  <c r="D521" i="5"/>
  <c r="F520" i="5"/>
  <c r="D520" i="5"/>
  <c r="F519" i="5"/>
  <c r="D519" i="5"/>
  <c r="F518" i="5"/>
  <c r="D518" i="5"/>
  <c r="F517" i="5"/>
  <c r="D517" i="5"/>
  <c r="F516" i="5"/>
  <c r="D516" i="5"/>
  <c r="F515" i="5"/>
  <c r="D515" i="5"/>
  <c r="F514" i="5"/>
  <c r="D514" i="5"/>
  <c r="F513" i="5"/>
  <c r="D513" i="5"/>
  <c r="F512" i="5"/>
  <c r="D512" i="5"/>
  <c r="F511" i="5"/>
  <c r="D511" i="5"/>
  <c r="F510" i="5"/>
  <c r="D510" i="5"/>
  <c r="F509" i="5"/>
  <c r="D509" i="5"/>
  <c r="F508" i="5"/>
  <c r="D508" i="5"/>
  <c r="F507" i="5"/>
  <c r="D507" i="5"/>
  <c r="F506" i="5"/>
  <c r="D506" i="5"/>
  <c r="F505" i="5"/>
  <c r="D505" i="5"/>
  <c r="F504" i="5"/>
  <c r="D504" i="5"/>
  <c r="F503" i="5"/>
  <c r="D503" i="5"/>
  <c r="F502" i="5"/>
  <c r="D502" i="5"/>
  <c r="F501" i="5"/>
  <c r="D501" i="5"/>
  <c r="F500" i="5"/>
  <c r="D500" i="5"/>
  <c r="F499" i="5"/>
  <c r="D499" i="5"/>
  <c r="F498" i="5"/>
  <c r="D498" i="5"/>
  <c r="F497" i="5"/>
  <c r="D497" i="5"/>
  <c r="F496" i="5"/>
  <c r="D496" i="5"/>
  <c r="F495" i="5"/>
  <c r="D495" i="5"/>
  <c r="F494" i="5"/>
  <c r="D494" i="5"/>
  <c r="F493" i="5"/>
  <c r="D493" i="5"/>
  <c r="F492" i="5"/>
  <c r="D492" i="5"/>
  <c r="F491" i="5"/>
  <c r="D491" i="5"/>
  <c r="F490" i="5"/>
  <c r="D490" i="5"/>
  <c r="F489" i="5"/>
  <c r="D489" i="5"/>
  <c r="F488" i="5"/>
  <c r="D488" i="5"/>
  <c r="F487" i="5"/>
  <c r="D487" i="5"/>
  <c r="F486" i="5"/>
  <c r="D486" i="5"/>
  <c r="F485" i="5"/>
  <c r="D485" i="5"/>
  <c r="F484" i="5"/>
  <c r="D484" i="5"/>
  <c r="F483" i="5"/>
  <c r="D483" i="5"/>
  <c r="F482" i="5"/>
  <c r="D482" i="5"/>
  <c r="F481" i="5"/>
  <c r="D481" i="5"/>
  <c r="F480" i="5"/>
  <c r="D480" i="5"/>
  <c r="F479" i="5"/>
  <c r="D479" i="5"/>
  <c r="F478" i="5"/>
  <c r="D478" i="5"/>
  <c r="F477" i="5"/>
  <c r="D477" i="5"/>
  <c r="F476" i="5"/>
  <c r="D476" i="5"/>
  <c r="F475" i="5"/>
  <c r="D475" i="5"/>
  <c r="F474" i="5"/>
  <c r="D474" i="5"/>
  <c r="F473" i="5"/>
  <c r="D473" i="5"/>
  <c r="F472" i="5"/>
  <c r="D472" i="5"/>
  <c r="F471" i="5"/>
  <c r="D471" i="5"/>
  <c r="F470" i="5"/>
  <c r="D470" i="5"/>
  <c r="F445" i="5"/>
  <c r="D445" i="5"/>
  <c r="F444" i="5"/>
  <c r="D444" i="5"/>
  <c r="F443" i="5"/>
  <c r="D443" i="5"/>
  <c r="F442" i="5"/>
  <c r="D442" i="5"/>
  <c r="F441" i="5"/>
  <c r="D441" i="5"/>
  <c r="F440" i="5"/>
  <c r="D440" i="5"/>
  <c r="F439" i="5"/>
  <c r="D439" i="5"/>
  <c r="F438" i="5"/>
  <c r="D438" i="5"/>
  <c r="F437" i="5"/>
  <c r="D437" i="5"/>
  <c r="F436" i="5"/>
  <c r="D436" i="5"/>
  <c r="F435" i="5"/>
  <c r="D435" i="5"/>
  <c r="F434" i="5"/>
  <c r="D434" i="5"/>
  <c r="F433" i="5"/>
  <c r="D433" i="5"/>
  <c r="F432" i="5"/>
  <c r="D432" i="5"/>
  <c r="F431" i="5"/>
  <c r="D431" i="5"/>
  <c r="F430" i="5"/>
  <c r="D430" i="5"/>
  <c r="F429" i="5"/>
  <c r="D429" i="5"/>
  <c r="F428" i="5"/>
  <c r="D428" i="5"/>
  <c r="F427" i="5"/>
  <c r="D427" i="5"/>
  <c r="F426" i="5"/>
  <c r="D426" i="5"/>
  <c r="F425" i="5"/>
  <c r="D425" i="5"/>
  <c r="F424" i="5"/>
  <c r="D424" i="5"/>
  <c r="F423" i="5"/>
  <c r="D423" i="5"/>
  <c r="F422" i="5"/>
  <c r="D422" i="5"/>
  <c r="F421" i="5"/>
  <c r="D421" i="5"/>
  <c r="F420" i="5"/>
  <c r="D420" i="5"/>
  <c r="F419" i="5"/>
  <c r="D419" i="5"/>
  <c r="F418" i="5"/>
  <c r="D418" i="5"/>
  <c r="F417" i="5"/>
  <c r="D417" i="5"/>
  <c r="F416" i="5"/>
  <c r="D416" i="5"/>
  <c r="F415" i="5"/>
  <c r="D415" i="5"/>
  <c r="F414" i="5"/>
  <c r="D414" i="5"/>
  <c r="F413" i="5"/>
  <c r="D413" i="5"/>
  <c r="F412" i="5"/>
  <c r="D412" i="5"/>
  <c r="F411" i="5"/>
  <c r="D411" i="5"/>
  <c r="F410" i="5"/>
  <c r="D410" i="5"/>
  <c r="F409" i="5"/>
  <c r="D409" i="5"/>
  <c r="F408" i="5"/>
  <c r="D408" i="5"/>
  <c r="F407" i="5"/>
  <c r="D407" i="5"/>
  <c r="F406" i="5"/>
  <c r="D406" i="5"/>
  <c r="F405" i="5"/>
  <c r="D405" i="5"/>
  <c r="F404" i="5"/>
  <c r="D404" i="5"/>
  <c r="F403" i="5"/>
  <c r="D403" i="5"/>
  <c r="F402" i="5"/>
  <c r="D402" i="5"/>
  <c r="F401" i="5"/>
  <c r="D401" i="5"/>
  <c r="F400" i="5"/>
  <c r="D400" i="5"/>
  <c r="F399" i="5"/>
  <c r="D399" i="5"/>
  <c r="F398" i="5"/>
  <c r="D398" i="5"/>
  <c r="F397" i="5"/>
  <c r="D397" i="5"/>
  <c r="F396" i="5"/>
  <c r="D396" i="5"/>
  <c r="F395" i="5"/>
  <c r="D395" i="5"/>
  <c r="F394" i="5"/>
  <c r="D394" i="5"/>
  <c r="F393" i="5"/>
  <c r="D393" i="5"/>
  <c r="F392" i="5"/>
  <c r="D392" i="5"/>
  <c r="F391" i="5"/>
  <c r="D391" i="5"/>
  <c r="F390" i="5"/>
  <c r="D390" i="5"/>
  <c r="F389" i="5"/>
  <c r="D389" i="5"/>
  <c r="F388" i="5"/>
  <c r="D388" i="5"/>
  <c r="F387" i="5"/>
  <c r="D387" i="5"/>
  <c r="F386" i="5"/>
  <c r="D386" i="5"/>
  <c r="F385" i="5"/>
  <c r="D385" i="5"/>
  <c r="F384" i="5"/>
  <c r="D384" i="5"/>
  <c r="F383" i="5"/>
  <c r="D383" i="5"/>
  <c r="F382" i="5"/>
  <c r="D382" i="5"/>
  <c r="F381" i="5"/>
  <c r="D381" i="5"/>
  <c r="F380" i="5"/>
  <c r="D380" i="5"/>
  <c r="F379" i="5"/>
  <c r="D379" i="5"/>
  <c r="F378" i="5"/>
  <c r="D378" i="5"/>
  <c r="F377" i="5"/>
  <c r="D377" i="5"/>
  <c r="F376" i="5"/>
  <c r="D376" i="5"/>
  <c r="F375" i="5"/>
  <c r="D375" i="5"/>
  <c r="F374" i="5"/>
  <c r="D374" i="5"/>
  <c r="F373" i="5"/>
  <c r="D373" i="5"/>
  <c r="F372" i="5"/>
  <c r="D372" i="5"/>
  <c r="F371" i="5"/>
  <c r="D371" i="5"/>
  <c r="F370" i="5"/>
  <c r="D370" i="5"/>
  <c r="F369" i="5"/>
  <c r="D369" i="5"/>
  <c r="F368" i="5"/>
  <c r="D368" i="5"/>
  <c r="F367" i="5"/>
  <c r="D367" i="5"/>
  <c r="F366" i="5"/>
  <c r="D366" i="5"/>
  <c r="F365" i="5"/>
  <c r="D365" i="5"/>
  <c r="F364" i="5"/>
  <c r="D364" i="5"/>
  <c r="F363" i="5"/>
  <c r="D363" i="5"/>
  <c r="F362" i="5"/>
  <c r="D362" i="5"/>
  <c r="F361" i="5"/>
  <c r="D361" i="5"/>
  <c r="F360" i="5"/>
  <c r="D360" i="5"/>
  <c r="F359" i="5"/>
  <c r="D359" i="5"/>
  <c r="F358" i="5"/>
  <c r="D358" i="5"/>
  <c r="F357" i="5"/>
  <c r="D357" i="5"/>
  <c r="F356" i="5"/>
  <c r="D356" i="5"/>
  <c r="F355" i="5"/>
  <c r="D355" i="5"/>
  <c r="F354" i="5"/>
  <c r="D354" i="5"/>
  <c r="F353" i="5"/>
  <c r="D353" i="5"/>
  <c r="F352" i="5"/>
  <c r="D352" i="5"/>
  <c r="F351" i="5"/>
  <c r="D351" i="5"/>
  <c r="F350" i="5"/>
  <c r="D350" i="5"/>
  <c r="F349" i="5"/>
  <c r="D349" i="5"/>
  <c r="F348" i="5"/>
  <c r="D348" i="5"/>
  <c r="F347" i="5"/>
  <c r="D347" i="5"/>
  <c r="F346" i="5"/>
  <c r="D346" i="5"/>
  <c r="F345" i="5"/>
  <c r="D345" i="5"/>
  <c r="F344" i="5"/>
  <c r="D344" i="5"/>
  <c r="F343" i="5"/>
  <c r="D343" i="5"/>
  <c r="F342" i="5"/>
  <c r="D342" i="5"/>
  <c r="F341" i="5"/>
  <c r="D341" i="5"/>
  <c r="F340" i="5"/>
  <c r="D340" i="5"/>
  <c r="F339" i="5"/>
  <c r="D339" i="5"/>
  <c r="F338" i="5"/>
  <c r="D338" i="5"/>
  <c r="F337" i="5"/>
  <c r="D337" i="5"/>
  <c r="F336" i="5"/>
  <c r="D336" i="5"/>
  <c r="F335" i="5"/>
  <c r="D335" i="5"/>
  <c r="F334" i="5"/>
  <c r="D334" i="5"/>
  <c r="F333" i="5"/>
  <c r="D333" i="5"/>
  <c r="F332" i="5"/>
  <c r="D332" i="5"/>
  <c r="F331" i="5"/>
  <c r="D331" i="5"/>
  <c r="F330" i="5"/>
  <c r="D330" i="5"/>
  <c r="F329" i="5"/>
  <c r="D329" i="5"/>
  <c r="F328" i="5"/>
  <c r="D328" i="5"/>
  <c r="F327" i="5"/>
  <c r="D327" i="5"/>
  <c r="F326" i="5"/>
  <c r="D326" i="5"/>
  <c r="F325" i="5"/>
  <c r="D325" i="5"/>
  <c r="F324" i="5"/>
  <c r="D324" i="5"/>
  <c r="F323" i="5"/>
  <c r="D323" i="5"/>
  <c r="F322" i="5"/>
  <c r="D322" i="5"/>
  <c r="F321" i="5"/>
  <c r="D321" i="5"/>
  <c r="F320" i="5"/>
  <c r="D320" i="5"/>
  <c r="F319" i="5"/>
  <c r="D319" i="5"/>
  <c r="F318" i="5"/>
  <c r="D318" i="5"/>
  <c r="F317" i="5"/>
  <c r="D317" i="5"/>
  <c r="F316" i="5"/>
  <c r="D316" i="5"/>
  <c r="F315" i="5"/>
  <c r="D315" i="5"/>
  <c r="F314" i="5"/>
  <c r="D314" i="5"/>
  <c r="F301" i="5"/>
  <c r="D301" i="5"/>
  <c r="F300" i="5"/>
  <c r="D300" i="5"/>
  <c r="F299" i="5"/>
  <c r="D299" i="5"/>
  <c r="F298" i="5"/>
  <c r="D298" i="5"/>
  <c r="F297" i="5"/>
  <c r="D297" i="5"/>
  <c r="F296" i="5"/>
  <c r="D296" i="5"/>
  <c r="F295" i="5"/>
  <c r="D295" i="5"/>
  <c r="F294" i="5"/>
  <c r="D294" i="5"/>
  <c r="F293" i="5"/>
  <c r="D293" i="5"/>
  <c r="F292" i="5"/>
  <c r="D292" i="5"/>
  <c r="F291" i="5"/>
  <c r="D291" i="5"/>
  <c r="F290" i="5"/>
  <c r="D290" i="5"/>
  <c r="F289" i="5"/>
  <c r="D289" i="5"/>
  <c r="F288" i="5"/>
  <c r="D288" i="5"/>
  <c r="F287" i="5"/>
  <c r="D287" i="5"/>
  <c r="F286" i="5"/>
  <c r="D286" i="5"/>
  <c r="F285" i="5"/>
  <c r="D285" i="5"/>
  <c r="F284" i="5"/>
  <c r="D284" i="5"/>
  <c r="F283" i="5"/>
  <c r="D283" i="5"/>
  <c r="F282" i="5"/>
  <c r="D282" i="5"/>
  <c r="F281" i="5"/>
  <c r="D281" i="5"/>
  <c r="F280" i="5"/>
  <c r="D280" i="5"/>
  <c r="F279" i="5"/>
  <c r="D279" i="5"/>
  <c r="F278" i="5"/>
  <c r="D278" i="5"/>
  <c r="F265" i="5"/>
  <c r="D265" i="5"/>
  <c r="F264" i="5"/>
  <c r="D264" i="5"/>
  <c r="F263" i="5"/>
  <c r="D263" i="5"/>
  <c r="F262" i="5"/>
  <c r="D262" i="5"/>
  <c r="F261" i="5"/>
  <c r="D261" i="5"/>
  <c r="F260" i="5"/>
  <c r="D260" i="5"/>
  <c r="F259" i="5"/>
  <c r="D259" i="5"/>
  <c r="F258" i="5"/>
  <c r="D258" i="5"/>
  <c r="F257" i="5"/>
  <c r="D257" i="5"/>
  <c r="F256" i="5"/>
  <c r="D256" i="5"/>
  <c r="F255" i="5"/>
  <c r="D255" i="5"/>
  <c r="F254" i="5"/>
  <c r="D254" i="5"/>
  <c r="F253" i="5"/>
  <c r="D253" i="5"/>
  <c r="F252" i="5"/>
  <c r="D252" i="5"/>
  <c r="F251" i="5"/>
  <c r="D251" i="5"/>
  <c r="F250" i="5"/>
  <c r="D250" i="5"/>
  <c r="F249" i="5"/>
  <c r="D249" i="5"/>
  <c r="F248" i="5"/>
  <c r="D248" i="5"/>
  <c r="F247" i="5"/>
  <c r="D247" i="5"/>
  <c r="F246" i="5"/>
  <c r="D246" i="5"/>
  <c r="F245" i="5"/>
  <c r="D245" i="5"/>
  <c r="F244" i="5"/>
  <c r="D244" i="5"/>
  <c r="F243" i="5"/>
  <c r="D243" i="5"/>
  <c r="F242" i="5"/>
  <c r="D242" i="5"/>
  <c r="F241" i="5"/>
  <c r="D241" i="5"/>
  <c r="F240" i="5"/>
  <c r="D240" i="5"/>
  <c r="F239" i="5"/>
  <c r="D239" i="5"/>
  <c r="F238" i="5"/>
  <c r="D238" i="5"/>
  <c r="F237" i="5"/>
  <c r="D237" i="5"/>
  <c r="F236" i="5"/>
  <c r="D236" i="5"/>
  <c r="F235" i="5"/>
  <c r="D235" i="5"/>
  <c r="F234" i="5"/>
  <c r="D234" i="5"/>
  <c r="F233" i="5"/>
  <c r="D233" i="5"/>
  <c r="F232" i="5"/>
  <c r="D232" i="5"/>
  <c r="F231" i="5"/>
  <c r="D231" i="5"/>
  <c r="F230" i="5"/>
  <c r="D230" i="5"/>
  <c r="F229" i="5"/>
  <c r="D229" i="5"/>
  <c r="F228" i="5"/>
  <c r="D228" i="5"/>
  <c r="F227" i="5"/>
  <c r="D227" i="5"/>
  <c r="F226" i="5"/>
  <c r="D226" i="5"/>
  <c r="F225" i="5"/>
  <c r="D225" i="5"/>
  <c r="F224" i="5"/>
  <c r="D224" i="5"/>
  <c r="F223" i="5"/>
  <c r="D223" i="5"/>
  <c r="F222" i="5"/>
  <c r="D222" i="5"/>
  <c r="F221" i="5"/>
  <c r="D221" i="5"/>
  <c r="F220" i="5"/>
  <c r="D220" i="5"/>
  <c r="F219" i="5"/>
  <c r="D219" i="5"/>
  <c r="F218" i="5"/>
  <c r="D218" i="5"/>
  <c r="F217" i="5"/>
  <c r="D217" i="5"/>
  <c r="F216" i="5"/>
  <c r="D216" i="5"/>
  <c r="F215" i="5"/>
  <c r="D215" i="5"/>
  <c r="F214" i="5"/>
  <c r="D214" i="5"/>
  <c r="F213" i="5"/>
  <c r="D213" i="5"/>
  <c r="F212" i="5"/>
  <c r="D212" i="5"/>
  <c r="F211" i="5"/>
  <c r="D211" i="5"/>
  <c r="F210" i="5"/>
  <c r="D210" i="5"/>
  <c r="F209" i="5"/>
  <c r="D209" i="5"/>
  <c r="F208" i="5"/>
  <c r="D208" i="5"/>
  <c r="F207" i="5"/>
  <c r="D207" i="5"/>
  <c r="F206" i="5"/>
  <c r="D206" i="5"/>
  <c r="F205" i="5"/>
  <c r="D205" i="5"/>
  <c r="F204" i="5"/>
  <c r="D204" i="5"/>
  <c r="F203" i="5"/>
  <c r="D203" i="5"/>
  <c r="F202" i="5"/>
  <c r="D202" i="5"/>
  <c r="F201" i="5"/>
  <c r="D201" i="5"/>
  <c r="F200" i="5"/>
  <c r="D200" i="5"/>
  <c r="F199" i="5"/>
  <c r="D199" i="5"/>
  <c r="F198" i="5"/>
  <c r="D198" i="5"/>
  <c r="F197" i="5"/>
  <c r="D197" i="5"/>
  <c r="F196" i="5"/>
  <c r="D196" i="5"/>
  <c r="F195" i="5"/>
  <c r="D195" i="5"/>
  <c r="F194" i="5"/>
  <c r="D194" i="5"/>
  <c r="F193" i="5"/>
  <c r="D193" i="5"/>
  <c r="F192" i="5"/>
  <c r="D192" i="5"/>
  <c r="F191" i="5"/>
  <c r="D191" i="5"/>
  <c r="F190" i="5"/>
  <c r="D190" i="5"/>
  <c r="F189" i="5"/>
  <c r="D189" i="5"/>
  <c r="F188" i="5"/>
  <c r="D188" i="5"/>
  <c r="F187" i="5"/>
  <c r="D187" i="5"/>
  <c r="F186" i="5"/>
  <c r="D186" i="5"/>
  <c r="F185" i="5"/>
  <c r="D185" i="5"/>
  <c r="F184" i="5"/>
  <c r="D184" i="5"/>
  <c r="F183" i="5"/>
  <c r="D183" i="5"/>
  <c r="F182" i="5"/>
  <c r="D182" i="5"/>
  <c r="F181" i="5"/>
  <c r="D181" i="5"/>
  <c r="F180" i="5"/>
  <c r="D180" i="5"/>
  <c r="F179" i="5"/>
  <c r="D179" i="5"/>
  <c r="F178" i="5"/>
  <c r="D178" i="5"/>
  <c r="F177" i="5"/>
  <c r="D177" i="5"/>
  <c r="F176" i="5"/>
  <c r="D176" i="5"/>
  <c r="F175" i="5"/>
  <c r="D175" i="5"/>
  <c r="F174" i="5"/>
  <c r="D174" i="5"/>
  <c r="F173" i="5"/>
  <c r="D173" i="5"/>
  <c r="F172" i="5"/>
  <c r="D172" i="5"/>
  <c r="F171" i="5"/>
  <c r="D171" i="5"/>
  <c r="F170" i="5"/>
  <c r="D170" i="5"/>
  <c r="F169" i="5"/>
  <c r="D169" i="5"/>
  <c r="F168" i="5"/>
  <c r="D168" i="5"/>
  <c r="F167" i="5"/>
  <c r="D167" i="5"/>
  <c r="F166" i="5"/>
  <c r="D166" i="5"/>
  <c r="F165" i="5"/>
  <c r="D165" i="5"/>
  <c r="F164" i="5"/>
  <c r="D164" i="5"/>
  <c r="F163" i="5"/>
  <c r="D163" i="5"/>
  <c r="F162" i="5"/>
  <c r="D162" i="5"/>
  <c r="F161" i="5"/>
  <c r="D161" i="5"/>
  <c r="F160" i="5"/>
  <c r="D160" i="5"/>
  <c r="F159" i="5"/>
  <c r="D159" i="5"/>
  <c r="F158" i="5"/>
  <c r="D158" i="5"/>
  <c r="F157" i="5"/>
  <c r="D157" i="5"/>
  <c r="F156" i="5"/>
  <c r="D156" i="5"/>
  <c r="F155" i="5"/>
  <c r="D155" i="5"/>
  <c r="F154" i="5"/>
  <c r="D154" i="5"/>
  <c r="F153" i="5"/>
  <c r="D153" i="5"/>
  <c r="F152" i="5"/>
  <c r="D152" i="5"/>
  <c r="F151" i="5"/>
  <c r="D151" i="5"/>
  <c r="F150" i="5"/>
  <c r="D150" i="5"/>
  <c r="F149" i="5"/>
  <c r="D149" i="5"/>
  <c r="F148" i="5"/>
  <c r="D148" i="5"/>
  <c r="F147" i="5"/>
  <c r="D147" i="5"/>
  <c r="F146" i="5"/>
  <c r="D146" i="5"/>
  <c r="F145" i="5"/>
  <c r="D145" i="5"/>
  <c r="F144" i="5"/>
  <c r="D144" i="5"/>
  <c r="F143" i="5"/>
  <c r="D143" i="5"/>
  <c r="F142" i="5"/>
  <c r="D142" i="5"/>
  <c r="F141" i="5"/>
  <c r="D141" i="5"/>
  <c r="F140" i="5"/>
  <c r="D140" i="5"/>
  <c r="F139" i="5"/>
  <c r="D139" i="5"/>
  <c r="F138" i="5"/>
  <c r="D138" i="5"/>
  <c r="F137" i="5"/>
  <c r="D137" i="5"/>
  <c r="F136" i="5"/>
  <c r="D136" i="5"/>
  <c r="F135" i="5"/>
  <c r="D135" i="5"/>
  <c r="F134" i="5"/>
  <c r="D134" i="5"/>
  <c r="D121" i="5"/>
  <c r="F120" i="5"/>
  <c r="D120" i="5"/>
  <c r="F119" i="5"/>
  <c r="D119" i="5"/>
  <c r="F118" i="5"/>
  <c r="D118" i="5"/>
  <c r="F117" i="5"/>
  <c r="D117" i="5"/>
  <c r="F116" i="5"/>
  <c r="D116" i="5"/>
  <c r="F115" i="5"/>
  <c r="D115" i="5"/>
  <c r="F114" i="5"/>
  <c r="D114" i="5"/>
  <c r="F113" i="5"/>
  <c r="D113" i="5"/>
  <c r="F112" i="5"/>
  <c r="D112" i="5"/>
  <c r="F111" i="5"/>
  <c r="D111" i="5"/>
  <c r="F110" i="5"/>
  <c r="D110" i="5"/>
  <c r="F109" i="5"/>
  <c r="D109" i="5"/>
  <c r="F108" i="5"/>
  <c r="D108" i="5"/>
  <c r="F107" i="5"/>
  <c r="D107" i="5"/>
  <c r="F106" i="5"/>
  <c r="D106" i="5"/>
  <c r="F105" i="5"/>
  <c r="D105" i="5"/>
  <c r="F104" i="5"/>
  <c r="D104" i="5"/>
  <c r="F103" i="5"/>
  <c r="D103" i="5"/>
  <c r="F102" i="5"/>
  <c r="D102" i="5"/>
  <c r="F101" i="5"/>
  <c r="D101" i="5"/>
  <c r="F100" i="5"/>
  <c r="D100" i="5"/>
  <c r="F99" i="5"/>
  <c r="D99" i="5"/>
  <c r="F98" i="5"/>
  <c r="D98" i="5"/>
  <c r="F97" i="5"/>
  <c r="D97" i="5"/>
  <c r="F96" i="5"/>
  <c r="D96" i="5"/>
  <c r="F95" i="5"/>
  <c r="D95" i="5"/>
  <c r="F94" i="5"/>
  <c r="D94" i="5"/>
  <c r="F93" i="5"/>
  <c r="D93" i="5"/>
  <c r="F92" i="5"/>
  <c r="D92" i="5"/>
  <c r="F91" i="5"/>
  <c r="D91" i="5"/>
  <c r="F90" i="5"/>
  <c r="D90" i="5"/>
  <c r="F89" i="5"/>
  <c r="D89" i="5"/>
  <c r="F88" i="5"/>
  <c r="D88" i="5"/>
  <c r="F87" i="5"/>
  <c r="D87" i="5"/>
  <c r="F86" i="5"/>
  <c r="D86" i="5"/>
  <c r="F85" i="5"/>
  <c r="D85" i="5"/>
  <c r="F84" i="5"/>
  <c r="D84" i="5"/>
  <c r="F83" i="5"/>
  <c r="D83" i="5"/>
  <c r="F82" i="5"/>
  <c r="D82" i="5"/>
  <c r="F81" i="5"/>
  <c r="D81" i="5"/>
  <c r="F80" i="5"/>
  <c r="D80" i="5"/>
  <c r="F79" i="5"/>
  <c r="D79" i="5"/>
  <c r="F78" i="5"/>
  <c r="D78" i="5"/>
  <c r="F77" i="5"/>
  <c r="D77" i="5"/>
  <c r="F76" i="5"/>
  <c r="D76" i="5"/>
  <c r="F75" i="5"/>
  <c r="D75" i="5"/>
  <c r="F74" i="5"/>
  <c r="D74" i="5"/>
  <c r="F73" i="5"/>
  <c r="D73" i="5"/>
  <c r="F72" i="5"/>
  <c r="D72" i="5"/>
  <c r="F71" i="5"/>
  <c r="D71" i="5"/>
  <c r="F70" i="5"/>
  <c r="D70" i="5"/>
  <c r="F69" i="5"/>
  <c r="D69" i="5"/>
  <c r="F68" i="5"/>
  <c r="D68" i="5"/>
  <c r="F67" i="5"/>
  <c r="D67" i="5"/>
  <c r="F66" i="5"/>
  <c r="D66" i="5"/>
  <c r="F65" i="5"/>
  <c r="D65" i="5"/>
  <c r="F64" i="5"/>
  <c r="D64" i="5"/>
  <c r="F63" i="5"/>
  <c r="D63" i="5"/>
  <c r="F62" i="5"/>
  <c r="D62" i="5"/>
  <c r="F61" i="5"/>
  <c r="D61" i="5"/>
  <c r="F60" i="5"/>
  <c r="D60" i="5"/>
  <c r="F59" i="5"/>
  <c r="D59" i="5"/>
  <c r="F58" i="5"/>
  <c r="D58" i="5"/>
  <c r="F57" i="5"/>
  <c r="D57" i="5"/>
  <c r="F56" i="5"/>
  <c r="D56" i="5"/>
  <c r="F55" i="5"/>
  <c r="D55" i="5"/>
  <c r="F54" i="5"/>
  <c r="D54" i="5"/>
  <c r="F53" i="5"/>
  <c r="D53" i="5"/>
  <c r="F52" i="5"/>
  <c r="D52" i="5"/>
  <c r="F51" i="5"/>
  <c r="D51" i="5"/>
  <c r="F50" i="5"/>
  <c r="D50" i="5"/>
  <c r="F49" i="5"/>
  <c r="D49" i="5"/>
  <c r="F48" i="5"/>
  <c r="D48" i="5"/>
  <c r="F47" i="5"/>
  <c r="D47" i="5"/>
  <c r="F46" i="5"/>
  <c r="D46" i="5"/>
  <c r="F45" i="5"/>
  <c r="D45" i="5"/>
  <c r="F44" i="5"/>
  <c r="D44" i="5"/>
  <c r="F43" i="5"/>
  <c r="D43" i="5"/>
  <c r="F42" i="5"/>
  <c r="D42" i="5"/>
  <c r="F41" i="5"/>
  <c r="D41" i="5"/>
  <c r="F40" i="5"/>
  <c r="D40" i="5"/>
  <c r="F39" i="5"/>
  <c r="D39" i="5"/>
  <c r="F38" i="5"/>
  <c r="D38" i="5"/>
  <c r="D25" i="5"/>
  <c r="F24" i="5"/>
  <c r="D24" i="5"/>
  <c r="F23" i="5"/>
  <c r="D23" i="5"/>
  <c r="F22" i="5"/>
  <c r="D22" i="5"/>
  <c r="F21" i="5"/>
  <c r="D21" i="5"/>
  <c r="F20" i="5"/>
  <c r="D20" i="5"/>
  <c r="F19" i="5"/>
  <c r="D19" i="5"/>
  <c r="D18" i="5"/>
  <c r="F17" i="5"/>
  <c r="D17" i="5"/>
  <c r="F16" i="5"/>
  <c r="D16" i="5"/>
  <c r="D15" i="5"/>
  <c r="F14" i="5"/>
  <c r="D14" i="5"/>
  <c r="O115" i="12" l="1"/>
  <c r="O127" i="12"/>
  <c r="O139" i="12" s="1"/>
  <c r="O151" i="12" s="1"/>
  <c r="O163" i="12" s="1"/>
  <c r="O175" i="12" s="1"/>
  <c r="O187" i="12" s="1"/>
  <c r="O199" i="12" s="1"/>
  <c r="O211" i="12" s="1"/>
  <c r="O223" i="12" s="1"/>
  <c r="O247" i="12" s="1"/>
  <c r="O259" i="12" s="1"/>
  <c r="O271" i="12" s="1"/>
  <c r="O283" i="12" s="1"/>
  <c r="O295" i="12" s="1"/>
  <c r="O307" i="12" s="1"/>
  <c r="O319" i="12" s="1"/>
  <c r="O331" i="12" s="1"/>
  <c r="O343" i="12" s="1"/>
  <c r="O111" i="12"/>
  <c r="O123" i="12"/>
  <c r="O135" i="12" s="1"/>
  <c r="O147" i="12" s="1"/>
  <c r="O159" i="12" s="1"/>
  <c r="O171" i="12" s="1"/>
  <c r="O183" i="12" s="1"/>
  <c r="O195" i="12" s="1"/>
  <c r="O207" i="12" s="1"/>
  <c r="O219" i="12" s="1"/>
  <c r="O243" i="12" s="1"/>
  <c r="O255" i="12" s="1"/>
  <c r="O267" i="12" s="1"/>
  <c r="O279" i="12" s="1"/>
  <c r="O291" i="12" s="1"/>
  <c r="O303" i="12" s="1"/>
  <c r="O315" i="12" s="1"/>
  <c r="O327" i="12" s="1"/>
  <c r="O339" i="12" s="1"/>
  <c r="O112" i="12"/>
  <c r="O124" i="12"/>
  <c r="O136" i="12" s="1"/>
  <c r="O148" i="12" s="1"/>
  <c r="O160" i="12" s="1"/>
  <c r="O172" i="12" s="1"/>
  <c r="O184" i="12" s="1"/>
  <c r="O196" i="12" s="1"/>
  <c r="O208" i="12" s="1"/>
  <c r="O220" i="12" s="1"/>
  <c r="O244" i="12" s="1"/>
  <c r="O256" i="12" s="1"/>
  <c r="O268" i="12" s="1"/>
  <c r="O280" i="12" s="1"/>
  <c r="O292" i="12" s="1"/>
  <c r="O304" i="12" s="1"/>
  <c r="O316" i="12" s="1"/>
  <c r="O328" i="12" s="1"/>
  <c r="O340" i="12" s="1"/>
  <c r="O117" i="12"/>
  <c r="O129" i="12"/>
  <c r="O141" i="12" s="1"/>
  <c r="O153" i="12" s="1"/>
  <c r="O165" i="12" s="1"/>
  <c r="O177" i="12" s="1"/>
  <c r="O189" i="12" s="1"/>
  <c r="O201" i="12" s="1"/>
  <c r="O213" i="12" s="1"/>
  <c r="O225" i="12" s="1"/>
  <c r="O249" i="12" s="1"/>
  <c r="O261" i="12" s="1"/>
  <c r="O273" i="12" s="1"/>
  <c r="O285" i="12" s="1"/>
  <c r="O297" i="12" s="1"/>
  <c r="O309" i="12" s="1"/>
  <c r="O321" i="12" s="1"/>
  <c r="O333" i="12" s="1"/>
  <c r="O345" i="12" s="1"/>
  <c r="O116" i="12"/>
  <c r="O128" i="12"/>
  <c r="O140" i="12" s="1"/>
  <c r="O152" i="12" s="1"/>
  <c r="O164" i="12" s="1"/>
  <c r="O176" i="12" s="1"/>
  <c r="O188" i="12" s="1"/>
  <c r="O200" i="12" s="1"/>
  <c r="O212" i="12" s="1"/>
  <c r="O224" i="12" s="1"/>
  <c r="O236" i="12" s="1"/>
  <c r="O118" i="12"/>
  <c r="O130" i="12"/>
  <c r="O142" i="12" s="1"/>
  <c r="O154" i="12" s="1"/>
  <c r="O166" i="12" s="1"/>
  <c r="O178" i="12" s="1"/>
  <c r="O190" i="12" s="1"/>
  <c r="O202" i="12" s="1"/>
  <c r="O214" i="12" s="1"/>
  <c r="O226" i="12" s="1"/>
  <c r="O238" i="12" s="1"/>
  <c r="O120" i="12"/>
  <c r="O132" i="12"/>
  <c r="O144" i="12" s="1"/>
  <c r="O156" i="12" s="1"/>
  <c r="O168" i="12" s="1"/>
  <c r="O180" i="12" s="1"/>
  <c r="O192" i="12" s="1"/>
  <c r="O204" i="12" s="1"/>
  <c r="O216" i="12" s="1"/>
  <c r="O228" i="12" s="1"/>
  <c r="O252" i="12" s="1"/>
  <c r="O264" i="12" s="1"/>
  <c r="O276" i="12" s="1"/>
  <c r="O288" i="12" s="1"/>
  <c r="O300" i="12" s="1"/>
  <c r="O312" i="12" s="1"/>
  <c r="O324" i="12" s="1"/>
  <c r="O336" i="12" s="1"/>
  <c r="O348" i="12" s="1"/>
  <c r="O114" i="12"/>
  <c r="O126" i="12"/>
  <c r="O138" i="12" s="1"/>
  <c r="O150" i="12" s="1"/>
  <c r="O162" i="12" s="1"/>
  <c r="O174" i="12" s="1"/>
  <c r="O186" i="12" s="1"/>
  <c r="O198" i="12" s="1"/>
  <c r="O210" i="12" s="1"/>
  <c r="O222" i="12" s="1"/>
  <c r="O234" i="12" s="1"/>
  <c r="O121" i="12"/>
  <c r="O133" i="12"/>
  <c r="O145" i="12" s="1"/>
  <c r="O157" i="12" s="1"/>
  <c r="O169" i="12" s="1"/>
  <c r="O181" i="12" s="1"/>
  <c r="O193" i="12" s="1"/>
  <c r="O205" i="12" s="1"/>
  <c r="O217" i="12" s="1"/>
  <c r="O229" i="12" s="1"/>
  <c r="O241" i="12" s="1"/>
  <c r="O119" i="12"/>
  <c r="O131" i="12"/>
  <c r="O143" i="12" s="1"/>
  <c r="O155" i="12" s="1"/>
  <c r="O167" i="12" s="1"/>
  <c r="O179" i="12" s="1"/>
  <c r="O191" i="12" s="1"/>
  <c r="O203" i="12" s="1"/>
  <c r="O215" i="12" s="1"/>
  <c r="O227" i="12" s="1"/>
  <c r="O251" i="12" s="1"/>
  <c r="O263" i="12" s="1"/>
  <c r="O275" i="12" s="1"/>
  <c r="O287" i="12" s="1"/>
  <c r="O299" i="12" s="1"/>
  <c r="O311" i="12" s="1"/>
  <c r="O323" i="12" s="1"/>
  <c r="O335" i="12" s="1"/>
  <c r="O347" i="12" s="1"/>
  <c r="O17" i="12"/>
  <c r="O29" i="12" s="1"/>
  <c r="O41" i="12" s="1"/>
  <c r="O53" i="12" s="1"/>
  <c r="O65" i="12" s="1"/>
  <c r="O77" i="12" s="1"/>
  <c r="O89" i="12" s="1"/>
  <c r="O101" i="12" s="1"/>
  <c r="I581" i="12"/>
  <c r="G581" i="12" s="1"/>
  <c r="I579" i="12"/>
  <c r="G579" i="12" s="1"/>
  <c r="I583" i="12"/>
  <c r="G583" i="12" s="1"/>
  <c r="I600" i="12"/>
  <c r="I612" i="12" s="1"/>
  <c r="I624" i="12" s="1"/>
  <c r="I636" i="12" s="1"/>
  <c r="I648" i="12" s="1"/>
  <c r="I660" i="12" s="1"/>
  <c r="I672" i="12" s="1"/>
  <c r="I684" i="12" s="1"/>
  <c r="I696" i="12" s="1"/>
  <c r="I708" i="12" s="1"/>
  <c r="I720" i="12" s="1"/>
  <c r="I732" i="12" s="1"/>
  <c r="I744" i="12" s="1"/>
  <c r="I756" i="12" s="1"/>
  <c r="G756" i="12" s="1"/>
  <c r="I588" i="12"/>
  <c r="G588" i="12" s="1"/>
  <c r="I587" i="12"/>
  <c r="G587" i="12" s="1"/>
  <c r="I589" i="12"/>
  <c r="G589" i="12" s="1"/>
  <c r="I582" i="12"/>
  <c r="G582" i="12" s="1"/>
  <c r="G53" i="12"/>
  <c r="W475" i="12"/>
  <c r="W487" i="12" s="1"/>
  <c r="W499" i="12" s="1"/>
  <c r="W511" i="12" s="1"/>
  <c r="W523" i="12" s="1"/>
  <c r="W535" i="12" s="1"/>
  <c r="W547" i="12" s="1"/>
  <c r="W559" i="12" s="1"/>
  <c r="W571" i="12" s="1"/>
  <c r="W583" i="12" s="1"/>
  <c r="U463" i="12"/>
  <c r="W476" i="12"/>
  <c r="W488" i="12" s="1"/>
  <c r="W500" i="12" s="1"/>
  <c r="W512" i="12" s="1"/>
  <c r="W524" i="12" s="1"/>
  <c r="W536" i="12" s="1"/>
  <c r="W548" i="12" s="1"/>
  <c r="W560" i="12" s="1"/>
  <c r="W572" i="12" s="1"/>
  <c r="W584" i="12" s="1"/>
  <c r="U464" i="12"/>
  <c r="W477" i="12"/>
  <c r="W489" i="12" s="1"/>
  <c r="W501" i="12" s="1"/>
  <c r="W513" i="12" s="1"/>
  <c r="W525" i="12" s="1"/>
  <c r="W537" i="12" s="1"/>
  <c r="W549" i="12" s="1"/>
  <c r="W561" i="12" s="1"/>
  <c r="W573" i="12" s="1"/>
  <c r="W585" i="12" s="1"/>
  <c r="U465" i="12"/>
  <c r="W474" i="12"/>
  <c r="W486" i="12" s="1"/>
  <c r="W498" i="12" s="1"/>
  <c r="W510" i="12" s="1"/>
  <c r="W522" i="12" s="1"/>
  <c r="W534" i="12" s="1"/>
  <c r="W546" i="12" s="1"/>
  <c r="W558" i="12" s="1"/>
  <c r="W570" i="12" s="1"/>
  <c r="W582" i="12" s="1"/>
  <c r="U462" i="12"/>
  <c r="W481" i="12"/>
  <c r="W493" i="12" s="1"/>
  <c r="W505" i="12" s="1"/>
  <c r="W517" i="12" s="1"/>
  <c r="W529" i="12" s="1"/>
  <c r="W541" i="12" s="1"/>
  <c r="W553" i="12" s="1"/>
  <c r="W565" i="12" s="1"/>
  <c r="W577" i="12" s="1"/>
  <c r="W589" i="12" s="1"/>
  <c r="U469" i="12"/>
  <c r="W480" i="12"/>
  <c r="W492" i="12" s="1"/>
  <c r="W504" i="12" s="1"/>
  <c r="W516" i="12" s="1"/>
  <c r="W528" i="12" s="1"/>
  <c r="W540" i="12" s="1"/>
  <c r="W552" i="12" s="1"/>
  <c r="W564" i="12" s="1"/>
  <c r="W576" i="12" s="1"/>
  <c r="W588" i="12" s="1"/>
  <c r="U468" i="12"/>
  <c r="W472" i="12"/>
  <c r="W484" i="12" s="1"/>
  <c r="W496" i="12" s="1"/>
  <c r="W508" i="12" s="1"/>
  <c r="W520" i="12" s="1"/>
  <c r="W532" i="12" s="1"/>
  <c r="W544" i="12" s="1"/>
  <c r="W556" i="12" s="1"/>
  <c r="W568" i="12" s="1"/>
  <c r="W580" i="12" s="1"/>
  <c r="U460" i="12"/>
  <c r="W473" i="12"/>
  <c r="W485" i="12" s="1"/>
  <c r="W497" i="12" s="1"/>
  <c r="W509" i="12" s="1"/>
  <c r="W521" i="12" s="1"/>
  <c r="W533" i="12" s="1"/>
  <c r="W545" i="12" s="1"/>
  <c r="W557" i="12" s="1"/>
  <c r="W569" i="12" s="1"/>
  <c r="W581" i="12" s="1"/>
  <c r="U461" i="12"/>
  <c r="W479" i="12"/>
  <c r="W491" i="12" s="1"/>
  <c r="W503" i="12" s="1"/>
  <c r="W515" i="12" s="1"/>
  <c r="W527" i="12" s="1"/>
  <c r="W539" i="12" s="1"/>
  <c r="W551" i="12" s="1"/>
  <c r="W563" i="12" s="1"/>
  <c r="W575" i="12" s="1"/>
  <c r="W587" i="12" s="1"/>
  <c r="U467" i="12"/>
  <c r="W478" i="12"/>
  <c r="W490" i="12" s="1"/>
  <c r="W502" i="12" s="1"/>
  <c r="W514" i="12" s="1"/>
  <c r="W526" i="12" s="1"/>
  <c r="W538" i="12" s="1"/>
  <c r="W550" i="12" s="1"/>
  <c r="W562" i="12" s="1"/>
  <c r="W574" i="12" s="1"/>
  <c r="W586" i="12" s="1"/>
  <c r="U466" i="12"/>
  <c r="O242" i="12"/>
  <c r="O254" i="12" s="1"/>
  <c r="O266" i="12" s="1"/>
  <c r="O278" i="12" s="1"/>
  <c r="O290" i="12" s="1"/>
  <c r="O302" i="12" s="1"/>
  <c r="O314" i="12" s="1"/>
  <c r="O326" i="12" s="1"/>
  <c r="O338" i="12" s="1"/>
  <c r="O230" i="12"/>
  <c r="O235" i="12"/>
  <c r="I45" i="12"/>
  <c r="G45" i="12"/>
  <c r="G46" i="12"/>
  <c r="I46" i="12"/>
  <c r="I56" i="12"/>
  <c r="I68" i="12" s="1"/>
  <c r="I80" i="12" s="1"/>
  <c r="I92" i="12" s="1"/>
  <c r="I104" i="12" s="1"/>
  <c r="I116" i="12" s="1"/>
  <c r="I128" i="12" s="1"/>
  <c r="I140" i="12" s="1"/>
  <c r="I152" i="12" s="1"/>
  <c r="I164" i="12" s="1"/>
  <c r="I176" i="12" s="1"/>
  <c r="I188" i="12" s="1"/>
  <c r="I200" i="12" s="1"/>
  <c r="I212" i="12" s="1"/>
  <c r="I224" i="12" s="1"/>
  <c r="I236" i="12" s="1"/>
  <c r="I248" i="12" s="1"/>
  <c r="I260" i="12" s="1"/>
  <c r="I272" i="12" s="1"/>
  <c r="I284" i="12" s="1"/>
  <c r="I296" i="12" s="1"/>
  <c r="I308" i="12" s="1"/>
  <c r="I320" i="12" s="1"/>
  <c r="I332" i="12" s="1"/>
  <c r="I344" i="12" s="1"/>
  <c r="I356" i="12" s="1"/>
  <c r="I368" i="12" s="1"/>
  <c r="I380" i="12" s="1"/>
  <c r="I392" i="12" s="1"/>
  <c r="I404" i="12" s="1"/>
  <c r="I416" i="12" s="1"/>
  <c r="I428" i="12" s="1"/>
  <c r="I440" i="12" s="1"/>
  <c r="I452" i="12" s="1"/>
  <c r="I464" i="12" s="1"/>
  <c r="I476" i="12" s="1"/>
  <c r="I488" i="12" s="1"/>
  <c r="I500" i="12" s="1"/>
  <c r="I512" i="12" s="1"/>
  <c r="I524" i="12" s="1"/>
  <c r="I536" i="12" s="1"/>
  <c r="I548" i="12" s="1"/>
  <c r="I560" i="12" s="1"/>
  <c r="I572" i="12" s="1"/>
  <c r="G56" i="12"/>
  <c r="I40" i="12"/>
  <c r="G40" i="12"/>
  <c r="X14" i="12"/>
  <c r="X26" i="12" s="1"/>
  <c r="X38" i="12" s="1"/>
  <c r="X50" i="12" s="1"/>
  <c r="X62" i="12" s="1"/>
  <c r="X74" i="12" s="1"/>
  <c r="X86" i="12" s="1"/>
  <c r="X98" i="12" s="1"/>
  <c r="X110" i="12" s="1"/>
  <c r="X122" i="12" s="1"/>
  <c r="X134" i="12" s="1"/>
  <c r="X146" i="12" s="1"/>
  <c r="X158" i="12" s="1"/>
  <c r="X170" i="12" s="1"/>
  <c r="X182" i="12" s="1"/>
  <c r="X194" i="12" s="1"/>
  <c r="X206" i="12" s="1"/>
  <c r="X218" i="12" s="1"/>
  <c r="X230" i="12" s="1"/>
  <c r="X242" i="12" s="1"/>
  <c r="X254" i="12" s="1"/>
  <c r="X266" i="12" s="1"/>
  <c r="X278" i="12" s="1"/>
  <c r="X290" i="12" s="1"/>
  <c r="X302" i="12" s="1"/>
  <c r="X314" i="12" s="1"/>
  <c r="X326" i="12" s="1"/>
  <c r="X338" i="12" s="1"/>
  <c r="X350" i="12" s="1"/>
  <c r="X362" i="12" s="1"/>
  <c r="X374" i="12" s="1"/>
  <c r="X386" i="12" s="1"/>
  <c r="X398" i="12" s="1"/>
  <c r="X410" i="12" s="1"/>
  <c r="X422" i="12" s="1"/>
  <c r="X434" i="12" s="1"/>
  <c r="X446" i="12" s="1"/>
  <c r="X458" i="12" s="1"/>
  <c r="X470" i="12" s="1"/>
  <c r="X482" i="12" s="1"/>
  <c r="X494" i="12" s="1"/>
  <c r="X506" i="12" s="1"/>
  <c r="X518" i="12" s="1"/>
  <c r="X530" i="12" s="1"/>
  <c r="X542" i="12" s="1"/>
  <c r="X554" i="12" s="1"/>
  <c r="X566" i="12" s="1"/>
  <c r="X578" i="12" s="1"/>
  <c r="X590" i="12" s="1"/>
  <c r="X602" i="12" s="1"/>
  <c r="X614" i="12" s="1"/>
  <c r="X626" i="12" s="1"/>
  <c r="X638" i="12" s="1"/>
  <c r="X650" i="12" s="1"/>
  <c r="X662" i="12" s="1"/>
  <c r="X674" i="12" s="1"/>
  <c r="X686" i="12" s="1"/>
  <c r="X698" i="12" s="1"/>
  <c r="X710" i="12" s="1"/>
  <c r="X722" i="12" s="1"/>
  <c r="X734" i="12" s="1"/>
  <c r="X746" i="12" s="1"/>
  <c r="Q2" i="12"/>
  <c r="Q14" i="12" s="1"/>
  <c r="Q26" i="12" s="1"/>
  <c r="Q38" i="12" s="1"/>
  <c r="Q50" i="12" s="1"/>
  <c r="Q62" i="12" s="1"/>
  <c r="Q74" i="12" s="1"/>
  <c r="Q86" i="12" s="1"/>
  <c r="Q98" i="12" s="1"/>
  <c r="I38" i="12"/>
  <c r="G38" i="12"/>
  <c r="Q131" i="12"/>
  <c r="Q143" i="12" s="1"/>
  <c r="Q155" i="12" s="1"/>
  <c r="Q167" i="12" s="1"/>
  <c r="Q179" i="12" s="1"/>
  <c r="Q191" i="12" s="1"/>
  <c r="Q203" i="12" s="1"/>
  <c r="Q215" i="12" s="1"/>
  <c r="Q227" i="12" s="1"/>
  <c r="Q127" i="12"/>
  <c r="Q139" i="12" s="1"/>
  <c r="Q151" i="12" s="1"/>
  <c r="Q163" i="12" s="1"/>
  <c r="Q175" i="12" s="1"/>
  <c r="Q187" i="12" s="1"/>
  <c r="Q199" i="12" s="1"/>
  <c r="Q211" i="12" s="1"/>
  <c r="Q223" i="12" s="1"/>
  <c r="Q128" i="12"/>
  <c r="Q140" i="12" s="1"/>
  <c r="Q152" i="12" s="1"/>
  <c r="Q164" i="12" s="1"/>
  <c r="Q176" i="12" s="1"/>
  <c r="Q188" i="12" s="1"/>
  <c r="Q200" i="12" s="1"/>
  <c r="Q212" i="12" s="1"/>
  <c r="Q224" i="12" s="1"/>
  <c r="Q123" i="12"/>
  <c r="Q135" i="12" s="1"/>
  <c r="Q147" i="12" s="1"/>
  <c r="Q159" i="12" s="1"/>
  <c r="Q171" i="12" s="1"/>
  <c r="Q183" i="12" s="1"/>
  <c r="Q195" i="12" s="1"/>
  <c r="Q207" i="12" s="1"/>
  <c r="Q219" i="12" s="1"/>
  <c r="Q124" i="12"/>
  <c r="Q136" i="12" s="1"/>
  <c r="Q148" i="12" s="1"/>
  <c r="Q160" i="12" s="1"/>
  <c r="Q172" i="12" s="1"/>
  <c r="Q184" i="12" s="1"/>
  <c r="Q196" i="12" s="1"/>
  <c r="Q208" i="12" s="1"/>
  <c r="Q220" i="12" s="1"/>
  <c r="Q133" i="12"/>
  <c r="Q145" i="12" s="1"/>
  <c r="Q157" i="12" s="1"/>
  <c r="Q169" i="12" s="1"/>
  <c r="Q181" i="12" s="1"/>
  <c r="Q193" i="12" s="1"/>
  <c r="Q205" i="12" s="1"/>
  <c r="Q217" i="12" s="1"/>
  <c r="Q229" i="12" s="1"/>
  <c r="Q132" i="12"/>
  <c r="Q144" i="12" s="1"/>
  <c r="Q156" i="12" s="1"/>
  <c r="Q168" i="12" s="1"/>
  <c r="Q180" i="12" s="1"/>
  <c r="Q192" i="12" s="1"/>
  <c r="Q204" i="12" s="1"/>
  <c r="Q216" i="12" s="1"/>
  <c r="Q228" i="12" s="1"/>
  <c r="Q130" i="12"/>
  <c r="Q142" i="12" s="1"/>
  <c r="Q154" i="12" s="1"/>
  <c r="Q166" i="12" s="1"/>
  <c r="Q178" i="12" s="1"/>
  <c r="Q190" i="12" s="1"/>
  <c r="Q202" i="12" s="1"/>
  <c r="Q214" i="12" s="1"/>
  <c r="Q226" i="12" s="1"/>
  <c r="Q126" i="12"/>
  <c r="Q138" i="12" s="1"/>
  <c r="Q150" i="12" s="1"/>
  <c r="Q162" i="12" s="1"/>
  <c r="Q174" i="12" s="1"/>
  <c r="Q186" i="12" s="1"/>
  <c r="Q198" i="12" s="1"/>
  <c r="Q210" i="12" s="1"/>
  <c r="Q222" i="12" s="1"/>
  <c r="Q125" i="12"/>
  <c r="Q137" i="12" s="1"/>
  <c r="Q149" i="12" s="1"/>
  <c r="Q161" i="12" s="1"/>
  <c r="Q173" i="12" s="1"/>
  <c r="Q185" i="12" s="1"/>
  <c r="Q197" i="12" s="1"/>
  <c r="Q209" i="12" s="1"/>
  <c r="Q221" i="12" s="1"/>
  <c r="Q129" i="12"/>
  <c r="Q141" i="12" s="1"/>
  <c r="Q153" i="12" s="1"/>
  <c r="Q165" i="12" s="1"/>
  <c r="Q177" i="12" s="1"/>
  <c r="Q189" i="12" s="1"/>
  <c r="Q201" i="12" s="1"/>
  <c r="Q213" i="12" s="1"/>
  <c r="Q225" i="12" s="1"/>
  <c r="H38" i="5"/>
  <c r="H42" i="5"/>
  <c r="H46" i="5"/>
  <c r="H50" i="5"/>
  <c r="H54" i="5"/>
  <c r="H58" i="5"/>
  <c r="H62" i="5"/>
  <c r="H66" i="5"/>
  <c r="H70" i="5"/>
  <c r="H74" i="5"/>
  <c r="H78" i="5"/>
  <c r="H82" i="5"/>
  <c r="H86" i="5"/>
  <c r="H90" i="5"/>
  <c r="H94" i="5"/>
  <c r="H98" i="5"/>
  <c r="H102" i="5"/>
  <c r="H106" i="5"/>
  <c r="H110" i="5"/>
  <c r="H114" i="5"/>
  <c r="H118" i="5"/>
  <c r="H134" i="5"/>
  <c r="H138" i="5"/>
  <c r="H142" i="5"/>
  <c r="H146" i="5"/>
  <c r="H150" i="5"/>
  <c r="H154" i="5"/>
  <c r="H158" i="5"/>
  <c r="H162" i="5"/>
  <c r="H166" i="5"/>
  <c r="H170" i="5"/>
  <c r="H174" i="5"/>
  <c r="H178" i="5"/>
  <c r="H182" i="5"/>
  <c r="H186" i="5"/>
  <c r="H190" i="5"/>
  <c r="H194" i="5"/>
  <c r="H198" i="5"/>
  <c r="H202" i="5"/>
  <c r="H206" i="5"/>
  <c r="H210" i="5"/>
  <c r="H214" i="5"/>
  <c r="H218" i="5"/>
  <c r="H222" i="5"/>
  <c r="H226" i="5"/>
  <c r="H230" i="5"/>
  <c r="H234" i="5"/>
  <c r="H238" i="5"/>
  <c r="H242" i="5"/>
  <c r="H246" i="5"/>
  <c r="H250" i="5"/>
  <c r="H254" i="5"/>
  <c r="H258" i="5"/>
  <c r="H262" i="5"/>
  <c r="H278" i="5"/>
  <c r="H282" i="5"/>
  <c r="H286" i="5"/>
  <c r="H290" i="5"/>
  <c r="H294" i="5"/>
  <c r="H298" i="5"/>
  <c r="H314" i="5"/>
  <c r="H318" i="5"/>
  <c r="H322" i="5"/>
  <c r="H326" i="5"/>
  <c r="H330" i="5"/>
  <c r="H334" i="5"/>
  <c r="H338" i="5"/>
  <c r="H342" i="5"/>
  <c r="H346" i="5"/>
  <c r="H350" i="5"/>
  <c r="H354" i="5"/>
  <c r="H358" i="5"/>
  <c r="H362" i="5"/>
  <c r="H366" i="5"/>
  <c r="H370" i="5"/>
  <c r="H374" i="5"/>
  <c r="H378" i="5"/>
  <c r="H382" i="5"/>
  <c r="H386" i="5"/>
  <c r="H390" i="5"/>
  <c r="H394" i="5"/>
  <c r="H398" i="5"/>
  <c r="H402" i="5"/>
  <c r="H406" i="5"/>
  <c r="H410" i="5"/>
  <c r="H414" i="5"/>
  <c r="H418" i="5"/>
  <c r="H422" i="5"/>
  <c r="H426" i="5"/>
  <c r="H430" i="5"/>
  <c r="H434" i="5"/>
  <c r="H438" i="5"/>
  <c r="H442" i="5"/>
  <c r="H470" i="5"/>
  <c r="H474" i="5"/>
  <c r="H478" i="5"/>
  <c r="H482" i="5"/>
  <c r="H486" i="5"/>
  <c r="H490" i="5"/>
  <c r="H494" i="5"/>
  <c r="H498" i="5"/>
  <c r="H502" i="5"/>
  <c r="H506" i="5"/>
  <c r="H510" i="5"/>
  <c r="H514" i="5"/>
  <c r="H518" i="5"/>
  <c r="H522" i="5"/>
  <c r="H526" i="5"/>
  <c r="H530" i="5"/>
  <c r="H534" i="5"/>
  <c r="H538" i="5"/>
  <c r="H542" i="5"/>
  <c r="H546" i="5"/>
  <c r="H550" i="5"/>
  <c r="H554" i="5"/>
  <c r="H558" i="5"/>
  <c r="H562" i="5"/>
  <c r="H566" i="5"/>
  <c r="H570" i="5"/>
  <c r="H574" i="5"/>
  <c r="H590" i="5"/>
  <c r="H594" i="5"/>
  <c r="H598" i="5"/>
  <c r="H602" i="5"/>
  <c r="H606" i="5"/>
  <c r="H610" i="5"/>
  <c r="H614" i="5"/>
  <c r="H618" i="5"/>
  <c r="H622" i="5"/>
  <c r="H638" i="5"/>
  <c r="H642" i="5"/>
  <c r="H646" i="5"/>
  <c r="H650" i="5"/>
  <c r="H654" i="5"/>
  <c r="H658" i="5"/>
  <c r="H662" i="5"/>
  <c r="H666" i="5"/>
  <c r="H670" i="5"/>
  <c r="H674" i="5"/>
  <c r="H678" i="5"/>
  <c r="H682" i="5"/>
  <c r="H698" i="5"/>
  <c r="H702" i="5"/>
  <c r="H706" i="5"/>
  <c r="H710" i="5"/>
  <c r="H714" i="5"/>
  <c r="H718" i="5"/>
  <c r="H722" i="5"/>
  <c r="H726" i="5"/>
  <c r="H730" i="5"/>
  <c r="H734" i="5"/>
  <c r="H738" i="5"/>
  <c r="H14" i="5"/>
  <c r="H18" i="5"/>
  <c r="H22" i="5"/>
  <c r="H742" i="5"/>
  <c r="N22" i="12"/>
  <c r="N21" i="12"/>
  <c r="N25" i="12"/>
  <c r="N18" i="12"/>
  <c r="N15" i="12"/>
  <c r="N24" i="12"/>
  <c r="N23" i="12"/>
  <c r="N20" i="12"/>
  <c r="H745" i="5"/>
  <c r="P14" i="12"/>
  <c r="N26" i="12" s="1"/>
  <c r="H104" i="5"/>
  <c r="H108" i="5"/>
  <c r="H112" i="5"/>
  <c r="H116" i="5"/>
  <c r="H120" i="5"/>
  <c r="H348" i="5"/>
  <c r="H352" i="5"/>
  <c r="H356" i="5"/>
  <c r="H360" i="5"/>
  <c r="H364" i="5"/>
  <c r="H368" i="5"/>
  <c r="H372" i="5"/>
  <c r="H376" i="5"/>
  <c r="H380" i="5"/>
  <c r="H384" i="5"/>
  <c r="H388" i="5"/>
  <c r="H392" i="5"/>
  <c r="H396" i="5"/>
  <c r="H400" i="5"/>
  <c r="H404" i="5"/>
  <c r="H408" i="5"/>
  <c r="H412" i="5"/>
  <c r="H416" i="5"/>
  <c r="H420" i="5"/>
  <c r="H424" i="5"/>
  <c r="H428" i="5"/>
  <c r="H432" i="5"/>
  <c r="H436" i="5"/>
  <c r="H440" i="5"/>
  <c r="H444" i="5"/>
  <c r="H472" i="5"/>
  <c r="H17" i="5"/>
  <c r="H21" i="5"/>
  <c r="H25" i="5"/>
  <c r="H41" i="5"/>
  <c r="H45" i="5"/>
  <c r="H49" i="5"/>
  <c r="H53" i="5"/>
  <c r="H57" i="5"/>
  <c r="H61" i="5"/>
  <c r="H65" i="5"/>
  <c r="H69" i="5"/>
  <c r="H73" i="5"/>
  <c r="H77" i="5"/>
  <c r="H81" i="5"/>
  <c r="H85" i="5"/>
  <c r="H89" i="5"/>
  <c r="H93" i="5"/>
  <c r="H97" i="5"/>
  <c r="H101" i="5"/>
  <c r="H105" i="5"/>
  <c r="H109" i="5"/>
  <c r="H113" i="5"/>
  <c r="H117" i="5"/>
  <c r="H121" i="5"/>
  <c r="H137" i="5"/>
  <c r="H141" i="5"/>
  <c r="H145" i="5"/>
  <c r="H149" i="5"/>
  <c r="H153" i="5"/>
  <c r="H157" i="5"/>
  <c r="H161" i="5"/>
  <c r="H165" i="5"/>
  <c r="H169" i="5"/>
  <c r="H173" i="5"/>
  <c r="H177" i="5"/>
  <c r="H181" i="5"/>
  <c r="H185" i="5"/>
  <c r="H189" i="5"/>
  <c r="H193" i="5"/>
  <c r="H197" i="5"/>
  <c r="H201" i="5"/>
  <c r="H205" i="5"/>
  <c r="H209" i="5"/>
  <c r="H213" i="5"/>
  <c r="H217" i="5"/>
  <c r="H221" i="5"/>
  <c r="H225" i="5"/>
  <c r="H229" i="5"/>
  <c r="H233" i="5"/>
  <c r="H237" i="5"/>
  <c r="H241" i="5"/>
  <c r="H245" i="5"/>
  <c r="H249" i="5"/>
  <c r="H253" i="5"/>
  <c r="H257" i="5"/>
  <c r="H261" i="5"/>
  <c r="H265" i="5"/>
  <c r="H281" i="5"/>
  <c r="H285" i="5"/>
  <c r="H289" i="5"/>
  <c r="H293" i="5"/>
  <c r="H297" i="5"/>
  <c r="H301" i="5"/>
  <c r="H317" i="5"/>
  <c r="H321" i="5"/>
  <c r="H325" i="5"/>
  <c r="H329" i="5"/>
  <c r="H333" i="5"/>
  <c r="H337" i="5"/>
  <c r="H341" i="5"/>
  <c r="H345" i="5"/>
  <c r="H349" i="5"/>
  <c r="H353" i="5"/>
  <c r="H357" i="5"/>
  <c r="H15" i="5"/>
  <c r="H19" i="5"/>
  <c r="H23" i="5"/>
  <c r="H39" i="5"/>
  <c r="H43" i="5"/>
  <c r="H47" i="5"/>
  <c r="H51" i="5"/>
  <c r="H55" i="5"/>
  <c r="H59" i="5"/>
  <c r="H63" i="5"/>
  <c r="H67" i="5"/>
  <c r="H71" i="5"/>
  <c r="H75" i="5"/>
  <c r="H79" i="5"/>
  <c r="H83" i="5"/>
  <c r="H87" i="5"/>
  <c r="H91" i="5"/>
  <c r="H95" i="5"/>
  <c r="H99" i="5"/>
  <c r="H103" i="5"/>
  <c r="H107" i="5"/>
  <c r="H111" i="5"/>
  <c r="H115" i="5"/>
  <c r="H119" i="5"/>
  <c r="H135" i="5"/>
  <c r="H139" i="5"/>
  <c r="H143" i="5"/>
  <c r="H147" i="5"/>
  <c r="H151" i="5"/>
  <c r="H155" i="5"/>
  <c r="H159" i="5"/>
  <c r="H163" i="5"/>
  <c r="H167" i="5"/>
  <c r="H171" i="5"/>
  <c r="H175" i="5"/>
  <c r="H179" i="5"/>
  <c r="H183" i="5"/>
  <c r="H187" i="5"/>
  <c r="H191" i="5"/>
  <c r="H195" i="5"/>
  <c r="H199" i="5"/>
  <c r="H203" i="5"/>
  <c r="H207" i="5"/>
  <c r="H211" i="5"/>
  <c r="H215" i="5"/>
  <c r="H219" i="5"/>
  <c r="H223" i="5"/>
  <c r="H227" i="5"/>
  <c r="H231" i="5"/>
  <c r="H235" i="5"/>
  <c r="H239" i="5"/>
  <c r="H243" i="5"/>
  <c r="H247" i="5"/>
  <c r="H251" i="5"/>
  <c r="H255" i="5"/>
  <c r="H259" i="5"/>
  <c r="H263" i="5"/>
  <c r="H279" i="5"/>
  <c r="H283" i="5"/>
  <c r="H287" i="5"/>
  <c r="H291" i="5"/>
  <c r="H295" i="5"/>
  <c r="H299" i="5"/>
  <c r="H315" i="5"/>
  <c r="H319" i="5"/>
  <c r="H323" i="5"/>
  <c r="H327" i="5"/>
  <c r="H331" i="5"/>
  <c r="H335" i="5"/>
  <c r="H339" i="5"/>
  <c r="H343" i="5"/>
  <c r="H347" i="5"/>
  <c r="H351" i="5"/>
  <c r="H355" i="5"/>
  <c r="H359" i="5"/>
  <c r="H16" i="5"/>
  <c r="H20" i="5"/>
  <c r="H24" i="5"/>
  <c r="H40" i="5"/>
  <c r="H44" i="5"/>
  <c r="H48" i="5"/>
  <c r="H52" i="5"/>
  <c r="H56" i="5"/>
  <c r="H60" i="5"/>
  <c r="H64" i="5"/>
  <c r="H68" i="5"/>
  <c r="H72" i="5"/>
  <c r="H76" i="5"/>
  <c r="H80" i="5"/>
  <c r="H84" i="5"/>
  <c r="H88" i="5"/>
  <c r="H92" i="5"/>
  <c r="H96" i="5"/>
  <c r="H100" i="5"/>
  <c r="H136" i="5"/>
  <c r="H140" i="5"/>
  <c r="H144" i="5"/>
  <c r="H148" i="5"/>
  <c r="H152" i="5"/>
  <c r="H156" i="5"/>
  <c r="H160" i="5"/>
  <c r="H164" i="5"/>
  <c r="H168" i="5"/>
  <c r="H172" i="5"/>
  <c r="H176" i="5"/>
  <c r="H180" i="5"/>
  <c r="H184" i="5"/>
  <c r="H188" i="5"/>
  <c r="H192" i="5"/>
  <c r="H196" i="5"/>
  <c r="H200" i="5"/>
  <c r="H204" i="5"/>
  <c r="H208" i="5"/>
  <c r="H212" i="5"/>
  <c r="H216" i="5"/>
  <c r="H220" i="5"/>
  <c r="H224" i="5"/>
  <c r="H228" i="5"/>
  <c r="H232" i="5"/>
  <c r="H236" i="5"/>
  <c r="H240" i="5"/>
  <c r="H244" i="5"/>
  <c r="H248" i="5"/>
  <c r="H252" i="5"/>
  <c r="H256" i="5"/>
  <c r="H260" i="5"/>
  <c r="H264" i="5"/>
  <c r="H280" i="5"/>
  <c r="H284" i="5"/>
  <c r="H288" i="5"/>
  <c r="H292" i="5"/>
  <c r="H296" i="5"/>
  <c r="H300" i="5"/>
  <c r="H316" i="5"/>
  <c r="H320" i="5"/>
  <c r="H324" i="5"/>
  <c r="H328" i="5"/>
  <c r="H332" i="5"/>
  <c r="H336" i="5"/>
  <c r="H340" i="5"/>
  <c r="H344" i="5"/>
  <c r="H361" i="5"/>
  <c r="H365" i="5"/>
  <c r="H369" i="5"/>
  <c r="H373" i="5"/>
  <c r="H377" i="5"/>
  <c r="H381" i="5"/>
  <c r="H385" i="5"/>
  <c r="H389" i="5"/>
  <c r="H393" i="5"/>
  <c r="H397" i="5"/>
  <c r="H401" i="5"/>
  <c r="H405" i="5"/>
  <c r="H409" i="5"/>
  <c r="H413" i="5"/>
  <c r="H417" i="5"/>
  <c r="H421" i="5"/>
  <c r="H425" i="5"/>
  <c r="H429" i="5"/>
  <c r="H433" i="5"/>
  <c r="H437" i="5"/>
  <c r="H441" i="5"/>
  <c r="H445" i="5"/>
  <c r="H473" i="5"/>
  <c r="H477" i="5"/>
  <c r="H481" i="5"/>
  <c r="H485" i="5"/>
  <c r="H489" i="5"/>
  <c r="H493" i="5"/>
  <c r="H497" i="5"/>
  <c r="H501" i="5"/>
  <c r="H505" i="5"/>
  <c r="H509" i="5"/>
  <c r="H513" i="5"/>
  <c r="H517" i="5"/>
  <c r="H521" i="5"/>
  <c r="H525" i="5"/>
  <c r="H529" i="5"/>
  <c r="H533" i="5"/>
  <c r="H537" i="5"/>
  <c r="H541" i="5"/>
  <c r="H545" i="5"/>
  <c r="H549" i="5"/>
  <c r="H553" i="5"/>
  <c r="H557" i="5"/>
  <c r="H561" i="5"/>
  <c r="H565" i="5"/>
  <c r="H569" i="5"/>
  <c r="H573" i="5"/>
  <c r="H577" i="5"/>
  <c r="H593" i="5"/>
  <c r="H597" i="5"/>
  <c r="H601" i="5"/>
  <c r="H605" i="5"/>
  <c r="H609" i="5"/>
  <c r="H613" i="5"/>
  <c r="H617" i="5"/>
  <c r="H621" i="5"/>
  <c r="H625" i="5"/>
  <c r="H641" i="5"/>
  <c r="H645" i="5"/>
  <c r="H649" i="5"/>
  <c r="H653" i="5"/>
  <c r="H657" i="5"/>
  <c r="H661" i="5"/>
  <c r="H665" i="5"/>
  <c r="H669" i="5"/>
  <c r="H673" i="5"/>
  <c r="H677" i="5"/>
  <c r="H681" i="5"/>
  <c r="H685" i="5"/>
  <c r="H701" i="5"/>
  <c r="H705" i="5"/>
  <c r="H709" i="5"/>
  <c r="H713" i="5"/>
  <c r="H717" i="5"/>
  <c r="H721" i="5"/>
  <c r="H725" i="5"/>
  <c r="H729" i="5"/>
  <c r="H733" i="5"/>
  <c r="H737" i="5"/>
  <c r="H741" i="5"/>
  <c r="H363" i="5"/>
  <c r="H367" i="5"/>
  <c r="H371" i="5"/>
  <c r="H375" i="5"/>
  <c r="H379" i="5"/>
  <c r="H383" i="5"/>
  <c r="H387" i="5"/>
  <c r="H391" i="5"/>
  <c r="H395" i="5"/>
  <c r="H399" i="5"/>
  <c r="H403" i="5"/>
  <c r="H407" i="5"/>
  <c r="H411" i="5"/>
  <c r="H415" i="5"/>
  <c r="H419" i="5"/>
  <c r="H423" i="5"/>
  <c r="H427" i="5"/>
  <c r="H431" i="5"/>
  <c r="H435" i="5"/>
  <c r="H439" i="5"/>
  <c r="H443" i="5"/>
  <c r="H471" i="5"/>
  <c r="H475" i="5"/>
  <c r="H479" i="5"/>
  <c r="H483" i="5"/>
  <c r="H487" i="5"/>
  <c r="H491" i="5"/>
  <c r="H495" i="5"/>
  <c r="H499" i="5"/>
  <c r="H503" i="5"/>
  <c r="H507" i="5"/>
  <c r="H511" i="5"/>
  <c r="H515" i="5"/>
  <c r="H519" i="5"/>
  <c r="H523" i="5"/>
  <c r="H527" i="5"/>
  <c r="H531" i="5"/>
  <c r="H535" i="5"/>
  <c r="H539" i="5"/>
  <c r="H543" i="5"/>
  <c r="H547" i="5"/>
  <c r="H551" i="5"/>
  <c r="H555" i="5"/>
  <c r="H559" i="5"/>
  <c r="H563" i="5"/>
  <c r="H567" i="5"/>
  <c r="H571" i="5"/>
  <c r="H575" i="5"/>
  <c r="H591" i="5"/>
  <c r="H595" i="5"/>
  <c r="H599" i="5"/>
  <c r="H603" i="5"/>
  <c r="H607" i="5"/>
  <c r="H611" i="5"/>
  <c r="H615" i="5"/>
  <c r="H619" i="5"/>
  <c r="H623" i="5"/>
  <c r="H639" i="5"/>
  <c r="H643" i="5"/>
  <c r="H647" i="5"/>
  <c r="H651" i="5"/>
  <c r="H655" i="5"/>
  <c r="H659" i="5"/>
  <c r="H663" i="5"/>
  <c r="H667" i="5"/>
  <c r="H671" i="5"/>
  <c r="H675" i="5"/>
  <c r="H679" i="5"/>
  <c r="H683" i="5"/>
  <c r="H699" i="5"/>
  <c r="H703" i="5"/>
  <c r="H707" i="5"/>
  <c r="H711" i="5"/>
  <c r="H715" i="5"/>
  <c r="H719" i="5"/>
  <c r="H723" i="5"/>
  <c r="H727" i="5"/>
  <c r="H731" i="5"/>
  <c r="H735" i="5"/>
  <c r="H739" i="5"/>
  <c r="H743" i="5"/>
  <c r="H476" i="5"/>
  <c r="H480" i="5"/>
  <c r="H484" i="5"/>
  <c r="H488" i="5"/>
  <c r="H492" i="5"/>
  <c r="H496" i="5"/>
  <c r="H500" i="5"/>
  <c r="H504" i="5"/>
  <c r="H508" i="5"/>
  <c r="H512" i="5"/>
  <c r="H516" i="5"/>
  <c r="H520" i="5"/>
  <c r="H524" i="5"/>
  <c r="H528" i="5"/>
  <c r="H532" i="5"/>
  <c r="H536" i="5"/>
  <c r="H540" i="5"/>
  <c r="H544" i="5"/>
  <c r="H548" i="5"/>
  <c r="H552" i="5"/>
  <c r="H556" i="5"/>
  <c r="H560" i="5"/>
  <c r="H564" i="5"/>
  <c r="H568" i="5"/>
  <c r="H572" i="5"/>
  <c r="H576" i="5"/>
  <c r="H592" i="5"/>
  <c r="H596" i="5"/>
  <c r="H600" i="5"/>
  <c r="H604" i="5"/>
  <c r="H608" i="5"/>
  <c r="H612" i="5"/>
  <c r="H616" i="5"/>
  <c r="H620" i="5"/>
  <c r="H624" i="5"/>
  <c r="H640" i="5"/>
  <c r="H644" i="5"/>
  <c r="H648" i="5"/>
  <c r="H652" i="5"/>
  <c r="H656" i="5"/>
  <c r="H660" i="5"/>
  <c r="H664" i="5"/>
  <c r="H668" i="5"/>
  <c r="H672" i="5"/>
  <c r="H676" i="5"/>
  <c r="H680" i="5"/>
  <c r="H684" i="5"/>
  <c r="H700" i="5"/>
  <c r="H704" i="5"/>
  <c r="H708" i="5"/>
  <c r="H712" i="5"/>
  <c r="H716" i="5"/>
  <c r="H720" i="5"/>
  <c r="H724" i="5"/>
  <c r="H728" i="5"/>
  <c r="H732" i="5"/>
  <c r="H736" i="5"/>
  <c r="H740" i="5"/>
  <c r="H744" i="5"/>
  <c r="N17" i="12"/>
  <c r="G72" i="12"/>
  <c r="G66" i="12"/>
  <c r="G63" i="12"/>
  <c r="G71" i="12"/>
  <c r="G67" i="12"/>
  <c r="G73" i="12"/>
  <c r="G65" i="12"/>
  <c r="P23" i="12"/>
  <c r="N35" i="12" s="1"/>
  <c r="P21" i="12"/>
  <c r="N33" i="12" s="1"/>
  <c r="P17" i="12"/>
  <c r="N29" i="12" s="1"/>
  <c r="P16" i="12"/>
  <c r="N28" i="12" s="1"/>
  <c r="P22" i="12"/>
  <c r="N34" i="12" s="1"/>
  <c r="P19" i="12"/>
  <c r="N31" i="12" s="1"/>
  <c r="P24" i="12"/>
  <c r="N36" i="12" s="1"/>
  <c r="P20" i="12"/>
  <c r="N32" i="12" s="1"/>
  <c r="P25" i="12"/>
  <c r="N37" i="12" s="1"/>
  <c r="P18" i="12"/>
  <c r="N30" i="12" s="1"/>
  <c r="P15" i="12"/>
  <c r="N27" i="12" s="1"/>
  <c r="U76" i="12"/>
  <c r="U82" i="12"/>
  <c r="U77" i="12"/>
  <c r="W27" i="12"/>
  <c r="U78" i="12"/>
  <c r="U83" i="12"/>
  <c r="U79" i="12"/>
  <c r="U85" i="12"/>
  <c r="W26" i="12"/>
  <c r="U80" i="12"/>
  <c r="U81" i="12"/>
  <c r="U84" i="12"/>
  <c r="G151" i="5"/>
  <c r="G243" i="5"/>
  <c r="G257" i="5"/>
  <c r="G319" i="5"/>
  <c r="G387" i="5"/>
  <c r="G401" i="5"/>
  <c r="G149" i="5"/>
  <c r="G86" i="5"/>
  <c r="G148" i="5"/>
  <c r="G186" i="5"/>
  <c r="G254" i="5"/>
  <c r="G316" i="5"/>
  <c r="G354" i="5"/>
  <c r="G398" i="5"/>
  <c r="G65" i="5"/>
  <c r="G183" i="5"/>
  <c r="G245" i="5"/>
  <c r="G259" i="5"/>
  <c r="G351" i="5"/>
  <c r="G389" i="5"/>
  <c r="G403" i="5"/>
  <c r="G89" i="5"/>
  <c r="G88" i="5"/>
  <c r="G150" i="5"/>
  <c r="G242" i="5"/>
  <c r="G256" i="5"/>
  <c r="G318" i="5"/>
  <c r="G386" i="5"/>
  <c r="G400" i="5"/>
  <c r="G187" i="5"/>
  <c r="G255" i="5"/>
  <c r="G317" i="5"/>
  <c r="G355" i="5"/>
  <c r="G399" i="5"/>
  <c r="G147" i="5"/>
  <c r="G64" i="5"/>
  <c r="G146" i="5"/>
  <c r="G184" i="5"/>
  <c r="G246" i="5"/>
  <c r="G314" i="5"/>
  <c r="G352" i="5"/>
  <c r="G390" i="5"/>
  <c r="G87" i="5"/>
  <c r="G185" i="5"/>
  <c r="G247" i="5"/>
  <c r="G315" i="5"/>
  <c r="G353" i="5"/>
  <c r="G391" i="5"/>
  <c r="G63" i="5"/>
  <c r="G62" i="5"/>
  <c r="G90" i="5"/>
  <c r="G182" i="5"/>
  <c r="G244" i="5"/>
  <c r="G258" i="5"/>
  <c r="G350" i="5"/>
  <c r="G388" i="5"/>
  <c r="G402" i="5"/>
  <c r="G91" i="5"/>
  <c r="G413" i="5"/>
  <c r="G421" i="5"/>
  <c r="G429" i="5"/>
  <c r="G437" i="5"/>
  <c r="G445" i="5"/>
  <c r="G477" i="5"/>
  <c r="G485" i="5"/>
  <c r="G493" i="5"/>
  <c r="G501" i="5"/>
  <c r="G509" i="5"/>
  <c r="G517" i="5"/>
  <c r="G525" i="5"/>
  <c r="G533" i="5"/>
  <c r="G541" i="5"/>
  <c r="G549" i="5"/>
  <c r="G557" i="5"/>
  <c r="G565" i="5"/>
  <c r="G573" i="5"/>
  <c r="G597" i="5"/>
  <c r="G605" i="5"/>
  <c r="G613" i="5"/>
  <c r="G621" i="5"/>
  <c r="G641" i="5"/>
  <c r="G649" i="5"/>
  <c r="G657" i="5"/>
  <c r="G665" i="5"/>
  <c r="G673" i="5"/>
  <c r="G681" i="5"/>
  <c r="G701" i="5"/>
  <c r="G709" i="5"/>
  <c r="G717" i="5"/>
  <c r="G725" i="5"/>
  <c r="G733" i="5"/>
  <c r="G741" i="5"/>
  <c r="G410" i="5"/>
  <c r="G418" i="5"/>
  <c r="G426" i="5"/>
  <c r="G434" i="5"/>
  <c r="G442" i="5"/>
  <c r="G474" i="5"/>
  <c r="G482" i="5"/>
  <c r="G490" i="5"/>
  <c r="G498" i="5"/>
  <c r="G506" i="5"/>
  <c r="G514" i="5"/>
  <c r="G522" i="5"/>
  <c r="G530" i="5"/>
  <c r="G538" i="5"/>
  <c r="G546" i="5"/>
  <c r="G554" i="5"/>
  <c r="G562" i="5"/>
  <c r="G570" i="5"/>
  <c r="G594" i="5"/>
  <c r="G602" i="5"/>
  <c r="G610" i="5"/>
  <c r="G618" i="5"/>
  <c r="G638" i="5"/>
  <c r="G646" i="5"/>
  <c r="G654" i="5"/>
  <c r="G662" i="5"/>
  <c r="G670" i="5"/>
  <c r="G678" i="5"/>
  <c r="G698" i="5"/>
  <c r="G706" i="5"/>
  <c r="G714" i="5"/>
  <c r="G724" i="5"/>
  <c r="G732" i="5"/>
  <c r="G740" i="5"/>
  <c r="G425" i="5"/>
  <c r="G441" i="5"/>
  <c r="G481" i="5"/>
  <c r="G497" i="5"/>
  <c r="G513" i="5"/>
  <c r="G529" i="5"/>
  <c r="G545" i="5"/>
  <c r="G561" i="5"/>
  <c r="G577" i="5"/>
  <c r="G593" i="5"/>
  <c r="G601" i="5"/>
  <c r="G617" i="5"/>
  <c r="G645" i="5"/>
  <c r="G661" i="5"/>
  <c r="G677" i="5"/>
  <c r="G705" i="5"/>
  <c r="G721" i="5"/>
  <c r="G737" i="5"/>
  <c r="G414" i="5"/>
  <c r="G438" i="5"/>
  <c r="G478" i="5"/>
  <c r="G494" i="5"/>
  <c r="G510" i="5"/>
  <c r="G534" i="5"/>
  <c r="G550" i="5"/>
  <c r="G566" i="5"/>
  <c r="G590" i="5"/>
  <c r="G606" i="5"/>
  <c r="G622" i="5"/>
  <c r="G650" i="5"/>
  <c r="G658" i="5"/>
  <c r="G674" i="5"/>
  <c r="G702" i="5"/>
  <c r="G718" i="5"/>
  <c r="G736" i="5"/>
  <c r="G411" i="5"/>
  <c r="G427" i="5"/>
  <c r="G443" i="5"/>
  <c r="G483" i="5"/>
  <c r="G499" i="5"/>
  <c r="G515" i="5"/>
  <c r="G531" i="5"/>
  <c r="G547" i="5"/>
  <c r="G571" i="5"/>
  <c r="G611" i="5"/>
  <c r="G639" i="5"/>
  <c r="G655" i="5"/>
  <c r="G663" i="5"/>
  <c r="G671" i="5"/>
  <c r="G679" i="5"/>
  <c r="G699" i="5"/>
  <c r="G707" i="5"/>
  <c r="G715" i="5"/>
  <c r="G723" i="5"/>
  <c r="G722" i="5"/>
  <c r="G415" i="5"/>
  <c r="G423" i="5"/>
  <c r="G431" i="5"/>
  <c r="G439" i="5"/>
  <c r="G471" i="5"/>
  <c r="G479" i="5"/>
  <c r="G487" i="5"/>
  <c r="G495" i="5"/>
  <c r="G503" i="5"/>
  <c r="G511" i="5"/>
  <c r="G519" i="5"/>
  <c r="G527" i="5"/>
  <c r="G535" i="5"/>
  <c r="G543" i="5"/>
  <c r="G551" i="5"/>
  <c r="G559" i="5"/>
  <c r="G567" i="5"/>
  <c r="G575" i="5"/>
  <c r="G591" i="5"/>
  <c r="G599" i="5"/>
  <c r="G607" i="5"/>
  <c r="G615" i="5"/>
  <c r="G623" i="5"/>
  <c r="G643" i="5"/>
  <c r="G651" i="5"/>
  <c r="G659" i="5"/>
  <c r="G667" i="5"/>
  <c r="G675" i="5"/>
  <c r="G683" i="5"/>
  <c r="G703" i="5"/>
  <c r="G711" i="5"/>
  <c r="G719" i="5"/>
  <c r="G727" i="5"/>
  <c r="G735" i="5"/>
  <c r="G743" i="5"/>
  <c r="G412" i="5"/>
  <c r="G420" i="5"/>
  <c r="G428" i="5"/>
  <c r="G436" i="5"/>
  <c r="G444" i="5"/>
  <c r="G476" i="5"/>
  <c r="G484" i="5"/>
  <c r="G492" i="5"/>
  <c r="G500" i="5"/>
  <c r="G508" i="5"/>
  <c r="G516" i="5"/>
  <c r="G524" i="5"/>
  <c r="G532" i="5"/>
  <c r="G540" i="5"/>
  <c r="G548" i="5"/>
  <c r="G556" i="5"/>
  <c r="G564" i="5"/>
  <c r="G572" i="5"/>
  <c r="G596" i="5"/>
  <c r="G604" i="5"/>
  <c r="G612" i="5"/>
  <c r="G620" i="5"/>
  <c r="G640" i="5"/>
  <c r="G648" i="5"/>
  <c r="G656" i="5"/>
  <c r="G664" i="5"/>
  <c r="G672" i="5"/>
  <c r="G680" i="5"/>
  <c r="G700" i="5"/>
  <c r="G708" i="5"/>
  <c r="G716" i="5"/>
  <c r="G726" i="5"/>
  <c r="G734" i="5"/>
  <c r="G742" i="5"/>
  <c r="G417" i="5"/>
  <c r="G433" i="5"/>
  <c r="G473" i="5"/>
  <c r="G489" i="5"/>
  <c r="G505" i="5"/>
  <c r="G521" i="5"/>
  <c r="G537" i="5"/>
  <c r="G553" i="5"/>
  <c r="G569" i="5"/>
  <c r="G609" i="5"/>
  <c r="G625" i="5"/>
  <c r="G653" i="5"/>
  <c r="G669" i="5"/>
  <c r="G685" i="5"/>
  <c r="G713" i="5"/>
  <c r="G729" i="5"/>
  <c r="G745" i="5"/>
  <c r="G422" i="5"/>
  <c r="G430" i="5"/>
  <c r="G470" i="5"/>
  <c r="G486" i="5"/>
  <c r="G502" i="5"/>
  <c r="G518" i="5"/>
  <c r="G526" i="5"/>
  <c r="G542" i="5"/>
  <c r="G558" i="5"/>
  <c r="G574" i="5"/>
  <c r="G598" i="5"/>
  <c r="G614" i="5"/>
  <c r="G642" i="5"/>
  <c r="G666" i="5"/>
  <c r="G682" i="5"/>
  <c r="G710" i="5"/>
  <c r="G728" i="5"/>
  <c r="G744" i="5"/>
  <c r="G419" i="5"/>
  <c r="G435" i="5"/>
  <c r="G475" i="5"/>
  <c r="G491" i="5"/>
  <c r="G507" i="5"/>
  <c r="G523" i="5"/>
  <c r="G539" i="5"/>
  <c r="G555" i="5"/>
  <c r="G563" i="5"/>
  <c r="G595" i="5"/>
  <c r="G603" i="5"/>
  <c r="G619" i="5"/>
  <c r="G647" i="5"/>
  <c r="G731" i="5"/>
  <c r="G424" i="5"/>
  <c r="G480" i="5"/>
  <c r="G512" i="5"/>
  <c r="G544" i="5"/>
  <c r="G576" i="5"/>
  <c r="G608" i="5"/>
  <c r="G652" i="5"/>
  <c r="G684" i="5"/>
  <c r="G730" i="5"/>
  <c r="G739" i="5"/>
  <c r="G432" i="5"/>
  <c r="G488" i="5"/>
  <c r="G520" i="5"/>
  <c r="G552" i="5"/>
  <c r="G616" i="5"/>
  <c r="G660" i="5"/>
  <c r="G704" i="5"/>
  <c r="G738" i="5"/>
  <c r="G440" i="5"/>
  <c r="G496" i="5"/>
  <c r="G528" i="5"/>
  <c r="G560" i="5"/>
  <c r="G592" i="5"/>
  <c r="G624" i="5"/>
  <c r="G668" i="5"/>
  <c r="G712" i="5"/>
  <c r="G416" i="5"/>
  <c r="G472" i="5"/>
  <c r="G504" i="5"/>
  <c r="G536" i="5"/>
  <c r="G568" i="5"/>
  <c r="G600" i="5"/>
  <c r="G644" i="5"/>
  <c r="G676" i="5"/>
  <c r="G720" i="5"/>
  <c r="G407" i="5"/>
  <c r="G406" i="5"/>
  <c r="G409" i="5"/>
  <c r="G408" i="5"/>
  <c r="G405" i="5"/>
  <c r="G404" i="5"/>
  <c r="G393" i="5"/>
  <c r="G394" i="5"/>
  <c r="G395" i="5"/>
  <c r="G396" i="5"/>
  <c r="G392" i="5"/>
  <c r="G397" i="5"/>
  <c r="G363" i="5"/>
  <c r="G371" i="5"/>
  <c r="G362" i="5"/>
  <c r="G370" i="5"/>
  <c r="G359" i="5"/>
  <c r="G366" i="5"/>
  <c r="G369" i="5"/>
  <c r="G360" i="5"/>
  <c r="G357" i="5"/>
  <c r="G365" i="5"/>
  <c r="G373" i="5"/>
  <c r="G356" i="5"/>
  <c r="G364" i="5"/>
  <c r="G372" i="5"/>
  <c r="G367" i="5"/>
  <c r="G358" i="5"/>
  <c r="G361" i="5"/>
  <c r="G368" i="5"/>
  <c r="G379" i="5"/>
  <c r="G374" i="5"/>
  <c r="G382" i="5"/>
  <c r="G381" i="5"/>
  <c r="G376" i="5"/>
  <c r="G384" i="5"/>
  <c r="G375" i="5"/>
  <c r="G383" i="5"/>
  <c r="G378" i="5"/>
  <c r="G377" i="5"/>
  <c r="G385" i="5"/>
  <c r="G380" i="5"/>
  <c r="G343" i="5"/>
  <c r="G342" i="5"/>
  <c r="G345" i="5"/>
  <c r="G344" i="5"/>
  <c r="G339" i="5"/>
  <c r="G347" i="5"/>
  <c r="G338" i="5"/>
  <c r="G346" i="5"/>
  <c r="G341" i="5"/>
  <c r="G349" i="5"/>
  <c r="G340" i="5"/>
  <c r="G348" i="5"/>
  <c r="G331" i="5"/>
  <c r="G326" i="5"/>
  <c r="G334" i="5"/>
  <c r="G333" i="5"/>
  <c r="G328" i="5"/>
  <c r="G336" i="5"/>
  <c r="G329" i="5"/>
  <c r="G327" i="5"/>
  <c r="G335" i="5"/>
  <c r="G330" i="5"/>
  <c r="G337" i="5"/>
  <c r="G332" i="5"/>
  <c r="G325" i="5"/>
  <c r="G322" i="5"/>
  <c r="G324" i="5"/>
  <c r="G321" i="5"/>
  <c r="G323" i="5"/>
  <c r="G320" i="5"/>
  <c r="G293" i="5"/>
  <c r="G301" i="5"/>
  <c r="G294" i="5"/>
  <c r="G295" i="5"/>
  <c r="G296" i="5"/>
  <c r="G298" i="5"/>
  <c r="G297" i="5"/>
  <c r="G290" i="5"/>
  <c r="G291" i="5"/>
  <c r="G299" i="5"/>
  <c r="G292" i="5"/>
  <c r="G300" i="5"/>
  <c r="G281" i="5"/>
  <c r="G289" i="5"/>
  <c r="G278" i="5"/>
  <c r="G286" i="5"/>
  <c r="G279" i="5"/>
  <c r="G284" i="5"/>
  <c r="G283" i="5"/>
  <c r="G280" i="5"/>
  <c r="G288" i="5"/>
  <c r="G285" i="5"/>
  <c r="G282" i="5"/>
  <c r="G287" i="5"/>
  <c r="G263" i="5"/>
  <c r="G262" i="5"/>
  <c r="G265" i="5"/>
  <c r="G264" i="5"/>
  <c r="G261" i="5"/>
  <c r="G260" i="5"/>
  <c r="G249" i="5"/>
  <c r="G250" i="5"/>
  <c r="G251" i="5"/>
  <c r="G252" i="5"/>
  <c r="G248" i="5"/>
  <c r="G253" i="5"/>
  <c r="G237" i="5"/>
  <c r="G234" i="5"/>
  <c r="G231" i="5"/>
  <c r="G239" i="5"/>
  <c r="G236" i="5"/>
  <c r="G233" i="5"/>
  <c r="G241" i="5"/>
  <c r="G230" i="5"/>
  <c r="G238" i="5"/>
  <c r="G235" i="5"/>
  <c r="G232" i="5"/>
  <c r="G240" i="5"/>
  <c r="G225" i="5"/>
  <c r="G218" i="5"/>
  <c r="G226" i="5"/>
  <c r="G222" i="5"/>
  <c r="G223" i="5"/>
  <c r="G219" i="5"/>
  <c r="G227" i="5"/>
  <c r="G220" i="5"/>
  <c r="G228" i="5"/>
  <c r="G229" i="5"/>
  <c r="G224" i="5"/>
  <c r="G221" i="5"/>
  <c r="G215" i="5"/>
  <c r="G210" i="5"/>
  <c r="G209" i="5"/>
  <c r="G217" i="5"/>
  <c r="G207" i="5"/>
  <c r="G212" i="5"/>
  <c r="G214" i="5"/>
  <c r="G208" i="5"/>
  <c r="G211" i="5"/>
  <c r="G206" i="5"/>
  <c r="G213" i="5"/>
  <c r="G216" i="5"/>
  <c r="G201" i="5"/>
  <c r="G194" i="5"/>
  <c r="G202" i="5"/>
  <c r="G195" i="5"/>
  <c r="G203" i="5"/>
  <c r="G196" i="5"/>
  <c r="G204" i="5"/>
  <c r="G200" i="5"/>
  <c r="G197" i="5"/>
  <c r="G205" i="5"/>
  <c r="G198" i="5"/>
  <c r="G199" i="5"/>
  <c r="G191" i="5"/>
  <c r="G193" i="5"/>
  <c r="G188" i="5"/>
  <c r="G190" i="5"/>
  <c r="G189" i="5"/>
  <c r="G192" i="5"/>
  <c r="G175" i="5"/>
  <c r="G174" i="5"/>
  <c r="G179" i="5"/>
  <c r="G178" i="5"/>
  <c r="G173" i="5"/>
  <c r="G172" i="5"/>
  <c r="G177" i="5"/>
  <c r="G176" i="5"/>
  <c r="G170" i="5"/>
  <c r="G181" i="5"/>
  <c r="G180" i="5"/>
  <c r="G171" i="5"/>
  <c r="G167" i="5"/>
  <c r="G159" i="5"/>
  <c r="G158" i="5"/>
  <c r="G166" i="5"/>
  <c r="G161" i="5"/>
  <c r="G162" i="5"/>
  <c r="G169" i="5"/>
  <c r="G165" i="5"/>
  <c r="G160" i="5"/>
  <c r="G168" i="5"/>
  <c r="G163" i="5"/>
  <c r="G164" i="5"/>
  <c r="G153" i="5"/>
  <c r="G154" i="5"/>
  <c r="G156" i="5"/>
  <c r="G155" i="5"/>
  <c r="G152" i="5"/>
  <c r="G157" i="5"/>
  <c r="G135" i="5"/>
  <c r="G138" i="5"/>
  <c r="G134" i="5"/>
  <c r="G145" i="5"/>
  <c r="G144" i="5"/>
  <c r="G137" i="5"/>
  <c r="G139" i="5"/>
  <c r="G140" i="5"/>
  <c r="G142" i="5"/>
  <c r="G136" i="5"/>
  <c r="G141" i="5"/>
  <c r="G143" i="5"/>
  <c r="G117" i="5"/>
  <c r="G110" i="5"/>
  <c r="G118" i="5"/>
  <c r="G115" i="5"/>
  <c r="G121" i="5"/>
  <c r="G111" i="5"/>
  <c r="G112" i="5"/>
  <c r="G120" i="5"/>
  <c r="G119" i="5"/>
  <c r="G114" i="5"/>
  <c r="G116" i="5"/>
  <c r="G113" i="5"/>
  <c r="G102" i="5"/>
  <c r="G103" i="5"/>
  <c r="G101" i="5"/>
  <c r="G99" i="5"/>
  <c r="G104" i="5"/>
  <c r="G109" i="5"/>
  <c r="G107" i="5"/>
  <c r="G105" i="5"/>
  <c r="G98" i="5"/>
  <c r="G106" i="5"/>
  <c r="G100" i="5"/>
  <c r="G108" i="5"/>
  <c r="G96" i="5"/>
  <c r="G97" i="5"/>
  <c r="G92" i="5"/>
  <c r="G93" i="5"/>
  <c r="G94" i="5"/>
  <c r="G95" i="5"/>
  <c r="G81" i="5"/>
  <c r="G79" i="5"/>
  <c r="G74" i="5"/>
  <c r="G82" i="5"/>
  <c r="G85" i="5"/>
  <c r="G76" i="5"/>
  <c r="G84" i="5"/>
  <c r="G83" i="5"/>
  <c r="G77" i="5"/>
  <c r="G78" i="5"/>
  <c r="G75" i="5"/>
  <c r="G80" i="5"/>
  <c r="G67" i="5"/>
  <c r="G66" i="5"/>
  <c r="G69" i="5"/>
  <c r="G71" i="5"/>
  <c r="G68" i="5"/>
  <c r="G73" i="5"/>
  <c r="G70" i="5"/>
  <c r="G72" i="5"/>
  <c r="G55" i="5"/>
  <c r="G50" i="5"/>
  <c r="G58" i="5"/>
  <c r="G51" i="5"/>
  <c r="G61" i="5"/>
  <c r="G52" i="5"/>
  <c r="G60" i="5"/>
  <c r="G56" i="5"/>
  <c r="G53" i="5"/>
  <c r="G57" i="5"/>
  <c r="G54" i="5"/>
  <c r="G59" i="5"/>
  <c r="G49" i="5"/>
  <c r="G44" i="5"/>
  <c r="G48" i="5"/>
  <c r="G45" i="5"/>
  <c r="G43" i="5"/>
  <c r="G38" i="5"/>
  <c r="G46" i="5"/>
  <c r="G39" i="5"/>
  <c r="G47" i="5"/>
  <c r="G41" i="5"/>
  <c r="G40" i="5"/>
  <c r="G42" i="5"/>
  <c r="G18" i="5"/>
  <c r="G20" i="5"/>
  <c r="G21" i="5"/>
  <c r="G16" i="5"/>
  <c r="G15" i="5"/>
  <c r="G17" i="5"/>
  <c r="G19" i="5"/>
  <c r="G14" i="5"/>
  <c r="G22" i="5"/>
  <c r="G23" i="5"/>
  <c r="G25" i="5"/>
  <c r="G24" i="5"/>
  <c r="O248" i="12" l="1"/>
  <c r="O260" i="12" s="1"/>
  <c r="O272" i="12" s="1"/>
  <c r="O284" i="12" s="1"/>
  <c r="O296" i="12" s="1"/>
  <c r="O308" i="12" s="1"/>
  <c r="O320" i="12" s="1"/>
  <c r="O332" i="12" s="1"/>
  <c r="O344" i="12" s="1"/>
  <c r="O253" i="12"/>
  <c r="O265" i="12" s="1"/>
  <c r="O277" i="12" s="1"/>
  <c r="O289" i="12" s="1"/>
  <c r="O301" i="12" s="1"/>
  <c r="O313" i="12" s="1"/>
  <c r="O325" i="12" s="1"/>
  <c r="O337" i="12" s="1"/>
  <c r="O349" i="12" s="1"/>
  <c r="O232" i="12"/>
  <c r="O231" i="12"/>
  <c r="O240" i="12"/>
  <c r="O246" i="12"/>
  <c r="O258" i="12" s="1"/>
  <c r="O270" i="12" s="1"/>
  <c r="O282" i="12" s="1"/>
  <c r="O294" i="12" s="1"/>
  <c r="O306" i="12" s="1"/>
  <c r="O318" i="12" s="1"/>
  <c r="O330" i="12" s="1"/>
  <c r="O342" i="12" s="1"/>
  <c r="O354" i="12" s="1"/>
  <c r="O239" i="12"/>
  <c r="O113" i="12"/>
  <c r="O125" i="12"/>
  <c r="O137" i="12" s="1"/>
  <c r="O149" i="12" s="1"/>
  <c r="O161" i="12" s="1"/>
  <c r="O173" i="12" s="1"/>
  <c r="O185" i="12" s="1"/>
  <c r="O197" i="12" s="1"/>
  <c r="O209" i="12" s="1"/>
  <c r="O221" i="12" s="1"/>
  <c r="O245" i="12" s="1"/>
  <c r="O257" i="12" s="1"/>
  <c r="O269" i="12" s="1"/>
  <c r="O281" i="12" s="1"/>
  <c r="O293" i="12" s="1"/>
  <c r="O305" i="12" s="1"/>
  <c r="O317" i="12" s="1"/>
  <c r="O329" i="12" s="1"/>
  <c r="O341" i="12" s="1"/>
  <c r="O237" i="12"/>
  <c r="O250" i="12"/>
  <c r="O262" i="12" s="1"/>
  <c r="O274" i="12" s="1"/>
  <c r="O286" i="12" s="1"/>
  <c r="O298" i="12" s="1"/>
  <c r="O310" i="12" s="1"/>
  <c r="O322" i="12" s="1"/>
  <c r="O334" i="12" s="1"/>
  <c r="O346" i="12" s="1"/>
  <c r="O370" i="12" s="1"/>
  <c r="O382" i="12" s="1"/>
  <c r="O394" i="12" s="1"/>
  <c r="O406" i="12" s="1"/>
  <c r="O418" i="12" s="1"/>
  <c r="O430" i="12" s="1"/>
  <c r="O442" i="12" s="1"/>
  <c r="O454" i="12" s="1"/>
  <c r="O466" i="12" s="1"/>
  <c r="I601" i="12"/>
  <c r="I613" i="12" s="1"/>
  <c r="I625" i="12" s="1"/>
  <c r="I637" i="12" s="1"/>
  <c r="I649" i="12" s="1"/>
  <c r="I661" i="12" s="1"/>
  <c r="I673" i="12" s="1"/>
  <c r="I685" i="12" s="1"/>
  <c r="I697" i="12" s="1"/>
  <c r="I709" i="12" s="1"/>
  <c r="I721" i="12" s="1"/>
  <c r="I733" i="12" s="1"/>
  <c r="I745" i="12" s="1"/>
  <c r="I757" i="12" s="1"/>
  <c r="G757" i="12" s="1"/>
  <c r="I591" i="12"/>
  <c r="I603" i="12" s="1"/>
  <c r="I615" i="12" s="1"/>
  <c r="I627" i="12" s="1"/>
  <c r="I639" i="12" s="1"/>
  <c r="I651" i="12" s="1"/>
  <c r="I663" i="12" s="1"/>
  <c r="I675" i="12" s="1"/>
  <c r="I687" i="12" s="1"/>
  <c r="I699" i="12" s="1"/>
  <c r="I711" i="12" s="1"/>
  <c r="I723" i="12" s="1"/>
  <c r="I735" i="12" s="1"/>
  <c r="I747" i="12" s="1"/>
  <c r="G747" i="12" s="1"/>
  <c r="U587" i="12"/>
  <c r="W599" i="12"/>
  <c r="W611" i="12" s="1"/>
  <c r="W623" i="12" s="1"/>
  <c r="W635" i="12" s="1"/>
  <c r="W647" i="12" s="1"/>
  <c r="W659" i="12" s="1"/>
  <c r="W671" i="12" s="1"/>
  <c r="W683" i="12" s="1"/>
  <c r="W695" i="12" s="1"/>
  <c r="W707" i="12" s="1"/>
  <c r="W719" i="12" s="1"/>
  <c r="W731" i="12" s="1"/>
  <c r="W743" i="12" s="1"/>
  <c r="W755" i="12" s="1"/>
  <c r="U755" i="12" s="1"/>
  <c r="U580" i="12"/>
  <c r="W592" i="12"/>
  <c r="W604" i="12" s="1"/>
  <c r="W616" i="12" s="1"/>
  <c r="W628" i="12" s="1"/>
  <c r="W640" i="12" s="1"/>
  <c r="W652" i="12" s="1"/>
  <c r="W664" i="12" s="1"/>
  <c r="W676" i="12" s="1"/>
  <c r="W688" i="12" s="1"/>
  <c r="W700" i="12" s="1"/>
  <c r="W712" i="12" s="1"/>
  <c r="W724" i="12" s="1"/>
  <c r="W736" i="12" s="1"/>
  <c r="W748" i="12" s="1"/>
  <c r="U748" i="12" s="1"/>
  <c r="U589" i="12"/>
  <c r="W601" i="12"/>
  <c r="W613" i="12" s="1"/>
  <c r="W625" i="12" s="1"/>
  <c r="W637" i="12" s="1"/>
  <c r="W649" i="12" s="1"/>
  <c r="W661" i="12" s="1"/>
  <c r="W673" i="12" s="1"/>
  <c r="W685" i="12" s="1"/>
  <c r="W697" i="12" s="1"/>
  <c r="W709" i="12" s="1"/>
  <c r="W721" i="12" s="1"/>
  <c r="W733" i="12" s="1"/>
  <c r="W745" i="12" s="1"/>
  <c r="W757" i="12" s="1"/>
  <c r="U757" i="12" s="1"/>
  <c r="U585" i="12"/>
  <c r="W597" i="12"/>
  <c r="W609" i="12" s="1"/>
  <c r="W621" i="12" s="1"/>
  <c r="W633" i="12" s="1"/>
  <c r="W645" i="12" s="1"/>
  <c r="W657" i="12" s="1"/>
  <c r="W669" i="12" s="1"/>
  <c r="W681" i="12" s="1"/>
  <c r="W693" i="12" s="1"/>
  <c r="W705" i="12" s="1"/>
  <c r="W717" i="12" s="1"/>
  <c r="W729" i="12" s="1"/>
  <c r="W741" i="12" s="1"/>
  <c r="W753" i="12" s="1"/>
  <c r="U753" i="12" s="1"/>
  <c r="U583" i="12"/>
  <c r="W595" i="12"/>
  <c r="W607" i="12" s="1"/>
  <c r="W619" i="12" s="1"/>
  <c r="W631" i="12" s="1"/>
  <c r="W643" i="12" s="1"/>
  <c r="W655" i="12" s="1"/>
  <c r="W667" i="12" s="1"/>
  <c r="W679" i="12" s="1"/>
  <c r="W691" i="12" s="1"/>
  <c r="W703" i="12" s="1"/>
  <c r="W715" i="12" s="1"/>
  <c r="W727" i="12" s="1"/>
  <c r="W739" i="12" s="1"/>
  <c r="W751" i="12" s="1"/>
  <c r="U751" i="12" s="1"/>
  <c r="I584" i="12"/>
  <c r="G584" i="12" s="1"/>
  <c r="U586" i="12"/>
  <c r="W598" i="12"/>
  <c r="W610" i="12" s="1"/>
  <c r="W622" i="12" s="1"/>
  <c r="W634" i="12" s="1"/>
  <c r="W646" i="12" s="1"/>
  <c r="W658" i="12" s="1"/>
  <c r="W670" i="12" s="1"/>
  <c r="W682" i="12" s="1"/>
  <c r="W694" i="12" s="1"/>
  <c r="W706" i="12" s="1"/>
  <c r="W718" i="12" s="1"/>
  <c r="W730" i="12" s="1"/>
  <c r="W742" i="12" s="1"/>
  <c r="W754" i="12" s="1"/>
  <c r="U754" i="12" s="1"/>
  <c r="U581" i="12"/>
  <c r="W593" i="12"/>
  <c r="W605" i="12" s="1"/>
  <c r="W617" i="12" s="1"/>
  <c r="W629" i="12" s="1"/>
  <c r="W641" i="12" s="1"/>
  <c r="W653" i="12" s="1"/>
  <c r="W665" i="12" s="1"/>
  <c r="W677" i="12" s="1"/>
  <c r="W689" i="12" s="1"/>
  <c r="W701" i="12" s="1"/>
  <c r="W713" i="12" s="1"/>
  <c r="W725" i="12" s="1"/>
  <c r="W737" i="12" s="1"/>
  <c r="W749" i="12" s="1"/>
  <c r="U749" i="12" s="1"/>
  <c r="U588" i="12"/>
  <c r="W600" i="12"/>
  <c r="W612" i="12" s="1"/>
  <c r="W624" i="12" s="1"/>
  <c r="W636" i="12" s="1"/>
  <c r="W648" i="12" s="1"/>
  <c r="W660" i="12" s="1"/>
  <c r="W672" i="12" s="1"/>
  <c r="W684" i="12" s="1"/>
  <c r="W696" i="12" s="1"/>
  <c r="W708" i="12" s="1"/>
  <c r="W720" i="12" s="1"/>
  <c r="W732" i="12" s="1"/>
  <c r="W744" i="12" s="1"/>
  <c r="W756" i="12" s="1"/>
  <c r="U756" i="12" s="1"/>
  <c r="U582" i="12"/>
  <c r="W594" i="12"/>
  <c r="W606" i="12" s="1"/>
  <c r="W618" i="12" s="1"/>
  <c r="W630" i="12" s="1"/>
  <c r="W642" i="12" s="1"/>
  <c r="W654" i="12" s="1"/>
  <c r="W666" i="12" s="1"/>
  <c r="W678" i="12" s="1"/>
  <c r="W690" i="12" s="1"/>
  <c r="W702" i="12" s="1"/>
  <c r="W714" i="12" s="1"/>
  <c r="W726" i="12" s="1"/>
  <c r="W738" i="12" s="1"/>
  <c r="W750" i="12" s="1"/>
  <c r="U750" i="12" s="1"/>
  <c r="U584" i="12"/>
  <c r="W596" i="12"/>
  <c r="W608" i="12" s="1"/>
  <c r="W620" i="12" s="1"/>
  <c r="W632" i="12" s="1"/>
  <c r="W644" i="12" s="1"/>
  <c r="W656" i="12" s="1"/>
  <c r="W668" i="12" s="1"/>
  <c r="W680" i="12" s="1"/>
  <c r="W692" i="12" s="1"/>
  <c r="W704" i="12" s="1"/>
  <c r="W716" i="12" s="1"/>
  <c r="W728" i="12" s="1"/>
  <c r="W740" i="12" s="1"/>
  <c r="W752" i="12" s="1"/>
  <c r="U752" i="12" s="1"/>
  <c r="I594" i="12"/>
  <c r="I606" i="12" s="1"/>
  <c r="I618" i="12" s="1"/>
  <c r="I630" i="12" s="1"/>
  <c r="I642" i="12" s="1"/>
  <c r="I654" i="12" s="1"/>
  <c r="I666" i="12" s="1"/>
  <c r="I678" i="12" s="1"/>
  <c r="I690" i="12" s="1"/>
  <c r="I702" i="12" s="1"/>
  <c r="I714" i="12" s="1"/>
  <c r="I726" i="12" s="1"/>
  <c r="I738" i="12" s="1"/>
  <c r="I750" i="12" s="1"/>
  <c r="G750" i="12" s="1"/>
  <c r="I599" i="12"/>
  <c r="I611" i="12" s="1"/>
  <c r="I623" i="12" s="1"/>
  <c r="I635" i="12" s="1"/>
  <c r="I647" i="12" s="1"/>
  <c r="I659" i="12" s="1"/>
  <c r="I671" i="12" s="1"/>
  <c r="I683" i="12" s="1"/>
  <c r="I695" i="12" s="1"/>
  <c r="I707" i="12" s="1"/>
  <c r="I719" i="12" s="1"/>
  <c r="I731" i="12" s="1"/>
  <c r="I743" i="12" s="1"/>
  <c r="I755" i="12" s="1"/>
  <c r="G755" i="12" s="1"/>
  <c r="I595" i="12"/>
  <c r="I607" i="12" s="1"/>
  <c r="I619" i="12" s="1"/>
  <c r="I631" i="12" s="1"/>
  <c r="I643" i="12" s="1"/>
  <c r="I655" i="12" s="1"/>
  <c r="I667" i="12" s="1"/>
  <c r="I679" i="12" s="1"/>
  <c r="I691" i="12" s="1"/>
  <c r="I703" i="12" s="1"/>
  <c r="I715" i="12" s="1"/>
  <c r="I727" i="12" s="1"/>
  <c r="I739" i="12" s="1"/>
  <c r="I751" i="12" s="1"/>
  <c r="G751" i="12" s="1"/>
  <c r="I593" i="12"/>
  <c r="I605" i="12" s="1"/>
  <c r="I617" i="12" s="1"/>
  <c r="I629" i="12" s="1"/>
  <c r="I641" i="12" s="1"/>
  <c r="I653" i="12" s="1"/>
  <c r="I665" i="12" s="1"/>
  <c r="I677" i="12" s="1"/>
  <c r="I689" i="12" s="1"/>
  <c r="I701" i="12" s="1"/>
  <c r="I713" i="12" s="1"/>
  <c r="I725" i="12" s="1"/>
  <c r="I737" i="12" s="1"/>
  <c r="I749" i="12" s="1"/>
  <c r="G749" i="12" s="1"/>
  <c r="U38" i="12"/>
  <c r="W38" i="12"/>
  <c r="W50" i="12" s="1"/>
  <c r="W62" i="12" s="1"/>
  <c r="W74" i="12" s="1"/>
  <c r="W86" i="12" s="1"/>
  <c r="W98" i="12" s="1"/>
  <c r="W110" i="12" s="1"/>
  <c r="W122" i="12" s="1"/>
  <c r="W134" i="12" s="1"/>
  <c r="W146" i="12" s="1"/>
  <c r="W158" i="12" s="1"/>
  <c r="W170" i="12" s="1"/>
  <c r="W182" i="12" s="1"/>
  <c r="W194" i="12" s="1"/>
  <c r="W206" i="12" s="1"/>
  <c r="W218" i="12" s="1"/>
  <c r="W230" i="12" s="1"/>
  <c r="W242" i="12" s="1"/>
  <c r="W254" i="12" s="1"/>
  <c r="W266" i="12" s="1"/>
  <c r="W278" i="12" s="1"/>
  <c r="W290" i="12" s="1"/>
  <c r="W302" i="12" s="1"/>
  <c r="W314" i="12" s="1"/>
  <c r="W326" i="12" s="1"/>
  <c r="W338" i="12" s="1"/>
  <c r="W350" i="12" s="1"/>
  <c r="W362" i="12" s="1"/>
  <c r="W374" i="12" s="1"/>
  <c r="W386" i="12" s="1"/>
  <c r="W398" i="12" s="1"/>
  <c r="W410" i="12" s="1"/>
  <c r="W422" i="12" s="1"/>
  <c r="W434" i="12" s="1"/>
  <c r="W446" i="12" s="1"/>
  <c r="U39" i="12"/>
  <c r="W39" i="12"/>
  <c r="W51" i="12" s="1"/>
  <c r="W63" i="12" s="1"/>
  <c r="W75" i="12" s="1"/>
  <c r="W87" i="12" s="1"/>
  <c r="W99" i="12" s="1"/>
  <c r="W111" i="12" s="1"/>
  <c r="W123" i="12" s="1"/>
  <c r="W135" i="12" s="1"/>
  <c r="W147" i="12" s="1"/>
  <c r="W159" i="12" s="1"/>
  <c r="W171" i="12" s="1"/>
  <c r="W183" i="12" s="1"/>
  <c r="W195" i="12" s="1"/>
  <c r="W207" i="12" s="1"/>
  <c r="W219" i="12" s="1"/>
  <c r="W231" i="12" s="1"/>
  <c r="W243" i="12" s="1"/>
  <c r="W255" i="12" s="1"/>
  <c r="W267" i="12" s="1"/>
  <c r="W279" i="12" s="1"/>
  <c r="W291" i="12" s="1"/>
  <c r="W303" i="12" s="1"/>
  <c r="W315" i="12" s="1"/>
  <c r="W327" i="12" s="1"/>
  <c r="W339" i="12" s="1"/>
  <c r="W351" i="12" s="1"/>
  <c r="W363" i="12" s="1"/>
  <c r="W375" i="12" s="1"/>
  <c r="W387" i="12" s="1"/>
  <c r="W399" i="12" s="1"/>
  <c r="W411" i="12" s="1"/>
  <c r="W423" i="12" s="1"/>
  <c r="W435" i="12" s="1"/>
  <c r="W447" i="12" s="1"/>
  <c r="Q241" i="12"/>
  <c r="Q253" i="12"/>
  <c r="Q265" i="12" s="1"/>
  <c r="Q277" i="12" s="1"/>
  <c r="Q289" i="12" s="1"/>
  <c r="Q301" i="12" s="1"/>
  <c r="Q313" i="12" s="1"/>
  <c r="Q325" i="12" s="1"/>
  <c r="Q337" i="12" s="1"/>
  <c r="Q349" i="12" s="1"/>
  <c r="O355" i="12"/>
  <c r="O367" i="12"/>
  <c r="O379" i="12" s="1"/>
  <c r="O391" i="12" s="1"/>
  <c r="O403" i="12" s="1"/>
  <c r="O415" i="12" s="1"/>
  <c r="O427" i="12" s="1"/>
  <c r="O439" i="12" s="1"/>
  <c r="O451" i="12" s="1"/>
  <c r="O463" i="12" s="1"/>
  <c r="O358" i="12"/>
  <c r="Q239" i="12"/>
  <c r="Q251" i="12"/>
  <c r="Q263" i="12" s="1"/>
  <c r="Q275" i="12" s="1"/>
  <c r="Q287" i="12" s="1"/>
  <c r="Q299" i="12" s="1"/>
  <c r="Q311" i="12" s="1"/>
  <c r="Q323" i="12" s="1"/>
  <c r="Q335" i="12" s="1"/>
  <c r="Q347" i="12" s="1"/>
  <c r="O361" i="12"/>
  <c r="O373" i="12"/>
  <c r="O385" i="12" s="1"/>
  <c r="O397" i="12" s="1"/>
  <c r="O409" i="12" s="1"/>
  <c r="O421" i="12" s="1"/>
  <c r="O433" i="12" s="1"/>
  <c r="O445" i="12" s="1"/>
  <c r="O457" i="12" s="1"/>
  <c r="O469" i="12" s="1"/>
  <c r="Q237" i="12"/>
  <c r="Q249" i="12"/>
  <c r="Q261" i="12" s="1"/>
  <c r="Q273" i="12" s="1"/>
  <c r="Q285" i="12" s="1"/>
  <c r="Q297" i="12" s="1"/>
  <c r="Q309" i="12" s="1"/>
  <c r="Q321" i="12" s="1"/>
  <c r="Q333" i="12" s="1"/>
  <c r="Q345" i="12" s="1"/>
  <c r="Q238" i="12"/>
  <c r="Q250" i="12"/>
  <c r="Q262" i="12" s="1"/>
  <c r="Q274" i="12" s="1"/>
  <c r="Q286" i="12" s="1"/>
  <c r="Q298" i="12" s="1"/>
  <c r="Q310" i="12" s="1"/>
  <c r="Q322" i="12" s="1"/>
  <c r="Q334" i="12" s="1"/>
  <c r="Q346" i="12" s="1"/>
  <c r="Q231" i="12"/>
  <c r="Q243" i="12"/>
  <c r="Q255" i="12" s="1"/>
  <c r="Q267" i="12" s="1"/>
  <c r="Q279" i="12" s="1"/>
  <c r="Q291" i="12" s="1"/>
  <c r="Q303" i="12" s="1"/>
  <c r="Q315" i="12" s="1"/>
  <c r="Q327" i="12" s="1"/>
  <c r="Q339" i="12" s="1"/>
  <c r="O360" i="12"/>
  <c r="O372" i="12"/>
  <c r="O384" i="12" s="1"/>
  <c r="O396" i="12" s="1"/>
  <c r="O408" i="12" s="1"/>
  <c r="O420" i="12" s="1"/>
  <c r="O432" i="12" s="1"/>
  <c r="O444" i="12" s="1"/>
  <c r="O456" i="12" s="1"/>
  <c r="O468" i="12" s="1"/>
  <c r="O352" i="12"/>
  <c r="O364" i="12"/>
  <c r="O376" i="12" s="1"/>
  <c r="O388" i="12" s="1"/>
  <c r="O400" i="12" s="1"/>
  <c r="O412" i="12" s="1"/>
  <c r="O424" i="12" s="1"/>
  <c r="O436" i="12" s="1"/>
  <c r="O448" i="12" s="1"/>
  <c r="O460" i="12" s="1"/>
  <c r="O351" i="12"/>
  <c r="O363" i="12"/>
  <c r="O375" i="12" s="1"/>
  <c r="O387" i="12" s="1"/>
  <c r="O399" i="12" s="1"/>
  <c r="O411" i="12" s="1"/>
  <c r="O423" i="12" s="1"/>
  <c r="O435" i="12" s="1"/>
  <c r="O447" i="12" s="1"/>
  <c r="O459" i="12" s="1"/>
  <c r="O359" i="12"/>
  <c r="O371" i="12"/>
  <c r="O383" i="12" s="1"/>
  <c r="O395" i="12" s="1"/>
  <c r="O407" i="12" s="1"/>
  <c r="O419" i="12" s="1"/>
  <c r="O431" i="12" s="1"/>
  <c r="O443" i="12" s="1"/>
  <c r="O455" i="12" s="1"/>
  <c r="O467" i="12" s="1"/>
  <c r="Q235" i="12"/>
  <c r="Q247" i="12"/>
  <c r="Q259" i="12" s="1"/>
  <c r="Q271" i="12" s="1"/>
  <c r="Q283" i="12" s="1"/>
  <c r="Q295" i="12" s="1"/>
  <c r="Q307" i="12" s="1"/>
  <c r="Q319" i="12" s="1"/>
  <c r="Q331" i="12" s="1"/>
  <c r="Q343" i="12" s="1"/>
  <c r="O356" i="12"/>
  <c r="O368" i="12"/>
  <c r="O380" i="12" s="1"/>
  <c r="O392" i="12" s="1"/>
  <c r="O404" i="12" s="1"/>
  <c r="O416" i="12" s="1"/>
  <c r="O428" i="12" s="1"/>
  <c r="O440" i="12" s="1"/>
  <c r="O452" i="12" s="1"/>
  <c r="O464" i="12" s="1"/>
  <c r="Q234" i="12"/>
  <c r="Q246" i="12"/>
  <c r="Q258" i="12" s="1"/>
  <c r="Q270" i="12" s="1"/>
  <c r="Q282" i="12" s="1"/>
  <c r="Q294" i="12" s="1"/>
  <c r="Q306" i="12" s="1"/>
  <c r="Q318" i="12" s="1"/>
  <c r="Q330" i="12" s="1"/>
  <c r="Q342" i="12" s="1"/>
  <c r="Q244" i="12"/>
  <c r="Q256" i="12" s="1"/>
  <c r="Q268" i="12" s="1"/>
  <c r="Q280" i="12" s="1"/>
  <c r="Q292" i="12" s="1"/>
  <c r="Q304" i="12" s="1"/>
  <c r="Q316" i="12" s="1"/>
  <c r="Q328" i="12" s="1"/>
  <c r="Q340" i="12" s="1"/>
  <c r="Q232" i="12"/>
  <c r="O357" i="12"/>
  <c r="O369" i="12"/>
  <c r="O381" i="12" s="1"/>
  <c r="O393" i="12" s="1"/>
  <c r="O405" i="12" s="1"/>
  <c r="O417" i="12" s="1"/>
  <c r="O429" i="12" s="1"/>
  <c r="O441" i="12" s="1"/>
  <c r="O453" i="12" s="1"/>
  <c r="O465" i="12" s="1"/>
  <c r="Q233" i="12"/>
  <c r="Q245" i="12"/>
  <c r="Q257" i="12" s="1"/>
  <c r="Q269" i="12" s="1"/>
  <c r="Q281" i="12" s="1"/>
  <c r="Q293" i="12" s="1"/>
  <c r="Q305" i="12" s="1"/>
  <c r="Q317" i="12" s="1"/>
  <c r="Q329" i="12" s="1"/>
  <c r="Q341" i="12" s="1"/>
  <c r="Q240" i="12"/>
  <c r="Q252" i="12"/>
  <c r="Q264" i="12" s="1"/>
  <c r="Q276" i="12" s="1"/>
  <c r="Q288" i="12" s="1"/>
  <c r="Q300" i="12" s="1"/>
  <c r="Q312" i="12" s="1"/>
  <c r="Q324" i="12" s="1"/>
  <c r="Q336" i="12" s="1"/>
  <c r="Q348" i="12" s="1"/>
  <c r="Q236" i="12"/>
  <c r="Q248" i="12"/>
  <c r="Q260" i="12" s="1"/>
  <c r="Q272" i="12" s="1"/>
  <c r="Q284" i="12" s="1"/>
  <c r="Q296" i="12" s="1"/>
  <c r="Q308" i="12" s="1"/>
  <c r="Q320" i="12" s="1"/>
  <c r="Q332" i="12" s="1"/>
  <c r="Q344" i="12" s="1"/>
  <c r="O350" i="12"/>
  <c r="O362" i="12"/>
  <c r="O374" i="12" s="1"/>
  <c r="O386" i="12" s="1"/>
  <c r="O398" i="12" s="1"/>
  <c r="O410" i="12" s="1"/>
  <c r="O422" i="12" s="1"/>
  <c r="O434" i="12" s="1"/>
  <c r="O446" i="12" s="1"/>
  <c r="O458" i="12" s="1"/>
  <c r="O366" i="12"/>
  <c r="O378" i="12" s="1"/>
  <c r="O390" i="12" s="1"/>
  <c r="O402" i="12" s="1"/>
  <c r="O414" i="12" s="1"/>
  <c r="O426" i="12" s="1"/>
  <c r="O438" i="12" s="1"/>
  <c r="O450" i="12" s="1"/>
  <c r="O462" i="12" s="1"/>
  <c r="G68" i="12"/>
  <c r="G52" i="12"/>
  <c r="I52" i="12"/>
  <c r="I64" i="12" s="1"/>
  <c r="I76" i="12" s="1"/>
  <c r="I88" i="12" s="1"/>
  <c r="I100" i="12" s="1"/>
  <c r="I112" i="12" s="1"/>
  <c r="I124" i="12" s="1"/>
  <c r="I136" i="12" s="1"/>
  <c r="I148" i="12" s="1"/>
  <c r="I160" i="12" s="1"/>
  <c r="I172" i="12" s="1"/>
  <c r="I184" i="12" s="1"/>
  <c r="I196" i="12" s="1"/>
  <c r="I208" i="12" s="1"/>
  <c r="I220" i="12" s="1"/>
  <c r="I232" i="12" s="1"/>
  <c r="I244" i="12" s="1"/>
  <c r="I256" i="12" s="1"/>
  <c r="I268" i="12" s="1"/>
  <c r="I280" i="12" s="1"/>
  <c r="I292" i="12" s="1"/>
  <c r="I304" i="12" s="1"/>
  <c r="I316" i="12" s="1"/>
  <c r="I328" i="12" s="1"/>
  <c r="I340" i="12" s="1"/>
  <c r="I352" i="12" s="1"/>
  <c r="I364" i="12" s="1"/>
  <c r="I376" i="12" s="1"/>
  <c r="I388" i="12" s="1"/>
  <c r="I400" i="12" s="1"/>
  <c r="I412" i="12" s="1"/>
  <c r="I424" i="12" s="1"/>
  <c r="I436" i="12" s="1"/>
  <c r="I448" i="12" s="1"/>
  <c r="I460" i="12" s="1"/>
  <c r="I472" i="12" s="1"/>
  <c r="I484" i="12" s="1"/>
  <c r="I496" i="12" s="1"/>
  <c r="I508" i="12" s="1"/>
  <c r="I520" i="12" s="1"/>
  <c r="I532" i="12" s="1"/>
  <c r="I544" i="12" s="1"/>
  <c r="I556" i="12" s="1"/>
  <c r="I568" i="12" s="1"/>
  <c r="I58" i="12"/>
  <c r="I70" i="12" s="1"/>
  <c r="I82" i="12" s="1"/>
  <c r="I94" i="12" s="1"/>
  <c r="I106" i="12" s="1"/>
  <c r="I118" i="12" s="1"/>
  <c r="I130" i="12" s="1"/>
  <c r="I142" i="12" s="1"/>
  <c r="I154" i="12" s="1"/>
  <c r="I166" i="12" s="1"/>
  <c r="I178" i="12" s="1"/>
  <c r="I190" i="12" s="1"/>
  <c r="I202" i="12" s="1"/>
  <c r="I214" i="12" s="1"/>
  <c r="I226" i="12" s="1"/>
  <c r="I238" i="12" s="1"/>
  <c r="I250" i="12" s="1"/>
  <c r="I262" i="12" s="1"/>
  <c r="I274" i="12" s="1"/>
  <c r="I286" i="12" s="1"/>
  <c r="I298" i="12" s="1"/>
  <c r="I310" i="12" s="1"/>
  <c r="I322" i="12" s="1"/>
  <c r="I334" i="12" s="1"/>
  <c r="I346" i="12" s="1"/>
  <c r="I358" i="12" s="1"/>
  <c r="I370" i="12" s="1"/>
  <c r="I382" i="12" s="1"/>
  <c r="I394" i="12" s="1"/>
  <c r="I406" i="12" s="1"/>
  <c r="I418" i="12" s="1"/>
  <c r="I430" i="12" s="1"/>
  <c r="I442" i="12" s="1"/>
  <c r="I454" i="12" s="1"/>
  <c r="I466" i="12" s="1"/>
  <c r="I478" i="12" s="1"/>
  <c r="I490" i="12" s="1"/>
  <c r="I502" i="12" s="1"/>
  <c r="I514" i="12" s="1"/>
  <c r="I526" i="12" s="1"/>
  <c r="I538" i="12" s="1"/>
  <c r="I550" i="12" s="1"/>
  <c r="I562" i="12" s="1"/>
  <c r="I574" i="12" s="1"/>
  <c r="G58" i="12"/>
  <c r="G57" i="12"/>
  <c r="I57" i="12"/>
  <c r="I69" i="12" s="1"/>
  <c r="I81" i="12" s="1"/>
  <c r="I93" i="12" s="1"/>
  <c r="I105" i="12" s="1"/>
  <c r="I117" i="12" s="1"/>
  <c r="I129" i="12" s="1"/>
  <c r="I141" i="12" s="1"/>
  <c r="I153" i="12" s="1"/>
  <c r="I165" i="12" s="1"/>
  <c r="I177" i="12" s="1"/>
  <c r="I189" i="12" s="1"/>
  <c r="I201" i="12" s="1"/>
  <c r="I213" i="12" s="1"/>
  <c r="I225" i="12" s="1"/>
  <c r="I237" i="12" s="1"/>
  <c r="I249" i="12" s="1"/>
  <c r="I261" i="12" s="1"/>
  <c r="I273" i="12" s="1"/>
  <c r="I285" i="12" s="1"/>
  <c r="I297" i="12" s="1"/>
  <c r="I309" i="12" s="1"/>
  <c r="I321" i="12" s="1"/>
  <c r="I333" i="12" s="1"/>
  <c r="I345" i="12" s="1"/>
  <c r="I357" i="12" s="1"/>
  <c r="I369" i="12" s="1"/>
  <c r="I381" i="12" s="1"/>
  <c r="I393" i="12" s="1"/>
  <c r="I405" i="12" s="1"/>
  <c r="I417" i="12" s="1"/>
  <c r="I429" i="12" s="1"/>
  <c r="I441" i="12" s="1"/>
  <c r="I453" i="12" s="1"/>
  <c r="I465" i="12" s="1"/>
  <c r="I477" i="12" s="1"/>
  <c r="I489" i="12" s="1"/>
  <c r="I501" i="12" s="1"/>
  <c r="I513" i="12" s="1"/>
  <c r="I525" i="12" s="1"/>
  <c r="I537" i="12" s="1"/>
  <c r="I549" i="12" s="1"/>
  <c r="I561" i="12" s="1"/>
  <c r="I573" i="12" s="1"/>
  <c r="Q110" i="12"/>
  <c r="Q122" i="12"/>
  <c r="Q134" i="12" s="1"/>
  <c r="Q146" i="12" s="1"/>
  <c r="Q158" i="12" s="1"/>
  <c r="Q170" i="12" s="1"/>
  <c r="Q182" i="12" s="1"/>
  <c r="Q194" i="12" s="1"/>
  <c r="Q206" i="12" s="1"/>
  <c r="Q218" i="12" s="1"/>
  <c r="G50" i="12"/>
  <c r="I50" i="12"/>
  <c r="I62" i="12" s="1"/>
  <c r="I74" i="12" s="1"/>
  <c r="I86" i="12" s="1"/>
  <c r="I98" i="12" s="1"/>
  <c r="I110" i="12" s="1"/>
  <c r="I122" i="12" s="1"/>
  <c r="I134" i="12" s="1"/>
  <c r="I146" i="12" s="1"/>
  <c r="I158" i="12" s="1"/>
  <c r="I170" i="12" s="1"/>
  <c r="I182" i="12" s="1"/>
  <c r="I194" i="12" s="1"/>
  <c r="I206" i="12" s="1"/>
  <c r="I218" i="12" s="1"/>
  <c r="I230" i="12" s="1"/>
  <c r="I242" i="12" s="1"/>
  <c r="I254" i="12" s="1"/>
  <c r="I266" i="12" s="1"/>
  <c r="I278" i="12" s="1"/>
  <c r="I290" i="12" s="1"/>
  <c r="I302" i="12" s="1"/>
  <c r="I314" i="12" s="1"/>
  <c r="I326" i="12" s="1"/>
  <c r="I338" i="12" s="1"/>
  <c r="I350" i="12" s="1"/>
  <c r="I362" i="12" s="1"/>
  <c r="I374" i="12" s="1"/>
  <c r="I386" i="12" s="1"/>
  <c r="I398" i="12" s="1"/>
  <c r="I410" i="12" s="1"/>
  <c r="I422" i="12" s="1"/>
  <c r="I434" i="12" s="1"/>
  <c r="I446" i="12" s="1"/>
  <c r="I458" i="12" s="1"/>
  <c r="I470" i="12" s="1"/>
  <c r="I482" i="12" s="1"/>
  <c r="I494" i="12" s="1"/>
  <c r="I506" i="12" s="1"/>
  <c r="I518" i="12" s="1"/>
  <c r="I530" i="12" s="1"/>
  <c r="I542" i="12" s="1"/>
  <c r="I554" i="12" s="1"/>
  <c r="I566" i="12" s="1"/>
  <c r="P26" i="12"/>
  <c r="N38" i="12" s="1"/>
  <c r="G77" i="12"/>
  <c r="G85" i="12"/>
  <c r="G83" i="12"/>
  <c r="G78" i="12"/>
  <c r="G79" i="12"/>
  <c r="G75" i="12"/>
  <c r="G84" i="12"/>
  <c r="P30" i="12"/>
  <c r="N42" i="12" s="1"/>
  <c r="P32" i="12"/>
  <c r="N44" i="12" s="1"/>
  <c r="P31" i="12"/>
  <c r="N43" i="12" s="1"/>
  <c r="P28" i="12"/>
  <c r="N40" i="12" s="1"/>
  <c r="P33" i="12"/>
  <c r="N45" i="12" s="1"/>
  <c r="P27" i="12"/>
  <c r="N39" i="12" s="1"/>
  <c r="P37" i="12"/>
  <c r="N49" i="12" s="1"/>
  <c r="P36" i="12"/>
  <c r="N48" i="12" s="1"/>
  <c r="P34" i="12"/>
  <c r="N46" i="12" s="1"/>
  <c r="P29" i="12"/>
  <c r="N41" i="12" s="1"/>
  <c r="P35" i="12"/>
  <c r="N47" i="12" s="1"/>
  <c r="U96" i="12"/>
  <c r="U92" i="12"/>
  <c r="U97" i="12"/>
  <c r="U95" i="12"/>
  <c r="U94" i="12"/>
  <c r="U93" i="12"/>
  <c r="U91" i="12"/>
  <c r="U90" i="12"/>
  <c r="U89" i="12"/>
  <c r="U88" i="12"/>
  <c r="U51" i="12" l="1"/>
  <c r="U50" i="12"/>
  <c r="O233" i="12"/>
  <c r="I596" i="12"/>
  <c r="I608" i="12" s="1"/>
  <c r="I620" i="12" s="1"/>
  <c r="I632" i="12" s="1"/>
  <c r="I644" i="12" s="1"/>
  <c r="I656" i="12" s="1"/>
  <c r="I668" i="12" s="1"/>
  <c r="I680" i="12" s="1"/>
  <c r="I692" i="12" s="1"/>
  <c r="I704" i="12" s="1"/>
  <c r="I716" i="12" s="1"/>
  <c r="I728" i="12" s="1"/>
  <c r="I740" i="12" s="1"/>
  <c r="I752" i="12" s="1"/>
  <c r="G752" i="12" s="1"/>
  <c r="I586" i="12"/>
  <c r="G586" i="12" s="1"/>
  <c r="I580" i="12"/>
  <c r="G580" i="12" s="1"/>
  <c r="I585" i="12"/>
  <c r="G585" i="12" s="1"/>
  <c r="I578" i="12"/>
  <c r="G578" i="12" s="1"/>
  <c r="W459" i="12"/>
  <c r="U447" i="12"/>
  <c r="W458" i="12"/>
  <c r="U446" i="12"/>
  <c r="O477" i="12"/>
  <c r="O489" i="12"/>
  <c r="O501" i="12" s="1"/>
  <c r="O513" i="12" s="1"/>
  <c r="O525" i="12" s="1"/>
  <c r="O537" i="12" s="1"/>
  <c r="O549" i="12" s="1"/>
  <c r="O561" i="12" s="1"/>
  <c r="O573" i="12" s="1"/>
  <c r="O585" i="12" s="1"/>
  <c r="Q354" i="12"/>
  <c r="Q366" i="12"/>
  <c r="Q378" i="12" s="1"/>
  <c r="Q390" i="12" s="1"/>
  <c r="Q402" i="12" s="1"/>
  <c r="Q414" i="12" s="1"/>
  <c r="Q426" i="12" s="1"/>
  <c r="Q438" i="12" s="1"/>
  <c r="Q450" i="12" s="1"/>
  <c r="Q462" i="12" s="1"/>
  <c r="O472" i="12"/>
  <c r="O484" i="12"/>
  <c r="O496" i="12" s="1"/>
  <c r="O508" i="12" s="1"/>
  <c r="O520" i="12" s="1"/>
  <c r="O532" i="12" s="1"/>
  <c r="O544" i="12" s="1"/>
  <c r="O556" i="12" s="1"/>
  <c r="O568" i="12" s="1"/>
  <c r="O580" i="12" s="1"/>
  <c r="Q357" i="12"/>
  <c r="Q369" i="12"/>
  <c r="Q381" i="12" s="1"/>
  <c r="Q393" i="12" s="1"/>
  <c r="Q405" i="12" s="1"/>
  <c r="Q417" i="12" s="1"/>
  <c r="Q429" i="12" s="1"/>
  <c r="Q441" i="12" s="1"/>
  <c r="Q453" i="12" s="1"/>
  <c r="Q465" i="12" s="1"/>
  <c r="Q359" i="12"/>
  <c r="Q371" i="12"/>
  <c r="Q383" i="12" s="1"/>
  <c r="Q395" i="12" s="1"/>
  <c r="Q407" i="12" s="1"/>
  <c r="Q419" i="12" s="1"/>
  <c r="Q431" i="12" s="1"/>
  <c r="Q443" i="12" s="1"/>
  <c r="Q455" i="12" s="1"/>
  <c r="Q467" i="12" s="1"/>
  <c r="Q230" i="12"/>
  <c r="Q242" i="12"/>
  <c r="Q254" i="12" s="1"/>
  <c r="Q266" i="12" s="1"/>
  <c r="Q278" i="12" s="1"/>
  <c r="Q290" i="12" s="1"/>
  <c r="Q302" i="12" s="1"/>
  <c r="Q314" i="12" s="1"/>
  <c r="Q326" i="12" s="1"/>
  <c r="Q338" i="12" s="1"/>
  <c r="Q356" i="12"/>
  <c r="Q368" i="12"/>
  <c r="Q380" i="12" s="1"/>
  <c r="Q392" i="12" s="1"/>
  <c r="Q404" i="12" s="1"/>
  <c r="Q416" i="12" s="1"/>
  <c r="Q428" i="12" s="1"/>
  <c r="Q440" i="12" s="1"/>
  <c r="Q452" i="12" s="1"/>
  <c r="Q464" i="12" s="1"/>
  <c r="O476" i="12"/>
  <c r="O488" i="12"/>
  <c r="O500" i="12" s="1"/>
  <c r="O512" i="12" s="1"/>
  <c r="O524" i="12" s="1"/>
  <c r="O536" i="12" s="1"/>
  <c r="O548" i="12" s="1"/>
  <c r="O560" i="12" s="1"/>
  <c r="O572" i="12" s="1"/>
  <c r="O584" i="12" s="1"/>
  <c r="O471" i="12"/>
  <c r="O483" i="12"/>
  <c r="O495" i="12" s="1"/>
  <c r="O507" i="12" s="1"/>
  <c r="O519" i="12" s="1"/>
  <c r="O531" i="12" s="1"/>
  <c r="O543" i="12" s="1"/>
  <c r="O555" i="12" s="1"/>
  <c r="O567" i="12" s="1"/>
  <c r="O579" i="12" s="1"/>
  <c r="Q358" i="12"/>
  <c r="Q370" i="12"/>
  <c r="Q382" i="12" s="1"/>
  <c r="Q394" i="12" s="1"/>
  <c r="Q406" i="12" s="1"/>
  <c r="Q418" i="12" s="1"/>
  <c r="Q430" i="12" s="1"/>
  <c r="Q442" i="12" s="1"/>
  <c r="Q454" i="12" s="1"/>
  <c r="Q466" i="12" s="1"/>
  <c r="O481" i="12"/>
  <c r="O493" i="12"/>
  <c r="O505" i="12" s="1"/>
  <c r="O517" i="12" s="1"/>
  <c r="O529" i="12" s="1"/>
  <c r="O541" i="12" s="1"/>
  <c r="O553" i="12" s="1"/>
  <c r="O565" i="12" s="1"/>
  <c r="O577" i="12" s="1"/>
  <c r="O589" i="12" s="1"/>
  <c r="O478" i="12"/>
  <c r="O490" i="12"/>
  <c r="O502" i="12" s="1"/>
  <c r="O514" i="12" s="1"/>
  <c r="O526" i="12" s="1"/>
  <c r="O538" i="12" s="1"/>
  <c r="O550" i="12" s="1"/>
  <c r="O562" i="12" s="1"/>
  <c r="O574" i="12" s="1"/>
  <c r="O586" i="12" s="1"/>
  <c r="Q361" i="12"/>
  <c r="Q373" i="12"/>
  <c r="Q385" i="12" s="1"/>
  <c r="Q397" i="12" s="1"/>
  <c r="Q409" i="12" s="1"/>
  <c r="Q421" i="12" s="1"/>
  <c r="Q433" i="12" s="1"/>
  <c r="Q445" i="12" s="1"/>
  <c r="Q457" i="12" s="1"/>
  <c r="Q469" i="12" s="1"/>
  <c r="O470" i="12"/>
  <c r="O482" i="12"/>
  <c r="O494" i="12" s="1"/>
  <c r="O506" i="12" s="1"/>
  <c r="O518" i="12" s="1"/>
  <c r="O530" i="12" s="1"/>
  <c r="O542" i="12" s="1"/>
  <c r="O554" i="12" s="1"/>
  <c r="O566" i="12" s="1"/>
  <c r="O578" i="12" s="1"/>
  <c r="Q360" i="12"/>
  <c r="Q372" i="12"/>
  <c r="Q384" i="12" s="1"/>
  <c r="Q396" i="12" s="1"/>
  <c r="Q408" i="12" s="1"/>
  <c r="Q420" i="12" s="1"/>
  <c r="Q432" i="12" s="1"/>
  <c r="Q444" i="12" s="1"/>
  <c r="Q456" i="12" s="1"/>
  <c r="Q468" i="12" s="1"/>
  <c r="Q355" i="12"/>
  <c r="Q367" i="12"/>
  <c r="Q379" i="12" s="1"/>
  <c r="Q391" i="12" s="1"/>
  <c r="Q403" i="12" s="1"/>
  <c r="Q415" i="12" s="1"/>
  <c r="Q427" i="12" s="1"/>
  <c r="Q439" i="12" s="1"/>
  <c r="Q451" i="12" s="1"/>
  <c r="Q463" i="12" s="1"/>
  <c r="O479" i="12"/>
  <c r="O491" i="12"/>
  <c r="O503" i="12" s="1"/>
  <c r="O515" i="12" s="1"/>
  <c r="O527" i="12" s="1"/>
  <c r="O539" i="12" s="1"/>
  <c r="O551" i="12" s="1"/>
  <c r="O563" i="12" s="1"/>
  <c r="O575" i="12" s="1"/>
  <c r="O587" i="12" s="1"/>
  <c r="Q351" i="12"/>
  <c r="Q363" i="12"/>
  <c r="Q375" i="12" s="1"/>
  <c r="Q387" i="12" s="1"/>
  <c r="Q399" i="12" s="1"/>
  <c r="Q411" i="12" s="1"/>
  <c r="Q423" i="12" s="1"/>
  <c r="Q435" i="12" s="1"/>
  <c r="Q447" i="12" s="1"/>
  <c r="Q459" i="12" s="1"/>
  <c r="O487" i="12"/>
  <c r="O499" i="12" s="1"/>
  <c r="O511" i="12" s="1"/>
  <c r="O523" i="12" s="1"/>
  <c r="O535" i="12" s="1"/>
  <c r="O547" i="12" s="1"/>
  <c r="O559" i="12" s="1"/>
  <c r="O571" i="12" s="1"/>
  <c r="O583" i="12" s="1"/>
  <c r="O475" i="12"/>
  <c r="O474" i="12"/>
  <c r="O486" i="12"/>
  <c r="O498" i="12" s="1"/>
  <c r="O510" i="12" s="1"/>
  <c r="O522" i="12" s="1"/>
  <c r="O534" i="12" s="1"/>
  <c r="O546" i="12" s="1"/>
  <c r="O558" i="12" s="1"/>
  <c r="O570" i="12" s="1"/>
  <c r="O582" i="12" s="1"/>
  <c r="Q353" i="12"/>
  <c r="Q365" i="12"/>
  <c r="Q377" i="12" s="1"/>
  <c r="Q389" i="12" s="1"/>
  <c r="Q401" i="12" s="1"/>
  <c r="Q413" i="12" s="1"/>
  <c r="Q425" i="12" s="1"/>
  <c r="Q437" i="12" s="1"/>
  <c r="Q449" i="12" s="1"/>
  <c r="Q461" i="12" s="1"/>
  <c r="O353" i="12"/>
  <c r="O365" i="12"/>
  <c r="O377" i="12" s="1"/>
  <c r="O389" i="12" s="1"/>
  <c r="O401" i="12" s="1"/>
  <c r="O413" i="12" s="1"/>
  <c r="O425" i="12" s="1"/>
  <c r="O437" i="12" s="1"/>
  <c r="O449" i="12" s="1"/>
  <c r="O461" i="12" s="1"/>
  <c r="O480" i="12"/>
  <c r="O492" i="12"/>
  <c r="O504" i="12" s="1"/>
  <c r="O516" i="12" s="1"/>
  <c r="O528" i="12" s="1"/>
  <c r="O540" i="12" s="1"/>
  <c r="O552" i="12" s="1"/>
  <c r="O564" i="12" s="1"/>
  <c r="O576" i="12" s="1"/>
  <c r="O588" i="12" s="1"/>
  <c r="Q352" i="12"/>
  <c r="Q364" i="12"/>
  <c r="Q376" i="12" s="1"/>
  <c r="Q388" i="12" s="1"/>
  <c r="Q400" i="12" s="1"/>
  <c r="Q412" i="12" s="1"/>
  <c r="Q424" i="12" s="1"/>
  <c r="Q436" i="12" s="1"/>
  <c r="Q448" i="12" s="1"/>
  <c r="Q460" i="12" s="1"/>
  <c r="G80" i="12"/>
  <c r="G69" i="12"/>
  <c r="G64" i="12"/>
  <c r="G70" i="12"/>
  <c r="G62" i="12"/>
  <c r="P38" i="12"/>
  <c r="N50" i="12" s="1"/>
  <c r="G87" i="12"/>
  <c r="G95" i="12"/>
  <c r="G89" i="12"/>
  <c r="G96" i="12"/>
  <c r="G91" i="12"/>
  <c r="G90" i="12"/>
  <c r="G97" i="12"/>
  <c r="P47" i="12"/>
  <c r="N59" i="12" s="1"/>
  <c r="P46" i="12"/>
  <c r="N58" i="12" s="1"/>
  <c r="P49" i="12"/>
  <c r="N61" i="12" s="1"/>
  <c r="P45" i="12"/>
  <c r="N57" i="12" s="1"/>
  <c r="P43" i="12"/>
  <c r="N55" i="12" s="1"/>
  <c r="P42" i="12"/>
  <c r="N54" i="12" s="1"/>
  <c r="P41" i="12"/>
  <c r="N53" i="12" s="1"/>
  <c r="P48" i="12"/>
  <c r="N60" i="12" s="1"/>
  <c r="P39" i="12"/>
  <c r="N51" i="12" s="1"/>
  <c r="P40" i="12"/>
  <c r="N52" i="12" s="1"/>
  <c r="P44" i="12"/>
  <c r="N56" i="12" s="1"/>
  <c r="U100" i="12"/>
  <c r="U102" i="12"/>
  <c r="U62" i="12"/>
  <c r="U106" i="12"/>
  <c r="U107" i="12"/>
  <c r="U104" i="12"/>
  <c r="U101" i="12"/>
  <c r="U103" i="12"/>
  <c r="U105" i="12"/>
  <c r="U63" i="12"/>
  <c r="U109" i="12"/>
  <c r="U108" i="12"/>
  <c r="I597" i="12" l="1"/>
  <c r="I609" i="12" s="1"/>
  <c r="I621" i="12" s="1"/>
  <c r="I633" i="12" s="1"/>
  <c r="I645" i="12" s="1"/>
  <c r="I657" i="12" s="1"/>
  <c r="I669" i="12" s="1"/>
  <c r="I681" i="12" s="1"/>
  <c r="I693" i="12" s="1"/>
  <c r="I705" i="12" s="1"/>
  <c r="I717" i="12" s="1"/>
  <c r="I729" i="12" s="1"/>
  <c r="I741" i="12" s="1"/>
  <c r="I753" i="12" s="1"/>
  <c r="G753" i="12" s="1"/>
  <c r="I598" i="12"/>
  <c r="I610" i="12" s="1"/>
  <c r="I622" i="12" s="1"/>
  <c r="I634" i="12" s="1"/>
  <c r="I646" i="12" s="1"/>
  <c r="I658" i="12" s="1"/>
  <c r="I670" i="12" s="1"/>
  <c r="I682" i="12" s="1"/>
  <c r="I694" i="12" s="1"/>
  <c r="I706" i="12" s="1"/>
  <c r="I718" i="12" s="1"/>
  <c r="I730" i="12" s="1"/>
  <c r="I742" i="12" s="1"/>
  <c r="I754" i="12" s="1"/>
  <c r="G754" i="12" s="1"/>
  <c r="I592" i="12"/>
  <c r="I604" i="12" s="1"/>
  <c r="I616" i="12" s="1"/>
  <c r="I628" i="12" s="1"/>
  <c r="I640" i="12" s="1"/>
  <c r="I652" i="12" s="1"/>
  <c r="I664" i="12" s="1"/>
  <c r="I676" i="12" s="1"/>
  <c r="I688" i="12" s="1"/>
  <c r="I700" i="12" s="1"/>
  <c r="I712" i="12" s="1"/>
  <c r="I724" i="12" s="1"/>
  <c r="I736" i="12" s="1"/>
  <c r="I748" i="12" s="1"/>
  <c r="G748" i="12" s="1"/>
  <c r="I590" i="12"/>
  <c r="I602" i="12" s="1"/>
  <c r="I614" i="12" s="1"/>
  <c r="I626" i="12" s="1"/>
  <c r="I638" i="12" s="1"/>
  <c r="I650" i="12" s="1"/>
  <c r="I662" i="12" s="1"/>
  <c r="I674" i="12" s="1"/>
  <c r="I686" i="12" s="1"/>
  <c r="I698" i="12" s="1"/>
  <c r="I710" i="12" s="1"/>
  <c r="I722" i="12" s="1"/>
  <c r="I734" i="12" s="1"/>
  <c r="I746" i="12" s="1"/>
  <c r="G746" i="12" s="1"/>
  <c r="W470" i="12"/>
  <c r="W482" i="12" s="1"/>
  <c r="W494" i="12" s="1"/>
  <c r="W506" i="12" s="1"/>
  <c r="W518" i="12" s="1"/>
  <c r="W530" i="12" s="1"/>
  <c r="W542" i="12" s="1"/>
  <c r="W554" i="12" s="1"/>
  <c r="W566" i="12" s="1"/>
  <c r="W578" i="12" s="1"/>
  <c r="U458" i="12"/>
  <c r="W471" i="12"/>
  <c r="W483" i="12" s="1"/>
  <c r="W495" i="12" s="1"/>
  <c r="W507" i="12" s="1"/>
  <c r="W519" i="12" s="1"/>
  <c r="W531" i="12" s="1"/>
  <c r="W543" i="12" s="1"/>
  <c r="W555" i="12" s="1"/>
  <c r="W567" i="12" s="1"/>
  <c r="W579" i="12" s="1"/>
  <c r="U459" i="12"/>
  <c r="Q472" i="12"/>
  <c r="Q484" i="12"/>
  <c r="Q496" i="12" s="1"/>
  <c r="Q508" i="12" s="1"/>
  <c r="Q520" i="12" s="1"/>
  <c r="Q532" i="12" s="1"/>
  <c r="Q544" i="12" s="1"/>
  <c r="Q556" i="12" s="1"/>
  <c r="Q568" i="12" s="1"/>
  <c r="Q580" i="12" s="1"/>
  <c r="O594" i="12"/>
  <c r="O606" i="12"/>
  <c r="O618" i="12" s="1"/>
  <c r="O630" i="12" s="1"/>
  <c r="O642" i="12" s="1"/>
  <c r="O654" i="12" s="1"/>
  <c r="O666" i="12" s="1"/>
  <c r="O678" i="12" s="1"/>
  <c r="O690" i="12" s="1"/>
  <c r="O702" i="12" s="1"/>
  <c r="Q475" i="12"/>
  <c r="Q487" i="12"/>
  <c r="Q499" i="12" s="1"/>
  <c r="Q511" i="12" s="1"/>
  <c r="Q523" i="12" s="1"/>
  <c r="Q535" i="12" s="1"/>
  <c r="Q547" i="12" s="1"/>
  <c r="Q559" i="12" s="1"/>
  <c r="Q571" i="12" s="1"/>
  <c r="Q583" i="12" s="1"/>
  <c r="O598" i="12"/>
  <c r="O610" i="12"/>
  <c r="O622" i="12" s="1"/>
  <c r="O634" i="12" s="1"/>
  <c r="O646" i="12" s="1"/>
  <c r="O658" i="12" s="1"/>
  <c r="O670" i="12" s="1"/>
  <c r="O682" i="12" s="1"/>
  <c r="O694" i="12" s="1"/>
  <c r="O706" i="12" s="1"/>
  <c r="O596" i="12"/>
  <c r="O608" i="12"/>
  <c r="O620" i="12" s="1"/>
  <c r="O632" i="12" s="1"/>
  <c r="O644" i="12" s="1"/>
  <c r="O656" i="12" s="1"/>
  <c r="O668" i="12" s="1"/>
  <c r="O680" i="12" s="1"/>
  <c r="O692" i="12" s="1"/>
  <c r="O704" i="12" s="1"/>
  <c r="Q477" i="12"/>
  <c r="Q489" i="12"/>
  <c r="Q501" i="12" s="1"/>
  <c r="Q513" i="12" s="1"/>
  <c r="Q525" i="12" s="1"/>
  <c r="Q537" i="12" s="1"/>
  <c r="Q549" i="12" s="1"/>
  <c r="Q561" i="12" s="1"/>
  <c r="Q573" i="12" s="1"/>
  <c r="Q585" i="12" s="1"/>
  <c r="O600" i="12"/>
  <c r="O612" i="12"/>
  <c r="O624" i="12" s="1"/>
  <c r="O636" i="12" s="1"/>
  <c r="O648" i="12" s="1"/>
  <c r="O660" i="12" s="1"/>
  <c r="O672" i="12" s="1"/>
  <c r="O684" i="12" s="1"/>
  <c r="O696" i="12" s="1"/>
  <c r="O708" i="12" s="1"/>
  <c r="Q485" i="12"/>
  <c r="Q497" i="12" s="1"/>
  <c r="Q509" i="12" s="1"/>
  <c r="Q521" i="12" s="1"/>
  <c r="Q533" i="12" s="1"/>
  <c r="Q545" i="12" s="1"/>
  <c r="Q557" i="12" s="1"/>
  <c r="Q569" i="12" s="1"/>
  <c r="Q581" i="12" s="1"/>
  <c r="Q473" i="12"/>
  <c r="Q480" i="12"/>
  <c r="Q492" i="12"/>
  <c r="Q504" i="12" s="1"/>
  <c r="Q516" i="12" s="1"/>
  <c r="Q528" i="12" s="1"/>
  <c r="Q540" i="12" s="1"/>
  <c r="Q552" i="12" s="1"/>
  <c r="Q564" i="12" s="1"/>
  <c r="Q576" i="12" s="1"/>
  <c r="Q588" i="12" s="1"/>
  <c r="O601" i="12"/>
  <c r="O613" i="12"/>
  <c r="O625" i="12" s="1"/>
  <c r="O637" i="12" s="1"/>
  <c r="O649" i="12" s="1"/>
  <c r="O661" i="12" s="1"/>
  <c r="O673" i="12" s="1"/>
  <c r="O685" i="12" s="1"/>
  <c r="O697" i="12" s="1"/>
  <c r="O709" i="12" s="1"/>
  <c r="Q476" i="12"/>
  <c r="Q488" i="12"/>
  <c r="Q500" i="12" s="1"/>
  <c r="Q512" i="12" s="1"/>
  <c r="Q524" i="12" s="1"/>
  <c r="Q536" i="12" s="1"/>
  <c r="Q548" i="12" s="1"/>
  <c r="Q560" i="12" s="1"/>
  <c r="Q572" i="12" s="1"/>
  <c r="Q584" i="12" s="1"/>
  <c r="Q479" i="12"/>
  <c r="Q491" i="12"/>
  <c r="Q503" i="12" s="1"/>
  <c r="Q515" i="12" s="1"/>
  <c r="Q527" i="12" s="1"/>
  <c r="Q539" i="12" s="1"/>
  <c r="Q551" i="12" s="1"/>
  <c r="Q563" i="12" s="1"/>
  <c r="Q575" i="12" s="1"/>
  <c r="Q587" i="12" s="1"/>
  <c r="O592" i="12"/>
  <c r="O604" i="12"/>
  <c r="O616" i="12" s="1"/>
  <c r="O628" i="12" s="1"/>
  <c r="O640" i="12" s="1"/>
  <c r="O652" i="12" s="1"/>
  <c r="O664" i="12" s="1"/>
  <c r="O676" i="12" s="1"/>
  <c r="O688" i="12" s="1"/>
  <c r="O700" i="12" s="1"/>
  <c r="O597" i="12"/>
  <c r="O609" i="12"/>
  <c r="O621" i="12" s="1"/>
  <c r="O633" i="12" s="1"/>
  <c r="O645" i="12" s="1"/>
  <c r="O657" i="12" s="1"/>
  <c r="O669" i="12" s="1"/>
  <c r="O681" i="12" s="1"/>
  <c r="O693" i="12" s="1"/>
  <c r="O705" i="12" s="1"/>
  <c r="O473" i="12"/>
  <c r="O485" i="12"/>
  <c r="O497" i="12" s="1"/>
  <c r="O509" i="12" s="1"/>
  <c r="O521" i="12" s="1"/>
  <c r="O533" i="12" s="1"/>
  <c r="O545" i="12" s="1"/>
  <c r="O557" i="12" s="1"/>
  <c r="O569" i="12" s="1"/>
  <c r="O581" i="12" s="1"/>
  <c r="Q471" i="12"/>
  <c r="Q483" i="12"/>
  <c r="Q495" i="12" s="1"/>
  <c r="Q507" i="12" s="1"/>
  <c r="Q519" i="12" s="1"/>
  <c r="Q531" i="12" s="1"/>
  <c r="Q543" i="12" s="1"/>
  <c r="Q555" i="12" s="1"/>
  <c r="Q567" i="12" s="1"/>
  <c r="Q579" i="12" s="1"/>
  <c r="O602" i="12"/>
  <c r="O614" i="12" s="1"/>
  <c r="O626" i="12" s="1"/>
  <c r="O638" i="12" s="1"/>
  <c r="O650" i="12" s="1"/>
  <c r="O662" i="12" s="1"/>
  <c r="O674" i="12" s="1"/>
  <c r="O686" i="12" s="1"/>
  <c r="O698" i="12" s="1"/>
  <c r="O590" i="12"/>
  <c r="Q478" i="12"/>
  <c r="Q490" i="12"/>
  <c r="Q502" i="12" s="1"/>
  <c r="Q514" i="12" s="1"/>
  <c r="Q526" i="12" s="1"/>
  <c r="Q538" i="12" s="1"/>
  <c r="Q550" i="12" s="1"/>
  <c r="Q562" i="12" s="1"/>
  <c r="Q574" i="12" s="1"/>
  <c r="Q586" i="12" s="1"/>
  <c r="Q350" i="12"/>
  <c r="Q362" i="12"/>
  <c r="Q374" i="12" s="1"/>
  <c r="Q386" i="12" s="1"/>
  <c r="Q398" i="12" s="1"/>
  <c r="Q410" i="12" s="1"/>
  <c r="Q422" i="12" s="1"/>
  <c r="Q434" i="12" s="1"/>
  <c r="Q446" i="12" s="1"/>
  <c r="Q458" i="12" s="1"/>
  <c r="Q474" i="12"/>
  <c r="Q486" i="12"/>
  <c r="Q498" i="12" s="1"/>
  <c r="Q510" i="12" s="1"/>
  <c r="Q522" i="12" s="1"/>
  <c r="Q534" i="12" s="1"/>
  <c r="Q546" i="12" s="1"/>
  <c r="Q558" i="12" s="1"/>
  <c r="Q570" i="12" s="1"/>
  <c r="Q582" i="12" s="1"/>
  <c r="O599" i="12"/>
  <c r="O611" i="12"/>
  <c r="O623" i="12" s="1"/>
  <c r="O635" i="12" s="1"/>
  <c r="O647" i="12" s="1"/>
  <c r="O659" i="12" s="1"/>
  <c r="O671" i="12" s="1"/>
  <c r="O683" i="12" s="1"/>
  <c r="O695" i="12" s="1"/>
  <c r="O707" i="12" s="1"/>
  <c r="Q481" i="12"/>
  <c r="Q493" i="12"/>
  <c r="Q505" i="12" s="1"/>
  <c r="Q517" i="12" s="1"/>
  <c r="Q529" i="12" s="1"/>
  <c r="Q541" i="12" s="1"/>
  <c r="Q553" i="12" s="1"/>
  <c r="Q565" i="12" s="1"/>
  <c r="Q577" i="12" s="1"/>
  <c r="Q589" i="12" s="1"/>
  <c r="O591" i="12"/>
  <c r="O603" i="12"/>
  <c r="O615" i="12" s="1"/>
  <c r="O627" i="12" s="1"/>
  <c r="O639" i="12" s="1"/>
  <c r="O651" i="12" s="1"/>
  <c r="O663" i="12" s="1"/>
  <c r="O675" i="12" s="1"/>
  <c r="O687" i="12" s="1"/>
  <c r="O699" i="12" s="1"/>
  <c r="O595" i="12"/>
  <c r="O607" i="12"/>
  <c r="O619" i="12" s="1"/>
  <c r="O631" i="12" s="1"/>
  <c r="O643" i="12" s="1"/>
  <c r="O655" i="12" s="1"/>
  <c r="O667" i="12" s="1"/>
  <c r="O679" i="12" s="1"/>
  <c r="O691" i="12" s="1"/>
  <c r="O703" i="12" s="1"/>
  <c r="G82" i="12"/>
  <c r="G81" i="12"/>
  <c r="G76" i="12"/>
  <c r="G92" i="12"/>
  <c r="G74" i="12"/>
  <c r="P50" i="12"/>
  <c r="N62" i="12" s="1"/>
  <c r="G109" i="12"/>
  <c r="G108" i="12"/>
  <c r="G107" i="12"/>
  <c r="G102" i="12"/>
  <c r="G103" i="12"/>
  <c r="G101" i="12"/>
  <c r="G99" i="12"/>
  <c r="P52" i="12"/>
  <c r="N64" i="12" s="1"/>
  <c r="P60" i="12"/>
  <c r="N72" i="12" s="1"/>
  <c r="P54" i="12"/>
  <c r="N66" i="12" s="1"/>
  <c r="P57" i="12"/>
  <c r="N69" i="12" s="1"/>
  <c r="P58" i="12"/>
  <c r="N70" i="12" s="1"/>
  <c r="P56" i="12"/>
  <c r="N68" i="12" s="1"/>
  <c r="P51" i="12"/>
  <c r="N63" i="12" s="1"/>
  <c r="P53" i="12"/>
  <c r="N65" i="12" s="1"/>
  <c r="P55" i="12"/>
  <c r="N67" i="12" s="1"/>
  <c r="P61" i="12"/>
  <c r="N73" i="12" s="1"/>
  <c r="P59" i="12"/>
  <c r="N71" i="12" s="1"/>
  <c r="U132" i="12"/>
  <c r="U127" i="12"/>
  <c r="U126" i="12"/>
  <c r="U75" i="12"/>
  <c r="U128" i="12"/>
  <c r="U130" i="12"/>
  <c r="U133" i="12"/>
  <c r="U129" i="12"/>
  <c r="U125" i="12"/>
  <c r="U131" i="12"/>
  <c r="U74" i="12"/>
  <c r="U124" i="12"/>
  <c r="U579" i="12" l="1"/>
  <c r="W591" i="12"/>
  <c r="W603" i="12" s="1"/>
  <c r="W615" i="12" s="1"/>
  <c r="W627" i="12" s="1"/>
  <c r="W639" i="12" s="1"/>
  <c r="W651" i="12" s="1"/>
  <c r="W663" i="12" s="1"/>
  <c r="W675" i="12" s="1"/>
  <c r="W687" i="12" s="1"/>
  <c r="W699" i="12" s="1"/>
  <c r="W711" i="12" s="1"/>
  <c r="W723" i="12" s="1"/>
  <c r="W735" i="12" s="1"/>
  <c r="W747" i="12" s="1"/>
  <c r="U747" i="12" s="1"/>
  <c r="U578" i="12"/>
  <c r="W590" i="12"/>
  <c r="W602" i="12" s="1"/>
  <c r="W614" i="12" s="1"/>
  <c r="W626" i="12" s="1"/>
  <c r="W638" i="12" s="1"/>
  <c r="W650" i="12" s="1"/>
  <c r="W662" i="12" s="1"/>
  <c r="W674" i="12" s="1"/>
  <c r="W686" i="12" s="1"/>
  <c r="W698" i="12" s="1"/>
  <c r="W710" i="12" s="1"/>
  <c r="W722" i="12" s="1"/>
  <c r="W734" i="12" s="1"/>
  <c r="W746" i="12" s="1"/>
  <c r="U746" i="12" s="1"/>
  <c r="O727" i="12"/>
  <c r="O739" i="12" s="1"/>
  <c r="O751" i="12" s="1"/>
  <c r="O715" i="12"/>
  <c r="Q598" i="12"/>
  <c r="Q610" i="12"/>
  <c r="Q622" i="12" s="1"/>
  <c r="Q634" i="12" s="1"/>
  <c r="Q646" i="12" s="1"/>
  <c r="Q658" i="12" s="1"/>
  <c r="Q670" i="12" s="1"/>
  <c r="Q682" i="12" s="1"/>
  <c r="Q694" i="12" s="1"/>
  <c r="Q706" i="12" s="1"/>
  <c r="Q597" i="12"/>
  <c r="Q609" i="12"/>
  <c r="Q621" i="12" s="1"/>
  <c r="Q633" i="12" s="1"/>
  <c r="Q645" i="12" s="1"/>
  <c r="Q657" i="12" s="1"/>
  <c r="Q669" i="12" s="1"/>
  <c r="Q681" i="12" s="1"/>
  <c r="Q693" i="12" s="1"/>
  <c r="Q705" i="12" s="1"/>
  <c r="Q605" i="12"/>
  <c r="Q617" i="12" s="1"/>
  <c r="Q629" i="12" s="1"/>
  <c r="Q641" i="12" s="1"/>
  <c r="Q653" i="12" s="1"/>
  <c r="Q665" i="12" s="1"/>
  <c r="Q677" i="12" s="1"/>
  <c r="Q689" i="12" s="1"/>
  <c r="Q701" i="12" s="1"/>
  <c r="Q593" i="12"/>
  <c r="Q594" i="12"/>
  <c r="Q606" i="12"/>
  <c r="Q618" i="12" s="1"/>
  <c r="Q630" i="12" s="1"/>
  <c r="Q642" i="12" s="1"/>
  <c r="Q654" i="12" s="1"/>
  <c r="Q666" i="12" s="1"/>
  <c r="Q678" i="12" s="1"/>
  <c r="Q690" i="12" s="1"/>
  <c r="Q702" i="12" s="1"/>
  <c r="O717" i="12"/>
  <c r="O729" i="12"/>
  <c r="O741" i="12" s="1"/>
  <c r="O753" i="12" s="1"/>
  <c r="Q599" i="12"/>
  <c r="Q611" i="12"/>
  <c r="Q623" i="12" s="1"/>
  <c r="Q635" i="12" s="1"/>
  <c r="Q647" i="12" s="1"/>
  <c r="Q659" i="12" s="1"/>
  <c r="Q671" i="12" s="1"/>
  <c r="Q683" i="12" s="1"/>
  <c r="Q695" i="12" s="1"/>
  <c r="Q707" i="12" s="1"/>
  <c r="O718" i="12"/>
  <c r="O730" i="12"/>
  <c r="O742" i="12" s="1"/>
  <c r="O754" i="12" s="1"/>
  <c r="O711" i="12"/>
  <c r="O723" i="12"/>
  <c r="O735" i="12" s="1"/>
  <c r="O747" i="12" s="1"/>
  <c r="Q470" i="12"/>
  <c r="Q482" i="12"/>
  <c r="Q494" i="12" s="1"/>
  <c r="Q506" i="12" s="1"/>
  <c r="Q518" i="12" s="1"/>
  <c r="Q530" i="12" s="1"/>
  <c r="Q542" i="12" s="1"/>
  <c r="Q554" i="12" s="1"/>
  <c r="Q566" i="12" s="1"/>
  <c r="Q578" i="12" s="1"/>
  <c r="O712" i="12"/>
  <c r="O724" i="12"/>
  <c r="O736" i="12" s="1"/>
  <c r="O748" i="12" s="1"/>
  <c r="O720" i="12"/>
  <c r="O732" i="12"/>
  <c r="O744" i="12" s="1"/>
  <c r="O756" i="12" s="1"/>
  <c r="O716" i="12"/>
  <c r="O728" i="12"/>
  <c r="O740" i="12" s="1"/>
  <c r="O752" i="12" s="1"/>
  <c r="Q595" i="12"/>
  <c r="Q607" i="12"/>
  <c r="Q619" i="12" s="1"/>
  <c r="Q631" i="12" s="1"/>
  <c r="Q643" i="12" s="1"/>
  <c r="Q655" i="12" s="1"/>
  <c r="Q667" i="12" s="1"/>
  <c r="Q679" i="12" s="1"/>
  <c r="Q691" i="12" s="1"/>
  <c r="Q703" i="12" s="1"/>
  <c r="Q592" i="12"/>
  <c r="Q604" i="12"/>
  <c r="Q616" i="12" s="1"/>
  <c r="Q628" i="12" s="1"/>
  <c r="Q640" i="12" s="1"/>
  <c r="Q652" i="12" s="1"/>
  <c r="Q664" i="12" s="1"/>
  <c r="Q676" i="12" s="1"/>
  <c r="Q688" i="12" s="1"/>
  <c r="Q700" i="12" s="1"/>
  <c r="Q601" i="12"/>
  <c r="Q613" i="12"/>
  <c r="Q625" i="12" s="1"/>
  <c r="Q637" i="12" s="1"/>
  <c r="Q649" i="12" s="1"/>
  <c r="Q661" i="12" s="1"/>
  <c r="Q673" i="12" s="1"/>
  <c r="Q685" i="12" s="1"/>
  <c r="Q697" i="12" s="1"/>
  <c r="Q709" i="12" s="1"/>
  <c r="Q591" i="12"/>
  <c r="Q603" i="12"/>
  <c r="Q615" i="12" s="1"/>
  <c r="Q627" i="12" s="1"/>
  <c r="Q639" i="12" s="1"/>
  <c r="Q651" i="12" s="1"/>
  <c r="Q663" i="12" s="1"/>
  <c r="Q675" i="12" s="1"/>
  <c r="Q687" i="12" s="1"/>
  <c r="Q699" i="12" s="1"/>
  <c r="O721" i="12"/>
  <c r="O733" i="12"/>
  <c r="O745" i="12" s="1"/>
  <c r="O757" i="12" s="1"/>
  <c r="O714" i="12"/>
  <c r="O726" i="12"/>
  <c r="O738" i="12" s="1"/>
  <c r="O750" i="12" s="1"/>
  <c r="O719" i="12"/>
  <c r="O731" i="12"/>
  <c r="O743" i="12" s="1"/>
  <c r="O755" i="12" s="1"/>
  <c r="O593" i="12"/>
  <c r="O605" i="12"/>
  <c r="O617" i="12" s="1"/>
  <c r="O629" i="12" s="1"/>
  <c r="O641" i="12" s="1"/>
  <c r="O653" i="12" s="1"/>
  <c r="O665" i="12" s="1"/>
  <c r="O677" i="12" s="1"/>
  <c r="O689" i="12" s="1"/>
  <c r="O701" i="12" s="1"/>
  <c r="Q596" i="12"/>
  <c r="Q608" i="12"/>
  <c r="Q620" i="12" s="1"/>
  <c r="Q632" i="12" s="1"/>
  <c r="Q644" i="12" s="1"/>
  <c r="Q656" i="12" s="1"/>
  <c r="Q668" i="12" s="1"/>
  <c r="Q680" i="12" s="1"/>
  <c r="Q692" i="12" s="1"/>
  <c r="Q704" i="12" s="1"/>
  <c r="Q600" i="12"/>
  <c r="Q612" i="12"/>
  <c r="Q624" i="12" s="1"/>
  <c r="Q636" i="12" s="1"/>
  <c r="Q648" i="12" s="1"/>
  <c r="Q660" i="12" s="1"/>
  <c r="Q672" i="12" s="1"/>
  <c r="Q684" i="12" s="1"/>
  <c r="Q696" i="12" s="1"/>
  <c r="Q708" i="12" s="1"/>
  <c r="O710" i="12"/>
  <c r="O722" i="12"/>
  <c r="O734" i="12" s="1"/>
  <c r="O746" i="12" s="1"/>
  <c r="G93" i="12"/>
  <c r="G104" i="12"/>
  <c r="G88" i="12"/>
  <c r="G94" i="12"/>
  <c r="G86" i="12"/>
  <c r="G127" i="12"/>
  <c r="G131" i="12"/>
  <c r="G123" i="12"/>
  <c r="G125" i="12"/>
  <c r="G126" i="12"/>
  <c r="G132" i="12"/>
  <c r="G133" i="12"/>
  <c r="U119" i="12"/>
  <c r="U120" i="12"/>
  <c r="U115" i="12"/>
  <c r="U116" i="12"/>
  <c r="U112" i="12"/>
  <c r="U117" i="12"/>
  <c r="U118" i="12"/>
  <c r="U113" i="12"/>
  <c r="U121" i="12"/>
  <c r="U114" i="12"/>
  <c r="P62" i="12"/>
  <c r="N74" i="12" s="1"/>
  <c r="G115" i="12"/>
  <c r="G119" i="12"/>
  <c r="G111" i="12"/>
  <c r="G113" i="12"/>
  <c r="G114" i="12"/>
  <c r="G120" i="12"/>
  <c r="G121" i="12"/>
  <c r="P71" i="12"/>
  <c r="N83" i="12" s="1"/>
  <c r="P67" i="12"/>
  <c r="N79" i="12" s="1"/>
  <c r="P63" i="12"/>
  <c r="N75" i="12" s="1"/>
  <c r="P70" i="12"/>
  <c r="N82" i="12" s="1"/>
  <c r="P66" i="12"/>
  <c r="N78" i="12" s="1"/>
  <c r="P64" i="12"/>
  <c r="N76" i="12" s="1"/>
  <c r="P73" i="12"/>
  <c r="N85" i="12" s="1"/>
  <c r="P65" i="12"/>
  <c r="N77" i="12" s="1"/>
  <c r="P68" i="12"/>
  <c r="N80" i="12" s="1"/>
  <c r="P69" i="12"/>
  <c r="N81" i="12" s="1"/>
  <c r="P72" i="12"/>
  <c r="N84" i="12" s="1"/>
  <c r="U136" i="12"/>
  <c r="U143" i="12"/>
  <c r="U141" i="12"/>
  <c r="U142" i="12"/>
  <c r="U87" i="12"/>
  <c r="U139" i="12"/>
  <c r="U86" i="12"/>
  <c r="U137" i="12"/>
  <c r="U145" i="12"/>
  <c r="U140" i="12"/>
  <c r="U138" i="12"/>
  <c r="U144" i="12"/>
  <c r="Q715" i="12" l="1"/>
  <c r="Q727" i="12"/>
  <c r="Q739" i="12" s="1"/>
  <c r="Q751" i="12" s="1"/>
  <c r="Q730" i="12"/>
  <c r="Q742" i="12" s="1"/>
  <c r="Q754" i="12" s="1"/>
  <c r="Q718" i="12"/>
  <c r="O713" i="12"/>
  <c r="O725" i="12"/>
  <c r="O737" i="12" s="1"/>
  <c r="O749" i="12" s="1"/>
  <c r="Q712" i="12"/>
  <c r="Q724" i="12"/>
  <c r="Q736" i="12" s="1"/>
  <c r="Q748" i="12" s="1"/>
  <c r="Q719" i="12"/>
  <c r="Q731" i="12"/>
  <c r="Q743" i="12" s="1"/>
  <c r="Q755" i="12" s="1"/>
  <c r="Q714" i="12"/>
  <c r="Q726" i="12"/>
  <c r="Q738" i="12" s="1"/>
  <c r="Q750" i="12" s="1"/>
  <c r="Q717" i="12"/>
  <c r="Q729" i="12"/>
  <c r="Q741" i="12" s="1"/>
  <c r="Q753" i="12" s="1"/>
  <c r="Q716" i="12"/>
  <c r="Q728" i="12"/>
  <c r="Q740" i="12" s="1"/>
  <c r="Q752" i="12" s="1"/>
  <c r="Q721" i="12"/>
  <c r="Q733" i="12"/>
  <c r="Q745" i="12" s="1"/>
  <c r="Q757" i="12" s="1"/>
  <c r="Q590" i="12"/>
  <c r="Q602" i="12"/>
  <c r="Q614" i="12" s="1"/>
  <c r="Q626" i="12" s="1"/>
  <c r="Q638" i="12" s="1"/>
  <c r="Q650" i="12" s="1"/>
  <c r="Q662" i="12" s="1"/>
  <c r="Q674" i="12" s="1"/>
  <c r="Q686" i="12" s="1"/>
  <c r="Q698" i="12" s="1"/>
  <c r="Q713" i="12"/>
  <c r="Q725" i="12"/>
  <c r="Q737" i="12" s="1"/>
  <c r="Q749" i="12" s="1"/>
  <c r="Q720" i="12"/>
  <c r="Q732" i="12"/>
  <c r="Q744" i="12" s="1"/>
  <c r="Q756" i="12" s="1"/>
  <c r="Q711" i="12"/>
  <c r="Q723" i="12"/>
  <c r="Q735" i="12" s="1"/>
  <c r="Q747" i="12" s="1"/>
  <c r="G106" i="12"/>
  <c r="G128" i="12"/>
  <c r="G116" i="12"/>
  <c r="G105" i="12"/>
  <c r="G100" i="12"/>
  <c r="G98" i="12"/>
  <c r="G270" i="12"/>
  <c r="G267" i="12"/>
  <c r="G277" i="12"/>
  <c r="G269" i="12"/>
  <c r="G275" i="12"/>
  <c r="G271" i="12"/>
  <c r="G276" i="12"/>
  <c r="P74" i="12"/>
  <c r="N86" i="12" s="1"/>
  <c r="G144" i="12"/>
  <c r="G138" i="12"/>
  <c r="G135" i="12"/>
  <c r="G143" i="12"/>
  <c r="G139" i="12"/>
  <c r="G145" i="12"/>
  <c r="G137" i="12"/>
  <c r="P81" i="12"/>
  <c r="N93" i="12" s="1"/>
  <c r="P77" i="12"/>
  <c r="N89" i="12" s="1"/>
  <c r="P76" i="12"/>
  <c r="N88" i="12" s="1"/>
  <c r="P82" i="12"/>
  <c r="N94" i="12" s="1"/>
  <c r="P79" i="12"/>
  <c r="N91" i="12" s="1"/>
  <c r="P84" i="12"/>
  <c r="N96" i="12" s="1"/>
  <c r="P80" i="12"/>
  <c r="N92" i="12" s="1"/>
  <c r="P85" i="12"/>
  <c r="N97" i="12" s="1"/>
  <c r="P78" i="12"/>
  <c r="N90" i="12" s="1"/>
  <c r="P75" i="12"/>
  <c r="N87" i="12" s="1"/>
  <c r="P83" i="12"/>
  <c r="N95" i="12" s="1"/>
  <c r="U156" i="12"/>
  <c r="U152" i="12"/>
  <c r="U149" i="12"/>
  <c r="U151" i="12"/>
  <c r="U154" i="12"/>
  <c r="U155" i="12"/>
  <c r="U150" i="12"/>
  <c r="U157" i="12"/>
  <c r="U98" i="12"/>
  <c r="U99" i="12"/>
  <c r="U153" i="12"/>
  <c r="U148" i="12"/>
  <c r="Q710" i="12" l="1"/>
  <c r="Q722" i="12"/>
  <c r="Q734" i="12" s="1"/>
  <c r="Q746" i="12" s="1"/>
  <c r="G140" i="12"/>
  <c r="G129" i="12"/>
  <c r="G117" i="12"/>
  <c r="G112" i="12"/>
  <c r="G124" i="12"/>
  <c r="G130" i="12"/>
  <c r="G118" i="12"/>
  <c r="G122" i="12"/>
  <c r="G110" i="12"/>
  <c r="G312" i="12"/>
  <c r="G311" i="12"/>
  <c r="G313" i="12"/>
  <c r="G303" i="12"/>
  <c r="G307" i="12"/>
  <c r="G305" i="12"/>
  <c r="G306" i="12"/>
  <c r="P86" i="12"/>
  <c r="N98" i="12" s="1"/>
  <c r="G149" i="12"/>
  <c r="G157" i="12"/>
  <c r="G155" i="12"/>
  <c r="G150" i="12"/>
  <c r="G151" i="12"/>
  <c r="G147" i="12"/>
  <c r="G156" i="12"/>
  <c r="P95" i="12"/>
  <c r="N107" i="12" s="1"/>
  <c r="P92" i="12"/>
  <c r="N104" i="12" s="1"/>
  <c r="P93" i="12"/>
  <c r="N105" i="12" s="1"/>
  <c r="P90" i="12"/>
  <c r="N102" i="12" s="1"/>
  <c r="P91" i="12"/>
  <c r="N103" i="12" s="1"/>
  <c r="P88" i="12"/>
  <c r="N100" i="12" s="1"/>
  <c r="P87" i="12"/>
  <c r="N99" i="12" s="1"/>
  <c r="P97" i="12"/>
  <c r="N109" i="12" s="1"/>
  <c r="P96" i="12"/>
  <c r="N108" i="12" s="1"/>
  <c r="P94" i="12"/>
  <c r="N106" i="12" s="1"/>
  <c r="P89" i="12"/>
  <c r="N101" i="12" s="1"/>
  <c r="U160" i="12"/>
  <c r="U123" i="12"/>
  <c r="U169" i="12"/>
  <c r="U167" i="12"/>
  <c r="U163" i="12"/>
  <c r="U164" i="12"/>
  <c r="U165" i="12"/>
  <c r="U122" i="12"/>
  <c r="U162" i="12"/>
  <c r="U166" i="12"/>
  <c r="U161" i="12"/>
  <c r="U168" i="12"/>
  <c r="G637" i="12" l="1"/>
  <c r="G636" i="12"/>
  <c r="G142" i="12"/>
  <c r="G136" i="12"/>
  <c r="G631" i="12"/>
  <c r="G141" i="12"/>
  <c r="G152" i="12"/>
  <c r="G134" i="12"/>
  <c r="G630" i="12"/>
  <c r="G627" i="12"/>
  <c r="U110" i="12"/>
  <c r="U111" i="12"/>
  <c r="P98" i="12"/>
  <c r="P110" i="12" s="1"/>
  <c r="N122" i="12" s="1"/>
  <c r="G159" i="12"/>
  <c r="G167" i="12"/>
  <c r="G161" i="12"/>
  <c r="G168" i="12"/>
  <c r="G163" i="12"/>
  <c r="G162" i="12"/>
  <c r="G169" i="12"/>
  <c r="P106" i="12"/>
  <c r="P118" i="12" s="1"/>
  <c r="N130" i="12" s="1"/>
  <c r="P109" i="12"/>
  <c r="P121" i="12" s="1"/>
  <c r="N133" i="12" s="1"/>
  <c r="P100" i="12"/>
  <c r="P112" i="12" s="1"/>
  <c r="N124" i="12" s="1"/>
  <c r="P102" i="12"/>
  <c r="P114" i="12" s="1"/>
  <c r="N126" i="12" s="1"/>
  <c r="P104" i="12"/>
  <c r="P116" i="12" s="1"/>
  <c r="N128" i="12" s="1"/>
  <c r="P101" i="12"/>
  <c r="P113" i="12" s="1"/>
  <c r="N125" i="12" s="1"/>
  <c r="P108" i="12"/>
  <c r="P120" i="12" s="1"/>
  <c r="N132" i="12" s="1"/>
  <c r="P99" i="12"/>
  <c r="P111" i="12" s="1"/>
  <c r="N123" i="12" s="1"/>
  <c r="P103" i="12"/>
  <c r="P115" i="12" s="1"/>
  <c r="N127" i="12" s="1"/>
  <c r="P105" i="12"/>
  <c r="P117" i="12" s="1"/>
  <c r="N129" i="12" s="1"/>
  <c r="P107" i="12"/>
  <c r="P119" i="12" s="1"/>
  <c r="N131" i="12" s="1"/>
  <c r="U180" i="12"/>
  <c r="U178" i="12"/>
  <c r="U134" i="12"/>
  <c r="U176" i="12"/>
  <c r="U179" i="12"/>
  <c r="U135" i="12"/>
  <c r="U173" i="12"/>
  <c r="U174" i="12"/>
  <c r="U177" i="12"/>
  <c r="U175" i="12"/>
  <c r="U181" i="12"/>
  <c r="U172" i="12"/>
  <c r="G635" i="12" l="1"/>
  <c r="G629" i="12"/>
  <c r="G467" i="12"/>
  <c r="G455" i="12"/>
  <c r="G153" i="12"/>
  <c r="G154" i="12"/>
  <c r="G461" i="12"/>
  <c r="G449" i="12"/>
  <c r="G459" i="12"/>
  <c r="G447" i="12"/>
  <c r="G468" i="12"/>
  <c r="G456" i="12"/>
  <c r="G450" i="12"/>
  <c r="G462" i="12"/>
  <c r="G463" i="12"/>
  <c r="G451" i="12"/>
  <c r="G469" i="12"/>
  <c r="G457" i="12"/>
  <c r="G164" i="12"/>
  <c r="G148" i="12"/>
  <c r="G146" i="12"/>
  <c r="G695" i="12"/>
  <c r="G696" i="12"/>
  <c r="G691" i="12"/>
  <c r="G687" i="12"/>
  <c r="G689" i="12"/>
  <c r="G697" i="12"/>
  <c r="G690" i="12"/>
  <c r="N111" i="12"/>
  <c r="N114" i="12"/>
  <c r="N119" i="12"/>
  <c r="N120" i="12"/>
  <c r="N112" i="12"/>
  <c r="N117" i="12"/>
  <c r="N113" i="12"/>
  <c r="N121" i="12"/>
  <c r="N115" i="12"/>
  <c r="N116" i="12"/>
  <c r="N118" i="12"/>
  <c r="N110" i="12"/>
  <c r="P122" i="12"/>
  <c r="G181" i="12"/>
  <c r="G180" i="12"/>
  <c r="G179" i="12"/>
  <c r="G174" i="12"/>
  <c r="G175" i="12"/>
  <c r="G173" i="12"/>
  <c r="G171" i="12"/>
  <c r="P131" i="12"/>
  <c r="P127" i="12"/>
  <c r="P132" i="12"/>
  <c r="P128" i="12"/>
  <c r="P124" i="12"/>
  <c r="P130" i="12"/>
  <c r="P129" i="12"/>
  <c r="P123" i="12"/>
  <c r="P125" i="12"/>
  <c r="P126" i="12"/>
  <c r="P133" i="12"/>
  <c r="U184" i="12"/>
  <c r="U187" i="12"/>
  <c r="U186" i="12"/>
  <c r="U147" i="12"/>
  <c r="U188" i="12"/>
  <c r="U190" i="12"/>
  <c r="U193" i="12"/>
  <c r="U189" i="12"/>
  <c r="U185" i="12"/>
  <c r="U191" i="12"/>
  <c r="U146" i="12"/>
  <c r="U192" i="12"/>
  <c r="N135" i="12" l="1"/>
  <c r="P135" i="12"/>
  <c r="P147" i="12" s="1"/>
  <c r="P159" i="12" s="1"/>
  <c r="P171" i="12" s="1"/>
  <c r="P183" i="12" s="1"/>
  <c r="P195" i="12" s="1"/>
  <c r="P207" i="12" s="1"/>
  <c r="P219" i="12" s="1"/>
  <c r="N140" i="12"/>
  <c r="P140" i="12"/>
  <c r="P152" i="12" s="1"/>
  <c r="P164" i="12" s="1"/>
  <c r="P176" i="12" s="1"/>
  <c r="P188" i="12" s="1"/>
  <c r="P200" i="12" s="1"/>
  <c r="P212" i="12" s="1"/>
  <c r="P224" i="12" s="1"/>
  <c r="N145" i="12"/>
  <c r="P145" i="12"/>
  <c r="P157" i="12" s="1"/>
  <c r="P169" i="12" s="1"/>
  <c r="P181" i="12" s="1"/>
  <c r="P193" i="12" s="1"/>
  <c r="P205" i="12" s="1"/>
  <c r="P217" i="12" s="1"/>
  <c r="P229" i="12" s="1"/>
  <c r="N141" i="12"/>
  <c r="P141" i="12"/>
  <c r="P153" i="12" s="1"/>
  <c r="P165" i="12" s="1"/>
  <c r="P177" i="12" s="1"/>
  <c r="P189" i="12" s="1"/>
  <c r="P201" i="12" s="1"/>
  <c r="P213" i="12" s="1"/>
  <c r="P225" i="12" s="1"/>
  <c r="N144" i="12"/>
  <c r="P144" i="12"/>
  <c r="P156" i="12" s="1"/>
  <c r="P168" i="12" s="1"/>
  <c r="P180" i="12" s="1"/>
  <c r="P192" i="12" s="1"/>
  <c r="P204" i="12" s="1"/>
  <c r="P216" i="12" s="1"/>
  <c r="P228" i="12" s="1"/>
  <c r="N138" i="12"/>
  <c r="P138" i="12"/>
  <c r="P150" i="12" s="1"/>
  <c r="P162" i="12" s="1"/>
  <c r="P174" i="12" s="1"/>
  <c r="P186" i="12" s="1"/>
  <c r="P198" i="12" s="1"/>
  <c r="P210" i="12" s="1"/>
  <c r="P222" i="12" s="1"/>
  <c r="N142" i="12"/>
  <c r="P142" i="12"/>
  <c r="P154" i="12" s="1"/>
  <c r="P166" i="12" s="1"/>
  <c r="P178" i="12" s="1"/>
  <c r="P190" i="12" s="1"/>
  <c r="P202" i="12" s="1"/>
  <c r="P214" i="12" s="1"/>
  <c r="P226" i="12" s="1"/>
  <c r="N139" i="12"/>
  <c r="P139" i="12"/>
  <c r="P151" i="12" s="1"/>
  <c r="P163" i="12" s="1"/>
  <c r="P175" i="12" s="1"/>
  <c r="P187" i="12" s="1"/>
  <c r="P199" i="12" s="1"/>
  <c r="P211" i="12" s="1"/>
  <c r="P223" i="12" s="1"/>
  <c r="N137" i="12"/>
  <c r="P137" i="12"/>
  <c r="P149" i="12" s="1"/>
  <c r="P161" i="12" s="1"/>
  <c r="P173" i="12" s="1"/>
  <c r="P185" i="12" s="1"/>
  <c r="P197" i="12" s="1"/>
  <c r="P209" i="12" s="1"/>
  <c r="P221" i="12" s="1"/>
  <c r="N136" i="12"/>
  <c r="P136" i="12"/>
  <c r="P148" i="12" s="1"/>
  <c r="P160" i="12" s="1"/>
  <c r="P172" i="12" s="1"/>
  <c r="P184" i="12" s="1"/>
  <c r="P196" i="12" s="1"/>
  <c r="P208" i="12" s="1"/>
  <c r="P220" i="12" s="1"/>
  <c r="N143" i="12"/>
  <c r="P143" i="12"/>
  <c r="P155" i="12" s="1"/>
  <c r="P167" i="12" s="1"/>
  <c r="P179" i="12" s="1"/>
  <c r="P191" i="12" s="1"/>
  <c r="P203" i="12" s="1"/>
  <c r="P215" i="12" s="1"/>
  <c r="P227" i="12" s="1"/>
  <c r="N134" i="12"/>
  <c r="P134" i="12"/>
  <c r="P146" i="12" s="1"/>
  <c r="P158" i="12" s="1"/>
  <c r="P170" i="12" s="1"/>
  <c r="P182" i="12" s="1"/>
  <c r="P194" i="12" s="1"/>
  <c r="P206" i="12" s="1"/>
  <c r="P218" i="12" s="1"/>
  <c r="G176" i="12"/>
  <c r="G165" i="12"/>
  <c r="G160" i="12"/>
  <c r="G166" i="12"/>
  <c r="G158" i="12"/>
  <c r="G187" i="12"/>
  <c r="G191" i="12"/>
  <c r="G183" i="12"/>
  <c r="G185" i="12"/>
  <c r="G186" i="12"/>
  <c r="G192" i="12"/>
  <c r="G193" i="12"/>
  <c r="U201" i="12"/>
  <c r="U204" i="12"/>
  <c r="U203" i="12"/>
  <c r="U202" i="12"/>
  <c r="U159" i="12"/>
  <c r="U199" i="12"/>
  <c r="U158" i="12"/>
  <c r="U197" i="12"/>
  <c r="U205" i="12"/>
  <c r="U200" i="12"/>
  <c r="U198" i="12"/>
  <c r="U196" i="12"/>
  <c r="N157" i="12" l="1"/>
  <c r="N153" i="12"/>
  <c r="N147" i="12"/>
  <c r="N152" i="12"/>
  <c r="N156" i="12"/>
  <c r="N155" i="12"/>
  <c r="N149" i="12"/>
  <c r="N154" i="12"/>
  <c r="N148" i="12"/>
  <c r="N151" i="12"/>
  <c r="N150" i="12"/>
  <c r="P230" i="12"/>
  <c r="P242" i="12"/>
  <c r="P254" i="12" s="1"/>
  <c r="P266" i="12" s="1"/>
  <c r="P278" i="12" s="1"/>
  <c r="P290" i="12" s="1"/>
  <c r="P302" i="12" s="1"/>
  <c r="P247" i="12"/>
  <c r="P259" i="12" s="1"/>
  <c r="P271" i="12" s="1"/>
  <c r="P283" i="12" s="1"/>
  <c r="P295" i="12" s="1"/>
  <c r="P307" i="12" s="1"/>
  <c r="P235" i="12"/>
  <c r="P234" i="12"/>
  <c r="P246" i="12"/>
  <c r="P258" i="12" s="1"/>
  <c r="P270" i="12" s="1"/>
  <c r="P282" i="12" s="1"/>
  <c r="P294" i="12" s="1"/>
  <c r="P306" i="12" s="1"/>
  <c r="P237" i="12"/>
  <c r="P249" i="12"/>
  <c r="P261" i="12" s="1"/>
  <c r="P273" i="12" s="1"/>
  <c r="P285" i="12" s="1"/>
  <c r="P297" i="12" s="1"/>
  <c r="P309" i="12" s="1"/>
  <c r="P248" i="12"/>
  <c r="P260" i="12" s="1"/>
  <c r="P272" i="12" s="1"/>
  <c r="P284" i="12" s="1"/>
  <c r="P296" i="12" s="1"/>
  <c r="P308" i="12" s="1"/>
  <c r="P236" i="12"/>
  <c r="P232" i="12"/>
  <c r="P244" i="12"/>
  <c r="P256" i="12" s="1"/>
  <c r="P268" i="12" s="1"/>
  <c r="P280" i="12" s="1"/>
  <c r="P292" i="12" s="1"/>
  <c r="P304" i="12" s="1"/>
  <c r="N146" i="12"/>
  <c r="P233" i="12"/>
  <c r="P245" i="12"/>
  <c r="P257" i="12" s="1"/>
  <c r="P269" i="12" s="1"/>
  <c r="P281" i="12" s="1"/>
  <c r="P293" i="12" s="1"/>
  <c r="P305" i="12" s="1"/>
  <c r="P250" i="12"/>
  <c r="P262" i="12" s="1"/>
  <c r="P274" i="12" s="1"/>
  <c r="P286" i="12" s="1"/>
  <c r="P298" i="12" s="1"/>
  <c r="P310" i="12" s="1"/>
  <c r="P238" i="12"/>
  <c r="P240" i="12"/>
  <c r="P252" i="12"/>
  <c r="P264" i="12" s="1"/>
  <c r="P276" i="12" s="1"/>
  <c r="P288" i="12" s="1"/>
  <c r="P300" i="12" s="1"/>
  <c r="P312" i="12" s="1"/>
  <c r="P241" i="12"/>
  <c r="P253" i="12"/>
  <c r="P265" i="12" s="1"/>
  <c r="P277" i="12" s="1"/>
  <c r="P289" i="12" s="1"/>
  <c r="P301" i="12" s="1"/>
  <c r="P313" i="12" s="1"/>
  <c r="P243" i="12"/>
  <c r="P255" i="12" s="1"/>
  <c r="P267" i="12" s="1"/>
  <c r="P279" i="12" s="1"/>
  <c r="P291" i="12" s="1"/>
  <c r="P303" i="12" s="1"/>
  <c r="P231" i="12"/>
  <c r="P239" i="12"/>
  <c r="P251" i="12"/>
  <c r="P263" i="12" s="1"/>
  <c r="P275" i="12" s="1"/>
  <c r="P287" i="12" s="1"/>
  <c r="P299" i="12" s="1"/>
  <c r="P311" i="12" s="1"/>
  <c r="G178" i="12"/>
  <c r="G177" i="12"/>
  <c r="G172" i="12"/>
  <c r="G188" i="12"/>
  <c r="G170" i="12"/>
  <c r="N158" i="12"/>
  <c r="G204" i="12"/>
  <c r="G198" i="12"/>
  <c r="G195" i="12"/>
  <c r="G203" i="12"/>
  <c r="G199" i="12"/>
  <c r="G205" i="12"/>
  <c r="G197" i="12"/>
  <c r="N167" i="12"/>
  <c r="N160" i="12"/>
  <c r="N161" i="12"/>
  <c r="N163" i="12"/>
  <c r="N166" i="12"/>
  <c r="N162" i="12"/>
  <c r="N168" i="12"/>
  <c r="N165" i="12"/>
  <c r="N169" i="12"/>
  <c r="N164" i="12"/>
  <c r="N159" i="12"/>
  <c r="U208" i="12"/>
  <c r="U212" i="12"/>
  <c r="U209" i="12"/>
  <c r="U211" i="12"/>
  <c r="U214" i="12"/>
  <c r="U216" i="12"/>
  <c r="U210" i="12"/>
  <c r="U217" i="12"/>
  <c r="U170" i="12"/>
  <c r="U171" i="12"/>
  <c r="U215" i="12"/>
  <c r="U213" i="12"/>
  <c r="P314" i="12" l="1"/>
  <c r="P326" i="12" s="1"/>
  <c r="P338" i="12" s="1"/>
  <c r="P362" i="12" s="1"/>
  <c r="P374" i="12" s="1"/>
  <c r="P386" i="12" s="1"/>
  <c r="P398" i="12" s="1"/>
  <c r="P410" i="12" s="1"/>
  <c r="P422" i="12" s="1"/>
  <c r="P434" i="12" s="1"/>
  <c r="P446" i="12" s="1"/>
  <c r="N302" i="12"/>
  <c r="P323" i="12"/>
  <c r="P335" i="12" s="1"/>
  <c r="P347" i="12" s="1"/>
  <c r="P371" i="12" s="1"/>
  <c r="P383" i="12" s="1"/>
  <c r="P395" i="12" s="1"/>
  <c r="P407" i="12" s="1"/>
  <c r="P419" i="12" s="1"/>
  <c r="P431" i="12" s="1"/>
  <c r="P443" i="12" s="1"/>
  <c r="P455" i="12" s="1"/>
  <c r="N311" i="12"/>
  <c r="P325" i="12"/>
  <c r="P337" i="12" s="1"/>
  <c r="P349" i="12" s="1"/>
  <c r="P373" i="12" s="1"/>
  <c r="P385" i="12" s="1"/>
  <c r="P397" i="12" s="1"/>
  <c r="P409" i="12" s="1"/>
  <c r="P421" i="12" s="1"/>
  <c r="P433" i="12" s="1"/>
  <c r="P445" i="12" s="1"/>
  <c r="P457" i="12" s="1"/>
  <c r="N313" i="12"/>
  <c r="P320" i="12"/>
  <c r="P332" i="12" s="1"/>
  <c r="P344" i="12" s="1"/>
  <c r="P356" i="12" s="1"/>
  <c r="N308" i="12"/>
  <c r="P315" i="12"/>
  <c r="P327" i="12" s="1"/>
  <c r="P339" i="12" s="1"/>
  <c r="P363" i="12" s="1"/>
  <c r="P375" i="12" s="1"/>
  <c r="P387" i="12" s="1"/>
  <c r="P399" i="12" s="1"/>
  <c r="P411" i="12" s="1"/>
  <c r="P423" i="12" s="1"/>
  <c r="P435" i="12" s="1"/>
  <c r="P447" i="12" s="1"/>
  <c r="N303" i="12"/>
  <c r="P318" i="12"/>
  <c r="P330" i="12" s="1"/>
  <c r="P342" i="12" s="1"/>
  <c r="P354" i="12" s="1"/>
  <c r="N306" i="12"/>
  <c r="P322" i="12"/>
  <c r="P334" i="12" s="1"/>
  <c r="P346" i="12" s="1"/>
  <c r="P370" i="12" s="1"/>
  <c r="P382" i="12" s="1"/>
  <c r="P394" i="12" s="1"/>
  <c r="P406" i="12" s="1"/>
  <c r="P418" i="12" s="1"/>
  <c r="P430" i="12" s="1"/>
  <c r="P442" i="12" s="1"/>
  <c r="P454" i="12" s="1"/>
  <c r="N310" i="12"/>
  <c r="P316" i="12"/>
  <c r="P328" i="12" s="1"/>
  <c r="P340" i="12" s="1"/>
  <c r="P364" i="12" s="1"/>
  <c r="P376" i="12" s="1"/>
  <c r="P388" i="12" s="1"/>
  <c r="P400" i="12" s="1"/>
  <c r="P412" i="12" s="1"/>
  <c r="P424" i="12" s="1"/>
  <c r="P436" i="12" s="1"/>
  <c r="P448" i="12" s="1"/>
  <c r="N304" i="12"/>
  <c r="P321" i="12"/>
  <c r="P333" i="12" s="1"/>
  <c r="P345" i="12" s="1"/>
  <c r="P369" i="12" s="1"/>
  <c r="P381" i="12" s="1"/>
  <c r="P393" i="12" s="1"/>
  <c r="P405" i="12" s="1"/>
  <c r="P417" i="12" s="1"/>
  <c r="P429" i="12" s="1"/>
  <c r="P441" i="12" s="1"/>
  <c r="P453" i="12" s="1"/>
  <c r="N309" i="12"/>
  <c r="P324" i="12"/>
  <c r="P336" i="12" s="1"/>
  <c r="P348" i="12" s="1"/>
  <c r="P372" i="12" s="1"/>
  <c r="P384" i="12" s="1"/>
  <c r="P396" i="12" s="1"/>
  <c r="P408" i="12" s="1"/>
  <c r="P420" i="12" s="1"/>
  <c r="P432" i="12" s="1"/>
  <c r="P444" i="12" s="1"/>
  <c r="P456" i="12" s="1"/>
  <c r="N312" i="12"/>
  <c r="P317" i="12"/>
  <c r="P329" i="12" s="1"/>
  <c r="P341" i="12" s="1"/>
  <c r="P365" i="12" s="1"/>
  <c r="P377" i="12" s="1"/>
  <c r="P389" i="12" s="1"/>
  <c r="P401" i="12" s="1"/>
  <c r="P413" i="12" s="1"/>
  <c r="P425" i="12" s="1"/>
  <c r="P437" i="12" s="1"/>
  <c r="P449" i="12" s="1"/>
  <c r="N305" i="12"/>
  <c r="P319" i="12"/>
  <c r="P331" i="12" s="1"/>
  <c r="P343" i="12" s="1"/>
  <c r="P355" i="12" s="1"/>
  <c r="N307" i="12"/>
  <c r="P351" i="12"/>
  <c r="P350" i="12"/>
  <c r="P359" i="12"/>
  <c r="G200" i="12"/>
  <c r="G189" i="12"/>
  <c r="G184" i="12"/>
  <c r="G190" i="12"/>
  <c r="G182" i="12"/>
  <c r="N170" i="12"/>
  <c r="G209" i="12"/>
  <c r="G217" i="12"/>
  <c r="G215" i="12"/>
  <c r="G210" i="12"/>
  <c r="G211" i="12"/>
  <c r="G207" i="12"/>
  <c r="G216" i="12"/>
  <c r="N176" i="12"/>
  <c r="N177" i="12"/>
  <c r="N174" i="12"/>
  <c r="N175" i="12"/>
  <c r="N172" i="12"/>
  <c r="N171" i="12"/>
  <c r="N181" i="12"/>
  <c r="N180" i="12"/>
  <c r="N178" i="12"/>
  <c r="N173" i="12"/>
  <c r="N179" i="12"/>
  <c r="U225" i="12"/>
  <c r="U183" i="12"/>
  <c r="U229" i="12"/>
  <c r="U228" i="12"/>
  <c r="U223" i="12"/>
  <c r="U224" i="12"/>
  <c r="U227" i="12"/>
  <c r="U182" i="12"/>
  <c r="U222" i="12"/>
  <c r="U226" i="12"/>
  <c r="U221" i="12"/>
  <c r="U220" i="12"/>
  <c r="P361" i="12" l="1"/>
  <c r="P368" i="12"/>
  <c r="P380" i="12" s="1"/>
  <c r="P392" i="12" s="1"/>
  <c r="P404" i="12" s="1"/>
  <c r="P416" i="12" s="1"/>
  <c r="P428" i="12" s="1"/>
  <c r="P440" i="12" s="1"/>
  <c r="P452" i="12" s="1"/>
  <c r="N452" i="12" s="1"/>
  <c r="P366" i="12"/>
  <c r="P378" i="12" s="1"/>
  <c r="P390" i="12" s="1"/>
  <c r="P402" i="12" s="1"/>
  <c r="P414" i="12" s="1"/>
  <c r="P426" i="12" s="1"/>
  <c r="P438" i="12" s="1"/>
  <c r="P450" i="12" s="1"/>
  <c r="P462" i="12" s="1"/>
  <c r="N462" i="12" s="1"/>
  <c r="P360" i="12"/>
  <c r="P367" i="12"/>
  <c r="P379" i="12" s="1"/>
  <c r="P391" i="12" s="1"/>
  <c r="P403" i="12" s="1"/>
  <c r="P415" i="12" s="1"/>
  <c r="P427" i="12" s="1"/>
  <c r="P439" i="12" s="1"/>
  <c r="P451" i="12" s="1"/>
  <c r="P463" i="12" s="1"/>
  <c r="N463" i="12" s="1"/>
  <c r="P352" i="12"/>
  <c r="P357" i="12"/>
  <c r="P353" i="12"/>
  <c r="P358" i="12"/>
  <c r="P464" i="12"/>
  <c r="N464" i="12" s="1"/>
  <c r="P468" i="12"/>
  <c r="N468" i="12" s="1"/>
  <c r="N456" i="12"/>
  <c r="P460" i="12"/>
  <c r="N460" i="12" s="1"/>
  <c r="N448" i="12"/>
  <c r="P467" i="12"/>
  <c r="N467" i="12" s="1"/>
  <c r="N455" i="12"/>
  <c r="P458" i="12"/>
  <c r="N458" i="12" s="1"/>
  <c r="N446" i="12"/>
  <c r="P461" i="12"/>
  <c r="N461" i="12" s="1"/>
  <c r="N449" i="12"/>
  <c r="P465" i="12"/>
  <c r="N465" i="12" s="1"/>
  <c r="N453" i="12"/>
  <c r="P466" i="12"/>
  <c r="N466" i="12" s="1"/>
  <c r="N454" i="12"/>
  <c r="P469" i="12"/>
  <c r="N469" i="12" s="1"/>
  <c r="N457" i="12"/>
  <c r="P459" i="12"/>
  <c r="N459" i="12" s="1"/>
  <c r="N447" i="12"/>
  <c r="G202" i="12"/>
  <c r="G201" i="12"/>
  <c r="G196" i="12"/>
  <c r="G212" i="12"/>
  <c r="G194" i="12"/>
  <c r="N182" i="12"/>
  <c r="G219" i="12"/>
  <c r="G227" i="12"/>
  <c r="G221" i="12"/>
  <c r="G228" i="12"/>
  <c r="G223" i="12"/>
  <c r="G222" i="12"/>
  <c r="G229" i="12"/>
  <c r="N191" i="12"/>
  <c r="N190" i="12"/>
  <c r="N193" i="12"/>
  <c r="N184" i="12"/>
  <c r="N186" i="12"/>
  <c r="N188" i="12"/>
  <c r="N185" i="12"/>
  <c r="N192" i="12"/>
  <c r="N183" i="12"/>
  <c r="N187" i="12"/>
  <c r="N189" i="12"/>
  <c r="U238" i="12"/>
  <c r="U236" i="12"/>
  <c r="U232" i="12"/>
  <c r="U194" i="12"/>
  <c r="U240" i="12"/>
  <c r="U195" i="12"/>
  <c r="U233" i="12"/>
  <c r="U234" i="12"/>
  <c r="U239" i="12"/>
  <c r="U235" i="12"/>
  <c r="U241" i="12"/>
  <c r="U237" i="12"/>
  <c r="N450" i="12" l="1"/>
  <c r="N451" i="12"/>
  <c r="P470" i="12"/>
  <c r="P488" i="12"/>
  <c r="P500" i="12" s="1"/>
  <c r="P512" i="12" s="1"/>
  <c r="P524" i="12" s="1"/>
  <c r="P536" i="12" s="1"/>
  <c r="P548" i="12" s="1"/>
  <c r="P560" i="12" s="1"/>
  <c r="P572" i="12" s="1"/>
  <c r="P584" i="12" s="1"/>
  <c r="N584" i="12" s="1"/>
  <c r="P484" i="12"/>
  <c r="P496" i="12" s="1"/>
  <c r="P508" i="12" s="1"/>
  <c r="P520" i="12" s="1"/>
  <c r="P532" i="12" s="1"/>
  <c r="P544" i="12" s="1"/>
  <c r="P556" i="12" s="1"/>
  <c r="P568" i="12" s="1"/>
  <c r="P580" i="12" s="1"/>
  <c r="N580" i="12" s="1"/>
  <c r="P476" i="12"/>
  <c r="P475" i="12"/>
  <c r="P490" i="12"/>
  <c r="P502" i="12" s="1"/>
  <c r="P514" i="12" s="1"/>
  <c r="P526" i="12" s="1"/>
  <c r="P538" i="12" s="1"/>
  <c r="P550" i="12" s="1"/>
  <c r="P562" i="12" s="1"/>
  <c r="P574" i="12" s="1"/>
  <c r="P487" i="12"/>
  <c r="P499" i="12" s="1"/>
  <c r="P511" i="12" s="1"/>
  <c r="P523" i="12" s="1"/>
  <c r="P535" i="12" s="1"/>
  <c r="P547" i="12" s="1"/>
  <c r="P559" i="12" s="1"/>
  <c r="P571" i="12" s="1"/>
  <c r="P583" i="12" s="1"/>
  <c r="N583" i="12" s="1"/>
  <c r="P483" i="12"/>
  <c r="P495" i="12" s="1"/>
  <c r="P507" i="12" s="1"/>
  <c r="P519" i="12" s="1"/>
  <c r="P531" i="12" s="1"/>
  <c r="P543" i="12" s="1"/>
  <c r="P555" i="12" s="1"/>
  <c r="P567" i="12" s="1"/>
  <c r="P474" i="12"/>
  <c r="P472" i="12"/>
  <c r="P473" i="12"/>
  <c r="P486" i="12"/>
  <c r="P498" i="12" s="1"/>
  <c r="P510" i="12" s="1"/>
  <c r="P522" i="12" s="1"/>
  <c r="P534" i="12" s="1"/>
  <c r="P546" i="12" s="1"/>
  <c r="P558" i="12" s="1"/>
  <c r="P570" i="12" s="1"/>
  <c r="P485" i="12"/>
  <c r="P497" i="12" s="1"/>
  <c r="P509" i="12" s="1"/>
  <c r="P521" i="12" s="1"/>
  <c r="P533" i="12" s="1"/>
  <c r="P545" i="12" s="1"/>
  <c r="P557" i="12" s="1"/>
  <c r="P569" i="12" s="1"/>
  <c r="P471" i="12"/>
  <c r="P482" i="12"/>
  <c r="P494" i="12" s="1"/>
  <c r="P506" i="12" s="1"/>
  <c r="P518" i="12" s="1"/>
  <c r="P530" i="12" s="1"/>
  <c r="P542" i="12" s="1"/>
  <c r="P554" i="12" s="1"/>
  <c r="P566" i="12" s="1"/>
  <c r="P578" i="12" s="1"/>
  <c r="N578" i="12" s="1"/>
  <c r="P478" i="12"/>
  <c r="P489" i="12"/>
  <c r="P501" i="12" s="1"/>
  <c r="P513" i="12" s="1"/>
  <c r="P525" i="12" s="1"/>
  <c r="P537" i="12" s="1"/>
  <c r="P549" i="12" s="1"/>
  <c r="P561" i="12" s="1"/>
  <c r="P573" i="12" s="1"/>
  <c r="P493" i="12"/>
  <c r="P505" i="12" s="1"/>
  <c r="P517" i="12" s="1"/>
  <c r="P529" i="12" s="1"/>
  <c r="P541" i="12" s="1"/>
  <c r="P553" i="12" s="1"/>
  <c r="P565" i="12" s="1"/>
  <c r="P577" i="12" s="1"/>
  <c r="P492" i="12"/>
  <c r="P504" i="12" s="1"/>
  <c r="P516" i="12" s="1"/>
  <c r="P528" i="12" s="1"/>
  <c r="P540" i="12" s="1"/>
  <c r="P552" i="12" s="1"/>
  <c r="P564" i="12" s="1"/>
  <c r="P576" i="12" s="1"/>
  <c r="P491" i="12"/>
  <c r="P503" i="12" s="1"/>
  <c r="P515" i="12" s="1"/>
  <c r="P527" i="12" s="1"/>
  <c r="P539" i="12" s="1"/>
  <c r="P551" i="12" s="1"/>
  <c r="P563" i="12" s="1"/>
  <c r="P575" i="12" s="1"/>
  <c r="P477" i="12"/>
  <c r="P481" i="12"/>
  <c r="P480" i="12"/>
  <c r="P479" i="12"/>
  <c r="G224" i="12"/>
  <c r="G213" i="12"/>
  <c r="G208" i="12"/>
  <c r="G214" i="12"/>
  <c r="G206" i="12"/>
  <c r="N194" i="12"/>
  <c r="G241" i="12"/>
  <c r="G240" i="12"/>
  <c r="G239" i="12"/>
  <c r="G234" i="12"/>
  <c r="G235" i="12"/>
  <c r="G233" i="12"/>
  <c r="G231" i="12"/>
  <c r="N199" i="12"/>
  <c r="N204" i="12"/>
  <c r="N200" i="12"/>
  <c r="N196" i="12"/>
  <c r="N202" i="12"/>
  <c r="N201" i="12"/>
  <c r="N195" i="12"/>
  <c r="N197" i="12"/>
  <c r="N198" i="12"/>
  <c r="N205" i="12"/>
  <c r="N203" i="12"/>
  <c r="U247" i="12"/>
  <c r="U207" i="12"/>
  <c r="U206" i="12"/>
  <c r="U248" i="12"/>
  <c r="U249" i="12"/>
  <c r="U246" i="12"/>
  <c r="U253" i="12"/>
  <c r="U251" i="12"/>
  <c r="U245" i="12"/>
  <c r="U252" i="12"/>
  <c r="U244" i="12"/>
  <c r="U250" i="12"/>
  <c r="P604" i="12" l="1"/>
  <c r="P616" i="12" s="1"/>
  <c r="P628" i="12" s="1"/>
  <c r="P640" i="12" s="1"/>
  <c r="P652" i="12" s="1"/>
  <c r="P664" i="12" s="1"/>
  <c r="P676" i="12" s="1"/>
  <c r="P688" i="12" s="1"/>
  <c r="P700" i="12" s="1"/>
  <c r="P712" i="12" s="1"/>
  <c r="P595" i="12"/>
  <c r="P592" i="12"/>
  <c r="P607" i="12"/>
  <c r="P619" i="12" s="1"/>
  <c r="P631" i="12" s="1"/>
  <c r="P643" i="12" s="1"/>
  <c r="P655" i="12" s="1"/>
  <c r="P667" i="12" s="1"/>
  <c r="P679" i="12" s="1"/>
  <c r="P691" i="12" s="1"/>
  <c r="P703" i="12" s="1"/>
  <c r="P727" i="12" s="1"/>
  <c r="P739" i="12" s="1"/>
  <c r="P751" i="12" s="1"/>
  <c r="N751" i="12" s="1"/>
  <c r="P608" i="12"/>
  <c r="P620" i="12" s="1"/>
  <c r="P632" i="12" s="1"/>
  <c r="P644" i="12" s="1"/>
  <c r="P656" i="12" s="1"/>
  <c r="P668" i="12" s="1"/>
  <c r="P680" i="12" s="1"/>
  <c r="P692" i="12" s="1"/>
  <c r="P704" i="12" s="1"/>
  <c r="P716" i="12" s="1"/>
  <c r="P602" i="12"/>
  <c r="P614" i="12" s="1"/>
  <c r="P626" i="12" s="1"/>
  <c r="P638" i="12" s="1"/>
  <c r="P650" i="12" s="1"/>
  <c r="P662" i="12" s="1"/>
  <c r="P674" i="12" s="1"/>
  <c r="P686" i="12" s="1"/>
  <c r="P698" i="12" s="1"/>
  <c r="P722" i="12" s="1"/>
  <c r="P734" i="12" s="1"/>
  <c r="P746" i="12" s="1"/>
  <c r="N746" i="12" s="1"/>
  <c r="P596" i="12"/>
  <c r="P590" i="12"/>
  <c r="P585" i="12"/>
  <c r="N585" i="12" s="1"/>
  <c r="P581" i="12"/>
  <c r="N581" i="12" s="1"/>
  <c r="P587" i="12"/>
  <c r="N587" i="12" s="1"/>
  <c r="P582" i="12"/>
  <c r="P606" i="12" s="1"/>
  <c r="P618" i="12" s="1"/>
  <c r="P630" i="12" s="1"/>
  <c r="P642" i="12" s="1"/>
  <c r="P654" i="12" s="1"/>
  <c r="P666" i="12" s="1"/>
  <c r="P678" i="12" s="1"/>
  <c r="P690" i="12" s="1"/>
  <c r="P702" i="12" s="1"/>
  <c r="P579" i="12"/>
  <c r="P588" i="12"/>
  <c r="P612" i="12" s="1"/>
  <c r="P624" i="12" s="1"/>
  <c r="P636" i="12" s="1"/>
  <c r="P648" i="12" s="1"/>
  <c r="P660" i="12" s="1"/>
  <c r="P672" i="12" s="1"/>
  <c r="P684" i="12" s="1"/>
  <c r="P696" i="12" s="1"/>
  <c r="P708" i="12" s="1"/>
  <c r="P589" i="12"/>
  <c r="N589" i="12" s="1"/>
  <c r="P586" i="12"/>
  <c r="N586" i="12" s="1"/>
  <c r="G226" i="12"/>
  <c r="G225" i="12"/>
  <c r="G220" i="12"/>
  <c r="G236" i="12"/>
  <c r="G218" i="12"/>
  <c r="N206" i="12"/>
  <c r="G247" i="12"/>
  <c r="G251" i="12"/>
  <c r="G243" i="12"/>
  <c r="G245" i="12"/>
  <c r="G246" i="12"/>
  <c r="G252" i="12"/>
  <c r="G253" i="12"/>
  <c r="N215" i="12"/>
  <c r="N210" i="12"/>
  <c r="N207" i="12"/>
  <c r="N214" i="12"/>
  <c r="N212" i="12"/>
  <c r="N211" i="12"/>
  <c r="N217" i="12"/>
  <c r="N209" i="12"/>
  <c r="N213" i="12"/>
  <c r="N208" i="12"/>
  <c r="N216" i="12"/>
  <c r="U276" i="12"/>
  <c r="U275" i="12"/>
  <c r="U270" i="12"/>
  <c r="U272" i="12"/>
  <c r="U219" i="12"/>
  <c r="U274" i="12"/>
  <c r="U268" i="12"/>
  <c r="U269" i="12"/>
  <c r="U277" i="12"/>
  <c r="U273" i="12"/>
  <c r="U218" i="12"/>
  <c r="U271" i="12"/>
  <c r="P724" i="12" l="1"/>
  <c r="P736" i="12" s="1"/>
  <c r="P748" i="12" s="1"/>
  <c r="N748" i="12" s="1"/>
  <c r="P728" i="12"/>
  <c r="P740" i="12" s="1"/>
  <c r="P752" i="12" s="1"/>
  <c r="N752" i="12" s="1"/>
  <c r="P710" i="12"/>
  <c r="P715" i="12"/>
  <c r="P593" i="12"/>
  <c r="P613" i="12"/>
  <c r="P625" i="12" s="1"/>
  <c r="P637" i="12" s="1"/>
  <c r="P649" i="12" s="1"/>
  <c r="P661" i="12" s="1"/>
  <c r="P673" i="12" s="1"/>
  <c r="P685" i="12" s="1"/>
  <c r="P697" i="12" s="1"/>
  <c r="P709" i="12" s="1"/>
  <c r="P714" i="12"/>
  <c r="P726" i="12"/>
  <c r="P738" i="12" s="1"/>
  <c r="P750" i="12" s="1"/>
  <c r="N750" i="12" s="1"/>
  <c r="P720" i="12"/>
  <c r="P732" i="12"/>
  <c r="P744" i="12" s="1"/>
  <c r="P756" i="12" s="1"/>
  <c r="N756" i="12" s="1"/>
  <c r="P599" i="12"/>
  <c r="P598" i="12"/>
  <c r="P605" i="12"/>
  <c r="P617" i="12" s="1"/>
  <c r="P629" i="12" s="1"/>
  <c r="P641" i="12" s="1"/>
  <c r="P653" i="12" s="1"/>
  <c r="P665" i="12" s="1"/>
  <c r="P677" i="12" s="1"/>
  <c r="P689" i="12" s="1"/>
  <c r="P701" i="12" s="1"/>
  <c r="N579" i="12"/>
  <c r="P603" i="12"/>
  <c r="P615" i="12" s="1"/>
  <c r="P627" i="12" s="1"/>
  <c r="P639" i="12" s="1"/>
  <c r="P651" i="12" s="1"/>
  <c r="P663" i="12" s="1"/>
  <c r="P675" i="12" s="1"/>
  <c r="P687" i="12" s="1"/>
  <c r="P699" i="12" s="1"/>
  <c r="P609" i="12"/>
  <c r="P621" i="12" s="1"/>
  <c r="P633" i="12" s="1"/>
  <c r="P645" i="12" s="1"/>
  <c r="P657" i="12" s="1"/>
  <c r="P669" i="12" s="1"/>
  <c r="P681" i="12" s="1"/>
  <c r="P693" i="12" s="1"/>
  <c r="P705" i="12" s="1"/>
  <c r="P717" i="12" s="1"/>
  <c r="P610" i="12"/>
  <c r="P622" i="12" s="1"/>
  <c r="P634" i="12" s="1"/>
  <c r="P646" i="12" s="1"/>
  <c r="P658" i="12" s="1"/>
  <c r="P670" i="12" s="1"/>
  <c r="P682" i="12" s="1"/>
  <c r="P694" i="12" s="1"/>
  <c r="P706" i="12" s="1"/>
  <c r="P601" i="12"/>
  <c r="P591" i="12"/>
  <c r="P611" i="12"/>
  <c r="P623" i="12" s="1"/>
  <c r="P635" i="12" s="1"/>
  <c r="P647" i="12" s="1"/>
  <c r="P659" i="12" s="1"/>
  <c r="P671" i="12" s="1"/>
  <c r="P683" i="12" s="1"/>
  <c r="P695" i="12" s="1"/>
  <c r="P707" i="12" s="1"/>
  <c r="P597" i="12"/>
  <c r="N588" i="12"/>
  <c r="P600" i="12"/>
  <c r="N582" i="12"/>
  <c r="P594" i="12"/>
  <c r="G248" i="12"/>
  <c r="G237" i="12"/>
  <c r="G232" i="12"/>
  <c r="G238" i="12"/>
  <c r="G230" i="12"/>
  <c r="U261" i="12"/>
  <c r="U263" i="12"/>
  <c r="U265" i="12"/>
  <c r="U264" i="12"/>
  <c r="U262" i="12"/>
  <c r="U259" i="12"/>
  <c r="U257" i="12"/>
  <c r="U260" i="12"/>
  <c r="U256" i="12"/>
  <c r="U258" i="12"/>
  <c r="N218" i="12"/>
  <c r="G264" i="12"/>
  <c r="G258" i="12"/>
  <c r="G255" i="12"/>
  <c r="G263" i="12"/>
  <c r="G259" i="12"/>
  <c r="G265" i="12"/>
  <c r="G257" i="12"/>
  <c r="N226" i="12"/>
  <c r="N220" i="12"/>
  <c r="N221" i="12"/>
  <c r="N223" i="12"/>
  <c r="N222" i="12"/>
  <c r="N228" i="12"/>
  <c r="N225" i="12"/>
  <c r="N229" i="12"/>
  <c r="N224" i="12"/>
  <c r="N219" i="12"/>
  <c r="N227" i="12"/>
  <c r="U309" i="12"/>
  <c r="U307" i="12"/>
  <c r="U305" i="12"/>
  <c r="U308" i="12"/>
  <c r="U230" i="12"/>
  <c r="U289" i="12"/>
  <c r="U304" i="12"/>
  <c r="U231" i="12"/>
  <c r="U306" i="12"/>
  <c r="U288" i="12"/>
  <c r="P721" i="12" l="1"/>
  <c r="P733" i="12"/>
  <c r="P745" i="12" s="1"/>
  <c r="P757" i="12" s="1"/>
  <c r="N757" i="12" s="1"/>
  <c r="P729" i="12"/>
  <c r="P741" i="12" s="1"/>
  <c r="P753" i="12" s="1"/>
  <c r="N753" i="12" s="1"/>
  <c r="P718" i="12"/>
  <c r="P730" i="12"/>
  <c r="P742" i="12" s="1"/>
  <c r="P754" i="12" s="1"/>
  <c r="N754" i="12" s="1"/>
  <c r="P713" i="12"/>
  <c r="P725" i="12"/>
  <c r="P737" i="12" s="1"/>
  <c r="P749" i="12" s="1"/>
  <c r="N749" i="12" s="1"/>
  <c r="P719" i="12"/>
  <c r="P731" i="12"/>
  <c r="P743" i="12" s="1"/>
  <c r="P755" i="12" s="1"/>
  <c r="N755" i="12" s="1"/>
  <c r="P711" i="12"/>
  <c r="P723" i="12"/>
  <c r="P735" i="12" s="1"/>
  <c r="P747" i="12" s="1"/>
  <c r="N747" i="12" s="1"/>
  <c r="G249" i="12"/>
  <c r="G250" i="12"/>
  <c r="G244" i="12"/>
  <c r="G260" i="12"/>
  <c r="G272" i="12"/>
  <c r="G242" i="12"/>
  <c r="U281" i="12"/>
  <c r="U283" i="12"/>
  <c r="U280" i="12"/>
  <c r="U285" i="12"/>
  <c r="U282" i="12"/>
  <c r="U287" i="12"/>
  <c r="U284" i="12"/>
  <c r="U286" i="12"/>
  <c r="N230" i="12"/>
  <c r="G281" i="12"/>
  <c r="G289" i="12"/>
  <c r="G287" i="12"/>
  <c r="G282" i="12"/>
  <c r="G283" i="12"/>
  <c r="G279" i="12"/>
  <c r="G288" i="12"/>
  <c r="N239" i="12"/>
  <c r="N233" i="12"/>
  <c r="N236" i="12"/>
  <c r="N237" i="12"/>
  <c r="N234" i="12"/>
  <c r="N231" i="12"/>
  <c r="N241" i="12"/>
  <c r="N240" i="12"/>
  <c r="N235" i="12"/>
  <c r="N232" i="12"/>
  <c r="N238" i="12"/>
  <c r="U243" i="12"/>
  <c r="U295" i="12"/>
  <c r="U312" i="12"/>
  <c r="U313" i="12"/>
  <c r="U296" i="12"/>
  <c r="U294" i="12"/>
  <c r="U292" i="12"/>
  <c r="U242" i="12"/>
  <c r="U293" i="12"/>
  <c r="U297" i="12"/>
  <c r="G274" i="12" l="1"/>
  <c r="G262" i="12"/>
  <c r="G284" i="12"/>
  <c r="G308" i="12"/>
  <c r="G268" i="12"/>
  <c r="G256" i="12"/>
  <c r="G273" i="12"/>
  <c r="G261" i="12"/>
  <c r="G266" i="12"/>
  <c r="G254" i="12"/>
  <c r="U299" i="12"/>
  <c r="U311" i="12"/>
  <c r="U298" i="12"/>
  <c r="U310" i="12"/>
  <c r="U301" i="12"/>
  <c r="U300" i="12"/>
  <c r="N242" i="12"/>
  <c r="G291" i="12"/>
  <c r="G299" i="12"/>
  <c r="G293" i="12"/>
  <c r="G300" i="12"/>
  <c r="G295" i="12"/>
  <c r="G294" i="12"/>
  <c r="G301" i="12"/>
  <c r="N250" i="12"/>
  <c r="N247" i="12"/>
  <c r="N253" i="12"/>
  <c r="N249" i="12"/>
  <c r="N245" i="12"/>
  <c r="N244" i="12"/>
  <c r="N252" i="12"/>
  <c r="N243" i="12"/>
  <c r="N246" i="12"/>
  <c r="N248" i="12"/>
  <c r="N251" i="12"/>
  <c r="U321" i="12"/>
  <c r="U316" i="12"/>
  <c r="U317" i="12"/>
  <c r="U322" i="12"/>
  <c r="U325" i="12"/>
  <c r="U319" i="12"/>
  <c r="U323" i="12"/>
  <c r="U266" i="12"/>
  <c r="U318" i="12"/>
  <c r="U320" i="12"/>
  <c r="U324" i="12"/>
  <c r="U267" i="12"/>
  <c r="G309" i="12" l="1"/>
  <c r="G285" i="12"/>
  <c r="G304" i="12"/>
  <c r="G280" i="12"/>
  <c r="G296" i="12"/>
  <c r="G310" i="12"/>
  <c r="G286" i="12"/>
  <c r="G302" i="12"/>
  <c r="G278" i="12"/>
  <c r="U255" i="12"/>
  <c r="U254" i="12"/>
  <c r="N266" i="12"/>
  <c r="G325" i="12"/>
  <c r="G324" i="12"/>
  <c r="G323" i="12"/>
  <c r="G318" i="12"/>
  <c r="G319" i="12"/>
  <c r="G317" i="12"/>
  <c r="G315" i="12"/>
  <c r="N270" i="12"/>
  <c r="N269" i="12"/>
  <c r="N271" i="12"/>
  <c r="N275" i="12"/>
  <c r="N276" i="12"/>
  <c r="N272" i="12"/>
  <c r="N267" i="12"/>
  <c r="N268" i="12"/>
  <c r="N273" i="12"/>
  <c r="N277" i="12"/>
  <c r="N274" i="12"/>
  <c r="U332" i="12"/>
  <c r="U302" i="12"/>
  <c r="U334" i="12"/>
  <c r="U303" i="12"/>
  <c r="U331" i="12"/>
  <c r="U328" i="12"/>
  <c r="U336" i="12"/>
  <c r="U330" i="12"/>
  <c r="U335" i="12"/>
  <c r="U337" i="12"/>
  <c r="U329" i="12"/>
  <c r="U333" i="12"/>
  <c r="G320" i="12" l="1"/>
  <c r="G298" i="12"/>
  <c r="G292" i="12"/>
  <c r="G297" i="12"/>
  <c r="G290" i="12"/>
  <c r="U279" i="12"/>
  <c r="U278" i="12"/>
  <c r="N259" i="12"/>
  <c r="N255" i="12"/>
  <c r="N260" i="12"/>
  <c r="N257" i="12"/>
  <c r="N262" i="12"/>
  <c r="N263" i="12"/>
  <c r="N265" i="12"/>
  <c r="N261" i="12"/>
  <c r="N256" i="12"/>
  <c r="N264" i="12"/>
  <c r="N258" i="12"/>
  <c r="N254" i="12"/>
  <c r="G331" i="12"/>
  <c r="G335" i="12"/>
  <c r="G327" i="12"/>
  <c r="G329" i="12"/>
  <c r="G330" i="12"/>
  <c r="G336" i="12"/>
  <c r="G337" i="12"/>
  <c r="N289" i="12"/>
  <c r="U345" i="12"/>
  <c r="U349" i="12"/>
  <c r="U340" i="12"/>
  <c r="U291" i="12"/>
  <c r="U342" i="12"/>
  <c r="U290" i="12"/>
  <c r="U341" i="12"/>
  <c r="U347" i="12"/>
  <c r="U348" i="12"/>
  <c r="U343" i="12"/>
  <c r="U346" i="12"/>
  <c r="U344" i="12"/>
  <c r="G321" i="12" l="1"/>
  <c r="G322" i="12"/>
  <c r="G316" i="12"/>
  <c r="G332" i="12"/>
  <c r="N290" i="12"/>
  <c r="G314" i="12"/>
  <c r="N278" i="12"/>
  <c r="N288" i="12"/>
  <c r="N287" i="12"/>
  <c r="N286" i="12"/>
  <c r="N283" i="12"/>
  <c r="N281" i="12"/>
  <c r="N279" i="12"/>
  <c r="N284" i="12"/>
  <c r="N282" i="12"/>
  <c r="N280" i="12"/>
  <c r="N285" i="12"/>
  <c r="G348" i="12"/>
  <c r="G342" i="12"/>
  <c r="G339" i="12"/>
  <c r="G347" i="12"/>
  <c r="G343" i="12"/>
  <c r="G349" i="12"/>
  <c r="G341" i="12"/>
  <c r="N294" i="12"/>
  <c r="N293" i="12"/>
  <c r="N292" i="12"/>
  <c r="N291" i="12"/>
  <c r="N295" i="12"/>
  <c r="N314" i="12"/>
  <c r="U356" i="12"/>
  <c r="U355" i="12"/>
  <c r="U359" i="12"/>
  <c r="U314" i="12"/>
  <c r="U315" i="12"/>
  <c r="U361" i="12"/>
  <c r="U358" i="12"/>
  <c r="U360" i="12"/>
  <c r="U353" i="12"/>
  <c r="U354" i="12"/>
  <c r="U352" i="12"/>
  <c r="U357" i="12"/>
  <c r="G344" i="12" l="1"/>
  <c r="G334" i="12"/>
  <c r="G328" i="12"/>
  <c r="G333" i="12"/>
  <c r="G326" i="12"/>
  <c r="N297" i="12"/>
  <c r="N296" i="12"/>
  <c r="N299" i="12"/>
  <c r="N300" i="12"/>
  <c r="N301" i="12"/>
  <c r="N298" i="12"/>
  <c r="G353" i="12"/>
  <c r="G361" i="12"/>
  <c r="G359" i="12"/>
  <c r="G354" i="12"/>
  <c r="G355" i="12"/>
  <c r="G351" i="12"/>
  <c r="G360" i="12"/>
  <c r="N322" i="12"/>
  <c r="N326" i="12"/>
  <c r="N320" i="12"/>
  <c r="N315" i="12"/>
  <c r="N316" i="12"/>
  <c r="N317" i="12"/>
  <c r="N323" i="12"/>
  <c r="N325" i="12"/>
  <c r="N319" i="12"/>
  <c r="N321" i="12"/>
  <c r="N324" i="12"/>
  <c r="N318" i="12"/>
  <c r="U369" i="12"/>
  <c r="U372" i="12"/>
  <c r="U326" i="12"/>
  <c r="U367" i="12"/>
  <c r="U366" i="12"/>
  <c r="U373" i="12"/>
  <c r="U364" i="12"/>
  <c r="U365" i="12"/>
  <c r="U370" i="12"/>
  <c r="U327" i="12"/>
  <c r="U371" i="12"/>
  <c r="U368" i="12"/>
  <c r="G345" i="12" l="1"/>
  <c r="G346" i="12"/>
  <c r="G340" i="12"/>
  <c r="G356" i="12"/>
  <c r="G338" i="12"/>
  <c r="G363" i="12"/>
  <c r="G371" i="12"/>
  <c r="G365" i="12"/>
  <c r="G372" i="12"/>
  <c r="G367" i="12"/>
  <c r="G366" i="12"/>
  <c r="G373" i="12"/>
  <c r="N329" i="12"/>
  <c r="N330" i="12"/>
  <c r="N333" i="12"/>
  <c r="N337" i="12"/>
  <c r="N327" i="12"/>
  <c r="N338" i="12"/>
  <c r="N336" i="12"/>
  <c r="N331" i="12"/>
  <c r="N335" i="12"/>
  <c r="N328" i="12"/>
  <c r="N332" i="12"/>
  <c r="N334" i="12"/>
  <c r="U380" i="12"/>
  <c r="U377" i="12"/>
  <c r="U339" i="12"/>
  <c r="U385" i="12"/>
  <c r="U379" i="12"/>
  <c r="U384" i="12"/>
  <c r="U383" i="12"/>
  <c r="U382" i="12"/>
  <c r="U376" i="12"/>
  <c r="U378" i="12"/>
  <c r="U338" i="12"/>
  <c r="U381" i="12"/>
  <c r="G368" i="12" l="1"/>
  <c r="G358" i="12"/>
  <c r="G352" i="12"/>
  <c r="G357" i="12"/>
  <c r="G350" i="12"/>
  <c r="G385" i="12"/>
  <c r="G384" i="12"/>
  <c r="G383" i="12"/>
  <c r="G378" i="12"/>
  <c r="G379" i="12"/>
  <c r="G377" i="12"/>
  <c r="G375" i="12"/>
  <c r="N340" i="12"/>
  <c r="N350" i="12"/>
  <c r="N346" i="12"/>
  <c r="N343" i="12"/>
  <c r="N349" i="12"/>
  <c r="N342" i="12"/>
  <c r="N344" i="12"/>
  <c r="N347" i="12"/>
  <c r="N348" i="12"/>
  <c r="N339" i="12"/>
  <c r="N345" i="12"/>
  <c r="N341" i="12"/>
  <c r="U390" i="12"/>
  <c r="U396" i="12"/>
  <c r="U389" i="12"/>
  <c r="U393" i="12"/>
  <c r="U394" i="12"/>
  <c r="U397" i="12"/>
  <c r="U350" i="12"/>
  <c r="U388" i="12"/>
  <c r="U395" i="12"/>
  <c r="U391" i="12"/>
  <c r="U351" i="12"/>
  <c r="U392" i="12"/>
  <c r="G369" i="12" l="1"/>
  <c r="G370" i="12"/>
  <c r="G364" i="12"/>
  <c r="G380" i="12"/>
  <c r="G362" i="12"/>
  <c r="G391" i="12"/>
  <c r="G395" i="12"/>
  <c r="G387" i="12"/>
  <c r="G389" i="12"/>
  <c r="G390" i="12"/>
  <c r="G396" i="12"/>
  <c r="G397" i="12"/>
  <c r="N359" i="12"/>
  <c r="N353" i="12"/>
  <c r="N351" i="12"/>
  <c r="N354" i="12"/>
  <c r="N355" i="12"/>
  <c r="N362" i="12"/>
  <c r="N357" i="12"/>
  <c r="N360" i="12"/>
  <c r="N356" i="12"/>
  <c r="N361" i="12"/>
  <c r="N358" i="12"/>
  <c r="N352" i="12"/>
  <c r="U404" i="12"/>
  <c r="U403" i="12"/>
  <c r="U400" i="12"/>
  <c r="U409" i="12"/>
  <c r="U405" i="12"/>
  <c r="U408" i="12"/>
  <c r="U363" i="12"/>
  <c r="U407" i="12"/>
  <c r="U362" i="12"/>
  <c r="U406" i="12"/>
  <c r="U401" i="12"/>
  <c r="U402" i="12"/>
  <c r="G392" i="12" l="1"/>
  <c r="G382" i="12"/>
  <c r="G376" i="12"/>
  <c r="G381" i="12"/>
  <c r="G374" i="12"/>
  <c r="G408" i="12"/>
  <c r="G402" i="12"/>
  <c r="G399" i="12"/>
  <c r="G407" i="12"/>
  <c r="G403" i="12"/>
  <c r="G409" i="12"/>
  <c r="G401" i="12"/>
  <c r="N364" i="12"/>
  <c r="N372" i="12"/>
  <c r="N374" i="12"/>
  <c r="N366" i="12"/>
  <c r="N365" i="12"/>
  <c r="N373" i="12"/>
  <c r="N370" i="12"/>
  <c r="N368" i="12"/>
  <c r="N369" i="12"/>
  <c r="N367" i="12"/>
  <c r="N363" i="12"/>
  <c r="N371" i="12"/>
  <c r="U414" i="12"/>
  <c r="U418" i="12"/>
  <c r="U419" i="12"/>
  <c r="U420" i="12"/>
  <c r="U421" i="12"/>
  <c r="U415" i="12"/>
  <c r="U413" i="12"/>
  <c r="U374" i="12"/>
  <c r="U375" i="12"/>
  <c r="U417" i="12"/>
  <c r="U412" i="12"/>
  <c r="U416" i="12"/>
  <c r="G393" i="12" l="1"/>
  <c r="G394" i="12"/>
  <c r="G388" i="12"/>
  <c r="G404" i="12"/>
  <c r="G386" i="12"/>
  <c r="G413" i="12"/>
  <c r="G421" i="12"/>
  <c r="G419" i="12"/>
  <c r="G414" i="12"/>
  <c r="G415" i="12"/>
  <c r="G411" i="12"/>
  <c r="G420" i="12"/>
  <c r="N383" i="12"/>
  <c r="N379" i="12"/>
  <c r="N380" i="12"/>
  <c r="N385" i="12"/>
  <c r="N378" i="12"/>
  <c r="N384" i="12"/>
  <c r="N375" i="12"/>
  <c r="N381" i="12"/>
  <c r="N382" i="12"/>
  <c r="N377" i="12"/>
  <c r="N386" i="12"/>
  <c r="N376" i="12"/>
  <c r="U429" i="12"/>
  <c r="U430" i="12"/>
  <c r="U427" i="12"/>
  <c r="U428" i="12"/>
  <c r="U386" i="12"/>
  <c r="U432" i="12"/>
  <c r="U424" i="12"/>
  <c r="U387" i="12"/>
  <c r="U425" i="12"/>
  <c r="U433" i="12"/>
  <c r="U431" i="12"/>
  <c r="U426" i="12"/>
  <c r="G406" i="12" l="1"/>
  <c r="G416" i="12"/>
  <c r="G400" i="12"/>
  <c r="G405" i="12"/>
  <c r="G398" i="12"/>
  <c r="G423" i="12"/>
  <c r="G431" i="12"/>
  <c r="G425" i="12"/>
  <c r="G432" i="12"/>
  <c r="G427" i="12"/>
  <c r="G426" i="12"/>
  <c r="G433" i="12"/>
  <c r="N388" i="12"/>
  <c r="N389" i="12"/>
  <c r="N393" i="12"/>
  <c r="N396" i="12"/>
  <c r="N397" i="12"/>
  <c r="N391" i="12"/>
  <c r="N398" i="12"/>
  <c r="N394" i="12"/>
  <c r="N387" i="12"/>
  <c r="N390" i="12"/>
  <c r="N392" i="12"/>
  <c r="N395" i="12"/>
  <c r="U438" i="12"/>
  <c r="U445" i="12"/>
  <c r="U399" i="12"/>
  <c r="U444" i="12"/>
  <c r="U440" i="12"/>
  <c r="U442" i="12"/>
  <c r="U443" i="12"/>
  <c r="U437" i="12"/>
  <c r="U436" i="12"/>
  <c r="U398" i="12"/>
  <c r="U439" i="12"/>
  <c r="U441" i="12"/>
  <c r="G417" i="12" l="1"/>
  <c r="G428" i="12"/>
  <c r="G412" i="12"/>
  <c r="G418" i="12"/>
  <c r="G410" i="12"/>
  <c r="G445" i="12"/>
  <c r="G444" i="12"/>
  <c r="G443" i="12"/>
  <c r="G438" i="12"/>
  <c r="G439" i="12"/>
  <c r="G437" i="12"/>
  <c r="G435" i="12"/>
  <c r="N407" i="12"/>
  <c r="N402" i="12"/>
  <c r="N406" i="12"/>
  <c r="N403" i="12"/>
  <c r="N408" i="12"/>
  <c r="N401" i="12"/>
  <c r="N404" i="12"/>
  <c r="N399" i="12"/>
  <c r="N410" i="12"/>
  <c r="N409" i="12"/>
  <c r="N405" i="12"/>
  <c r="N400" i="12"/>
  <c r="U477" i="12"/>
  <c r="U410" i="12"/>
  <c r="U473" i="12"/>
  <c r="U478" i="12"/>
  <c r="U480" i="12"/>
  <c r="U481" i="12"/>
  <c r="U475" i="12"/>
  <c r="U472" i="12"/>
  <c r="U479" i="12"/>
  <c r="U476" i="12"/>
  <c r="U411" i="12"/>
  <c r="U474" i="12"/>
  <c r="G440" i="12" l="1"/>
  <c r="G430" i="12"/>
  <c r="G424" i="12"/>
  <c r="G429" i="12"/>
  <c r="G422" i="12"/>
  <c r="G475" i="12"/>
  <c r="G479" i="12"/>
  <c r="G471" i="12"/>
  <c r="G473" i="12"/>
  <c r="G474" i="12"/>
  <c r="G480" i="12"/>
  <c r="G481" i="12"/>
  <c r="N412" i="12"/>
  <c r="N421" i="12"/>
  <c r="N411" i="12"/>
  <c r="N413" i="12"/>
  <c r="N415" i="12"/>
  <c r="N414" i="12"/>
  <c r="N417" i="12"/>
  <c r="N422" i="12"/>
  <c r="N416" i="12"/>
  <c r="N420" i="12"/>
  <c r="N418" i="12"/>
  <c r="N419" i="12"/>
  <c r="U488" i="12"/>
  <c r="U493" i="12"/>
  <c r="U490" i="12"/>
  <c r="U422" i="12"/>
  <c r="U484" i="12"/>
  <c r="U486" i="12"/>
  <c r="U423" i="12"/>
  <c r="U491" i="12"/>
  <c r="U487" i="12"/>
  <c r="U492" i="12"/>
  <c r="U485" i="12"/>
  <c r="U489" i="12"/>
  <c r="G442" i="12" l="1"/>
  <c r="G441" i="12"/>
  <c r="G446" i="12"/>
  <c r="G458" i="12"/>
  <c r="G436" i="12"/>
  <c r="G476" i="12"/>
  <c r="G464" i="12"/>
  <c r="G452" i="12"/>
  <c r="G434" i="12"/>
  <c r="G492" i="12"/>
  <c r="G486" i="12"/>
  <c r="G483" i="12"/>
  <c r="G491" i="12"/>
  <c r="G487" i="12"/>
  <c r="G493" i="12"/>
  <c r="G485" i="12"/>
  <c r="N431" i="12"/>
  <c r="N432" i="12"/>
  <c r="N434" i="12"/>
  <c r="N426" i="12"/>
  <c r="N425" i="12"/>
  <c r="N433" i="12"/>
  <c r="N430" i="12"/>
  <c r="N428" i="12"/>
  <c r="N429" i="12"/>
  <c r="N427" i="12"/>
  <c r="N423" i="12"/>
  <c r="N424" i="12"/>
  <c r="U501" i="12"/>
  <c r="U504" i="12"/>
  <c r="U503" i="12"/>
  <c r="U498" i="12"/>
  <c r="U434" i="12"/>
  <c r="U505" i="12"/>
  <c r="U497" i="12"/>
  <c r="U499" i="12"/>
  <c r="U435" i="12"/>
  <c r="U496" i="12"/>
  <c r="U502" i="12"/>
  <c r="U500" i="12"/>
  <c r="G460" i="12" l="1"/>
  <c r="G448" i="12"/>
  <c r="G454" i="12"/>
  <c r="G466" i="12"/>
  <c r="G477" i="12"/>
  <c r="G488" i="12"/>
  <c r="G472" i="12"/>
  <c r="G465" i="12"/>
  <c r="G453" i="12"/>
  <c r="G478" i="12"/>
  <c r="G470" i="12"/>
  <c r="G497" i="12"/>
  <c r="G505" i="12"/>
  <c r="G503" i="12"/>
  <c r="G498" i="12"/>
  <c r="G499" i="12"/>
  <c r="G495" i="12"/>
  <c r="G504" i="12"/>
  <c r="N436" i="12"/>
  <c r="N439" i="12"/>
  <c r="N440" i="12"/>
  <c r="N445" i="12"/>
  <c r="N438" i="12"/>
  <c r="N444" i="12"/>
  <c r="N435" i="12"/>
  <c r="N441" i="12"/>
  <c r="N442" i="12"/>
  <c r="N437" i="12"/>
  <c r="N470" i="12"/>
  <c r="N443" i="12"/>
  <c r="U512" i="12"/>
  <c r="U508" i="12"/>
  <c r="U511" i="12"/>
  <c r="U517" i="12"/>
  <c r="U510" i="12"/>
  <c r="U516" i="12"/>
  <c r="U514" i="12"/>
  <c r="U471" i="12"/>
  <c r="U509" i="12"/>
  <c r="U470" i="12"/>
  <c r="U515" i="12"/>
  <c r="U513" i="12"/>
  <c r="G500" i="12" l="1"/>
  <c r="G490" i="12"/>
  <c r="G484" i="12"/>
  <c r="G489" i="12"/>
  <c r="G482" i="12"/>
  <c r="G507" i="12"/>
  <c r="G515" i="12"/>
  <c r="G509" i="12"/>
  <c r="G516" i="12"/>
  <c r="G511" i="12"/>
  <c r="G510" i="12"/>
  <c r="G517" i="12"/>
  <c r="N479" i="12"/>
  <c r="N473" i="12"/>
  <c r="N477" i="12"/>
  <c r="N480" i="12"/>
  <c r="N481" i="12"/>
  <c r="N475" i="12"/>
  <c r="N482" i="12"/>
  <c r="N478" i="12"/>
  <c r="N471" i="12"/>
  <c r="N474" i="12"/>
  <c r="N476" i="12"/>
  <c r="N472" i="12"/>
  <c r="U525" i="12"/>
  <c r="U482" i="12"/>
  <c r="U483" i="12"/>
  <c r="U528" i="12"/>
  <c r="U529" i="12"/>
  <c r="U520" i="12"/>
  <c r="U527" i="12"/>
  <c r="U521" i="12"/>
  <c r="U526" i="12"/>
  <c r="U522" i="12"/>
  <c r="U523" i="12"/>
  <c r="U524" i="12"/>
  <c r="G501" i="12" l="1"/>
  <c r="G502" i="12"/>
  <c r="G496" i="12"/>
  <c r="G512" i="12"/>
  <c r="G494" i="12"/>
  <c r="G529" i="12"/>
  <c r="G528" i="12"/>
  <c r="G527" i="12"/>
  <c r="G522" i="12"/>
  <c r="G523" i="12"/>
  <c r="G521" i="12"/>
  <c r="G519" i="12"/>
  <c r="N484" i="12"/>
  <c r="N486" i="12"/>
  <c r="N490" i="12"/>
  <c r="N487" i="12"/>
  <c r="N492" i="12"/>
  <c r="N485" i="12"/>
  <c r="N488" i="12"/>
  <c r="N483" i="12"/>
  <c r="N494" i="12"/>
  <c r="N493" i="12"/>
  <c r="N489" i="12"/>
  <c r="N491" i="12"/>
  <c r="U536" i="12"/>
  <c r="U534" i="12"/>
  <c r="U533" i="12"/>
  <c r="U532" i="12"/>
  <c r="U540" i="12"/>
  <c r="U494" i="12"/>
  <c r="U535" i="12"/>
  <c r="U538" i="12"/>
  <c r="U539" i="12"/>
  <c r="U541" i="12"/>
  <c r="U495" i="12"/>
  <c r="U537" i="12"/>
  <c r="G524" i="12" l="1"/>
  <c r="G514" i="12"/>
  <c r="G508" i="12"/>
  <c r="G513" i="12"/>
  <c r="G506" i="12"/>
  <c r="G535" i="12"/>
  <c r="G539" i="12"/>
  <c r="G531" i="12"/>
  <c r="G533" i="12"/>
  <c r="G534" i="12"/>
  <c r="G540" i="12"/>
  <c r="G541" i="12"/>
  <c r="N503" i="12"/>
  <c r="N505" i="12"/>
  <c r="N495" i="12"/>
  <c r="N497" i="12"/>
  <c r="N499" i="12"/>
  <c r="N498" i="12"/>
  <c r="N501" i="12"/>
  <c r="N506" i="12"/>
  <c r="N500" i="12"/>
  <c r="N504" i="12"/>
  <c r="N502" i="12"/>
  <c r="N496" i="12"/>
  <c r="U549" i="12"/>
  <c r="U553" i="12"/>
  <c r="U550" i="12"/>
  <c r="U506" i="12"/>
  <c r="U544" i="12"/>
  <c r="U546" i="12"/>
  <c r="U507" i="12"/>
  <c r="U551" i="12"/>
  <c r="U547" i="12"/>
  <c r="U552" i="12"/>
  <c r="U545" i="12"/>
  <c r="U548" i="12"/>
  <c r="G526" i="12" l="1"/>
  <c r="G536" i="12"/>
  <c r="G525" i="12"/>
  <c r="G520" i="12"/>
  <c r="G518" i="12"/>
  <c r="G552" i="12"/>
  <c r="G546" i="12"/>
  <c r="G543" i="12"/>
  <c r="G551" i="12"/>
  <c r="G547" i="12"/>
  <c r="G553" i="12"/>
  <c r="G545" i="12"/>
  <c r="N508" i="12"/>
  <c r="N518" i="12"/>
  <c r="N509" i="12"/>
  <c r="N516" i="12"/>
  <c r="N510" i="12"/>
  <c r="N517" i="12"/>
  <c r="N514" i="12"/>
  <c r="N512" i="12"/>
  <c r="N513" i="12"/>
  <c r="N511" i="12"/>
  <c r="N507" i="12"/>
  <c r="N515" i="12"/>
  <c r="U560" i="12"/>
  <c r="U564" i="12"/>
  <c r="U563" i="12"/>
  <c r="U558" i="12"/>
  <c r="U518" i="12"/>
  <c r="U565" i="12"/>
  <c r="U557" i="12"/>
  <c r="U559" i="12"/>
  <c r="U519" i="12"/>
  <c r="U556" i="12"/>
  <c r="U562" i="12"/>
  <c r="U561" i="12"/>
  <c r="G548" i="12" l="1"/>
  <c r="G532" i="12"/>
  <c r="G537" i="12"/>
  <c r="G538" i="12"/>
  <c r="G530" i="12"/>
  <c r="G557" i="12"/>
  <c r="G565" i="12"/>
  <c r="G563" i="12"/>
  <c r="G558" i="12"/>
  <c r="G559" i="12"/>
  <c r="G555" i="12"/>
  <c r="G564" i="12"/>
  <c r="N527" i="12"/>
  <c r="N523" i="12"/>
  <c r="N524" i="12"/>
  <c r="N529" i="12"/>
  <c r="N528" i="12"/>
  <c r="N530" i="12"/>
  <c r="N519" i="12"/>
  <c r="N525" i="12"/>
  <c r="N526" i="12"/>
  <c r="N522" i="12"/>
  <c r="N521" i="12"/>
  <c r="N520" i="12"/>
  <c r="U573" i="12"/>
  <c r="U568" i="12"/>
  <c r="U571" i="12"/>
  <c r="U577" i="12"/>
  <c r="U570" i="12"/>
  <c r="U576" i="12"/>
  <c r="U574" i="12"/>
  <c r="U531" i="12"/>
  <c r="U569" i="12"/>
  <c r="U530" i="12"/>
  <c r="U575" i="12"/>
  <c r="U572" i="12"/>
  <c r="G550" i="12" l="1"/>
  <c r="G544" i="12"/>
  <c r="G560" i="12"/>
  <c r="G549" i="12"/>
  <c r="G542" i="12"/>
  <c r="G567" i="12"/>
  <c r="G575" i="12"/>
  <c r="G569" i="12"/>
  <c r="G576" i="12"/>
  <c r="G571" i="12"/>
  <c r="G570" i="12"/>
  <c r="G577" i="12"/>
  <c r="N532" i="12"/>
  <c r="N534" i="12"/>
  <c r="N541" i="12"/>
  <c r="N537" i="12"/>
  <c r="N542" i="12"/>
  <c r="N535" i="12"/>
  <c r="N533" i="12"/>
  <c r="N538" i="12"/>
  <c r="N531" i="12"/>
  <c r="N540" i="12"/>
  <c r="N536" i="12"/>
  <c r="N539" i="12"/>
  <c r="U542" i="12"/>
  <c r="U543" i="12"/>
  <c r="G561" i="12" l="1"/>
  <c r="G556" i="12"/>
  <c r="G572" i="12"/>
  <c r="G562" i="12"/>
  <c r="G554" i="12"/>
  <c r="N551" i="12"/>
  <c r="N552" i="12"/>
  <c r="N550" i="12"/>
  <c r="N549" i="12"/>
  <c r="N546" i="12"/>
  <c r="N547" i="12"/>
  <c r="N548" i="12"/>
  <c r="N543" i="12"/>
  <c r="N545" i="12"/>
  <c r="N554" i="12"/>
  <c r="N553" i="12"/>
  <c r="N544" i="12"/>
  <c r="U597" i="12"/>
  <c r="U593" i="12"/>
  <c r="U600" i="12"/>
  <c r="U594" i="12"/>
  <c r="U592" i="12"/>
  <c r="U555" i="12"/>
  <c r="U595" i="12"/>
  <c r="U598" i="12"/>
  <c r="U599" i="12"/>
  <c r="U601" i="12"/>
  <c r="U596" i="12"/>
  <c r="U554" i="12"/>
  <c r="G574" i="12" l="1"/>
  <c r="G568" i="12"/>
  <c r="G573" i="12"/>
  <c r="G566" i="12"/>
  <c r="G595" i="12"/>
  <c r="G599" i="12"/>
  <c r="G591" i="12"/>
  <c r="G593" i="12"/>
  <c r="G594" i="12"/>
  <c r="G600" i="12"/>
  <c r="G601" i="12"/>
  <c r="N556" i="12"/>
  <c r="N566" i="12"/>
  <c r="N555" i="12"/>
  <c r="N561" i="12"/>
  <c r="N564" i="12"/>
  <c r="N559" i="12"/>
  <c r="N565" i="12"/>
  <c r="N557" i="12"/>
  <c r="N560" i="12"/>
  <c r="N558" i="12"/>
  <c r="N562" i="12"/>
  <c r="N563" i="12"/>
  <c r="U613" i="12"/>
  <c r="U606" i="12"/>
  <c r="U566" i="12"/>
  <c r="U610" i="12"/>
  <c r="U567" i="12"/>
  <c r="U605" i="12"/>
  <c r="U608" i="12"/>
  <c r="U611" i="12"/>
  <c r="U607" i="12"/>
  <c r="U604" i="12"/>
  <c r="U612" i="12"/>
  <c r="U609" i="12"/>
  <c r="G596" i="12" l="1"/>
  <c r="G612" i="12"/>
  <c r="G606" i="12"/>
  <c r="G603" i="12"/>
  <c r="G611" i="12"/>
  <c r="G607" i="12"/>
  <c r="G613" i="12"/>
  <c r="G605" i="12"/>
  <c r="N575" i="12"/>
  <c r="N570" i="12"/>
  <c r="N573" i="12"/>
  <c r="N569" i="12"/>
  <c r="N571" i="12"/>
  <c r="N574" i="12"/>
  <c r="N572" i="12"/>
  <c r="N577" i="12"/>
  <c r="N576" i="12"/>
  <c r="N567" i="12"/>
  <c r="N568" i="12"/>
  <c r="U635" i="12"/>
  <c r="U633" i="12"/>
  <c r="U628" i="12"/>
  <c r="U629" i="12"/>
  <c r="U634" i="12"/>
  <c r="U630" i="12"/>
  <c r="U636" i="12"/>
  <c r="U631" i="12"/>
  <c r="U632" i="12"/>
  <c r="U637" i="12"/>
  <c r="G598" i="12" l="1"/>
  <c r="G592" i="12"/>
  <c r="G608" i="12"/>
  <c r="G597" i="12"/>
  <c r="G590" i="12"/>
  <c r="U620" i="12"/>
  <c r="U622" i="12"/>
  <c r="U625" i="12"/>
  <c r="U619" i="12"/>
  <c r="U617" i="12"/>
  <c r="U624" i="12"/>
  <c r="U616" i="12"/>
  <c r="U623" i="12"/>
  <c r="U618" i="12"/>
  <c r="U621" i="12"/>
  <c r="G617" i="12"/>
  <c r="G625" i="12"/>
  <c r="G623" i="12"/>
  <c r="G618" i="12"/>
  <c r="G619" i="12"/>
  <c r="G615" i="12"/>
  <c r="G624" i="12"/>
  <c r="N590" i="12"/>
  <c r="U649" i="12"/>
  <c r="U643" i="12"/>
  <c r="U645" i="12"/>
  <c r="U591" i="12"/>
  <c r="U642" i="12"/>
  <c r="U641" i="12"/>
  <c r="U590" i="12"/>
  <c r="U644" i="12"/>
  <c r="U648" i="12"/>
  <c r="U646" i="12"/>
  <c r="U640" i="12"/>
  <c r="U647" i="12"/>
  <c r="G609" i="12" l="1"/>
  <c r="G604" i="12"/>
  <c r="G620" i="12"/>
  <c r="G632" i="12"/>
  <c r="G610" i="12"/>
  <c r="G602" i="12"/>
  <c r="G639" i="12"/>
  <c r="G647" i="12"/>
  <c r="G641" i="12"/>
  <c r="G648" i="12"/>
  <c r="G643" i="12"/>
  <c r="G642" i="12"/>
  <c r="G649" i="12"/>
  <c r="N599" i="12"/>
  <c r="N595" i="12"/>
  <c r="N601" i="12"/>
  <c r="N594" i="12"/>
  <c r="N602" i="12"/>
  <c r="N600" i="12"/>
  <c r="N597" i="12"/>
  <c r="N598" i="12"/>
  <c r="N591" i="12"/>
  <c r="N593" i="12"/>
  <c r="N596" i="12"/>
  <c r="N592" i="12"/>
  <c r="U659" i="12"/>
  <c r="U658" i="12"/>
  <c r="U656" i="12"/>
  <c r="U653" i="12"/>
  <c r="U603" i="12"/>
  <c r="U655" i="12"/>
  <c r="U652" i="12"/>
  <c r="U660" i="12"/>
  <c r="U602" i="12"/>
  <c r="U654" i="12"/>
  <c r="U657" i="12"/>
  <c r="U661" i="12"/>
  <c r="G634" i="12" l="1"/>
  <c r="G622" i="12"/>
  <c r="G644" i="12"/>
  <c r="G628" i="12"/>
  <c r="G616" i="12"/>
  <c r="G633" i="12"/>
  <c r="G621" i="12"/>
  <c r="G626" i="12"/>
  <c r="G614" i="12"/>
  <c r="G661" i="12"/>
  <c r="G660" i="12"/>
  <c r="G659" i="12"/>
  <c r="G654" i="12"/>
  <c r="G655" i="12"/>
  <c r="G653" i="12"/>
  <c r="G651" i="12"/>
  <c r="N604" i="12"/>
  <c r="N605" i="12"/>
  <c r="N610" i="12"/>
  <c r="N612" i="12"/>
  <c r="N606" i="12"/>
  <c r="N607" i="12"/>
  <c r="N608" i="12"/>
  <c r="N603" i="12"/>
  <c r="N609" i="12"/>
  <c r="N626" i="12"/>
  <c r="N613" i="12"/>
  <c r="N611" i="12"/>
  <c r="U666" i="12"/>
  <c r="U672" i="12"/>
  <c r="U667" i="12"/>
  <c r="U665" i="12"/>
  <c r="U670" i="12"/>
  <c r="U673" i="12"/>
  <c r="U669" i="12"/>
  <c r="U626" i="12"/>
  <c r="U664" i="12"/>
  <c r="U627" i="12"/>
  <c r="U668" i="12"/>
  <c r="U671" i="12"/>
  <c r="G656" i="12" l="1"/>
  <c r="G640" i="12"/>
  <c r="G645" i="12"/>
  <c r="G646" i="12"/>
  <c r="G638" i="12"/>
  <c r="U614" i="12"/>
  <c r="U615" i="12"/>
  <c r="N614" i="12"/>
  <c r="G667" i="12"/>
  <c r="G671" i="12"/>
  <c r="G663" i="12"/>
  <c r="G665" i="12"/>
  <c r="G666" i="12"/>
  <c r="G672" i="12"/>
  <c r="G673" i="12"/>
  <c r="N635" i="12"/>
  <c r="N638" i="12"/>
  <c r="N627" i="12"/>
  <c r="N631" i="12"/>
  <c r="N636" i="12"/>
  <c r="N629" i="12"/>
  <c r="N637" i="12"/>
  <c r="N633" i="12"/>
  <c r="N632" i="12"/>
  <c r="N630" i="12"/>
  <c r="N634" i="12"/>
  <c r="N628" i="12"/>
  <c r="U695" i="12"/>
  <c r="U639" i="12"/>
  <c r="U638" i="12"/>
  <c r="U697" i="12"/>
  <c r="U689" i="12"/>
  <c r="U696" i="12"/>
  <c r="U692" i="12"/>
  <c r="U688" i="12"/>
  <c r="U693" i="12"/>
  <c r="U694" i="12"/>
  <c r="U691" i="12"/>
  <c r="U690" i="12"/>
  <c r="G658" i="12" l="1"/>
  <c r="G652" i="12"/>
  <c r="G657" i="12"/>
  <c r="G668" i="12"/>
  <c r="G650" i="12"/>
  <c r="U682" i="12"/>
  <c r="U679" i="12"/>
  <c r="U681" i="12"/>
  <c r="U677" i="12"/>
  <c r="U683" i="12"/>
  <c r="U680" i="12"/>
  <c r="U684" i="12"/>
  <c r="U678" i="12"/>
  <c r="U676" i="12"/>
  <c r="U685" i="12"/>
  <c r="N625" i="12"/>
  <c r="N618" i="12"/>
  <c r="N616" i="12"/>
  <c r="N621" i="12"/>
  <c r="N622" i="12"/>
  <c r="N615" i="12"/>
  <c r="N617" i="12"/>
  <c r="N620" i="12"/>
  <c r="N624" i="12"/>
  <c r="N623" i="12"/>
  <c r="N619" i="12"/>
  <c r="G684" i="12"/>
  <c r="G678" i="12"/>
  <c r="G675" i="12"/>
  <c r="G683" i="12"/>
  <c r="G679" i="12"/>
  <c r="G685" i="12"/>
  <c r="G677" i="12"/>
  <c r="N640" i="12"/>
  <c r="N642" i="12"/>
  <c r="N645" i="12"/>
  <c r="N641" i="12"/>
  <c r="N643" i="12"/>
  <c r="N650" i="12"/>
  <c r="N646" i="12"/>
  <c r="N644" i="12"/>
  <c r="N649" i="12"/>
  <c r="N648" i="12"/>
  <c r="N639" i="12"/>
  <c r="N647" i="12"/>
  <c r="U702" i="12"/>
  <c r="U706" i="12"/>
  <c r="U700" i="12"/>
  <c r="U708" i="12"/>
  <c r="U709" i="12"/>
  <c r="U651" i="12"/>
  <c r="U703" i="12"/>
  <c r="U705" i="12"/>
  <c r="U704" i="12"/>
  <c r="U701" i="12"/>
  <c r="U650" i="12"/>
  <c r="U707" i="12"/>
  <c r="G680" i="12" l="1"/>
  <c r="G692" i="12"/>
  <c r="G664" i="12"/>
  <c r="G669" i="12"/>
  <c r="G670" i="12"/>
  <c r="G662" i="12"/>
  <c r="G701" i="12"/>
  <c r="G709" i="12"/>
  <c r="G707" i="12"/>
  <c r="G702" i="12"/>
  <c r="G703" i="12"/>
  <c r="G699" i="12"/>
  <c r="G708" i="12"/>
  <c r="N659" i="12"/>
  <c r="N660" i="12"/>
  <c r="N656" i="12"/>
  <c r="N662" i="12"/>
  <c r="N653" i="12"/>
  <c r="N654" i="12"/>
  <c r="N651" i="12"/>
  <c r="N661" i="12"/>
  <c r="N658" i="12"/>
  <c r="N655" i="12"/>
  <c r="N657" i="12"/>
  <c r="N652" i="12"/>
  <c r="U717" i="12"/>
  <c r="U719" i="12"/>
  <c r="U713" i="12"/>
  <c r="U663" i="12"/>
  <c r="U720" i="12"/>
  <c r="U718" i="12"/>
  <c r="U662" i="12"/>
  <c r="U716" i="12"/>
  <c r="U715" i="12"/>
  <c r="U721" i="12"/>
  <c r="U712" i="12"/>
  <c r="U714" i="12"/>
  <c r="G693" i="12" l="1"/>
  <c r="G681" i="12"/>
  <c r="G704" i="12"/>
  <c r="G694" i="12"/>
  <c r="G682" i="12"/>
  <c r="G688" i="12"/>
  <c r="G676" i="12"/>
  <c r="G686" i="12"/>
  <c r="G674" i="12"/>
  <c r="G711" i="12"/>
  <c r="G719" i="12"/>
  <c r="G713" i="12"/>
  <c r="G720" i="12"/>
  <c r="G715" i="12"/>
  <c r="G714" i="12"/>
  <c r="G721" i="12"/>
  <c r="N664" i="12"/>
  <c r="N667" i="12"/>
  <c r="N673" i="12"/>
  <c r="N666" i="12"/>
  <c r="N686" i="12"/>
  <c r="N672" i="12"/>
  <c r="N669" i="12"/>
  <c r="N670" i="12"/>
  <c r="N663" i="12"/>
  <c r="N665" i="12"/>
  <c r="N668" i="12"/>
  <c r="N671" i="12"/>
  <c r="U726" i="12"/>
  <c r="U728" i="12"/>
  <c r="U687" i="12"/>
  <c r="U733" i="12"/>
  <c r="U730" i="12"/>
  <c r="U731" i="12"/>
  <c r="U724" i="12"/>
  <c r="U727" i="12"/>
  <c r="U686" i="12"/>
  <c r="U732" i="12"/>
  <c r="U725" i="12"/>
  <c r="U729" i="12"/>
  <c r="G716" i="12" l="1"/>
  <c r="G706" i="12"/>
  <c r="G700" i="12"/>
  <c r="G705" i="12"/>
  <c r="G698" i="12"/>
  <c r="U674" i="12"/>
  <c r="U675" i="12"/>
  <c r="N674" i="12"/>
  <c r="G745" i="12"/>
  <c r="G733" i="12"/>
  <c r="G744" i="12"/>
  <c r="G732" i="12"/>
  <c r="G743" i="12"/>
  <c r="G731" i="12"/>
  <c r="G738" i="12"/>
  <c r="G726" i="12"/>
  <c r="G739" i="12"/>
  <c r="G727" i="12"/>
  <c r="G737" i="12"/>
  <c r="G725" i="12"/>
  <c r="G735" i="12"/>
  <c r="G723" i="12"/>
  <c r="N696" i="12"/>
  <c r="N695" i="12"/>
  <c r="N689" i="12"/>
  <c r="N694" i="12"/>
  <c r="N691" i="12"/>
  <c r="N690" i="12"/>
  <c r="N692" i="12"/>
  <c r="N687" i="12"/>
  <c r="N693" i="12"/>
  <c r="N698" i="12"/>
  <c r="N697" i="12"/>
  <c r="N688" i="12"/>
  <c r="U744" i="12"/>
  <c r="U743" i="12"/>
  <c r="U741" i="12"/>
  <c r="U739" i="12"/>
  <c r="U745" i="12"/>
  <c r="U740" i="12"/>
  <c r="U737" i="12"/>
  <c r="U698" i="12"/>
  <c r="U736" i="12"/>
  <c r="U742" i="12"/>
  <c r="U699" i="12"/>
  <c r="U738" i="12"/>
  <c r="G717" i="12" l="1"/>
  <c r="G718" i="12"/>
  <c r="G712" i="12"/>
  <c r="G728" i="12"/>
  <c r="G710" i="12"/>
  <c r="N676" i="12"/>
  <c r="N675" i="12"/>
  <c r="N682" i="12"/>
  <c r="N685" i="12"/>
  <c r="N680" i="12"/>
  <c r="N677" i="12"/>
  <c r="N678" i="12"/>
  <c r="N683" i="12"/>
  <c r="N681" i="12"/>
  <c r="N679" i="12"/>
  <c r="N684" i="12"/>
  <c r="N700" i="12"/>
  <c r="N699" i="12"/>
  <c r="N702" i="12"/>
  <c r="N707" i="12"/>
  <c r="N710" i="12"/>
  <c r="N706" i="12"/>
  <c r="N709" i="12"/>
  <c r="N705" i="12"/>
  <c r="N704" i="12"/>
  <c r="N703" i="12"/>
  <c r="N701" i="12"/>
  <c r="N708" i="12"/>
  <c r="U710" i="12"/>
  <c r="U711" i="12"/>
  <c r="G730" i="12" l="1"/>
  <c r="G740" i="12"/>
  <c r="G724" i="12"/>
  <c r="G729" i="12"/>
  <c r="G722" i="12"/>
  <c r="N715" i="12"/>
  <c r="N718" i="12"/>
  <c r="N711" i="12"/>
  <c r="N720" i="12"/>
  <c r="N717" i="12"/>
  <c r="N719" i="12"/>
  <c r="N713" i="12"/>
  <c r="N716" i="12"/>
  <c r="N721" i="12"/>
  <c r="N722" i="12"/>
  <c r="N714" i="12"/>
  <c r="N712" i="12"/>
  <c r="U723" i="12"/>
  <c r="U722" i="12"/>
  <c r="G741" i="12" l="1"/>
  <c r="G734" i="12"/>
  <c r="G736" i="12"/>
  <c r="G742" i="12"/>
  <c r="N724" i="12"/>
  <c r="N728" i="12"/>
  <c r="N732" i="12"/>
  <c r="N734" i="12"/>
  <c r="N731" i="12"/>
  <c r="N730" i="12"/>
  <c r="N726" i="12"/>
  <c r="N733" i="12"/>
  <c r="N725" i="12"/>
  <c r="N729" i="12"/>
  <c r="N723" i="12"/>
  <c r="N727" i="12"/>
  <c r="U734" i="12"/>
  <c r="U735" i="12"/>
  <c r="N739" i="12" l="1"/>
  <c r="N741" i="12"/>
  <c r="N745" i="12"/>
  <c r="N742" i="12"/>
  <c r="N740" i="12"/>
  <c r="N735" i="12"/>
  <c r="N737" i="12"/>
  <c r="N738" i="12"/>
  <c r="N743" i="12"/>
  <c r="N744" i="12"/>
  <c r="N736" i="12"/>
</calcChain>
</file>

<file path=xl/sharedStrings.xml><?xml version="1.0" encoding="utf-8"?>
<sst xmlns="http://schemas.openxmlformats.org/spreadsheetml/2006/main" count="9152" uniqueCount="321">
  <si>
    <t>EMPRESA JÚNIOR</t>
  </si>
  <si>
    <t>META de Faturamento</t>
  </si>
  <si>
    <t>META de % de membros que executaram</t>
  </si>
  <si>
    <t>CONTRATOS</t>
  </si>
  <si>
    <t>FATURAMENTO</t>
  </si>
  <si>
    <t>PROJETOS</t>
  </si>
  <si>
    <t>Nº DE MEMBROS QUE EXECUTARAM PROJETOS NO MÊS</t>
  </si>
  <si>
    <t>% DE MEMBROS QUE EXECUTARAM PROJETOS NO MÊS</t>
  </si>
  <si>
    <t>% DE MEMBROS QUE EXECUTARAM PROJETOS ACUMULADA</t>
  </si>
  <si>
    <t>CONTRATOS FINALIZADOS</t>
  </si>
  <si>
    <t>PROJETOS FINALIZADOS</t>
  </si>
  <si>
    <t>Nº DE EJS COM QUEM REALIZOU AÇÃO COMPARTILHADA</t>
  </si>
  <si>
    <t>Nº DE AÇOES COMPARTILHADAS</t>
  </si>
  <si>
    <t>Nº DE PROJETOS REALIZADOS EM CONJUNTO</t>
  </si>
  <si>
    <t>NPS</t>
  </si>
  <si>
    <t>PROJETOS NPS DETRATOS</t>
  </si>
  <si>
    <t>PROJETOS NPS NEUTRO</t>
  </si>
  <si>
    <t>PROJETOS NPS PROMOTOR</t>
  </si>
  <si>
    <t>QTD DE MEMBROS QUE PARTICIPARAM EM EVENTOS</t>
  </si>
  <si>
    <t>% DE PARTICIPAÇÃO EM EVENTOS</t>
  </si>
  <si>
    <t>% DE PARTICIPAÇÃO EM EVENTOS ACUMULADA</t>
  </si>
  <si>
    <t>% DE PROJETOS EM RELAÇÃO A META</t>
  </si>
  <si>
    <t>% DE FATURAMENTO EM RELAÇÃO A META</t>
  </si>
  <si>
    <t>CIDADE</t>
  </si>
  <si>
    <t>UNIVERSIDADE</t>
  </si>
  <si>
    <t>MEMBROS</t>
  </si>
  <si>
    <t>N/A</t>
  </si>
  <si>
    <t>Mecânica, Materiais, Naval ou Aeroespacial</t>
  </si>
  <si>
    <t>Química ou Farmácia</t>
  </si>
  <si>
    <t>Negócios, Mercado ou Relações Internacionais</t>
  </si>
  <si>
    <t>Civil ou Arquitetura</t>
  </si>
  <si>
    <t>Opus Consultoria Júnior</t>
  </si>
  <si>
    <t xml:space="preserve">Universidade Federal do Rio Grande </t>
  </si>
  <si>
    <t>Finanças, Contabilidade ou Estatística, Gestão Interna ou Produção, Marketing, Negócios, Mercado ou Relações Internacionais</t>
  </si>
  <si>
    <t>Computação ou Tecnologia da Informação</t>
  </si>
  <si>
    <t>Elétrica, Eletrônica, Automação ou Energia, Computação ou Tecnologia da Informação</t>
  </si>
  <si>
    <t>Global Jr.</t>
  </si>
  <si>
    <t>EJMinas</t>
  </si>
  <si>
    <t>Porto Alegre</t>
  </si>
  <si>
    <t>Universidade Federal do Rio Grande do Sul</t>
  </si>
  <si>
    <t>Química ou Farmácia, Mineração, Petróleo ou Gás, Geologia, Geografia, Geofísica ou Engenharia de Minas, Mecânica, Materiais, Naval ou Aeroespacial</t>
  </si>
  <si>
    <t>Caduceu Júnior</t>
  </si>
  <si>
    <t>TechVet Júnior</t>
  </si>
  <si>
    <t>Santa Maria</t>
  </si>
  <si>
    <t xml:space="preserve">Universidade Federal de Santa Maria </t>
  </si>
  <si>
    <t>Agrícola, Agronomia, Zootecnia ou Produção Animal</t>
  </si>
  <si>
    <t>Floresta Jr - Consultoria e Planejamento Ambiental e Florestal</t>
  </si>
  <si>
    <t>CEANUT</t>
  </si>
  <si>
    <t>Elétrica, Eletrônica, Automação ou Energia</t>
  </si>
  <si>
    <t>ESCOLA SUPERIOR DE PROPAGANDA E MARKETING DE PORTO ALEGRE</t>
  </si>
  <si>
    <t>Negócios, Mercado ou Relações Internacionais, Gestão Pública ou Ciências Políticas/Sociais, Alimentos, Nutrição ou Educação Física</t>
  </si>
  <si>
    <t>Alimentos, Nutrição ou Educação Física</t>
  </si>
  <si>
    <t>Projep Jr.</t>
  </si>
  <si>
    <t>Marketing, Mecânica, Materiais, Naval ou Aeroespacial, Gestão Interna ou Produção</t>
  </si>
  <si>
    <t>Equilíbrio Assessoria Econômica</t>
  </si>
  <si>
    <t xml:space="preserve">Automatiza Júnior </t>
  </si>
  <si>
    <t>Enfitec Júnior</t>
  </si>
  <si>
    <t>Química ou Farmácia, Gestão Interna ou Produção, Mineração, Petróleo ou Gás, Mecânica, Materiais, Naval ou Aeroespacial, Civil ou Arquitetura</t>
  </si>
  <si>
    <t>Finanças, Contabilidade ou Estatística</t>
  </si>
  <si>
    <t>Química ou Farmácia, Mecânica, Materiais, Naval ou Aeroespacial</t>
  </si>
  <si>
    <t>Química ou Farmácia, Mecânica, Materiais, Naval ou Aeroespacial, Gestão Interna ou Produção</t>
  </si>
  <si>
    <t>Química ou Farmácia, Recursos Humanos, Turismo ou Secretariado Executivo Trilíngue</t>
  </si>
  <si>
    <t>CASP Jr. - Assessoria em Automação</t>
  </si>
  <si>
    <t>Computação ou Tecnologia da Informação, Mecânica, Materiais, Naval ou Aeroespacial</t>
  </si>
  <si>
    <t>Hórus Júnior - Assessoria Contábil</t>
  </si>
  <si>
    <t xml:space="preserve">Byte Jr. </t>
  </si>
  <si>
    <t>SGPampa Jr.</t>
  </si>
  <si>
    <t>Bagé</t>
  </si>
  <si>
    <t>Universidade Federal do PAMPA</t>
  </si>
  <si>
    <t>Finanças, Contabilidade ou Estatística, Gestão Interna ou Produção, Gestão Pública ou Ciências Políticas/Sociais, Marketing</t>
  </si>
  <si>
    <t>Pampec Jr.</t>
  </si>
  <si>
    <t>F5 Junior - Consultoria Internacional</t>
  </si>
  <si>
    <t>Jurídico, Negócios, Mercado ou Relações Internacionais</t>
  </si>
  <si>
    <t>Empresa Júnior IDE</t>
  </si>
  <si>
    <t>Mecânica, Materiais, Naval ou Aeroespacial, Elétrica, Eletrônica, Automação ou Energia, Comunicação, Design ou Jornalismo, Computação ou Tecnologia da Informação</t>
  </si>
  <si>
    <t>Faísca Design Júnior</t>
  </si>
  <si>
    <t>Elétrica, Eletrônica, Automação ou Energia, Mecânica, Materiais, Naval ou Aeroespacial</t>
  </si>
  <si>
    <t>Phi Consultoria</t>
  </si>
  <si>
    <t>Negócios, Mercado ou Relações Internacionais, Química ou Farmácia</t>
  </si>
  <si>
    <t>Mecânica, Materiais, Naval ou Aeroespacial, Civil ou Arquitetura, Elétrica, Eletrônica, Automação ou Energia</t>
  </si>
  <si>
    <t>Petra Jr.</t>
  </si>
  <si>
    <t>Mineração, Petróleo ou Gás, Geologia, Geografia, Geofísica ou Engenharia de Minas, Ambiental, Ecologia, Biologia ou Aquicultura, Agrícola, Agronomia, Zootecnia ou Produção Animal</t>
  </si>
  <si>
    <t>HidroLógica - Desenvolvimento em Engenharia Hídrica</t>
  </si>
  <si>
    <t>Atena Consultoria Jr.</t>
  </si>
  <si>
    <t>Rio Grande</t>
  </si>
  <si>
    <t>MAC Alimentos</t>
  </si>
  <si>
    <t xml:space="preserve">MOVA </t>
  </si>
  <si>
    <t xml:space="preserve">Universidade Federal de Ciências da Saúde de Porto Alegre </t>
  </si>
  <si>
    <t>Comunicação, Design ou Jornalismo, Civil ou Arquitetura, Mecânica, Materiais, Naval ou Aeroespacial, Gestão Interna ou Produção</t>
  </si>
  <si>
    <t>CompAct Jr</t>
  </si>
  <si>
    <t>EPR Consultoria</t>
  </si>
  <si>
    <t>EME Jr.</t>
  </si>
  <si>
    <t>EJECiv - Arquitetura e Engenharia Civil</t>
  </si>
  <si>
    <t>Finanças, Contabilidade ou Estatística, Marketing, Negócios, Mercado ou Relações Internacionais</t>
  </si>
  <si>
    <t>Atlântica Consultoria Internacional</t>
  </si>
  <si>
    <t>Agrícola, Agronomia, Zootecnia ou Produção Animal, Ambiental, Ecologia, Biologia ou Aquicultura, Civil ou Arquitetura, Geologia, Geografia, Geofísica ou Engenharia de Minas, Negócios, Mercado ou Relações Internacionais, Química ou Farmácia, Mineração, Petróleo ou Gás</t>
  </si>
  <si>
    <t xml:space="preserve">RENOVE JR. SOLUÇÕES AMBIENTAIS </t>
  </si>
  <si>
    <t>Química ou Farmácia, Gestão Interna ou Produção, Alimentos, Nutrição ou Educação Física</t>
  </si>
  <si>
    <t>PS Júnior</t>
  </si>
  <si>
    <t>ECAPE - EMPRESA JÚNIOR DE CONSULTORIA AGROPECUÁRIA E PLANEJAMENTO ESTRATÉGICO</t>
  </si>
  <si>
    <t>Capão do Leão</t>
  </si>
  <si>
    <t xml:space="preserve">Universidade Federal de Pelotas </t>
  </si>
  <si>
    <t>NutriAção</t>
  </si>
  <si>
    <t>ITEP Jr</t>
  </si>
  <si>
    <t>Computação ou Tecnologia da Informação, Gestão Pública ou Ciências Políticas/Sociais, Gestão Interna ou Produção, Finanças, Contabilidade ou Estatística</t>
  </si>
  <si>
    <t>Projetar Empresa Júnior de Desenho Industrial</t>
  </si>
  <si>
    <t>OBJETIVA JR</t>
  </si>
  <si>
    <t>Finanças, Contabilidade ou Estatística, Química ou Farmácia</t>
  </si>
  <si>
    <t>UCS Empresa Júnior</t>
  </si>
  <si>
    <t>Quimlabor Jr.</t>
  </si>
  <si>
    <t>Química ou Farmácia, Ambiental, Ecologia, Biologia ou Aquicultura</t>
  </si>
  <si>
    <t>Renova Jr.</t>
  </si>
  <si>
    <t>Finanças, Contabilidade ou Estatística, Química ou Farmácia, Negócios, Mercado ou Relações Internacionais, Computação ou Tecnologia da Informação</t>
  </si>
  <si>
    <t>CPEn Jr</t>
  </si>
  <si>
    <t>CATALISA - Soluções em Engenharia Química</t>
  </si>
  <si>
    <t>Agrícola, Agronomia, Zootecnia ou Produção Animal, Ambiental, Ecologia, Biologia ou Aquicultura, Civil ou Arquitetura, Geologia, Geografia, Geofísica ou Engenharia de Minas, Mecânica, Materiais, Naval ou Aeroespacial, Química ou Farmácia</t>
  </si>
  <si>
    <t>Motora Junior Empresa de Consultoria</t>
  </si>
  <si>
    <t>Eali Consultoria Junior em Engenharia de Alimentos</t>
  </si>
  <si>
    <t>Alimentos, Nutrição ou Educação Física, Computação ou Tecnologia da Informação, Gestão Interna ou Produção, Química ou Farmácia</t>
  </si>
  <si>
    <t>Negócios, Mercado ou Relações Internacionais, Marketing, Finanças, Contabilidade ou Estatística</t>
  </si>
  <si>
    <t>Química ou Farmácia, Civil ou Arquitetura, Gestão Interna ou Produção</t>
  </si>
  <si>
    <t>Mandala Soluções em Engenharia Ambiental</t>
  </si>
  <si>
    <t>Ambiental, Ecologia, Biologia ou Aquicultura, Química ou Farmácia, Geologia, Geografia, Geofísica ou Engenharia de Minas</t>
  </si>
  <si>
    <t>EcoLógica Jr.</t>
  </si>
  <si>
    <t>Frederico Westphalen</t>
  </si>
  <si>
    <t>Visão Júnior</t>
  </si>
  <si>
    <t>Empresa Jr. ESPM</t>
  </si>
  <si>
    <t>Finanças, Contabilidade ou Estatística, Marketing, Negócios, Mercado ou Relações Internacionais, Recursos Humanos, Gestão Pública ou Ciências Políticas/Sociais, Comunicação, Design ou Jornalismo</t>
  </si>
  <si>
    <t>Mecânica, Materiais, Naval ou Aeroespacial, Alimentos, Nutrição ou Educação Física</t>
  </si>
  <si>
    <t>UPgrade Consultoria Jr.</t>
  </si>
  <si>
    <t>Santana do Livramento</t>
  </si>
  <si>
    <t>Sinc</t>
  </si>
  <si>
    <t>Caxias do Sul</t>
  </si>
  <si>
    <t>Universidade de Caxias do Sul</t>
  </si>
  <si>
    <t>Negócios, Mercado ou Relações Internacionais, Marketing, Jurídico, Gestão Interna ou Produção</t>
  </si>
  <si>
    <t>INOVA JÚNIOR</t>
  </si>
  <si>
    <t>Gravataí</t>
  </si>
  <si>
    <t>FACULDADE CNEC GRAVATAÍ</t>
  </si>
  <si>
    <t>Gestão Pública ou Ciências Políticas/Sociais, Negócios, Mercado ou Relações Internacionais</t>
  </si>
  <si>
    <t>Recursos Humanos, Química ou Farmácia, Negócios, Mercado ou Relações Internacionais, Mecânica, Materiais, Naval ou Aeroespacial, Marketing, Gestão Pública ou Ciências Políticas/Sociais, Gestão Interna ou Produção, Finanças, Contabilidade ou Estatística, Elétrica, Eletrônica, Automação ou Energia, Comunicação, Design ou Jornalismo, Computação ou Tecnologia da Informação, Ambiental, Ecologia, Biologia ou Aquicultura, Alimentos, Nutrição ou Educação Física, Agrícola, Agronomia, Zootecnia ou Produção Animal</t>
  </si>
  <si>
    <t>Recursos Humanos, Química ou Farmácia, Negócios, Mercado ou Relações Internacionais, Mineração, Petróleo ou Gás, Gestão Interna ou Produção</t>
  </si>
  <si>
    <t>Recursos Humanos, Mecânica, Materiais, Naval ou Aeroespacial, Marketing, Comunicação, Design ou Jornalismo, Computação ou Tecnologia da Informação, Civil ou Arquitetura</t>
  </si>
  <si>
    <t>Base Júnior</t>
  </si>
  <si>
    <t>OTMZA  Assessoria em Engenharia</t>
  </si>
  <si>
    <t>Palmeira das Missões</t>
  </si>
  <si>
    <t>Química ou Farmácia, Geologia, Geografia, Geofísica ou Engenharia de Minas, Elétrica, Eletrônica, Automação ou Energia, Ambiental, Ecologia, Biologia ou Aquicultura</t>
  </si>
  <si>
    <t xml:space="preserve">Sigma Júnior Consultoria Estatística </t>
  </si>
  <si>
    <t>Exata Consultoria Junior</t>
  </si>
  <si>
    <t>Comunicação, Design ou Jornalismo, Elétrica, Eletrônica, Automação ou Energia, Mecânica, Materiais, Naval ou Aeroespacial, Química ou Farmácia</t>
  </si>
  <si>
    <t>Recursos Humanos, Negócios, Mercado ou Relações Internacionais, Marketing, Gestão Interna ou Produção, Finanças, Contabilidade ou Estatística, Gestão Pública ou Ciências Políticas/Sociais</t>
  </si>
  <si>
    <t>Indicador Participação em Eventos</t>
  </si>
  <si>
    <t>Janeiro</t>
  </si>
  <si>
    <t>Fevereiro</t>
  </si>
  <si>
    <t>Março</t>
  </si>
  <si>
    <t>Abril</t>
  </si>
  <si>
    <t>Maio</t>
  </si>
  <si>
    <t>Junho</t>
  </si>
  <si>
    <t>Julho</t>
  </si>
  <si>
    <t>Agosto</t>
  </si>
  <si>
    <t>Setembro</t>
  </si>
  <si>
    <t>Outubro</t>
  </si>
  <si>
    <t>Novembro</t>
  </si>
  <si>
    <t>Dezembro</t>
  </si>
  <si>
    <t>Desvio Padrão</t>
  </si>
  <si>
    <t>Evento</t>
  </si>
  <si>
    <t>Mês</t>
  </si>
  <si>
    <t>Ano</t>
  </si>
  <si>
    <t>Meta Farol</t>
  </si>
  <si>
    <t>Faturamento Farol</t>
  </si>
  <si>
    <t>Banda Superior (Mensal)</t>
  </si>
  <si>
    <t>Banda Inferior (Mensal)</t>
  </si>
  <si>
    <t>Média(Mensal)</t>
  </si>
  <si>
    <t>Ambiental</t>
  </si>
  <si>
    <t>Engenharias</t>
  </si>
  <si>
    <t>Estatística</t>
  </si>
  <si>
    <t>Tecnologia</t>
  </si>
  <si>
    <t>CLUSTER</t>
  </si>
  <si>
    <t>ÁREA DE ATUAÇÃO</t>
  </si>
  <si>
    <t>SERVIÇOS</t>
  </si>
  <si>
    <t>META FATURAMENTO</t>
  </si>
  <si>
    <t>META PROJETOS</t>
  </si>
  <si>
    <t xml:space="preserve">META DE % DE MEBROS QUE EXECUTARAM </t>
  </si>
  <si>
    <t>EVOLUÇÃO % MEMBROS QUE EXECUTAM</t>
  </si>
  <si>
    <t>META DE NPS</t>
  </si>
  <si>
    <t>EVOLUÇÃO NPS</t>
  </si>
  <si>
    <t>EVOLUÇÃO TICKET MÉDIO</t>
  </si>
  <si>
    <t>DIAGNÓSTICOS</t>
  </si>
  <si>
    <t>TAXA DE CONVERSÃO PARA PROPOSTAS</t>
  </si>
  <si>
    <t>PROPOSTAS</t>
  </si>
  <si>
    <t>TAXA DE CONVERSÃO PARA CONTRATOS</t>
  </si>
  <si>
    <t>Nº DE AÇÕES COMPARTILHADAS</t>
  </si>
  <si>
    <t>META DE Nº DE AÇÕES COMPARTILHADAS</t>
  </si>
  <si>
    <t>Nº DE PROJETOS EM CONJUNTO</t>
  </si>
  <si>
    <t>Saúde/ Nutrição</t>
  </si>
  <si>
    <t>Administração/ Negócios</t>
  </si>
  <si>
    <t>Comunicação/ Design</t>
  </si>
  <si>
    <t>Valor  projetos</t>
  </si>
  <si>
    <t>Média(Mensal) projetos</t>
  </si>
  <si>
    <t>Banda Superior (Mensal) projetos</t>
  </si>
  <si>
    <t>Banda Inferior (Mensal) projetos</t>
  </si>
  <si>
    <t>INDICE faturamento</t>
  </si>
  <si>
    <t>Média Mensal faturamento</t>
  </si>
  <si>
    <t>Banda Superior (Mensal) faturamento</t>
  </si>
  <si>
    <t>Banda Inferior (Mensal) faturamento</t>
  </si>
  <si>
    <t xml:space="preserve">META de % de participação em eventos </t>
  </si>
  <si>
    <t>Média eventos</t>
  </si>
  <si>
    <t>Banda Superior eventos</t>
  </si>
  <si>
    <t>Banda Inferior eventos</t>
  </si>
  <si>
    <t>Banda Inferior Ajustada eventos</t>
  </si>
  <si>
    <t>Desvio Padrão eventos</t>
  </si>
  <si>
    <t>https://drive.google.com/open?id=1Sk_IpeipuzwxxAnD-__8kPKKYFlQDtJZ</t>
  </si>
  <si>
    <t>https://drive.google.com/open?id=1mo-x-QnTPNjBIkVGyRIQn-7E-4PVr_yn</t>
  </si>
  <si>
    <t>https://drive.google.com/open?id=11NDcUQ6uysiXVmuc1ISVopmPYY8jyzuW</t>
  </si>
  <si>
    <t>https://drive.google.com/open?id=1fVALZpHcXU9Sjpc8xgL5G1CLrWg9usxO</t>
  </si>
  <si>
    <t>https://drive.google.com/open?id=1dD_quYIV3Y-h4ISDZRwOV1KUDWhlvKaF</t>
  </si>
  <si>
    <t>https://drive.google.com/open?id=105_puDnixvWyRujFpYunaf9IzK0ZSZsW</t>
  </si>
  <si>
    <t>https://drive.google.com/open?id=1824zQWLqedA0GAW5ddBM8RZcX7yuXXUa</t>
  </si>
  <si>
    <t>https://drive.google.com/open?id=1lGIB9p_fu1LsAVUmFTLpOekM4NFUGqQb</t>
  </si>
  <si>
    <t>https://drive.google.com/open?id=1erj1afhXAiW4GF9o8QPgLYaZZELIa0HI</t>
  </si>
  <si>
    <t>https://drive.google.com/open?id=10_UWwsV8_1RzyiYeUhbB-vEK9SXMBii2</t>
  </si>
  <si>
    <t>https://drive.google.com/open?id=1F5K-thKMpokpSnYJO1dsGK8Cst6R1d5e</t>
  </si>
  <si>
    <t>https://drive.google.com/open?id=1XK_BgN9M-RU4UaiGDLGRFxJWblt8vzo6</t>
  </si>
  <si>
    <t>https://drive.google.com/open?id=11pi9y5YxpDCRdaceAi0Yt4L0B2VkrLBc</t>
  </si>
  <si>
    <t>https://drive.google.com/open?id=1NYjEhxUumkWfucFu5h2YS-KfzyB0Nxza</t>
  </si>
  <si>
    <t>https://drive.google.com/open?id=1BWe40zsRrCnvB4a3chI3oCz6EH2Gr8h9</t>
  </si>
  <si>
    <t>https://drive.google.com/open?id=1UH1od3uwnmm_ZO1KM_GERyJX2dGA84Ro</t>
  </si>
  <si>
    <t>https://drive.google.com/open?id=11g7gLpf5pcRx7ma8etYGWPb_cSausDPT</t>
  </si>
  <si>
    <t>https://drive.google.com/open?id=1v-CyWsvh6CYFZJxlyob9OzDFFWlzHpSl</t>
  </si>
  <si>
    <t>https://drive.google.com/open?id=1jjkErIkCM0qCWBH9BG53QoLJMadFGQcw</t>
  </si>
  <si>
    <t>https://drive.google.com/open?id=1FXCdIpGEUELqA2YQFIHQG21303GIZQJs</t>
  </si>
  <si>
    <t>https://drive.google.com/open?id=16S-l8cawHSBpRORpgu6YPoRmATLfEDoW</t>
  </si>
  <si>
    <t>Desempenho Participação em eventos</t>
  </si>
  <si>
    <t>Desempenho Faturamento</t>
  </si>
  <si>
    <t>Desempenho Farol</t>
  </si>
  <si>
    <t>NPS 0-1000</t>
  </si>
  <si>
    <t>NPS 1000-2500</t>
  </si>
  <si>
    <t>NPS 2500-5000</t>
  </si>
  <si>
    <t>NPS 5000+</t>
  </si>
  <si>
    <t>Lacuna para Farol Verde</t>
  </si>
  <si>
    <t>MÊS</t>
  </si>
  <si>
    <t>índice mês</t>
  </si>
  <si>
    <t>Público</t>
  </si>
  <si>
    <t>Rede Gaúcha</t>
  </si>
  <si>
    <t>Faturamento</t>
  </si>
  <si>
    <t>0-1000</t>
  </si>
  <si>
    <t>1000-2500</t>
  </si>
  <si>
    <t>2500-5000</t>
  </si>
  <si>
    <t>5000+</t>
  </si>
  <si>
    <t>Média NPS</t>
  </si>
  <si>
    <t>Projetos</t>
  </si>
  <si>
    <t>Meta Farol Projetos</t>
  </si>
  <si>
    <t>Projetos Farol</t>
  </si>
  <si>
    <t>Meta de Projetos</t>
  </si>
  <si>
    <t>https://drive.google.com/open?id=1Wsbby71ucRgcdMkHwMjJSfpGM-q9eq3c</t>
  </si>
  <si>
    <t>https://drive.google.com/open?id=1-8Npd88jkbrkuvqJb9VAV8oiOaMI9d4H</t>
  </si>
  <si>
    <t>https://drive.google.com/open?id=1dN7eNM8mn4SMLzSn5wKB-XSNQRV9hEVj</t>
  </si>
  <si>
    <t>Contratos</t>
  </si>
  <si>
    <t>MÊS KEY</t>
  </si>
  <si>
    <t>PROJETOS 2017</t>
  </si>
  <si>
    <t>FATURAMENTO 2017</t>
  </si>
  <si>
    <t>PROJETOS ACUMULADOS 2017</t>
  </si>
  <si>
    <t>FATURAMENTO ACUMULADO 2017</t>
  </si>
  <si>
    <t>PROJETOS 2018</t>
  </si>
  <si>
    <t>FATURAMENTO 2018</t>
  </si>
  <si>
    <t>PROJETOS ACUMULADOS 2018</t>
  </si>
  <si>
    <t>FATURAMENTO ACUMULADO 2018</t>
  </si>
  <si>
    <t>PROJETOS 2019</t>
  </si>
  <si>
    <t>FATURAMENTO 2019</t>
  </si>
  <si>
    <t>FATURAMENTO ACUMULADO 2019</t>
  </si>
  <si>
    <t>PROJETOS ACUMULADO 2019</t>
  </si>
  <si>
    <t>Cidade</t>
  </si>
  <si>
    <t>Taxa de Conversão de Diagnósticos para Contrato</t>
  </si>
  <si>
    <t>Cartas de Serviço</t>
  </si>
  <si>
    <t>NPS Ano Base</t>
  </si>
  <si>
    <t>NPS Ano vigente</t>
  </si>
  <si>
    <t>TICKET MÉDIO Ano Base</t>
  </si>
  <si>
    <t>TICKET MÉDIO Ano Vigente</t>
  </si>
  <si>
    <t>% MEMBROS QUE EXECUTARAM Ano Base</t>
  </si>
  <si>
    <t>% MEMBROS QUE EXECUTARAM Ano Vigente</t>
  </si>
  <si>
    <t>PROJETOS 2020</t>
  </si>
  <si>
    <t>FATURAMENTO 2020</t>
  </si>
  <si>
    <t>PROJETOS ACUMULADO 2020</t>
  </si>
  <si>
    <t>FATURAMENTO ACUMULADO 2020</t>
  </si>
  <si>
    <t>Grupeira On</t>
  </si>
  <si>
    <t>Online</t>
  </si>
  <si>
    <t>ENEJ em Casa</t>
  </si>
  <si>
    <t>Indice Mês</t>
  </si>
  <si>
    <t>Desempenho Execução de Projetos</t>
  </si>
  <si>
    <t>Dados de anos anteriores estão ocultos à partir da Coluna B.</t>
  </si>
  <si>
    <t>EGEJ</t>
  </si>
  <si>
    <t>https://drive.google.com/file/d/16dgxzzxAffAjT9Pf94LXza1YtvOt6Fmv</t>
  </si>
  <si>
    <t>https://drive.google.com/file/d/1MDW0ajxxYnVRIzomCYqTcw_tKI_5UU8r</t>
  </si>
  <si>
    <t>https://drive.google.com/file/d/1O0JDeNiZpzPatWVThpXeYglzIr2YXrgz</t>
  </si>
  <si>
    <t>https://drive.google.com/file/d/1XuOKW5Nk7z7ftmcMiIL2BVfKcurYFibt</t>
  </si>
  <si>
    <t>https://drive.google.com/file/d/1yiZgAQdk9FPEUqEz2Ag4qg027_5N670v</t>
  </si>
  <si>
    <t>https://drive.google.com/file/d/1yQ8AOodkzFBHI3SHbjbUJLHiaOOTQcHd</t>
  </si>
  <si>
    <t>https://drive.google.com/file/d/1DdO1az6Vi2yEFMY2kMLAsOOPTV1px2V6</t>
  </si>
  <si>
    <t>https://drive.google.com/file/d/1cXOY9Qou_rutVf7e8g_LcMyyv8tRjqPr</t>
  </si>
  <si>
    <t>https://drive.google.com/file/d/1be22IY6SLzX0QgjOmt3V50pZofRcQSw3</t>
  </si>
  <si>
    <t>EngerSolution Consultoria Jr.</t>
  </si>
  <si>
    <t>Escritório Júnior Ruy Cirne Lima</t>
  </si>
  <si>
    <t xml:space="preserve">TecAli Júnior </t>
  </si>
  <si>
    <t>Cincolinha Jr</t>
  </si>
  <si>
    <t>https://drive.google.com/file/d/1205wHF4aGYW9F0z5T-DNt_XyH8mt9v9n/view</t>
  </si>
  <si>
    <t>https://drive.google.com/file/d/1jrqFpA3pBxa8kiuO8GiZ4iCIrwD9zGb5/view</t>
  </si>
  <si>
    <t>https://drive.google.com/file/d/1wzkIRnzK91FqvM177EJJCOm0UbGdJThj/view</t>
  </si>
  <si>
    <t>https://drive.google.com/file/d/1qopi7P7oVwsR4fWnGLKWZSW_PjHqn_Lq/view</t>
  </si>
  <si>
    <t>https://drive.google.com/file/d/1I4jVE__0G0W_fLG6pXEzBsSZoWVwVy_w/view</t>
  </si>
  <si>
    <t>https://drive.google.com/file/d/1_cmJN9RfpI6-I5QS3xlTJk9YwDfPVe9O/view</t>
  </si>
  <si>
    <t>https://drive.google.com/file/d/1OUyTbzRDgB0SHKbgGLukX8uOYKMH9gSK/view</t>
  </si>
  <si>
    <t>https://drive.google.com/file/d/18kdaxS6MKHerwFgNRsjRkKUS6EvWRVSo/view</t>
  </si>
  <si>
    <t>Santo Antônio da Patrulha</t>
  </si>
  <si>
    <t>Química ou Farmácia, Biologia, Biomedicina e Biotecnologia</t>
  </si>
  <si>
    <t>Zoo Techne Jr.</t>
  </si>
  <si>
    <t>MASE Jr.</t>
  </si>
  <si>
    <t>Mederi Jr</t>
  </si>
  <si>
    <t>AJTAL - ASSOCIAÇÃO JÚNIOR DE TECNÓLOGOS EM ALIMENTOS CONSULTORIA E PROJETOS</t>
  </si>
  <si>
    <t>ENEJ</t>
  </si>
  <si>
    <t>Alegrete</t>
  </si>
  <si>
    <t>Computação ou Tecnologia da Informação e Engenharias</t>
  </si>
  <si>
    <t>Objetiva Jr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</si>
</sst>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F800]dddd\,\ mmmm\ dd\,\ yyyy"/>
    <numFmt numFmtId="165" formatCode="_-&quot;R$&quot;* #,##0.00_-;\-&quot;R$&quot;* #,##0.00_-;_-&quot;R$&quot;* &quot;-&quot;??_-;_-@_-"/>
    <numFmt numFmtId="166" formatCode="0.00_ ;[Red]\-0.00\ "/>
  </numFmts>
  <fonts count="23" x14ac:knownFonts="1">
    <font>
      <sz val="11"/>
      <name val="Arial"/>
      <family val="1"/>
    </font>
    <font>
      <sz val="11"/>
      <color theme="1"/>
      <name val="Calibri"/>
      <family val="2"/>
      <scheme val="minor"/>
    </font>
    <font>
      <b/>
      <sz val="12"/>
      <color rgb="FFFFFFFF"/>
      <name val="Arial"/>
      <family val="1"/>
    </font>
    <font>
      <sz val="11"/>
      <color theme="1"/>
      <name val="Arial"/>
      <family val="1"/>
    </font>
    <font>
      <sz val="11"/>
      <name val="Arial"/>
      <family val="1"/>
    </font>
    <font>
      <sz val="11"/>
      <color rgb="FF006100"/>
      <name val="Calibri"/>
      <family val="2"/>
      <scheme val="minor"/>
    </font>
    <font>
      <sz val="8"/>
      <name val="Arial"/>
      <family val="1"/>
    </font>
    <font>
      <b/>
      <sz val="11"/>
      <color theme="0"/>
      <name val="Calibri"/>
      <family val="2"/>
      <scheme val="minor"/>
    </font>
    <font>
      <sz val="11"/>
      <name val="Calibri"/>
      <family val="2"/>
      <scheme val="minor"/>
    </font>
    <font>
      <b/>
      <sz val="12"/>
      <color theme="0"/>
      <name val="Arial"/>
      <family val="1"/>
    </font>
    <font>
      <b/>
      <sz val="12"/>
      <color theme="0"/>
      <name val="Arial"/>
      <family val="2"/>
    </font>
    <font>
      <sz val="11"/>
      <color theme="0"/>
      <name val="Arial"/>
      <family val="1"/>
    </font>
    <font>
      <u/>
      <sz val="11"/>
      <color theme="10"/>
      <name val="Arial"/>
      <family val="1"/>
    </font>
    <font>
      <sz val="11"/>
      <color theme="1"/>
      <name val="Arial"/>
      <family val="2"/>
    </font>
    <font>
      <b/>
      <sz val="11"/>
      <color theme="0"/>
      <name val="Arial"/>
      <family val="2"/>
    </font>
    <font>
      <sz val="12"/>
      <color rgb="FF222222"/>
      <name val="Arial"/>
      <family val="2"/>
    </font>
    <font>
      <sz val="11"/>
      <name val="Arial"/>
      <family val="2"/>
    </font>
    <font>
      <sz val="11"/>
      <color theme="1"/>
      <name val="Arial"/>
      <family val="2"/>
    </font>
    <font>
      <sz val="10"/>
      <name val="Arial"/>
      <family val="2"/>
    </font>
    <font>
      <sz val="12"/>
      <color theme="1"/>
      <name val="Arial"/>
      <family val="1"/>
    </font>
    <font>
      <sz val="11"/>
      <color theme="1"/>
      <name val="Arial"/>
    </font>
    <font>
      <b/>
      <sz val="12"/>
      <color theme="0"/>
      <name val="Calibri"/>
      <family val="2"/>
      <scheme val="minor"/>
    </font>
    <font>
      <sz val="12"/>
      <name val="Arial"/>
      <family val="1"/>
    </font>
  </fonts>
  <fills count="20">
    <fill>
      <patternFill patternType="none"/>
    </fill>
    <fill>
      <patternFill patternType="gray125"/>
    </fill>
    <fill>
      <patternFill patternType="solid">
        <fgColor rgb="FF000000"/>
      </patternFill>
    </fill>
    <fill>
      <patternFill patternType="solid">
        <fgColor theme="0" tint="-0.14999847407452621"/>
        <bgColor theme="0" tint="-0.14999847407452621"/>
      </patternFill>
    </fill>
    <fill>
      <patternFill patternType="solid">
        <fgColor rgb="FFC6EFCE"/>
      </patternFill>
    </fill>
    <fill>
      <patternFill patternType="solid">
        <fgColor theme="1"/>
        <bgColor indexed="64"/>
      </patternFill>
    </fill>
    <fill>
      <patternFill patternType="solid">
        <fgColor theme="4"/>
      </patternFill>
    </fill>
    <fill>
      <patternFill patternType="solid">
        <fgColor theme="5"/>
      </patternFill>
    </fill>
    <fill>
      <patternFill patternType="solid">
        <fgColor theme="6"/>
      </patternFill>
    </fill>
    <fill>
      <patternFill patternType="solid">
        <fgColor theme="1" tint="4.9989318521683403E-2"/>
        <bgColor indexed="64"/>
      </patternFill>
    </fill>
    <fill>
      <patternFill patternType="solid">
        <fgColor theme="6"/>
        <bgColor indexed="64"/>
      </patternFill>
    </fill>
    <fill>
      <patternFill patternType="solid">
        <fgColor theme="4"/>
        <bgColor indexed="64"/>
      </patternFill>
    </fill>
    <fill>
      <patternFill patternType="solid">
        <fgColor theme="5"/>
        <bgColor indexed="64"/>
      </patternFill>
    </fill>
    <fill>
      <patternFill patternType="solid">
        <fgColor theme="6"/>
        <bgColor theme="0" tint="-0.14999847407452621"/>
      </patternFill>
    </fill>
    <fill>
      <patternFill patternType="solid">
        <fgColor theme="5"/>
        <bgColor theme="0" tint="-0.14999847407452621"/>
      </patternFill>
    </fill>
    <fill>
      <patternFill patternType="solid">
        <fgColor theme="4"/>
        <bgColor theme="0" tint="-0.14999847407452621"/>
      </patternFill>
    </fill>
    <fill>
      <patternFill patternType="solid">
        <fgColor theme="0"/>
        <bgColor indexed="64"/>
      </patternFill>
    </fill>
    <fill>
      <patternFill patternType="solid">
        <fgColor rgb="FFFFFFCC"/>
        <bgColor indexed="64"/>
      </patternFill>
    </fill>
    <fill>
      <patternFill patternType="solid">
        <fgColor rgb="FFFFFFCC"/>
        <bgColor theme="0" tint="-0.14999847407452621"/>
      </patternFill>
    </fill>
    <fill>
      <patternFill patternType="solid">
        <fgColor theme="0" tint="-4.9989318521683403E-2"/>
        <bgColor indexed="64"/>
      </patternFill>
    </fill>
  </fills>
  <borders count="8">
    <border>
      <left/>
      <right/>
      <top/>
      <bottom/>
      <diagonal/>
    </border>
    <border>
      <left/>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7">
    <xf numFmtId="0" fontId="0" fillId="0" borderId="0"/>
    <xf numFmtId="0" fontId="5" fillId="4" borderId="0" applyNumberFormat="0" applyBorder="0" applyAlignment="0" applyProtection="0"/>
    <xf numFmtId="0" fontId="4" fillId="0" borderId="0"/>
    <xf numFmtId="0" fontId="4" fillId="0" borderId="0"/>
    <xf numFmtId="43" fontId="4" fillId="0" borderId="0" applyFont="0" applyFill="0" applyBorder="0" applyAlignment="0" applyProtection="0"/>
    <xf numFmtId="0" fontId="12" fillId="0" borderId="0" applyNumberFormat="0" applyFill="0" applyBorder="0" applyAlignment="0" applyProtection="0"/>
    <xf numFmtId="9" fontId="4" fillId="0" borderId="0" applyFont="0" applyFill="0" applyBorder="0" applyAlignment="0" applyProtection="0"/>
  </cellStyleXfs>
  <cellXfs count="121">
    <xf numFmtId="0" fontId="0" fillId="0" borderId="0" xfId="0"/>
    <xf numFmtId="0" fontId="7" fillId="5" borderId="0" xfId="0" applyFont="1" applyFill="1"/>
    <xf numFmtId="2" fontId="0" fillId="0" borderId="0" xfId="0" applyNumberFormat="1"/>
    <xf numFmtId="0" fontId="0" fillId="0" borderId="0" xfId="0" applyAlignment="1">
      <alignment horizontal="left" vertical="top"/>
    </xf>
    <xf numFmtId="0" fontId="5" fillId="4" borderId="5" xfId="1" applyBorder="1" applyAlignment="1">
      <alignment horizontal="left" vertical="top"/>
    </xf>
    <xf numFmtId="0" fontId="0" fillId="0" borderId="0" xfId="0" applyFill="1" applyAlignment="1">
      <alignment horizontal="left" vertical="top"/>
    </xf>
    <xf numFmtId="0" fontId="3" fillId="0" borderId="0" xfId="0" applyFont="1" applyFill="1" applyAlignment="1">
      <alignment horizontal="left" vertical="top"/>
    </xf>
    <xf numFmtId="0" fontId="0" fillId="0" borderId="0" xfId="0" applyFont="1" applyFill="1" applyAlignment="1">
      <alignment horizontal="left" vertical="top"/>
    </xf>
    <xf numFmtId="0" fontId="9" fillId="9" borderId="1" xfId="0" applyFont="1" applyFill="1" applyBorder="1" applyAlignment="1">
      <alignment horizontal="left" vertical="top"/>
    </xf>
    <xf numFmtId="0" fontId="10" fillId="9" borderId="0" xfId="0" applyFont="1" applyFill="1" applyAlignment="1">
      <alignment horizontal="left" vertical="top"/>
    </xf>
    <xf numFmtId="0" fontId="11" fillId="9" borderId="0" xfId="0" applyFont="1" applyFill="1" applyAlignment="1">
      <alignment horizontal="left" vertical="top"/>
    </xf>
    <xf numFmtId="0" fontId="9" fillId="10" borderId="1" xfId="0" applyFont="1" applyFill="1" applyBorder="1" applyAlignment="1">
      <alignment horizontal="left" vertical="top"/>
    </xf>
    <xf numFmtId="0" fontId="10" fillId="10" borderId="0" xfId="0" applyFont="1" applyFill="1" applyAlignment="1">
      <alignment horizontal="left" vertical="top"/>
    </xf>
    <xf numFmtId="0" fontId="7" fillId="10" borderId="5" xfId="1" applyFont="1" applyFill="1" applyBorder="1" applyAlignment="1">
      <alignment horizontal="left" vertical="top"/>
    </xf>
    <xf numFmtId="0" fontId="1" fillId="0" borderId="5" xfId="1" applyFont="1" applyFill="1" applyBorder="1" applyAlignment="1">
      <alignment horizontal="left" vertical="top"/>
    </xf>
    <xf numFmtId="0" fontId="9" fillId="11" borderId="1" xfId="0" applyFont="1" applyFill="1" applyBorder="1" applyAlignment="1">
      <alignment horizontal="left" vertical="top"/>
    </xf>
    <xf numFmtId="0" fontId="9" fillId="11" borderId="0" xfId="0" applyFont="1" applyFill="1" applyBorder="1" applyAlignment="1">
      <alignment horizontal="left" vertical="top"/>
    </xf>
    <xf numFmtId="0" fontId="7" fillId="11" borderId="1" xfId="0" applyFont="1" applyFill="1" applyBorder="1" applyAlignment="1">
      <alignment horizontal="left" vertical="top"/>
    </xf>
    <xf numFmtId="0" fontId="9" fillId="12" borderId="1" xfId="0" applyFont="1" applyFill="1" applyBorder="1" applyAlignment="1">
      <alignment horizontal="left" vertical="top"/>
    </xf>
    <xf numFmtId="0" fontId="9" fillId="12" borderId="0" xfId="0" applyFont="1" applyFill="1"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7" fillId="10" borderId="5" xfId="0" applyFont="1" applyFill="1" applyBorder="1" applyAlignment="1">
      <alignment horizontal="left" vertical="top"/>
    </xf>
    <xf numFmtId="0" fontId="11" fillId="13" borderId="5" xfId="0" applyFont="1" applyFill="1" applyBorder="1" applyAlignment="1">
      <alignment horizontal="left" vertical="top"/>
    </xf>
    <xf numFmtId="0" fontId="7" fillId="8" borderId="5" xfId="1" applyFont="1" applyFill="1" applyBorder="1" applyAlignment="1">
      <alignment horizontal="left" vertical="top"/>
    </xf>
    <xf numFmtId="0" fontId="11" fillId="10" borderId="0" xfId="0" applyFont="1" applyFill="1" applyAlignment="1">
      <alignment horizontal="left" vertical="top"/>
    </xf>
    <xf numFmtId="0" fontId="7" fillId="12" borderId="5" xfId="0" applyFont="1" applyFill="1" applyBorder="1" applyAlignment="1">
      <alignment horizontal="left" vertical="top"/>
    </xf>
    <xf numFmtId="0" fontId="11" fillId="14" borderId="5" xfId="0" applyFont="1" applyFill="1" applyBorder="1" applyAlignment="1">
      <alignment horizontal="left" vertical="top"/>
    </xf>
    <xf numFmtId="0" fontId="7" fillId="7" borderId="5" xfId="1" applyFont="1" applyFill="1" applyBorder="1" applyAlignment="1">
      <alignment horizontal="left" vertical="top"/>
    </xf>
    <xf numFmtId="0" fontId="11" fillId="12" borderId="0" xfId="0" applyFont="1" applyFill="1" applyAlignment="1">
      <alignment horizontal="left" vertical="top"/>
    </xf>
    <xf numFmtId="0" fontId="7" fillId="11" borderId="5" xfId="0" applyFont="1" applyFill="1" applyBorder="1" applyAlignment="1">
      <alignment horizontal="left" vertical="top"/>
    </xf>
    <xf numFmtId="0" fontId="11" fillId="15" borderId="5" xfId="0" applyFont="1" applyFill="1" applyBorder="1" applyAlignment="1">
      <alignment horizontal="left" vertical="top"/>
    </xf>
    <xf numFmtId="0" fontId="7" fillId="6" borderId="5" xfId="1" applyFont="1" applyFill="1" applyBorder="1" applyAlignment="1">
      <alignment horizontal="left" vertical="top"/>
    </xf>
    <xf numFmtId="0" fontId="11" fillId="11" borderId="0" xfId="0" applyFont="1" applyFill="1" applyAlignment="1">
      <alignment horizontal="left" vertical="top"/>
    </xf>
    <xf numFmtId="0" fontId="2" fillId="2" borderId="1" xfId="0" applyFont="1" applyFill="1" applyBorder="1" applyAlignment="1">
      <alignment horizontal="left" vertical="top"/>
    </xf>
    <xf numFmtId="0" fontId="3" fillId="0" borderId="0" xfId="0" applyFont="1" applyAlignment="1">
      <alignment horizontal="left" vertical="top"/>
    </xf>
    <xf numFmtId="0" fontId="9" fillId="5" borderId="3" xfId="0" applyFont="1" applyFill="1" applyBorder="1" applyAlignment="1">
      <alignment horizontal="left" vertical="top"/>
    </xf>
    <xf numFmtId="0" fontId="9" fillId="5" borderId="0" xfId="0" applyFont="1" applyFill="1" applyAlignment="1">
      <alignment horizontal="left" vertical="top"/>
    </xf>
    <xf numFmtId="0" fontId="11" fillId="5" borderId="0" xfId="0" applyFont="1" applyFill="1" applyAlignment="1">
      <alignment horizontal="left" vertical="top"/>
    </xf>
    <xf numFmtId="0" fontId="3" fillId="0" borderId="3" xfId="0" applyFont="1" applyBorder="1" applyAlignment="1">
      <alignment horizontal="left" vertical="top"/>
    </xf>
    <xf numFmtId="0" fontId="2" fillId="2" borderId="2" xfId="0" applyFont="1" applyFill="1" applyBorder="1" applyAlignment="1">
      <alignment horizontal="left" vertical="top"/>
    </xf>
    <xf numFmtId="0" fontId="2" fillId="2" borderId="3" xfId="0" applyFont="1" applyFill="1" applyBorder="1" applyAlignment="1">
      <alignment horizontal="left" vertical="top"/>
    </xf>
    <xf numFmtId="0" fontId="2" fillId="2" borderId="4" xfId="0" applyFont="1" applyFill="1" applyBorder="1" applyAlignment="1">
      <alignment horizontal="left" vertical="top"/>
    </xf>
    <xf numFmtId="0" fontId="3" fillId="0" borderId="2" xfId="0" applyFont="1" applyBorder="1" applyAlignment="1">
      <alignment horizontal="left" vertical="top"/>
    </xf>
    <xf numFmtId="164" fontId="0" fillId="0" borderId="0" xfId="0" applyNumberFormat="1" applyAlignment="1">
      <alignment horizontal="left" vertical="top"/>
    </xf>
    <xf numFmtId="0" fontId="3" fillId="0" borderId="0" xfId="0" applyFont="1" applyFill="1" applyAlignment="1">
      <alignment vertical="top"/>
    </xf>
    <xf numFmtId="0" fontId="9" fillId="12" borderId="1" xfId="0" applyFont="1" applyFill="1" applyBorder="1" applyAlignment="1">
      <alignment vertical="top"/>
    </xf>
    <xf numFmtId="0" fontId="12" fillId="0" borderId="0" xfId="5"/>
    <xf numFmtId="0" fontId="9" fillId="12" borderId="0" xfId="0" applyFont="1" applyFill="1" applyAlignment="1">
      <alignment horizontal="left" vertical="top"/>
    </xf>
    <xf numFmtId="0" fontId="9" fillId="11" borderId="0" xfId="0" applyFont="1" applyFill="1" applyAlignment="1">
      <alignment horizontal="left" vertical="top"/>
    </xf>
    <xf numFmtId="1" fontId="3" fillId="0" borderId="0" xfId="0" applyNumberFormat="1" applyFont="1" applyFill="1" applyAlignment="1">
      <alignment horizontal="left" vertical="top"/>
    </xf>
    <xf numFmtId="0" fontId="2" fillId="2" borderId="0" xfId="0" applyFont="1" applyFill="1" applyAlignment="1">
      <alignment horizontal="left" vertical="top"/>
    </xf>
    <xf numFmtId="165" fontId="2" fillId="2" borderId="0" xfId="0" applyNumberFormat="1" applyFont="1" applyFill="1" applyAlignment="1">
      <alignment horizontal="left" vertical="top"/>
    </xf>
    <xf numFmtId="0" fontId="13" fillId="0" borderId="3" xfId="0" applyFont="1" applyBorder="1" applyAlignment="1">
      <alignment horizontal="left" vertical="top"/>
    </xf>
    <xf numFmtId="2" fontId="13" fillId="0" borderId="3" xfId="0" applyNumberFormat="1" applyFont="1" applyBorder="1" applyAlignment="1">
      <alignment horizontal="left" vertical="top"/>
    </xf>
    <xf numFmtId="0" fontId="14" fillId="5" borderId="0" xfId="0" applyFont="1" applyFill="1" applyAlignment="1">
      <alignment horizontal="left" vertical="top"/>
    </xf>
    <xf numFmtId="0" fontId="0" fillId="16" borderId="0" xfId="0" applyFill="1" applyAlignment="1">
      <alignment horizontal="left" vertical="top"/>
    </xf>
    <xf numFmtId="0" fontId="2" fillId="5" borderId="1" xfId="0" applyFont="1" applyFill="1" applyBorder="1" applyAlignment="1">
      <alignment horizontal="left" vertical="top"/>
    </xf>
    <xf numFmtId="166" fontId="14" fillId="5" borderId="0" xfId="0" applyNumberFormat="1" applyFont="1" applyFill="1"/>
    <xf numFmtId="0" fontId="0" fillId="5" borderId="0" xfId="0" applyFill="1"/>
    <xf numFmtId="0" fontId="3" fillId="0" borderId="0" xfId="0" applyFont="1" applyAlignment="1" applyProtection="1">
      <alignment horizontal="left" vertical="top"/>
    </xf>
    <xf numFmtId="0" fontId="0" fillId="17" borderId="0" xfId="0" applyFill="1"/>
    <xf numFmtId="0" fontId="15" fillId="17" borderId="0" xfId="0" applyFont="1" applyFill="1"/>
    <xf numFmtId="164" fontId="0" fillId="17" borderId="0" xfId="0" applyNumberFormat="1" applyFill="1" applyAlignment="1">
      <alignment horizontal="left" vertical="top"/>
    </xf>
    <xf numFmtId="0" fontId="0" fillId="17" borderId="0" xfId="0" applyFill="1" applyAlignment="1">
      <alignment horizontal="left" vertical="top"/>
    </xf>
    <xf numFmtId="0" fontId="0" fillId="0" borderId="0" xfId="0" applyFont="1" applyFill="1" applyAlignment="1" applyProtection="1">
      <alignment horizontal="left" vertical="top"/>
    </xf>
    <xf numFmtId="0" fontId="8" fillId="0" borderId="5" xfId="1" applyFont="1" applyFill="1" applyBorder="1" applyAlignment="1" applyProtection="1">
      <alignment horizontal="left" vertical="top"/>
    </xf>
    <xf numFmtId="2" fontId="0" fillId="0" borderId="0" xfId="0" applyNumberFormat="1" applyFont="1" applyFill="1" applyAlignment="1" applyProtection="1">
      <alignment horizontal="left" vertical="top"/>
    </xf>
    <xf numFmtId="0" fontId="0" fillId="17" borderId="0" xfId="0" applyFont="1" applyFill="1" applyAlignment="1" applyProtection="1">
      <alignment horizontal="left" vertical="top"/>
      <protection locked="0"/>
    </xf>
    <xf numFmtId="0" fontId="3" fillId="17" borderId="0" xfId="0" applyFont="1" applyFill="1" applyAlignment="1" applyProtection="1">
      <alignment horizontal="left" vertical="top"/>
      <protection locked="0"/>
    </xf>
    <xf numFmtId="0" fontId="0" fillId="17" borderId="0" xfId="0" applyFill="1" applyProtection="1">
      <protection locked="0"/>
    </xf>
    <xf numFmtId="0" fontId="3" fillId="17" borderId="3" xfId="0" applyFont="1" applyFill="1" applyBorder="1" applyAlignment="1" applyProtection="1">
      <alignment horizontal="left" vertical="top"/>
      <protection locked="0"/>
    </xf>
    <xf numFmtId="0" fontId="0" fillId="0" borderId="0" xfId="0" applyProtection="1"/>
    <xf numFmtId="1" fontId="0" fillId="17" borderId="0" xfId="4" applyNumberFormat="1" applyFont="1" applyFill="1" applyProtection="1">
      <protection locked="0"/>
    </xf>
    <xf numFmtId="2" fontId="0" fillId="17" borderId="0" xfId="0" applyNumberFormat="1" applyFill="1" applyProtection="1">
      <protection locked="0"/>
    </xf>
    <xf numFmtId="2" fontId="3" fillId="17" borderId="3" xfId="0" applyNumberFormat="1" applyFont="1" applyFill="1" applyBorder="1" applyAlignment="1" applyProtection="1">
      <alignment horizontal="left" vertical="top"/>
      <protection locked="0"/>
    </xf>
    <xf numFmtId="0" fontId="17" fillId="0" borderId="3" xfId="0" applyFont="1" applyBorder="1" applyAlignment="1">
      <alignment horizontal="left" vertical="top"/>
    </xf>
    <xf numFmtId="2" fontId="17" fillId="17" borderId="3" xfId="0" applyNumberFormat="1" applyFont="1" applyFill="1" applyBorder="1" applyAlignment="1" applyProtection="1">
      <alignment horizontal="left" vertical="top"/>
      <protection locked="0"/>
    </xf>
    <xf numFmtId="0" fontId="17" fillId="17" borderId="3" xfId="0" applyFont="1" applyFill="1" applyBorder="1" applyAlignment="1" applyProtection="1">
      <alignment horizontal="left" vertical="top"/>
      <protection locked="0"/>
    </xf>
    <xf numFmtId="0" fontId="18" fillId="17" borderId="0" xfId="0" applyFont="1" applyFill="1" applyBorder="1" applyAlignment="1">
      <alignment horizontal="right" wrapText="1"/>
    </xf>
    <xf numFmtId="0" fontId="9" fillId="9" borderId="0" xfId="0" applyFont="1" applyFill="1" applyBorder="1" applyAlignment="1">
      <alignment horizontal="left" vertical="top"/>
    </xf>
    <xf numFmtId="0" fontId="0" fillId="0" borderId="6" xfId="6" applyNumberFormat="1" applyFont="1" applyBorder="1" applyAlignment="1">
      <alignment horizontal="left" vertical="top"/>
    </xf>
    <xf numFmtId="0" fontId="5" fillId="4" borderId="5" xfId="6" applyNumberFormat="1" applyFont="1" applyFill="1" applyBorder="1" applyAlignment="1">
      <alignment horizontal="left" vertical="top"/>
    </xf>
    <xf numFmtId="0" fontId="0" fillId="0" borderId="0" xfId="6" applyNumberFormat="1" applyFont="1" applyAlignment="1">
      <alignment horizontal="left" vertical="top"/>
    </xf>
    <xf numFmtId="0" fontId="14" fillId="5" borderId="0" xfId="0" applyFont="1" applyFill="1" applyAlignment="1">
      <alignment horizontal="right" vertical="top"/>
    </xf>
    <xf numFmtId="0" fontId="0" fillId="0" borderId="0" xfId="0" applyAlignment="1">
      <alignment horizontal="right"/>
    </xf>
    <xf numFmtId="0" fontId="0" fillId="0" borderId="0" xfId="0" applyBorder="1"/>
    <xf numFmtId="0" fontId="0" fillId="0" borderId="7" xfId="0" applyBorder="1"/>
    <xf numFmtId="166" fontId="16" fillId="19" borderId="0" xfId="0" applyNumberFormat="1" applyFont="1" applyFill="1"/>
    <xf numFmtId="166" fontId="0" fillId="19" borderId="0" xfId="0" applyNumberFormat="1" applyFill="1"/>
    <xf numFmtId="0" fontId="3" fillId="19" borderId="0" xfId="0" applyFont="1" applyFill="1" applyAlignment="1">
      <alignment horizontal="left" vertical="top"/>
    </xf>
    <xf numFmtId="0" fontId="3" fillId="19" borderId="0" xfId="0" applyFont="1" applyFill="1" applyBorder="1" applyAlignment="1">
      <alignment horizontal="left" vertical="top"/>
    </xf>
    <xf numFmtId="166" fontId="16" fillId="19" borderId="0" xfId="0" applyNumberFormat="1" applyFont="1" applyFill="1" applyBorder="1"/>
    <xf numFmtId="166" fontId="13" fillId="19" borderId="0" xfId="0" applyNumberFormat="1" applyFont="1" applyFill="1"/>
    <xf numFmtId="0" fontId="3" fillId="19" borderId="7" xfId="0" applyFont="1" applyFill="1" applyBorder="1" applyAlignment="1">
      <alignment horizontal="left" vertical="top"/>
    </xf>
    <xf numFmtId="166" fontId="16" fillId="19" borderId="7" xfId="0" applyNumberFormat="1" applyFont="1" applyFill="1" applyBorder="1"/>
    <xf numFmtId="0" fontId="2" fillId="5" borderId="1" xfId="0" applyFont="1" applyFill="1" applyBorder="1" applyAlignment="1">
      <alignment horizontal="right" vertical="top"/>
    </xf>
    <xf numFmtId="0" fontId="0" fillId="16" borderId="0" xfId="0" applyFill="1" applyAlignment="1">
      <alignment horizontal="right" vertical="top"/>
    </xf>
    <xf numFmtId="2" fontId="13" fillId="17" borderId="3" xfId="0" applyNumberFormat="1" applyFont="1" applyFill="1" applyBorder="1" applyAlignment="1" applyProtection="1">
      <alignment horizontal="left" vertical="top"/>
      <protection locked="0"/>
    </xf>
    <xf numFmtId="0" fontId="19" fillId="3" borderId="0" xfId="0" applyFont="1" applyFill="1" applyAlignment="1">
      <alignment horizontal="left" vertical="top"/>
    </xf>
    <xf numFmtId="0" fontId="19" fillId="0" borderId="0" xfId="0" applyFont="1" applyFill="1" applyAlignment="1">
      <alignment horizontal="left" vertical="top"/>
    </xf>
    <xf numFmtId="0" fontId="19" fillId="18" borderId="0" xfId="0" applyFont="1" applyFill="1" applyAlignment="1" applyProtection="1">
      <alignment horizontal="left" vertical="top"/>
      <protection locked="0"/>
    </xf>
    <xf numFmtId="0" fontId="19" fillId="0" borderId="0" xfId="0" applyFont="1" applyAlignment="1">
      <alignment horizontal="left" vertical="top"/>
    </xf>
    <xf numFmtId="0" fontId="19" fillId="17" borderId="0" xfId="0" applyFont="1" applyFill="1" applyAlignment="1" applyProtection="1">
      <alignment horizontal="left" vertical="top"/>
      <protection locked="0"/>
    </xf>
    <xf numFmtId="0" fontId="13" fillId="17" borderId="3" xfId="0" applyFont="1" applyFill="1" applyBorder="1" applyAlignment="1" applyProtection="1">
      <alignment horizontal="left" vertical="top"/>
      <protection locked="0"/>
    </xf>
    <xf numFmtId="0" fontId="2" fillId="2" borderId="0" xfId="0" applyFont="1" applyFill="1" applyBorder="1" applyAlignment="1">
      <alignment horizontal="left" vertical="top"/>
    </xf>
    <xf numFmtId="2" fontId="20" fillId="17" borderId="3" xfId="0" applyNumberFormat="1" applyFont="1" applyFill="1" applyBorder="1" applyAlignment="1" applyProtection="1">
      <alignment horizontal="left" vertical="top"/>
      <protection locked="0"/>
    </xf>
    <xf numFmtId="0" fontId="20" fillId="17" borderId="3" xfId="0" applyFont="1" applyFill="1" applyBorder="1" applyAlignment="1" applyProtection="1">
      <alignment horizontal="left" vertical="top"/>
      <protection locked="0"/>
    </xf>
    <xf numFmtId="0" fontId="10" fillId="5" borderId="0" xfId="0" applyFont="1" applyFill="1" applyAlignment="1">
      <alignment horizontal="left" vertical="top"/>
    </xf>
    <xf numFmtId="0" fontId="3" fillId="0" borderId="0" xfId="0" applyFont="1" applyBorder="1" applyAlignment="1">
      <alignment horizontal="left" vertical="top"/>
    </xf>
    <xf numFmtId="0" fontId="11" fillId="16" borderId="0" xfId="0" applyFont="1" applyFill="1" applyAlignment="1">
      <alignment horizontal="left" vertical="top"/>
    </xf>
    <xf numFmtId="0" fontId="3" fillId="16" borderId="0" xfId="0" applyFont="1" applyFill="1" applyAlignment="1">
      <alignment horizontal="left" vertical="top"/>
    </xf>
    <xf numFmtId="0" fontId="0" fillId="0" borderId="0" xfId="0" applyFill="1" applyBorder="1"/>
    <xf numFmtId="0" fontId="21" fillId="5" borderId="0" xfId="0" applyFont="1" applyFill="1"/>
    <xf numFmtId="0" fontId="19" fillId="0" borderId="3" xfId="0" applyFont="1" applyFill="1" applyBorder="1" applyAlignment="1">
      <alignment horizontal="left" vertical="top"/>
    </xf>
    <xf numFmtId="0" fontId="22" fillId="17" borderId="0" xfId="0" applyFont="1" applyFill="1" applyProtection="1">
      <protection locked="0"/>
    </xf>
    <xf numFmtId="0" fontId="22" fillId="0" borderId="0" xfId="0" applyFont="1"/>
    <xf numFmtId="0" fontId="22" fillId="17" borderId="0" xfId="0" applyFont="1" applyFill="1" applyAlignment="1">
      <alignment horizontal="right"/>
    </xf>
    <xf numFmtId="0" fontId="22" fillId="17" borderId="0" xfId="0" applyFont="1" applyFill="1"/>
    <xf numFmtId="0" fontId="19" fillId="18" borderId="0" xfId="0" applyFont="1" applyFill="1" applyAlignment="1" applyProtection="1">
      <alignment horizontal="right" vertical="top"/>
      <protection locked="0"/>
    </xf>
    <xf numFmtId="0" fontId="19" fillId="17" borderId="0" xfId="0" applyFont="1" applyFill="1" applyAlignment="1" applyProtection="1">
      <alignment horizontal="right" vertical="top"/>
      <protection locked="0"/>
    </xf>
  </cellXfs>
  <cellStyles count="7">
    <cellStyle name="Bom" xfId="1" builtinId="26"/>
    <cellStyle name="Hiperlink" xfId="5" builtinId="8"/>
    <cellStyle name="Normal" xfId="0" builtinId="0"/>
    <cellStyle name="Normal 2" xfId="2" xr:uid="{00000000-0005-0000-0000-000003000000}"/>
    <cellStyle name="Normal 3" xfId="3" xr:uid="{00000000-0005-0000-0000-000004000000}"/>
    <cellStyle name="Porcentagem" xfId="6" builtinId="5"/>
    <cellStyle name="Vírgula" xfId="4" builtinId="3"/>
  </cellStyles>
  <dxfs count="21">
    <dxf>
      <font>
        <b/>
        <i val="0"/>
        <strike val="0"/>
        <condense val="0"/>
        <extend val="0"/>
        <outline val="0"/>
        <shadow val="0"/>
        <u val="none"/>
        <vertAlign val="baseline"/>
        <sz val="12"/>
        <color rgb="FFFFFFFF"/>
        <name val="Arial"/>
        <scheme val="none"/>
      </font>
      <fill>
        <patternFill patternType="solid">
          <fgColor indexed="64"/>
          <bgColor rgb="FF000000"/>
        </patternFill>
      </fill>
      <alignment horizontal="left" vertical="top" textRotation="0" wrapText="0" indent="0" justifyLastLine="0" shrinkToFit="0" readingOrder="0"/>
      <border diagonalUp="0" diagonalDown="0">
        <left/>
        <right/>
        <top style="thin">
          <color theme="1"/>
        </top>
        <bottom/>
        <vertical/>
        <horizontal/>
      </border>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b val="0"/>
        <i val="0"/>
        <strike val="0"/>
        <condense val="0"/>
        <extend val="0"/>
        <outline val="0"/>
        <shadow val="0"/>
        <u val="none"/>
        <vertAlign val="baseline"/>
        <sz val="11"/>
        <color theme="1"/>
        <name val="Arial"/>
        <scheme val="none"/>
      </font>
      <alignment horizontal="left" vertical="top" textRotation="0" wrapText="0"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Arial"/>
        <scheme val="none"/>
      </font>
      <numFmt numFmtId="2" formatCode="0.00"/>
      <alignment horizontal="left" vertical="top" textRotation="0" wrapText="0"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Arial"/>
        <scheme val="none"/>
      </font>
      <alignment horizontal="left" vertical="top" textRotation="0" wrapText="0" indent="0" justifyLastLine="0" shrinkToFit="0" readingOrder="0"/>
      <border diagonalUp="0" diagonalDown="0" outline="0">
        <left/>
        <right/>
        <top style="thin">
          <color theme="1"/>
        </top>
        <bottom/>
      </border>
    </dxf>
    <dxf>
      <border outline="0">
        <top style="thin">
          <color theme="1"/>
        </top>
      </border>
    </dxf>
    <dxf>
      <alignment horizontal="left" vertical="top" textRotation="0" wrapText="0" indent="0" justifyLastLine="0" shrinkToFit="0" readingOrder="0"/>
    </dxf>
    <dxf>
      <font>
        <b/>
        <i val="0"/>
        <strike val="0"/>
        <condense val="0"/>
        <extend val="0"/>
        <outline val="0"/>
        <shadow val="0"/>
        <u val="none"/>
        <vertAlign val="baseline"/>
        <sz val="12"/>
        <color rgb="FFFFFFFF"/>
        <name val="Arial"/>
        <scheme val="none"/>
      </font>
      <fill>
        <patternFill patternType="solid">
          <fgColor indexed="64"/>
          <bgColor rgb="FF000000"/>
        </patternFill>
      </fill>
      <alignment horizontal="left" vertical="top" textRotation="0" wrapText="0" indent="0" justifyLastLine="0" shrinkToFit="0" readingOrder="0"/>
    </dxf>
    <dxf>
      <fill>
        <patternFill patternType="solid">
          <fgColor indexed="64"/>
          <bgColor rgb="FFFFFFCC"/>
        </patternFill>
      </fill>
    </dxf>
    <dxf>
      <fill>
        <patternFill patternType="solid">
          <fgColor indexed="64"/>
          <bgColor rgb="FFFFFFCC"/>
        </patternFill>
      </fill>
      <alignment horizontal="left" vertical="top" textRotation="0" wrapText="0" indent="0" justifyLastLine="0" shrinkToFit="0" readingOrder="0"/>
    </dxf>
    <dxf>
      <fill>
        <patternFill patternType="solid">
          <fgColor indexed="64"/>
          <bgColor rgb="FFFFFFCC"/>
        </patternFill>
      </fill>
      <alignment horizontal="left" vertical="top" textRotation="0" wrapText="0" indent="0" justifyLastLine="0" shrinkToFit="0" readingOrder="0"/>
    </dxf>
    <dxf>
      <numFmt numFmtId="164" formatCode="[$-F800]dddd\,\ mmmm\ dd\,\ yyyy"/>
      <fill>
        <patternFill patternType="solid">
          <fgColor indexed="64"/>
          <bgColor rgb="FFFFFFCC"/>
        </patternFill>
      </fill>
      <alignment horizontal="left" vertical="top" textRotation="0" wrapText="0" indent="0" justifyLastLine="0" shrinkToFit="0" readingOrder="0"/>
    </dxf>
    <dxf>
      <font>
        <b val="0"/>
        <i val="0"/>
        <strike val="0"/>
        <condense val="0"/>
        <extend val="0"/>
        <outline val="0"/>
        <shadow val="0"/>
        <u val="none"/>
        <vertAlign val="baseline"/>
        <sz val="12"/>
        <color rgb="FF222222"/>
        <name val="Arial"/>
        <scheme val="none"/>
      </font>
      <fill>
        <patternFill patternType="solid">
          <fgColor indexed="64"/>
          <bgColor rgb="FFFFFFCC"/>
        </patternFill>
      </fill>
    </dxf>
    <dxf>
      <fill>
        <patternFill patternType="solid">
          <fgColor indexed="64"/>
          <bgColor rgb="FFFFFFCC"/>
        </patternFill>
      </fill>
    </dxf>
    <dxf>
      <font>
        <strike val="0"/>
        <outline val="0"/>
        <shadow val="0"/>
        <u val="none"/>
        <vertAlign val="baseline"/>
        <sz val="11"/>
        <color theme="0"/>
        <name val="Arial"/>
        <scheme val="none"/>
      </font>
      <fill>
        <patternFill patternType="solid">
          <fgColor indexed="64"/>
          <bgColor theme="1"/>
        </patternFill>
      </fill>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b/>
        <i val="0"/>
        <strike val="0"/>
        <condense val="0"/>
        <extend val="0"/>
        <outline val="0"/>
        <shadow val="0"/>
        <u val="none"/>
        <vertAlign val="baseline"/>
        <sz val="12"/>
        <color theme="0"/>
        <name val="Arial"/>
        <family val="2"/>
        <scheme val="none"/>
      </font>
      <fill>
        <patternFill patternType="solid">
          <fgColor indexed="64"/>
          <bgColor theme="1"/>
        </patternFill>
      </fill>
      <alignment horizontal="left" vertical="top" textRotation="0" wrapText="0" indent="0" justifyLastLine="0" shrinkToFit="0" readingOrder="0"/>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9020BBC-4CEC-470E-BAA8-62CF907F6167}" name="Tabela5" displayName="Tabela5" ref="A1:A757" totalsRowShown="0">
  <autoFilter ref="A1:A757" xr:uid="{F2A1D372-9E7B-4BDF-B847-E01175FEE0AF}">
    <filterColumn colId="0" hiddenButton="1"/>
  </autoFilter>
  <tableColumns count="1">
    <tableColumn id="1" xr3:uid="{CA3FB516-A18A-40A8-8460-4C8CA0E5ED87}" name="EMPRESA JÚNIOR"/>
  </tableColumns>
  <tableStyleInfo name="TableStyleMedium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A27914-50B4-4D60-ABF6-19B3B0012E86}" name="Tabela6" displayName="Tabela6" ref="C1:C757" totalsRowShown="0" headerRowDxfId="20" dataDxfId="19">
  <autoFilter ref="C1:C757" xr:uid="{A9B7D853-455C-497B-B758-BDC09C2D7CBF}"/>
  <tableColumns count="1">
    <tableColumn id="1" xr3:uid="{CEE4C7E3-EA42-4829-B6CF-B54C4EA16B72}" name="índice mês" dataDxfId="18"/>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Calendário_Eventos7" displayName="Calendário_Eventos7" ref="A1:E7" totalsRowShown="0" headerRowDxfId="17" dataDxfId="16">
  <autoFilter ref="A1:E7" xr:uid="{00000000-0009-0000-0100-000006000000}"/>
  <tableColumns count="5">
    <tableColumn id="1" xr3:uid="{00000000-0010-0000-0000-000001000000}" name="Evento" dataDxfId="15"/>
    <tableColumn id="2" xr3:uid="{00000000-0010-0000-0000-000002000000}" name="Mês" dataDxfId="14"/>
    <tableColumn id="3" xr3:uid="{00000000-0010-0000-0000-000003000000}" name="Ano" dataDxfId="13"/>
    <tableColumn id="4" xr3:uid="{00000000-0010-0000-0000-000004000000}" name="Público" dataDxfId="12"/>
    <tableColumn id="5" xr3:uid="{00000000-0010-0000-0000-000005000000}" name="Cidade" dataDxfId="11"/>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a4" displayName="Tabela4" ref="A1:G551" totalsRowShown="0" headerRowDxfId="10" dataDxfId="9" tableBorderDxfId="8">
  <autoFilter ref="A1:G551" xr:uid="{00000000-0009-0000-0100-000002000000}"/>
  <tableColumns count="7">
    <tableColumn id="1" xr3:uid="{00000000-0010-0000-0100-000001000000}" name="EMPRESA JÚNIOR" dataDxfId="7"/>
    <tableColumn id="2" xr3:uid="{00000000-0010-0000-0100-000002000000}" name="FATURAMENTO" dataDxfId="6"/>
    <tableColumn id="3" xr3:uid="{00000000-0010-0000-0100-000003000000}" name="NPS" dataDxfId="5"/>
    <tableColumn id="4" xr3:uid="{00000000-0010-0000-0100-000004000000}" name="NPS 0-1000" dataDxfId="4">
      <calculatedColumnFormula>IF(AND(B2&gt;0,B2&lt;1000),C2,"")</calculatedColumnFormula>
    </tableColumn>
    <tableColumn id="5" xr3:uid="{00000000-0010-0000-0100-000005000000}" name="NPS 1000-2500" dataDxfId="3">
      <calculatedColumnFormula>IF(AND(B2&gt;1000,B2&lt;2500),C2,"")</calculatedColumnFormula>
    </tableColumn>
    <tableColumn id="6" xr3:uid="{00000000-0010-0000-0100-000006000000}" name="NPS 2500-5000" dataDxfId="2">
      <calculatedColumnFormula>IF(AND(B2&gt;2500,B2&lt;5000),C2,"")</calculatedColumnFormula>
    </tableColumn>
    <tableColumn id="7" xr3:uid="{00000000-0010-0000-0100-000007000000}" name="NPS 5000+" dataDxfId="1">
      <calculatedColumnFormula>IF(B2&gt;=5000,C2,"")</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a_NPS_Fat" displayName="Tabela_NPS_Fat" ref="I1:J5" totalsRowShown="0">
  <autoFilter ref="I1:J5" xr:uid="{00000000-0009-0000-0100-000003000000}"/>
  <tableColumns count="2">
    <tableColumn id="1" xr3:uid="{00000000-0010-0000-0200-000001000000}" name="Faturamento" dataDxfId="0"/>
    <tableColumn id="2" xr3:uid="{00000000-0010-0000-0200-000002000000}" name="Média NPS"/>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hyperlink" Target="https://drive.google.com/open?id=1824zQWLqedA0GAW5ddBM8RZcX7yuXXUa" TargetMode="External"/><Relationship Id="rId13" Type="http://schemas.openxmlformats.org/officeDocument/2006/relationships/hyperlink" Target="https://drive.google.com/open?id=1NYjEhxUumkWfucFu5h2YS-KfzyB0Nxza" TargetMode="External"/><Relationship Id="rId18" Type="http://schemas.openxmlformats.org/officeDocument/2006/relationships/hyperlink" Target="https://drive.google.com/open?id=1FXCdIpGEUELqA2YQFIHQG21303GIZQJs" TargetMode="External"/><Relationship Id="rId26" Type="http://schemas.openxmlformats.org/officeDocument/2006/relationships/hyperlink" Target="https://drive.google.com/file/d/1O0JDeNiZpzPatWVThpXeYglzIr2YXrgz" TargetMode="External"/><Relationship Id="rId39" Type="http://schemas.openxmlformats.org/officeDocument/2006/relationships/hyperlink" Target="https://drive.google.com/file/d/1_cmJN9RfpI6-I5QS3xlTJk9YwDfPVe9O/view" TargetMode="External"/><Relationship Id="rId3" Type="http://schemas.openxmlformats.org/officeDocument/2006/relationships/hyperlink" Target="https://drive.google.com/open?id=1fVALZpHcXU9Sjpc8xgL5G1CLrWg9usxO" TargetMode="External"/><Relationship Id="rId21" Type="http://schemas.openxmlformats.org/officeDocument/2006/relationships/hyperlink" Target="https://drive.google.com/open?id=1Wsbby71ucRgcdMkHwMjJSfpGM-q9eq3c" TargetMode="External"/><Relationship Id="rId34" Type="http://schemas.openxmlformats.org/officeDocument/2006/relationships/hyperlink" Target="https://drive.google.com/file/d/1jrqFpA3pBxa8kiuO8GiZ4iCIrwD9zGb5/view" TargetMode="External"/><Relationship Id="rId42" Type="http://schemas.openxmlformats.org/officeDocument/2006/relationships/printerSettings" Target="../printerSettings/printerSettings6.bin"/><Relationship Id="rId7" Type="http://schemas.openxmlformats.org/officeDocument/2006/relationships/hyperlink" Target="https://drive.google.com/open?id=1lGIB9p_fu1LsAVUmFTLpOekM4NFUGqQb" TargetMode="External"/><Relationship Id="rId12" Type="http://schemas.openxmlformats.org/officeDocument/2006/relationships/hyperlink" Target="https://drive.google.com/open?id=11pi9y5YxpDCRdaceAi0Yt4L0B2VkrLBc" TargetMode="External"/><Relationship Id="rId17" Type="http://schemas.openxmlformats.org/officeDocument/2006/relationships/hyperlink" Target="https://drive.google.com/open?id=16S-l8cawHSBpRORpgu6YPoRmATLfEDoW" TargetMode="External"/><Relationship Id="rId25" Type="http://schemas.openxmlformats.org/officeDocument/2006/relationships/hyperlink" Target="https://drive.google.com/file/d/1MDW0ajxxYnVRIzomCYqTcw_tKI_5UU8r" TargetMode="External"/><Relationship Id="rId33" Type="http://schemas.openxmlformats.org/officeDocument/2006/relationships/hyperlink" Target="https://drive.google.com/file/d/1205wHF4aGYW9F0z5T-DNt_XyH8mt9v9n/view" TargetMode="External"/><Relationship Id="rId38" Type="http://schemas.openxmlformats.org/officeDocument/2006/relationships/hyperlink" Target="https://drive.google.com/file/d/1_cmJN9RfpI6-I5QS3xlTJk9YwDfPVe9O/view" TargetMode="External"/><Relationship Id="rId2" Type="http://schemas.openxmlformats.org/officeDocument/2006/relationships/hyperlink" Target="https://drive.google.com/open?id=1mo-x-QnTPNjBIkVGyRIQn-7E-4PVr_yn" TargetMode="External"/><Relationship Id="rId16" Type="http://schemas.openxmlformats.org/officeDocument/2006/relationships/hyperlink" Target="https://drive.google.com/open?id=11g7gLpf5pcRx7ma8etYGWPb_cSausDPT" TargetMode="External"/><Relationship Id="rId20" Type="http://schemas.openxmlformats.org/officeDocument/2006/relationships/hyperlink" Target="https://drive.google.com/open?id=1v-CyWsvh6CYFZJxlyob9OzDFFWlzHpSl" TargetMode="External"/><Relationship Id="rId29" Type="http://schemas.openxmlformats.org/officeDocument/2006/relationships/hyperlink" Target="https://drive.google.com/file/d/1yQ8AOodkzFBHI3SHbjbUJLHiaOOTQcHd" TargetMode="External"/><Relationship Id="rId41" Type="http://schemas.openxmlformats.org/officeDocument/2006/relationships/hyperlink" Target="https://drive.google.com/file/d/18kdaxS6MKHerwFgNRsjRkKUS6EvWRVSo/view" TargetMode="External"/><Relationship Id="rId1" Type="http://schemas.openxmlformats.org/officeDocument/2006/relationships/hyperlink" Target="https://drive.google.com/open?id=1Sk_IpeipuzwxxAnD-__8kPKKYFlQDtJZ" TargetMode="External"/><Relationship Id="rId6" Type="http://schemas.openxmlformats.org/officeDocument/2006/relationships/hyperlink" Target="https://drive.google.com/open?id=10_UWwsV8_1RzyiYeUhbB-vEK9SXMBii2" TargetMode="External"/><Relationship Id="rId11" Type="http://schemas.openxmlformats.org/officeDocument/2006/relationships/hyperlink" Target="https://drive.google.com/open?id=1XK_BgN9M-RU4UaiGDLGRFxJWblt8vzo6" TargetMode="External"/><Relationship Id="rId24" Type="http://schemas.openxmlformats.org/officeDocument/2006/relationships/hyperlink" Target="https://drive.google.com/file/d/16dgxzzxAffAjT9Pf94LXza1YtvOt6Fmv" TargetMode="External"/><Relationship Id="rId32" Type="http://schemas.openxmlformats.org/officeDocument/2006/relationships/hyperlink" Target="https://drive.google.com/file/d/1be22IY6SLzX0QgjOmt3V50pZofRcQSw3" TargetMode="External"/><Relationship Id="rId37" Type="http://schemas.openxmlformats.org/officeDocument/2006/relationships/hyperlink" Target="https://drive.google.com/file/d/1I4jVE__0G0W_fLG6pXEzBsSZoWVwVy_w/view" TargetMode="External"/><Relationship Id="rId40" Type="http://schemas.openxmlformats.org/officeDocument/2006/relationships/hyperlink" Target="https://drive.google.com/file/d/1OUyTbzRDgB0SHKbgGLukX8uOYKMH9gSK/view" TargetMode="External"/><Relationship Id="rId5" Type="http://schemas.openxmlformats.org/officeDocument/2006/relationships/hyperlink" Target="https://drive.google.com/open?id=1erj1afhXAiW4GF9o8QPgLYaZZELIa0HI" TargetMode="External"/><Relationship Id="rId15" Type="http://schemas.openxmlformats.org/officeDocument/2006/relationships/hyperlink" Target="https://drive.google.com/open?id=1UH1od3uwnmm_ZO1KM_GERyJX2dGA84Ro" TargetMode="External"/><Relationship Id="rId23" Type="http://schemas.openxmlformats.org/officeDocument/2006/relationships/hyperlink" Target="https://drive.google.com/open?id=1dN7eNM8mn4SMLzSn5wKB-XSNQRV9hEVj" TargetMode="External"/><Relationship Id="rId28" Type="http://schemas.openxmlformats.org/officeDocument/2006/relationships/hyperlink" Target="https://drive.google.com/file/d/1yiZgAQdk9FPEUqEz2Ag4qg027_5N670v" TargetMode="External"/><Relationship Id="rId36" Type="http://schemas.openxmlformats.org/officeDocument/2006/relationships/hyperlink" Target="https://drive.google.com/file/d/1qopi7P7oVwsR4fWnGLKWZSW_PjHqn_Lq/view" TargetMode="External"/><Relationship Id="rId10" Type="http://schemas.openxmlformats.org/officeDocument/2006/relationships/hyperlink" Target="https://drive.google.com/open?id=1F5K-thKMpokpSnYJO1dsGK8Cst6R1d5e" TargetMode="External"/><Relationship Id="rId19" Type="http://schemas.openxmlformats.org/officeDocument/2006/relationships/hyperlink" Target="https://drive.google.com/open?id=1jjkErIkCM0qCWBH9BG53QoLJMadFGQcw" TargetMode="External"/><Relationship Id="rId31" Type="http://schemas.openxmlformats.org/officeDocument/2006/relationships/hyperlink" Target="https://drive.google.com/file/d/1cXOY9Qou_rutVf7e8g_LcMyyv8tRjqPr" TargetMode="External"/><Relationship Id="rId4" Type="http://schemas.openxmlformats.org/officeDocument/2006/relationships/hyperlink" Target="https://drive.google.com/open?id=1dD_quYIV3Y-h4ISDZRwOV1KUDWhlvKaF" TargetMode="External"/><Relationship Id="rId9" Type="http://schemas.openxmlformats.org/officeDocument/2006/relationships/hyperlink" Target="https://drive.google.com/open?id=105_puDnixvWyRujFpYunaf9IzK0ZSZsW" TargetMode="External"/><Relationship Id="rId14" Type="http://schemas.openxmlformats.org/officeDocument/2006/relationships/hyperlink" Target="https://drive.google.com/open?id=1BWe40zsRrCnvB4a3chI3oCz6EH2Gr8h9" TargetMode="External"/><Relationship Id="rId22" Type="http://schemas.openxmlformats.org/officeDocument/2006/relationships/hyperlink" Target="https://drive.google.com/open?id=1-8Npd88jkbrkuvqJb9VAV8oiOaMI9d4H" TargetMode="External"/><Relationship Id="rId27" Type="http://schemas.openxmlformats.org/officeDocument/2006/relationships/hyperlink" Target="https://drive.google.com/file/d/1XuOKW5Nk7z7ftmcMiIL2BVfKcurYFibt" TargetMode="External"/><Relationship Id="rId30" Type="http://schemas.openxmlformats.org/officeDocument/2006/relationships/hyperlink" Target="https://drive.google.com/file/d/1DdO1az6Vi2yEFMY2kMLAsOOPTV1px2V6" TargetMode="External"/><Relationship Id="rId35" Type="http://schemas.openxmlformats.org/officeDocument/2006/relationships/hyperlink" Target="https://drive.google.com/file/d/1wzkIRnzK91FqvM177EJJCOm0UbGdJThj/view" TargetMode="External"/></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57"/>
  <sheetViews>
    <sheetView zoomScaleNormal="100" workbookViewId="0">
      <pane xSplit="1" ySplit="1" topLeftCell="P2" activePane="bottomRight" state="frozen"/>
      <selection pane="topRight" activeCell="B1" sqref="B1"/>
      <selection pane="bottomLeft" activeCell="A2" sqref="A2"/>
      <selection pane="bottomRight" activeCell="P15" sqref="P15"/>
    </sheetView>
  </sheetViews>
  <sheetFormatPr defaultRowHeight="14.25" x14ac:dyDescent="0.2"/>
  <cols>
    <col min="1" max="1" width="22.625" style="5" customWidth="1"/>
    <col min="2" max="2" width="12.25" style="5" hidden="1" customWidth="1"/>
    <col min="3" max="3" width="10.25" style="5" hidden="1" customWidth="1"/>
    <col min="4" max="4" width="21" hidden="1" customWidth="1"/>
    <col min="5" max="5" width="21.75" hidden="1" customWidth="1"/>
    <col min="6" max="6" width="29.75" hidden="1" customWidth="1"/>
    <col min="7" max="7" width="34.75" hidden="1" customWidth="1"/>
    <col min="8" max="8" width="16.625" hidden="1" customWidth="1"/>
    <col min="9" max="9" width="19.75" hidden="1" customWidth="1"/>
    <col min="10" max="10" width="31.625" hidden="1" customWidth="1"/>
    <col min="11" max="11" width="31.75" hidden="1" customWidth="1"/>
    <col min="12" max="12" width="7" style="5" hidden="1" customWidth="1"/>
    <col min="13" max="13" width="12.625" style="5" hidden="1" customWidth="1"/>
    <col min="14" max="14" width="1.625" style="5" hidden="1" customWidth="1"/>
    <col min="15" max="15" width="0.375" style="5" customWidth="1"/>
    <col min="16" max="16" width="16.75" bestFit="1" customWidth="1"/>
    <col min="17" max="17" width="21.25" bestFit="1" customWidth="1"/>
    <col min="18" max="18" width="27.75" bestFit="1" customWidth="1"/>
    <col min="19" max="19" width="32.125" style="85" bestFit="1" customWidth="1"/>
  </cols>
  <sheetData>
    <row r="1" spans="1:19" s="59" customFormat="1" ht="15.75" x14ac:dyDescent="0.25">
      <c r="A1" s="57" t="s">
        <v>0</v>
      </c>
      <c r="B1" s="57" t="s">
        <v>239</v>
      </c>
      <c r="C1" s="57" t="s">
        <v>257</v>
      </c>
      <c r="D1" s="58" t="s">
        <v>258</v>
      </c>
      <c r="E1" s="58" t="s">
        <v>259</v>
      </c>
      <c r="F1" s="58" t="s">
        <v>260</v>
      </c>
      <c r="G1" s="58" t="s">
        <v>261</v>
      </c>
      <c r="H1" s="58" t="s">
        <v>262</v>
      </c>
      <c r="I1" s="58" t="s">
        <v>263</v>
      </c>
      <c r="J1" s="58" t="s">
        <v>264</v>
      </c>
      <c r="K1" s="58" t="s">
        <v>265</v>
      </c>
      <c r="L1" s="57" t="s">
        <v>266</v>
      </c>
      <c r="M1" s="57" t="s">
        <v>267</v>
      </c>
      <c r="N1" s="55" t="s">
        <v>269</v>
      </c>
      <c r="O1" s="55" t="s">
        <v>268</v>
      </c>
      <c r="P1" s="57" t="s">
        <v>279</v>
      </c>
      <c r="Q1" s="57" t="s">
        <v>280</v>
      </c>
      <c r="R1" s="55" t="s">
        <v>281</v>
      </c>
      <c r="S1" s="84" t="s">
        <v>282</v>
      </c>
    </row>
    <row r="2" spans="1:19" s="6" customFormat="1" x14ac:dyDescent="0.2">
      <c r="A2" t="s">
        <v>316</v>
      </c>
      <c r="P2">
        <v>0</v>
      </c>
      <c r="Q2">
        <v>0</v>
      </c>
      <c r="R2">
        <v>0</v>
      </c>
      <c r="S2">
        <v>0</v>
      </c>
    </row>
    <row r="3" spans="1:19" s="6" customFormat="1" x14ac:dyDescent="0.2">
      <c r="A3" t="s">
        <v>316</v>
      </c>
      <c r="P3">
        <v>0</v>
      </c>
      <c r="Q3">
        <v>0</v>
      </c>
      <c r="R3">
        <v>0</v>
      </c>
      <c r="S3">
        <v>0</v>
      </c>
    </row>
    <row r="4" spans="1:19" s="6" customFormat="1" x14ac:dyDescent="0.2">
      <c r="A4" t="s">
        <v>316</v>
      </c>
      <c r="P4">
        <v>0</v>
      </c>
      <c r="Q4">
        <v>0</v>
      </c>
      <c r="R4">
        <v>0</v>
      </c>
      <c r="S4">
        <v>0</v>
      </c>
    </row>
    <row r="5" spans="1:19" s="6" customFormat="1" x14ac:dyDescent="0.2">
      <c r="A5" t="s">
        <v>316</v>
      </c>
      <c r="P5">
        <v>0</v>
      </c>
      <c r="Q5">
        <v>0</v>
      </c>
      <c r="R5">
        <v>0</v>
      </c>
      <c r="S5">
        <v>0</v>
      </c>
    </row>
    <row r="6" spans="1:19" s="6" customFormat="1" x14ac:dyDescent="0.2">
      <c r="A6" t="s">
        <v>316</v>
      </c>
      <c r="P6">
        <v>0</v>
      </c>
      <c r="Q6">
        <v>0</v>
      </c>
      <c r="R6">
        <v>0</v>
      </c>
      <c r="S6">
        <v>0</v>
      </c>
    </row>
    <row r="7" spans="1:19" s="6" customFormat="1" x14ac:dyDescent="0.2">
      <c r="A7" t="s">
        <v>316</v>
      </c>
      <c r="P7">
        <v>0</v>
      </c>
      <c r="Q7">
        <v>0</v>
      </c>
      <c r="R7">
        <v>0</v>
      </c>
      <c r="S7">
        <v>0</v>
      </c>
    </row>
    <row r="8" spans="1:19" s="6" customFormat="1" x14ac:dyDescent="0.2">
      <c r="A8" t="s">
        <v>316</v>
      </c>
      <c r="P8">
        <v>0</v>
      </c>
      <c r="Q8">
        <v>0</v>
      </c>
      <c r="R8">
        <v>0</v>
      </c>
      <c r="S8">
        <v>0</v>
      </c>
    </row>
    <row r="9" spans="1:19" s="6" customFormat="1" x14ac:dyDescent="0.2">
      <c r="A9" t="s">
        <v>316</v>
      </c>
      <c r="P9">
        <v>1</v>
      </c>
      <c r="Q9">
        <v>240</v>
      </c>
      <c r="R9">
        <v>9</v>
      </c>
      <c r="S9">
        <v>1320</v>
      </c>
    </row>
    <row r="10" spans="1:19" s="6" customFormat="1" x14ac:dyDescent="0.2">
      <c r="A10" t="s">
        <v>316</v>
      </c>
      <c r="P10">
        <v>0</v>
      </c>
      <c r="Q10">
        <v>0</v>
      </c>
      <c r="R10">
        <v>9</v>
      </c>
      <c r="S10">
        <v>1320</v>
      </c>
    </row>
    <row r="11" spans="1:19" s="6" customFormat="1" x14ac:dyDescent="0.2">
      <c r="A11" t="s">
        <v>316</v>
      </c>
      <c r="P11">
        <v>0</v>
      </c>
      <c r="Q11">
        <v>0</v>
      </c>
      <c r="R11">
        <v>9</v>
      </c>
      <c r="S11">
        <v>1320</v>
      </c>
    </row>
    <row r="12" spans="1:19" s="6" customFormat="1" x14ac:dyDescent="0.2">
      <c r="A12" t="s">
        <v>316</v>
      </c>
    </row>
    <row r="13" spans="1:19" s="6" customFormat="1" x14ac:dyDescent="0.2">
      <c r="A13" t="s">
        <v>316</v>
      </c>
    </row>
    <row r="14" spans="1:19" x14ac:dyDescent="0.2">
      <c r="A14" s="6" t="s">
        <v>83</v>
      </c>
      <c r="B14" s="90" t="s">
        <v>151</v>
      </c>
      <c r="C14" s="90">
        <v>1</v>
      </c>
      <c r="D14" s="88">
        <v>0</v>
      </c>
      <c r="E14" s="88">
        <v>0</v>
      </c>
      <c r="F14" s="88">
        <f>D14</f>
        <v>0</v>
      </c>
      <c r="G14" s="88">
        <f>E14</f>
        <v>0</v>
      </c>
      <c r="H14" s="89">
        <v>0</v>
      </c>
      <c r="I14" s="89">
        <v>0</v>
      </c>
      <c r="J14" s="89">
        <f>H14</f>
        <v>0</v>
      </c>
      <c r="K14" s="89">
        <f>I14</f>
        <v>0</v>
      </c>
      <c r="L14" s="90">
        <v>2</v>
      </c>
      <c r="M14" s="91">
        <v>4050</v>
      </c>
      <c r="N14" s="92">
        <f>L14</f>
        <v>2</v>
      </c>
      <c r="O14" s="92">
        <f>M14</f>
        <v>4050</v>
      </c>
      <c r="P14">
        <v>4</v>
      </c>
      <c r="Q14">
        <v>1892</v>
      </c>
      <c r="R14">
        <v>4</v>
      </c>
      <c r="S14">
        <v>1892</v>
      </c>
    </row>
    <row r="15" spans="1:19" x14ac:dyDescent="0.2">
      <c r="A15" s="6" t="s">
        <v>83</v>
      </c>
      <c r="B15" s="90" t="s">
        <v>152</v>
      </c>
      <c r="C15" s="90">
        <v>2</v>
      </c>
      <c r="D15" s="88">
        <v>0</v>
      </c>
      <c r="E15" s="88">
        <v>0</v>
      </c>
      <c r="F15" s="88">
        <f t="shared" ref="F15:G25" si="0">F14+D15</f>
        <v>0</v>
      </c>
      <c r="G15" s="88">
        <f t="shared" si="0"/>
        <v>0</v>
      </c>
      <c r="H15" s="89">
        <v>0</v>
      </c>
      <c r="I15" s="89">
        <v>0</v>
      </c>
      <c r="J15" s="89">
        <f t="shared" ref="J15:K25" si="1">J14+H15</f>
        <v>0</v>
      </c>
      <c r="K15" s="89">
        <f t="shared" si="1"/>
        <v>0</v>
      </c>
      <c r="L15" s="90">
        <v>1</v>
      </c>
      <c r="M15" s="91">
        <v>400</v>
      </c>
      <c r="N15" s="92">
        <f t="shared" ref="N15:N25" si="2">N14+L15</f>
        <v>3</v>
      </c>
      <c r="O15" s="92">
        <f t="shared" ref="O15:O25" si="3">O14+M15</f>
        <v>4450</v>
      </c>
      <c r="P15">
        <v>5</v>
      </c>
      <c r="Q15">
        <v>5605</v>
      </c>
      <c r="R15">
        <v>9</v>
      </c>
      <c r="S15">
        <v>7497</v>
      </c>
    </row>
    <row r="16" spans="1:19" x14ac:dyDescent="0.2">
      <c r="A16" s="6" t="s">
        <v>83</v>
      </c>
      <c r="B16" s="90" t="s">
        <v>153</v>
      </c>
      <c r="C16" s="90">
        <v>3</v>
      </c>
      <c r="D16" s="88">
        <v>0</v>
      </c>
      <c r="E16" s="88">
        <v>0</v>
      </c>
      <c r="F16" s="88">
        <f t="shared" si="0"/>
        <v>0</v>
      </c>
      <c r="G16" s="88">
        <f t="shared" si="0"/>
        <v>0</v>
      </c>
      <c r="H16" s="89">
        <v>0</v>
      </c>
      <c r="I16" s="89">
        <v>0</v>
      </c>
      <c r="J16" s="89">
        <f t="shared" si="1"/>
        <v>0</v>
      </c>
      <c r="K16" s="89">
        <f t="shared" si="1"/>
        <v>0</v>
      </c>
      <c r="L16" s="90">
        <v>0</v>
      </c>
      <c r="M16" s="91">
        <v>0</v>
      </c>
      <c r="N16" s="92">
        <f t="shared" si="2"/>
        <v>3</v>
      </c>
      <c r="O16" s="92">
        <f t="shared" si="3"/>
        <v>4450</v>
      </c>
      <c r="P16">
        <v>0</v>
      </c>
      <c r="Q16">
        <v>0</v>
      </c>
      <c r="R16">
        <v>9</v>
      </c>
      <c r="S16">
        <v>7497</v>
      </c>
    </row>
    <row r="17" spans="1:21" x14ac:dyDescent="0.2">
      <c r="A17" s="6" t="s">
        <v>83</v>
      </c>
      <c r="B17" s="90" t="s">
        <v>154</v>
      </c>
      <c r="C17" s="90">
        <v>4</v>
      </c>
      <c r="D17" s="88">
        <v>0</v>
      </c>
      <c r="E17" s="88">
        <v>0</v>
      </c>
      <c r="F17" s="88">
        <f t="shared" si="0"/>
        <v>0</v>
      </c>
      <c r="G17" s="88">
        <f t="shared" si="0"/>
        <v>0</v>
      </c>
      <c r="H17" s="89">
        <v>0</v>
      </c>
      <c r="I17" s="89">
        <v>0</v>
      </c>
      <c r="J17" s="89">
        <f t="shared" si="1"/>
        <v>0</v>
      </c>
      <c r="K17" s="89">
        <f t="shared" si="1"/>
        <v>0</v>
      </c>
      <c r="L17" s="90">
        <v>1</v>
      </c>
      <c r="M17" s="91">
        <v>180</v>
      </c>
      <c r="N17" s="92">
        <f t="shared" si="2"/>
        <v>4</v>
      </c>
      <c r="O17" s="92">
        <f t="shared" si="3"/>
        <v>4630</v>
      </c>
      <c r="P17">
        <v>0</v>
      </c>
      <c r="Q17">
        <v>0</v>
      </c>
      <c r="R17">
        <v>9</v>
      </c>
      <c r="S17">
        <v>7497</v>
      </c>
    </row>
    <row r="18" spans="1:21" x14ac:dyDescent="0.2">
      <c r="A18" s="6" t="s">
        <v>83</v>
      </c>
      <c r="B18" s="90" t="s">
        <v>155</v>
      </c>
      <c r="C18" s="90">
        <v>5</v>
      </c>
      <c r="D18" s="88">
        <v>0</v>
      </c>
      <c r="E18" s="88">
        <v>0</v>
      </c>
      <c r="F18" s="88">
        <f t="shared" si="0"/>
        <v>0</v>
      </c>
      <c r="G18" s="88">
        <f t="shared" si="0"/>
        <v>0</v>
      </c>
      <c r="H18" s="89">
        <v>0</v>
      </c>
      <c r="I18" s="89">
        <v>0</v>
      </c>
      <c r="J18" s="89">
        <f t="shared" si="1"/>
        <v>0</v>
      </c>
      <c r="K18" s="89">
        <f t="shared" si="1"/>
        <v>0</v>
      </c>
      <c r="L18" s="90">
        <v>2</v>
      </c>
      <c r="M18" s="91">
        <v>1890</v>
      </c>
      <c r="N18" s="92">
        <f t="shared" si="2"/>
        <v>6</v>
      </c>
      <c r="O18" s="92">
        <f t="shared" si="3"/>
        <v>6520</v>
      </c>
      <c r="P18">
        <v>0</v>
      </c>
      <c r="Q18">
        <v>0</v>
      </c>
      <c r="R18">
        <v>9</v>
      </c>
      <c r="S18">
        <v>7497</v>
      </c>
    </row>
    <row r="19" spans="1:21" x14ac:dyDescent="0.2">
      <c r="A19" s="6" t="s">
        <v>83</v>
      </c>
      <c r="B19" s="90" t="s">
        <v>156</v>
      </c>
      <c r="C19" s="90">
        <v>6</v>
      </c>
      <c r="D19" s="88">
        <v>0</v>
      </c>
      <c r="E19" s="88">
        <v>0</v>
      </c>
      <c r="F19" s="88">
        <f t="shared" si="0"/>
        <v>0</v>
      </c>
      <c r="G19" s="88">
        <f t="shared" si="0"/>
        <v>0</v>
      </c>
      <c r="H19" s="89">
        <v>0</v>
      </c>
      <c r="I19" s="89">
        <v>0</v>
      </c>
      <c r="J19" s="89">
        <f t="shared" si="1"/>
        <v>0</v>
      </c>
      <c r="K19" s="89">
        <f t="shared" si="1"/>
        <v>0</v>
      </c>
      <c r="L19" s="90">
        <v>2</v>
      </c>
      <c r="M19" s="91">
        <v>1656</v>
      </c>
      <c r="N19" s="92">
        <f t="shared" si="2"/>
        <v>8</v>
      </c>
      <c r="O19" s="92">
        <f t="shared" si="3"/>
        <v>8176</v>
      </c>
      <c r="P19">
        <v>1</v>
      </c>
      <c r="Q19">
        <v>2220</v>
      </c>
      <c r="R19">
        <v>10</v>
      </c>
      <c r="S19">
        <v>9717</v>
      </c>
      <c r="U19" t="s">
        <v>288</v>
      </c>
    </row>
    <row r="20" spans="1:21" x14ac:dyDescent="0.2">
      <c r="A20" s="6" t="s">
        <v>83</v>
      </c>
      <c r="B20" s="90" t="s">
        <v>157</v>
      </c>
      <c r="C20" s="90">
        <v>7</v>
      </c>
      <c r="D20" s="88">
        <v>0</v>
      </c>
      <c r="E20" s="88">
        <v>0</v>
      </c>
      <c r="F20" s="88">
        <f t="shared" si="0"/>
        <v>0</v>
      </c>
      <c r="G20" s="88">
        <f t="shared" si="0"/>
        <v>0</v>
      </c>
      <c r="H20" s="89">
        <v>1</v>
      </c>
      <c r="I20" s="89">
        <v>220</v>
      </c>
      <c r="J20" s="89">
        <f t="shared" si="1"/>
        <v>1</v>
      </c>
      <c r="K20" s="89">
        <f t="shared" si="1"/>
        <v>220</v>
      </c>
      <c r="L20" s="90">
        <v>0</v>
      </c>
      <c r="M20" s="91">
        <v>0</v>
      </c>
      <c r="N20" s="92">
        <f t="shared" si="2"/>
        <v>8</v>
      </c>
      <c r="O20" s="92">
        <f t="shared" si="3"/>
        <v>8176</v>
      </c>
      <c r="P20">
        <v>2</v>
      </c>
      <c r="Q20">
        <v>1800</v>
      </c>
      <c r="R20">
        <v>12</v>
      </c>
      <c r="S20">
        <v>11517</v>
      </c>
    </row>
    <row r="21" spans="1:21" x14ac:dyDescent="0.2">
      <c r="A21" s="6" t="s">
        <v>83</v>
      </c>
      <c r="B21" s="90" t="s">
        <v>158</v>
      </c>
      <c r="C21" s="90">
        <v>8</v>
      </c>
      <c r="D21" s="88">
        <v>0</v>
      </c>
      <c r="E21" s="88">
        <v>0</v>
      </c>
      <c r="F21" s="88">
        <f t="shared" si="0"/>
        <v>0</v>
      </c>
      <c r="G21" s="88">
        <f t="shared" si="0"/>
        <v>0</v>
      </c>
      <c r="H21" s="89">
        <v>1</v>
      </c>
      <c r="I21" s="89">
        <v>1119.6199999999999</v>
      </c>
      <c r="J21" s="89">
        <f t="shared" si="1"/>
        <v>2</v>
      </c>
      <c r="K21" s="89">
        <f t="shared" si="1"/>
        <v>1339.62</v>
      </c>
      <c r="L21" s="90">
        <v>1</v>
      </c>
      <c r="M21" s="91">
        <v>310</v>
      </c>
      <c r="N21" s="92">
        <f t="shared" si="2"/>
        <v>9</v>
      </c>
      <c r="O21" s="92">
        <f t="shared" si="3"/>
        <v>8486</v>
      </c>
      <c r="P21">
        <v>0</v>
      </c>
      <c r="Q21">
        <v>0</v>
      </c>
      <c r="R21">
        <v>12</v>
      </c>
      <c r="S21">
        <v>11517</v>
      </c>
    </row>
    <row r="22" spans="1:21" x14ac:dyDescent="0.2">
      <c r="A22" s="6" t="s">
        <v>83</v>
      </c>
      <c r="B22" s="90" t="s">
        <v>159</v>
      </c>
      <c r="C22" s="90">
        <v>9</v>
      </c>
      <c r="D22" s="88">
        <v>0</v>
      </c>
      <c r="E22" s="88">
        <v>0</v>
      </c>
      <c r="F22" s="88">
        <f>F21+D22</f>
        <v>0</v>
      </c>
      <c r="G22" s="88">
        <f>G21+E22</f>
        <v>0</v>
      </c>
      <c r="H22" s="89">
        <v>0</v>
      </c>
      <c r="I22" s="89">
        <v>0</v>
      </c>
      <c r="J22" s="89">
        <f>J21+H22</f>
        <v>2</v>
      </c>
      <c r="K22" s="89">
        <f>K21+I22</f>
        <v>1339.62</v>
      </c>
      <c r="L22" s="90">
        <v>2</v>
      </c>
      <c r="M22" s="91">
        <v>1490</v>
      </c>
      <c r="N22" s="92">
        <f>N21+L22</f>
        <v>11</v>
      </c>
      <c r="O22" s="92">
        <f>O21+M22</f>
        <v>9976</v>
      </c>
      <c r="P22">
        <v>0</v>
      </c>
      <c r="Q22">
        <v>0</v>
      </c>
      <c r="R22">
        <v>12</v>
      </c>
      <c r="S22">
        <v>11517</v>
      </c>
    </row>
    <row r="23" spans="1:21" x14ac:dyDescent="0.2">
      <c r="A23" s="6" t="s">
        <v>83</v>
      </c>
      <c r="B23" s="90" t="s">
        <v>160</v>
      </c>
      <c r="C23" s="90">
        <v>10</v>
      </c>
      <c r="D23" s="88">
        <v>0</v>
      </c>
      <c r="E23" s="88">
        <v>0</v>
      </c>
      <c r="F23" s="88">
        <f t="shared" si="0"/>
        <v>0</v>
      </c>
      <c r="G23" s="88">
        <f t="shared" si="0"/>
        <v>0</v>
      </c>
      <c r="H23" s="89">
        <v>1</v>
      </c>
      <c r="I23" s="89">
        <v>420</v>
      </c>
      <c r="J23" s="89">
        <f t="shared" si="1"/>
        <v>3</v>
      </c>
      <c r="K23" s="89">
        <f t="shared" si="1"/>
        <v>1759.62</v>
      </c>
      <c r="L23" s="90">
        <v>2</v>
      </c>
      <c r="M23" s="91">
        <v>1180</v>
      </c>
      <c r="N23" s="92">
        <f t="shared" si="2"/>
        <v>13</v>
      </c>
      <c r="O23" s="92">
        <f t="shared" si="3"/>
        <v>11156</v>
      </c>
      <c r="P23">
        <v>0</v>
      </c>
      <c r="Q23">
        <v>0</v>
      </c>
      <c r="R23">
        <v>12</v>
      </c>
      <c r="S23">
        <v>11517</v>
      </c>
    </row>
    <row r="24" spans="1:21" x14ac:dyDescent="0.2">
      <c r="A24" s="6" t="s">
        <v>83</v>
      </c>
      <c r="B24" s="90" t="s">
        <v>161</v>
      </c>
      <c r="C24" s="90">
        <v>11</v>
      </c>
      <c r="D24" s="88">
        <v>0</v>
      </c>
      <c r="E24" s="88">
        <v>0</v>
      </c>
      <c r="F24" s="88">
        <f t="shared" si="0"/>
        <v>0</v>
      </c>
      <c r="G24" s="88">
        <f t="shared" si="0"/>
        <v>0</v>
      </c>
      <c r="H24" s="89">
        <v>1</v>
      </c>
      <c r="I24" s="89">
        <v>1940</v>
      </c>
      <c r="J24" s="89">
        <f t="shared" si="1"/>
        <v>4</v>
      </c>
      <c r="K24" s="89">
        <f t="shared" si="1"/>
        <v>3699.62</v>
      </c>
      <c r="L24" s="90">
        <v>3</v>
      </c>
      <c r="M24" s="91">
        <v>2740</v>
      </c>
      <c r="N24" s="92">
        <f t="shared" si="2"/>
        <v>16</v>
      </c>
      <c r="O24" s="92">
        <f t="shared" si="3"/>
        <v>13896</v>
      </c>
      <c r="P24" s="86"/>
      <c r="Q24" s="86">
        <v>0</v>
      </c>
    </row>
    <row r="25" spans="1:21" x14ac:dyDescent="0.2">
      <c r="A25" s="6" t="s">
        <v>83</v>
      </c>
      <c r="B25" s="90" t="s">
        <v>162</v>
      </c>
      <c r="C25" s="90">
        <v>12</v>
      </c>
      <c r="D25" s="88">
        <v>0</v>
      </c>
      <c r="E25" s="88">
        <v>0</v>
      </c>
      <c r="F25" s="88">
        <f t="shared" si="0"/>
        <v>0</v>
      </c>
      <c r="G25" s="88">
        <f t="shared" si="0"/>
        <v>0</v>
      </c>
      <c r="H25" s="89">
        <v>0</v>
      </c>
      <c r="I25" s="89">
        <v>0</v>
      </c>
      <c r="J25" s="89">
        <f t="shared" si="1"/>
        <v>4</v>
      </c>
      <c r="K25" s="89">
        <f t="shared" si="1"/>
        <v>3699.62</v>
      </c>
      <c r="L25" s="90">
        <v>1</v>
      </c>
      <c r="M25" s="91">
        <v>1500</v>
      </c>
      <c r="N25" s="92">
        <f t="shared" si="2"/>
        <v>17</v>
      </c>
      <c r="O25" s="92">
        <f t="shared" si="3"/>
        <v>15396</v>
      </c>
      <c r="P25" s="86"/>
      <c r="Q25" s="86">
        <v>0</v>
      </c>
    </row>
    <row r="26" spans="1:21" x14ac:dyDescent="0.2">
      <c r="A26" s="6" t="s">
        <v>94</v>
      </c>
      <c r="B26" s="90" t="s">
        <v>151</v>
      </c>
      <c r="C26" s="90">
        <v>1</v>
      </c>
      <c r="D26" s="88">
        <v>0</v>
      </c>
      <c r="E26" s="88">
        <v>0</v>
      </c>
      <c r="F26" s="88">
        <f>D26</f>
        <v>0</v>
      </c>
      <c r="G26" s="88">
        <f>E26</f>
        <v>0</v>
      </c>
      <c r="H26" s="88">
        <v>0</v>
      </c>
      <c r="I26" s="88">
        <v>0</v>
      </c>
      <c r="J26" s="88">
        <f>H26</f>
        <v>0</v>
      </c>
      <c r="K26" s="88">
        <f>I26</f>
        <v>0</v>
      </c>
      <c r="L26" s="90">
        <v>0</v>
      </c>
      <c r="M26" s="91">
        <v>0</v>
      </c>
      <c r="N26" s="92">
        <f>L26</f>
        <v>0</v>
      </c>
      <c r="O26" s="92">
        <f>M26</f>
        <v>0</v>
      </c>
      <c r="P26">
        <v>1</v>
      </c>
      <c r="Q26">
        <v>244</v>
      </c>
      <c r="R26">
        <v>1</v>
      </c>
      <c r="S26">
        <v>244</v>
      </c>
    </row>
    <row r="27" spans="1:21" x14ac:dyDescent="0.2">
      <c r="A27" s="6" t="s">
        <v>94</v>
      </c>
      <c r="B27" s="90" t="s">
        <v>152</v>
      </c>
      <c r="C27" s="90">
        <v>2</v>
      </c>
      <c r="D27" s="88">
        <v>0</v>
      </c>
      <c r="E27" s="88">
        <v>0</v>
      </c>
      <c r="F27" s="88">
        <f t="shared" ref="F27:G37" si="4">F26+D27</f>
        <v>0</v>
      </c>
      <c r="G27" s="88">
        <f t="shared" si="4"/>
        <v>0</v>
      </c>
      <c r="H27" s="88">
        <v>0</v>
      </c>
      <c r="I27" s="88">
        <v>0</v>
      </c>
      <c r="J27" s="88">
        <f t="shared" ref="J27:J37" si="5">J26+H27</f>
        <v>0</v>
      </c>
      <c r="K27" s="88">
        <f t="shared" ref="K27:K37" si="6">K26+I27</f>
        <v>0</v>
      </c>
      <c r="L27" s="90">
        <v>0</v>
      </c>
      <c r="M27" s="91">
        <v>0</v>
      </c>
      <c r="N27" s="92">
        <f t="shared" ref="N27:N37" si="7">N26+L27</f>
        <v>0</v>
      </c>
      <c r="O27" s="92">
        <f t="shared" ref="O27:O37" si="8">O26+M27</f>
        <v>0</v>
      </c>
      <c r="P27">
        <v>0</v>
      </c>
      <c r="Q27">
        <v>0</v>
      </c>
      <c r="R27">
        <v>1</v>
      </c>
      <c r="S27">
        <v>244</v>
      </c>
    </row>
    <row r="28" spans="1:21" x14ac:dyDescent="0.2">
      <c r="A28" s="6" t="s">
        <v>94</v>
      </c>
      <c r="B28" s="90" t="s">
        <v>153</v>
      </c>
      <c r="C28" s="90">
        <v>3</v>
      </c>
      <c r="D28" s="88">
        <v>0</v>
      </c>
      <c r="E28" s="88">
        <v>0</v>
      </c>
      <c r="F28" s="88">
        <f t="shared" si="4"/>
        <v>0</v>
      </c>
      <c r="G28" s="88">
        <f t="shared" si="4"/>
        <v>0</v>
      </c>
      <c r="H28" s="88">
        <v>0</v>
      </c>
      <c r="I28" s="88">
        <v>0</v>
      </c>
      <c r="J28" s="88">
        <f t="shared" si="5"/>
        <v>0</v>
      </c>
      <c r="K28" s="88">
        <f t="shared" si="6"/>
        <v>0</v>
      </c>
      <c r="L28" s="90">
        <v>0</v>
      </c>
      <c r="M28" s="91">
        <v>0</v>
      </c>
      <c r="N28" s="92">
        <f t="shared" si="7"/>
        <v>0</v>
      </c>
      <c r="O28" s="92">
        <f t="shared" si="8"/>
        <v>0</v>
      </c>
      <c r="P28">
        <v>0</v>
      </c>
      <c r="Q28">
        <v>0</v>
      </c>
      <c r="R28">
        <v>1</v>
      </c>
      <c r="S28">
        <v>244</v>
      </c>
    </row>
    <row r="29" spans="1:21" x14ac:dyDescent="0.2">
      <c r="A29" s="6" t="s">
        <v>94</v>
      </c>
      <c r="B29" s="90" t="s">
        <v>154</v>
      </c>
      <c r="C29" s="90">
        <v>4</v>
      </c>
      <c r="D29" s="88">
        <v>0</v>
      </c>
      <c r="E29" s="88">
        <v>0</v>
      </c>
      <c r="F29" s="88">
        <f t="shared" si="4"/>
        <v>0</v>
      </c>
      <c r="G29" s="88">
        <f t="shared" si="4"/>
        <v>0</v>
      </c>
      <c r="H29" s="88">
        <v>0</v>
      </c>
      <c r="I29" s="88">
        <v>0</v>
      </c>
      <c r="J29" s="88">
        <f t="shared" si="5"/>
        <v>0</v>
      </c>
      <c r="K29" s="88">
        <f t="shared" si="6"/>
        <v>0</v>
      </c>
      <c r="L29" s="90">
        <v>0</v>
      </c>
      <c r="M29" s="91">
        <v>0</v>
      </c>
      <c r="N29" s="92">
        <f t="shared" si="7"/>
        <v>0</v>
      </c>
      <c r="O29" s="92">
        <f t="shared" si="8"/>
        <v>0</v>
      </c>
      <c r="P29">
        <v>1</v>
      </c>
      <c r="Q29">
        <v>122</v>
      </c>
      <c r="R29">
        <v>2</v>
      </c>
      <c r="S29">
        <v>366</v>
      </c>
    </row>
    <row r="30" spans="1:21" x14ac:dyDescent="0.2">
      <c r="A30" s="6" t="s">
        <v>94</v>
      </c>
      <c r="B30" s="90" t="s">
        <v>155</v>
      </c>
      <c r="C30" s="90">
        <v>5</v>
      </c>
      <c r="D30" s="88">
        <v>0</v>
      </c>
      <c r="E30" s="88">
        <v>0</v>
      </c>
      <c r="F30" s="88">
        <f t="shared" si="4"/>
        <v>0</v>
      </c>
      <c r="G30" s="88">
        <f t="shared" si="4"/>
        <v>0</v>
      </c>
      <c r="H30" s="88">
        <v>0</v>
      </c>
      <c r="I30" s="88">
        <v>0</v>
      </c>
      <c r="J30" s="88">
        <f t="shared" si="5"/>
        <v>0</v>
      </c>
      <c r="K30" s="88">
        <f t="shared" si="6"/>
        <v>0</v>
      </c>
      <c r="L30" s="90">
        <v>0</v>
      </c>
      <c r="M30" s="91">
        <v>0</v>
      </c>
      <c r="N30" s="92">
        <f t="shared" si="7"/>
        <v>0</v>
      </c>
      <c r="O30" s="92">
        <f t="shared" si="8"/>
        <v>0</v>
      </c>
      <c r="P30">
        <v>0</v>
      </c>
      <c r="Q30">
        <v>0</v>
      </c>
      <c r="R30">
        <v>2</v>
      </c>
      <c r="S30">
        <v>366</v>
      </c>
    </row>
    <row r="31" spans="1:21" x14ac:dyDescent="0.2">
      <c r="A31" s="6" t="s">
        <v>94</v>
      </c>
      <c r="B31" s="90" t="s">
        <v>156</v>
      </c>
      <c r="C31" s="90">
        <v>6</v>
      </c>
      <c r="D31" s="88">
        <v>0</v>
      </c>
      <c r="E31" s="88">
        <v>0</v>
      </c>
      <c r="F31" s="88">
        <f t="shared" si="4"/>
        <v>0</v>
      </c>
      <c r="G31" s="88">
        <f t="shared" si="4"/>
        <v>0</v>
      </c>
      <c r="H31" s="88">
        <v>0</v>
      </c>
      <c r="I31" s="88">
        <v>0</v>
      </c>
      <c r="J31" s="88">
        <f t="shared" si="5"/>
        <v>0</v>
      </c>
      <c r="K31" s="88">
        <f t="shared" si="6"/>
        <v>0</v>
      </c>
      <c r="L31" s="90">
        <v>0</v>
      </c>
      <c r="M31" s="91">
        <v>0</v>
      </c>
      <c r="N31" s="92">
        <f t="shared" si="7"/>
        <v>0</v>
      </c>
      <c r="O31" s="92">
        <f t="shared" si="8"/>
        <v>0</v>
      </c>
      <c r="P31">
        <v>2</v>
      </c>
      <c r="Q31">
        <v>1</v>
      </c>
      <c r="R31">
        <v>4</v>
      </c>
      <c r="S31">
        <v>367</v>
      </c>
    </row>
    <row r="32" spans="1:21" x14ac:dyDescent="0.2">
      <c r="A32" s="6" t="s">
        <v>94</v>
      </c>
      <c r="B32" s="90" t="s">
        <v>157</v>
      </c>
      <c r="C32" s="90">
        <v>7</v>
      </c>
      <c r="D32" s="88">
        <v>0</v>
      </c>
      <c r="E32" s="88">
        <v>0</v>
      </c>
      <c r="F32" s="88">
        <f t="shared" si="4"/>
        <v>0</v>
      </c>
      <c r="G32" s="88">
        <f t="shared" si="4"/>
        <v>0</v>
      </c>
      <c r="H32" s="88">
        <v>0</v>
      </c>
      <c r="I32" s="88">
        <v>0</v>
      </c>
      <c r="J32" s="88">
        <f t="shared" si="5"/>
        <v>0</v>
      </c>
      <c r="K32" s="88">
        <f t="shared" si="6"/>
        <v>0</v>
      </c>
      <c r="L32" s="90">
        <v>0</v>
      </c>
      <c r="M32" s="91">
        <v>0</v>
      </c>
      <c r="N32" s="92">
        <f t="shared" si="7"/>
        <v>0</v>
      </c>
      <c r="O32" s="92">
        <f t="shared" si="8"/>
        <v>0</v>
      </c>
      <c r="P32">
        <v>0</v>
      </c>
      <c r="Q32">
        <v>0</v>
      </c>
      <c r="R32">
        <v>4</v>
      </c>
      <c r="S32">
        <v>367</v>
      </c>
    </row>
    <row r="33" spans="1:19" x14ac:dyDescent="0.2">
      <c r="A33" s="6" t="s">
        <v>94</v>
      </c>
      <c r="B33" s="90" t="s">
        <v>158</v>
      </c>
      <c r="C33" s="90">
        <v>8</v>
      </c>
      <c r="D33" s="88">
        <v>0</v>
      </c>
      <c r="E33" s="88">
        <v>0</v>
      </c>
      <c r="F33" s="88">
        <f t="shared" si="4"/>
        <v>0</v>
      </c>
      <c r="G33" s="88">
        <f t="shared" si="4"/>
        <v>0</v>
      </c>
      <c r="H33" s="88">
        <v>0</v>
      </c>
      <c r="I33" s="88">
        <v>0</v>
      </c>
      <c r="J33" s="88">
        <f t="shared" si="5"/>
        <v>0</v>
      </c>
      <c r="K33" s="88">
        <f t="shared" si="6"/>
        <v>0</v>
      </c>
      <c r="L33" s="90">
        <v>0</v>
      </c>
      <c r="M33" s="91">
        <v>0</v>
      </c>
      <c r="N33" s="92">
        <f t="shared" si="7"/>
        <v>0</v>
      </c>
      <c r="O33" s="92">
        <f t="shared" si="8"/>
        <v>0</v>
      </c>
      <c r="P33">
        <v>0</v>
      </c>
      <c r="Q33">
        <v>0</v>
      </c>
      <c r="R33">
        <v>4</v>
      </c>
      <c r="S33">
        <v>367</v>
      </c>
    </row>
    <row r="34" spans="1:19" x14ac:dyDescent="0.2">
      <c r="A34" s="6" t="s">
        <v>94</v>
      </c>
      <c r="B34" s="90" t="s">
        <v>159</v>
      </c>
      <c r="C34" s="90">
        <v>9</v>
      </c>
      <c r="D34" s="88">
        <v>0</v>
      </c>
      <c r="E34" s="88">
        <v>0</v>
      </c>
      <c r="F34" s="88">
        <f t="shared" si="4"/>
        <v>0</v>
      </c>
      <c r="G34" s="88">
        <f t="shared" si="4"/>
        <v>0</v>
      </c>
      <c r="H34" s="88">
        <v>0</v>
      </c>
      <c r="I34" s="88">
        <v>0</v>
      </c>
      <c r="J34" s="88">
        <f t="shared" si="5"/>
        <v>0</v>
      </c>
      <c r="K34" s="88">
        <f t="shared" si="6"/>
        <v>0</v>
      </c>
      <c r="L34" s="90">
        <v>0</v>
      </c>
      <c r="M34" s="91">
        <v>0</v>
      </c>
      <c r="N34" s="92">
        <f t="shared" si="7"/>
        <v>0</v>
      </c>
      <c r="O34" s="92">
        <f t="shared" si="8"/>
        <v>0</v>
      </c>
      <c r="P34">
        <v>3</v>
      </c>
      <c r="Q34">
        <v>3900</v>
      </c>
      <c r="R34">
        <v>7</v>
      </c>
      <c r="S34">
        <v>4267</v>
      </c>
    </row>
    <row r="35" spans="1:19" x14ac:dyDescent="0.2">
      <c r="A35" s="6" t="s">
        <v>94</v>
      </c>
      <c r="B35" s="90" t="s">
        <v>160</v>
      </c>
      <c r="C35" s="90">
        <v>10</v>
      </c>
      <c r="D35" s="88">
        <v>0</v>
      </c>
      <c r="E35" s="88">
        <v>0</v>
      </c>
      <c r="F35" s="88">
        <f t="shared" si="4"/>
        <v>0</v>
      </c>
      <c r="G35" s="88">
        <f t="shared" si="4"/>
        <v>0</v>
      </c>
      <c r="H35" s="88">
        <v>0</v>
      </c>
      <c r="I35" s="88">
        <v>0</v>
      </c>
      <c r="J35" s="88">
        <f t="shared" si="5"/>
        <v>0</v>
      </c>
      <c r="K35" s="88">
        <f t="shared" si="6"/>
        <v>0</v>
      </c>
      <c r="L35" s="90">
        <v>0</v>
      </c>
      <c r="M35" s="91">
        <v>0</v>
      </c>
      <c r="N35" s="92">
        <f t="shared" si="7"/>
        <v>0</v>
      </c>
      <c r="O35" s="92">
        <f t="shared" si="8"/>
        <v>0</v>
      </c>
      <c r="P35">
        <v>0</v>
      </c>
      <c r="Q35">
        <v>0</v>
      </c>
      <c r="R35">
        <v>7</v>
      </c>
      <c r="S35">
        <v>4267</v>
      </c>
    </row>
    <row r="36" spans="1:19" x14ac:dyDescent="0.2">
      <c r="A36" s="6" t="s">
        <v>94</v>
      </c>
      <c r="B36" s="90" t="s">
        <v>161</v>
      </c>
      <c r="C36" s="90">
        <v>11</v>
      </c>
      <c r="D36" s="88">
        <v>0</v>
      </c>
      <c r="E36" s="88">
        <v>0</v>
      </c>
      <c r="F36" s="88">
        <f t="shared" si="4"/>
        <v>0</v>
      </c>
      <c r="G36" s="88">
        <f t="shared" si="4"/>
        <v>0</v>
      </c>
      <c r="H36" s="88">
        <v>0</v>
      </c>
      <c r="I36" s="88">
        <v>0</v>
      </c>
      <c r="J36" s="88">
        <f t="shared" si="5"/>
        <v>0</v>
      </c>
      <c r="K36" s="88">
        <f t="shared" si="6"/>
        <v>0</v>
      </c>
      <c r="L36" s="90">
        <v>0</v>
      </c>
      <c r="M36" s="91">
        <v>0</v>
      </c>
      <c r="N36" s="92">
        <f t="shared" si="7"/>
        <v>0</v>
      </c>
      <c r="O36" s="92">
        <f t="shared" si="8"/>
        <v>0</v>
      </c>
      <c r="P36" s="86"/>
      <c r="Q36" s="86">
        <v>0</v>
      </c>
    </row>
    <row r="37" spans="1:19" x14ac:dyDescent="0.2">
      <c r="A37" s="6" t="s">
        <v>94</v>
      </c>
      <c r="B37" s="90" t="s">
        <v>162</v>
      </c>
      <c r="C37" s="90">
        <v>12</v>
      </c>
      <c r="D37" s="88">
        <v>0</v>
      </c>
      <c r="E37" s="88">
        <v>0</v>
      </c>
      <c r="F37" s="88">
        <f t="shared" si="4"/>
        <v>0</v>
      </c>
      <c r="G37" s="88">
        <f t="shared" si="4"/>
        <v>0</v>
      </c>
      <c r="H37" s="88">
        <v>0</v>
      </c>
      <c r="I37" s="88">
        <v>0</v>
      </c>
      <c r="J37" s="88">
        <f t="shared" si="5"/>
        <v>0</v>
      </c>
      <c r="K37" s="88">
        <f t="shared" si="6"/>
        <v>0</v>
      </c>
      <c r="L37" s="90">
        <v>0</v>
      </c>
      <c r="M37" s="91">
        <v>0</v>
      </c>
      <c r="N37" s="92">
        <f t="shared" si="7"/>
        <v>0</v>
      </c>
      <c r="O37" s="92">
        <f t="shared" si="8"/>
        <v>0</v>
      </c>
      <c r="P37" s="86"/>
      <c r="Q37" s="86">
        <v>0</v>
      </c>
    </row>
    <row r="38" spans="1:19" x14ac:dyDescent="0.2">
      <c r="A38" s="6" t="s">
        <v>55</v>
      </c>
      <c r="B38" s="90" t="s">
        <v>151</v>
      </c>
      <c r="C38" s="90">
        <v>1</v>
      </c>
      <c r="D38" s="88">
        <v>0</v>
      </c>
      <c r="E38" s="88">
        <v>0</v>
      </c>
      <c r="F38" s="88">
        <f>D38</f>
        <v>0</v>
      </c>
      <c r="G38" s="88">
        <f>E38</f>
        <v>0</v>
      </c>
      <c r="H38" s="89">
        <v>0</v>
      </c>
      <c r="I38" s="89">
        <v>0</v>
      </c>
      <c r="J38" s="89">
        <f>H38</f>
        <v>0</v>
      </c>
      <c r="K38" s="89">
        <f>I38</f>
        <v>0</v>
      </c>
      <c r="L38" s="90">
        <v>0</v>
      </c>
      <c r="M38" s="91">
        <v>0</v>
      </c>
      <c r="N38" s="92">
        <f>L38</f>
        <v>0</v>
      </c>
      <c r="O38" s="92">
        <f>M38</f>
        <v>0</v>
      </c>
      <c r="P38">
        <v>0</v>
      </c>
      <c r="Q38">
        <v>0</v>
      </c>
      <c r="R38">
        <v>0</v>
      </c>
      <c r="S38">
        <v>0</v>
      </c>
    </row>
    <row r="39" spans="1:19" x14ac:dyDescent="0.2">
      <c r="A39" s="6" t="s">
        <v>55</v>
      </c>
      <c r="B39" s="90" t="s">
        <v>152</v>
      </c>
      <c r="C39" s="90">
        <v>2</v>
      </c>
      <c r="D39" s="88">
        <v>0</v>
      </c>
      <c r="E39" s="88">
        <v>0</v>
      </c>
      <c r="F39" s="88">
        <f t="shared" ref="F39:G49" si="9">F38+D39</f>
        <v>0</v>
      </c>
      <c r="G39" s="88">
        <f t="shared" si="9"/>
        <v>0</v>
      </c>
      <c r="H39" s="89">
        <v>0</v>
      </c>
      <c r="I39" s="89">
        <v>0</v>
      </c>
      <c r="J39" s="89">
        <f t="shared" ref="J39:K49" si="10">J38+H39</f>
        <v>0</v>
      </c>
      <c r="K39" s="89">
        <f t="shared" si="10"/>
        <v>0</v>
      </c>
      <c r="L39" s="90">
        <v>0</v>
      </c>
      <c r="M39" s="91">
        <v>0</v>
      </c>
      <c r="N39" s="92">
        <f t="shared" ref="N39:N49" si="11">N38+L39</f>
        <v>0</v>
      </c>
      <c r="O39" s="92">
        <f t="shared" ref="O39:O49" si="12">O38+M39</f>
        <v>0</v>
      </c>
      <c r="P39">
        <v>1</v>
      </c>
      <c r="Q39">
        <v>900</v>
      </c>
      <c r="R39">
        <v>1</v>
      </c>
      <c r="S39">
        <v>900</v>
      </c>
    </row>
    <row r="40" spans="1:19" x14ac:dyDescent="0.2">
      <c r="A40" s="6" t="s">
        <v>55</v>
      </c>
      <c r="B40" s="90" t="s">
        <v>153</v>
      </c>
      <c r="C40" s="90">
        <v>3</v>
      </c>
      <c r="D40" s="88">
        <v>0</v>
      </c>
      <c r="E40" s="88">
        <v>0</v>
      </c>
      <c r="F40" s="88">
        <f t="shared" si="9"/>
        <v>0</v>
      </c>
      <c r="G40" s="88">
        <f t="shared" si="9"/>
        <v>0</v>
      </c>
      <c r="H40" s="89">
        <v>0</v>
      </c>
      <c r="I40" s="89">
        <v>0</v>
      </c>
      <c r="J40" s="89">
        <f t="shared" si="10"/>
        <v>0</v>
      </c>
      <c r="K40" s="89">
        <f t="shared" si="10"/>
        <v>0</v>
      </c>
      <c r="L40" s="90">
        <v>0</v>
      </c>
      <c r="M40" s="91">
        <v>0</v>
      </c>
      <c r="N40" s="92">
        <f t="shared" si="11"/>
        <v>0</v>
      </c>
      <c r="O40" s="92">
        <f t="shared" si="12"/>
        <v>0</v>
      </c>
      <c r="P40">
        <v>2</v>
      </c>
      <c r="Q40">
        <v>3464.08</v>
      </c>
      <c r="R40">
        <v>3</v>
      </c>
      <c r="S40">
        <v>4364.08</v>
      </c>
    </row>
    <row r="41" spans="1:19" x14ac:dyDescent="0.2">
      <c r="A41" s="6" t="s">
        <v>55</v>
      </c>
      <c r="B41" s="90" t="s">
        <v>154</v>
      </c>
      <c r="C41" s="90">
        <v>4</v>
      </c>
      <c r="D41" s="88">
        <v>0</v>
      </c>
      <c r="E41" s="88">
        <v>0</v>
      </c>
      <c r="F41" s="88">
        <f t="shared" si="9"/>
        <v>0</v>
      </c>
      <c r="G41" s="88">
        <f t="shared" si="9"/>
        <v>0</v>
      </c>
      <c r="H41" s="89">
        <v>0</v>
      </c>
      <c r="I41" s="89">
        <v>0</v>
      </c>
      <c r="J41" s="89">
        <f t="shared" si="10"/>
        <v>0</v>
      </c>
      <c r="K41" s="89">
        <f t="shared" si="10"/>
        <v>0</v>
      </c>
      <c r="L41" s="90">
        <v>0</v>
      </c>
      <c r="M41" s="91">
        <v>0</v>
      </c>
      <c r="N41" s="92">
        <f t="shared" si="11"/>
        <v>0</v>
      </c>
      <c r="O41" s="92">
        <f t="shared" si="12"/>
        <v>0</v>
      </c>
      <c r="P41">
        <v>1</v>
      </c>
      <c r="Q41">
        <v>1454</v>
      </c>
      <c r="R41">
        <v>4</v>
      </c>
      <c r="S41">
        <v>5818.08</v>
      </c>
    </row>
    <row r="42" spans="1:19" x14ac:dyDescent="0.2">
      <c r="A42" s="6" t="s">
        <v>55</v>
      </c>
      <c r="B42" s="90" t="s">
        <v>155</v>
      </c>
      <c r="C42" s="90">
        <v>5</v>
      </c>
      <c r="D42" s="88">
        <v>0</v>
      </c>
      <c r="E42" s="88">
        <v>0</v>
      </c>
      <c r="F42" s="88">
        <f t="shared" si="9"/>
        <v>0</v>
      </c>
      <c r="G42" s="88">
        <f t="shared" si="9"/>
        <v>0</v>
      </c>
      <c r="H42" s="89">
        <v>1</v>
      </c>
      <c r="I42" s="89">
        <v>20600</v>
      </c>
      <c r="J42" s="89">
        <f t="shared" si="10"/>
        <v>1</v>
      </c>
      <c r="K42" s="89">
        <f t="shared" si="10"/>
        <v>20600</v>
      </c>
      <c r="L42" s="90">
        <v>5</v>
      </c>
      <c r="M42" s="91">
        <v>4641.3999999999996</v>
      </c>
      <c r="N42" s="92">
        <f t="shared" si="11"/>
        <v>5</v>
      </c>
      <c r="O42" s="92">
        <f t="shared" si="12"/>
        <v>4641.3999999999996</v>
      </c>
      <c r="P42">
        <v>0</v>
      </c>
      <c r="Q42">
        <v>0</v>
      </c>
      <c r="R42">
        <v>4</v>
      </c>
      <c r="S42">
        <v>5818.08</v>
      </c>
    </row>
    <row r="43" spans="1:19" x14ac:dyDescent="0.2">
      <c r="A43" s="6" t="s">
        <v>55</v>
      </c>
      <c r="B43" s="90" t="s">
        <v>156</v>
      </c>
      <c r="C43" s="90">
        <v>6</v>
      </c>
      <c r="D43" s="88">
        <v>0</v>
      </c>
      <c r="E43" s="88">
        <v>0</v>
      </c>
      <c r="F43" s="88">
        <f t="shared" si="9"/>
        <v>0</v>
      </c>
      <c r="G43" s="88">
        <f t="shared" si="9"/>
        <v>0</v>
      </c>
      <c r="H43" s="89">
        <v>0</v>
      </c>
      <c r="I43" s="89">
        <v>0</v>
      </c>
      <c r="J43" s="89">
        <f t="shared" si="10"/>
        <v>1</v>
      </c>
      <c r="K43" s="89">
        <f t="shared" si="10"/>
        <v>20600</v>
      </c>
      <c r="L43" s="90">
        <v>0</v>
      </c>
      <c r="M43" s="91">
        <v>0</v>
      </c>
      <c r="N43" s="92">
        <f t="shared" si="11"/>
        <v>5</v>
      </c>
      <c r="O43" s="92">
        <f t="shared" si="12"/>
        <v>4641.3999999999996</v>
      </c>
      <c r="P43">
        <v>1</v>
      </c>
      <c r="Q43">
        <v>300</v>
      </c>
      <c r="R43">
        <v>5</v>
      </c>
      <c r="S43">
        <v>6118.08</v>
      </c>
    </row>
    <row r="44" spans="1:19" x14ac:dyDescent="0.2">
      <c r="A44" s="6" t="s">
        <v>55</v>
      </c>
      <c r="B44" s="90" t="s">
        <v>157</v>
      </c>
      <c r="C44" s="90">
        <v>7</v>
      </c>
      <c r="D44" s="88">
        <v>0</v>
      </c>
      <c r="E44" s="88">
        <v>0</v>
      </c>
      <c r="F44" s="88">
        <f t="shared" si="9"/>
        <v>0</v>
      </c>
      <c r="G44" s="88">
        <f t="shared" si="9"/>
        <v>0</v>
      </c>
      <c r="H44" s="89">
        <v>0</v>
      </c>
      <c r="I44" s="89">
        <v>0</v>
      </c>
      <c r="J44" s="89">
        <f t="shared" si="10"/>
        <v>1</v>
      </c>
      <c r="K44" s="89">
        <f t="shared" si="10"/>
        <v>20600</v>
      </c>
      <c r="L44" s="90">
        <v>0</v>
      </c>
      <c r="M44" s="91">
        <v>0</v>
      </c>
      <c r="N44" s="92">
        <f t="shared" si="11"/>
        <v>5</v>
      </c>
      <c r="O44" s="92">
        <f t="shared" si="12"/>
        <v>4641.3999999999996</v>
      </c>
      <c r="P44">
        <v>5</v>
      </c>
      <c r="Q44">
        <v>14140</v>
      </c>
      <c r="R44">
        <v>10</v>
      </c>
      <c r="S44">
        <v>20258.080000000002</v>
      </c>
    </row>
    <row r="45" spans="1:19" x14ac:dyDescent="0.2">
      <c r="A45" s="6" t="s">
        <v>55</v>
      </c>
      <c r="B45" s="90" t="s">
        <v>158</v>
      </c>
      <c r="C45" s="90">
        <v>8</v>
      </c>
      <c r="D45" s="88">
        <v>0</v>
      </c>
      <c r="E45" s="88">
        <v>0</v>
      </c>
      <c r="F45" s="88">
        <f t="shared" si="9"/>
        <v>0</v>
      </c>
      <c r="G45" s="88">
        <f t="shared" si="9"/>
        <v>0</v>
      </c>
      <c r="H45" s="89">
        <v>0</v>
      </c>
      <c r="I45" s="89">
        <v>0</v>
      </c>
      <c r="J45" s="89">
        <f t="shared" si="10"/>
        <v>1</v>
      </c>
      <c r="K45" s="89">
        <f t="shared" si="10"/>
        <v>20600</v>
      </c>
      <c r="L45" s="90">
        <v>0</v>
      </c>
      <c r="M45" s="91">
        <v>0</v>
      </c>
      <c r="N45" s="92">
        <f t="shared" si="11"/>
        <v>5</v>
      </c>
      <c r="O45" s="92">
        <f t="shared" si="12"/>
        <v>4641.3999999999996</v>
      </c>
      <c r="P45">
        <v>0</v>
      </c>
      <c r="Q45">
        <v>0</v>
      </c>
      <c r="R45">
        <v>10</v>
      </c>
      <c r="S45">
        <v>20258.080000000002</v>
      </c>
    </row>
    <row r="46" spans="1:19" x14ac:dyDescent="0.2">
      <c r="A46" s="6" t="s">
        <v>55</v>
      </c>
      <c r="B46" s="90" t="s">
        <v>159</v>
      </c>
      <c r="C46" s="90">
        <v>9</v>
      </c>
      <c r="D46" s="88">
        <v>0</v>
      </c>
      <c r="E46" s="88">
        <v>0</v>
      </c>
      <c r="F46" s="88">
        <f t="shared" si="9"/>
        <v>0</v>
      </c>
      <c r="G46" s="88">
        <f t="shared" si="9"/>
        <v>0</v>
      </c>
      <c r="H46" s="89">
        <v>0</v>
      </c>
      <c r="I46" s="89">
        <v>0</v>
      </c>
      <c r="J46" s="89">
        <f t="shared" si="10"/>
        <v>1</v>
      </c>
      <c r="K46" s="89">
        <f t="shared" si="10"/>
        <v>20600</v>
      </c>
      <c r="L46" s="90">
        <v>0</v>
      </c>
      <c r="M46" s="91">
        <v>0</v>
      </c>
      <c r="N46" s="92">
        <f t="shared" si="11"/>
        <v>5</v>
      </c>
      <c r="O46" s="92">
        <f t="shared" si="12"/>
        <v>4641.3999999999996</v>
      </c>
      <c r="P46">
        <v>1</v>
      </c>
      <c r="Q46">
        <v>500</v>
      </c>
      <c r="R46">
        <v>11</v>
      </c>
      <c r="S46">
        <v>20758.080000000002</v>
      </c>
    </row>
    <row r="47" spans="1:19" x14ac:dyDescent="0.2">
      <c r="A47" s="6" t="s">
        <v>55</v>
      </c>
      <c r="B47" s="90" t="s">
        <v>160</v>
      </c>
      <c r="C47" s="90">
        <v>10</v>
      </c>
      <c r="D47" s="88">
        <v>0</v>
      </c>
      <c r="E47" s="88">
        <v>0</v>
      </c>
      <c r="F47" s="88">
        <f t="shared" si="9"/>
        <v>0</v>
      </c>
      <c r="G47" s="88">
        <f t="shared" si="9"/>
        <v>0</v>
      </c>
      <c r="H47" s="89">
        <v>2</v>
      </c>
      <c r="I47" s="89">
        <v>526.9</v>
      </c>
      <c r="J47" s="89">
        <f t="shared" si="10"/>
        <v>3</v>
      </c>
      <c r="K47" s="89">
        <f t="shared" si="10"/>
        <v>21126.9</v>
      </c>
      <c r="L47" s="90">
        <v>3</v>
      </c>
      <c r="M47" s="91">
        <v>2764</v>
      </c>
      <c r="N47" s="92">
        <f t="shared" si="11"/>
        <v>8</v>
      </c>
      <c r="O47" s="92">
        <f t="shared" si="12"/>
        <v>7405.4</v>
      </c>
      <c r="P47">
        <v>0</v>
      </c>
      <c r="Q47">
        <v>0</v>
      </c>
      <c r="R47">
        <v>11</v>
      </c>
      <c r="S47">
        <v>20758.080000000002</v>
      </c>
    </row>
    <row r="48" spans="1:19" x14ac:dyDescent="0.2">
      <c r="A48" s="6" t="s">
        <v>55</v>
      </c>
      <c r="B48" s="90" t="s">
        <v>161</v>
      </c>
      <c r="C48" s="90">
        <v>11</v>
      </c>
      <c r="D48" s="88">
        <v>0</v>
      </c>
      <c r="E48" s="88">
        <v>0</v>
      </c>
      <c r="F48" s="88">
        <f t="shared" si="9"/>
        <v>0</v>
      </c>
      <c r="G48" s="88">
        <f t="shared" si="9"/>
        <v>0</v>
      </c>
      <c r="H48" s="89">
        <v>1</v>
      </c>
      <c r="I48" s="89">
        <v>530</v>
      </c>
      <c r="J48" s="89">
        <f t="shared" si="10"/>
        <v>4</v>
      </c>
      <c r="K48" s="89">
        <f t="shared" si="10"/>
        <v>21656.9</v>
      </c>
      <c r="L48" s="90">
        <v>5</v>
      </c>
      <c r="M48" s="91">
        <v>4679</v>
      </c>
      <c r="N48" s="92">
        <f t="shared" si="11"/>
        <v>13</v>
      </c>
      <c r="O48" s="92">
        <f t="shared" si="12"/>
        <v>12084.4</v>
      </c>
      <c r="P48" s="86"/>
      <c r="Q48" s="86">
        <v>0</v>
      </c>
    </row>
    <row r="49" spans="1:19" x14ac:dyDescent="0.2">
      <c r="A49" s="6" t="s">
        <v>55</v>
      </c>
      <c r="B49" s="90" t="s">
        <v>162</v>
      </c>
      <c r="C49" s="90">
        <v>12</v>
      </c>
      <c r="D49" s="88">
        <v>0</v>
      </c>
      <c r="E49" s="88">
        <v>0</v>
      </c>
      <c r="F49" s="88">
        <f t="shared" si="9"/>
        <v>0</v>
      </c>
      <c r="G49" s="88">
        <f t="shared" si="9"/>
        <v>0</v>
      </c>
      <c r="H49" s="89">
        <v>1</v>
      </c>
      <c r="I49" s="89">
        <v>576.14</v>
      </c>
      <c r="J49" s="89">
        <f t="shared" si="10"/>
        <v>5</v>
      </c>
      <c r="K49" s="89">
        <f t="shared" si="10"/>
        <v>22233.040000000001</v>
      </c>
      <c r="L49" s="90">
        <v>7</v>
      </c>
      <c r="M49" s="91">
        <v>17274.490000000002</v>
      </c>
      <c r="N49" s="92">
        <f t="shared" si="11"/>
        <v>20</v>
      </c>
      <c r="O49" s="92">
        <f t="shared" si="12"/>
        <v>29358.89</v>
      </c>
      <c r="P49" s="86"/>
      <c r="Q49" s="86">
        <v>0</v>
      </c>
    </row>
    <row r="50" spans="1:19" x14ac:dyDescent="0.2">
      <c r="A50" s="6" t="s">
        <v>142</v>
      </c>
      <c r="B50" s="90" t="s">
        <v>151</v>
      </c>
      <c r="C50" s="90">
        <v>1</v>
      </c>
      <c r="D50" s="93">
        <v>1</v>
      </c>
      <c r="E50" s="93">
        <v>350</v>
      </c>
      <c r="F50" s="88">
        <f>D50</f>
        <v>1</v>
      </c>
      <c r="G50" s="88">
        <f>E50</f>
        <v>350</v>
      </c>
      <c r="H50" s="89">
        <v>0</v>
      </c>
      <c r="I50" s="89">
        <v>0</v>
      </c>
      <c r="J50" s="89">
        <f>H50</f>
        <v>0</v>
      </c>
      <c r="K50" s="89">
        <f>I50</f>
        <v>0</v>
      </c>
      <c r="L50" s="90">
        <v>0</v>
      </c>
      <c r="M50" s="91">
        <v>0</v>
      </c>
      <c r="N50" s="92">
        <f>L50</f>
        <v>0</v>
      </c>
      <c r="O50" s="92">
        <f>M50</f>
        <v>0</v>
      </c>
      <c r="P50">
        <v>1</v>
      </c>
      <c r="Q50">
        <v>1305</v>
      </c>
      <c r="R50">
        <v>1</v>
      </c>
      <c r="S50">
        <v>1305</v>
      </c>
    </row>
    <row r="51" spans="1:19" x14ac:dyDescent="0.2">
      <c r="A51" s="6" t="s">
        <v>142</v>
      </c>
      <c r="B51" s="90" t="s">
        <v>152</v>
      </c>
      <c r="C51" s="90">
        <v>2</v>
      </c>
      <c r="D51" s="93">
        <v>4</v>
      </c>
      <c r="E51" s="93">
        <v>7000</v>
      </c>
      <c r="F51" s="88">
        <f t="shared" ref="F51:G61" si="13">F50+D51</f>
        <v>5</v>
      </c>
      <c r="G51" s="88">
        <f t="shared" si="13"/>
        <v>7350</v>
      </c>
      <c r="H51" s="89">
        <v>0</v>
      </c>
      <c r="I51" s="89">
        <v>0</v>
      </c>
      <c r="J51" s="89">
        <f t="shared" ref="J51:K61" si="14">J50+H51</f>
        <v>0</v>
      </c>
      <c r="K51" s="89">
        <f t="shared" si="14"/>
        <v>0</v>
      </c>
      <c r="L51" s="90">
        <v>2</v>
      </c>
      <c r="M51" s="91">
        <v>1700</v>
      </c>
      <c r="N51" s="92">
        <f t="shared" ref="N51:N61" si="15">N50+L51</f>
        <v>2</v>
      </c>
      <c r="O51" s="92">
        <f t="shared" ref="O51:O61" si="16">O50+M51</f>
        <v>1700</v>
      </c>
      <c r="P51">
        <v>3</v>
      </c>
      <c r="Q51">
        <v>6368.8</v>
      </c>
      <c r="R51">
        <v>4</v>
      </c>
      <c r="S51">
        <v>7673.8</v>
      </c>
    </row>
    <row r="52" spans="1:19" x14ac:dyDescent="0.2">
      <c r="A52" s="6" t="s">
        <v>142</v>
      </c>
      <c r="B52" s="90" t="s">
        <v>153</v>
      </c>
      <c r="C52" s="90">
        <v>3</v>
      </c>
      <c r="D52" s="93">
        <v>1</v>
      </c>
      <c r="E52" s="93">
        <v>1000</v>
      </c>
      <c r="F52" s="88">
        <f t="shared" si="13"/>
        <v>6</v>
      </c>
      <c r="G52" s="88">
        <f t="shared" si="13"/>
        <v>8350</v>
      </c>
      <c r="H52" s="89">
        <v>7</v>
      </c>
      <c r="I52" s="89">
        <v>13250</v>
      </c>
      <c r="J52" s="89">
        <f t="shared" si="14"/>
        <v>7</v>
      </c>
      <c r="K52" s="89">
        <f t="shared" si="14"/>
        <v>13250</v>
      </c>
      <c r="L52" s="90">
        <v>2</v>
      </c>
      <c r="M52" s="91">
        <v>4846</v>
      </c>
      <c r="N52" s="92">
        <f t="shared" si="15"/>
        <v>4</v>
      </c>
      <c r="O52" s="92">
        <f t="shared" si="16"/>
        <v>6546</v>
      </c>
      <c r="P52">
        <v>1</v>
      </c>
      <c r="Q52">
        <v>3500</v>
      </c>
      <c r="R52">
        <v>5</v>
      </c>
      <c r="S52">
        <v>11173.8</v>
      </c>
    </row>
    <row r="53" spans="1:19" x14ac:dyDescent="0.2">
      <c r="A53" s="6" t="s">
        <v>142</v>
      </c>
      <c r="B53" s="90" t="s">
        <v>154</v>
      </c>
      <c r="C53" s="90">
        <v>4</v>
      </c>
      <c r="D53" s="93">
        <v>0</v>
      </c>
      <c r="E53" s="93">
        <v>0</v>
      </c>
      <c r="F53" s="88">
        <f t="shared" si="13"/>
        <v>6</v>
      </c>
      <c r="G53" s="88">
        <f t="shared" si="13"/>
        <v>8350</v>
      </c>
      <c r="H53" s="89">
        <v>2</v>
      </c>
      <c r="I53" s="89">
        <v>2577.6999999999998</v>
      </c>
      <c r="J53" s="89">
        <f t="shared" si="14"/>
        <v>9</v>
      </c>
      <c r="K53" s="89">
        <f t="shared" si="14"/>
        <v>15827.7</v>
      </c>
      <c r="L53" s="90">
        <v>1</v>
      </c>
      <c r="M53" s="91">
        <v>900</v>
      </c>
      <c r="N53" s="92">
        <f t="shared" si="15"/>
        <v>5</v>
      </c>
      <c r="O53" s="92">
        <f t="shared" si="16"/>
        <v>7446</v>
      </c>
      <c r="P53">
        <v>0</v>
      </c>
      <c r="Q53">
        <v>0</v>
      </c>
      <c r="R53">
        <v>5</v>
      </c>
      <c r="S53">
        <v>11173.8</v>
      </c>
    </row>
    <row r="54" spans="1:19" x14ac:dyDescent="0.2">
      <c r="A54" s="6" t="s">
        <v>142</v>
      </c>
      <c r="B54" s="90" t="s">
        <v>155</v>
      </c>
      <c r="C54" s="90">
        <v>5</v>
      </c>
      <c r="D54" s="93">
        <v>2</v>
      </c>
      <c r="E54" s="93">
        <v>503.5</v>
      </c>
      <c r="F54" s="88">
        <f t="shared" si="13"/>
        <v>8</v>
      </c>
      <c r="G54" s="88">
        <f t="shared" si="13"/>
        <v>8853.5</v>
      </c>
      <c r="H54" s="89">
        <v>9</v>
      </c>
      <c r="I54" s="89">
        <v>20148</v>
      </c>
      <c r="J54" s="89">
        <f t="shared" si="14"/>
        <v>18</v>
      </c>
      <c r="K54" s="89">
        <f t="shared" si="14"/>
        <v>35975.699999999997</v>
      </c>
      <c r="L54" s="90">
        <v>2</v>
      </c>
      <c r="M54" s="91">
        <v>7610</v>
      </c>
      <c r="N54" s="92">
        <f t="shared" si="15"/>
        <v>7</v>
      </c>
      <c r="O54" s="92">
        <f t="shared" si="16"/>
        <v>15056</v>
      </c>
      <c r="P54">
        <v>2</v>
      </c>
      <c r="Q54">
        <v>6900</v>
      </c>
      <c r="R54">
        <v>7</v>
      </c>
      <c r="S54">
        <v>18073.8</v>
      </c>
    </row>
    <row r="55" spans="1:19" x14ac:dyDescent="0.2">
      <c r="A55" s="6" t="s">
        <v>142</v>
      </c>
      <c r="B55" s="90" t="s">
        <v>156</v>
      </c>
      <c r="C55" s="90">
        <v>6</v>
      </c>
      <c r="D55" s="93">
        <v>2</v>
      </c>
      <c r="E55" s="88">
        <v>1256</v>
      </c>
      <c r="F55" s="88">
        <f t="shared" si="13"/>
        <v>10</v>
      </c>
      <c r="G55" s="88">
        <f t="shared" si="13"/>
        <v>10109.5</v>
      </c>
      <c r="H55" s="89">
        <v>2</v>
      </c>
      <c r="I55" s="89">
        <v>2900</v>
      </c>
      <c r="J55" s="89">
        <f t="shared" si="14"/>
        <v>20</v>
      </c>
      <c r="K55" s="89">
        <f t="shared" si="14"/>
        <v>38875.699999999997</v>
      </c>
      <c r="L55" s="90">
        <v>0</v>
      </c>
      <c r="M55" s="91">
        <v>0</v>
      </c>
      <c r="N55" s="92">
        <f t="shared" si="15"/>
        <v>7</v>
      </c>
      <c r="O55" s="92">
        <f t="shared" si="16"/>
        <v>15056</v>
      </c>
      <c r="P55">
        <v>1</v>
      </c>
      <c r="Q55">
        <v>2200</v>
      </c>
      <c r="R55">
        <v>8</v>
      </c>
      <c r="S55">
        <v>20273.8</v>
      </c>
    </row>
    <row r="56" spans="1:19" x14ac:dyDescent="0.2">
      <c r="A56" s="6" t="s">
        <v>142</v>
      </c>
      <c r="B56" s="90" t="s">
        <v>157</v>
      </c>
      <c r="C56" s="90">
        <v>7</v>
      </c>
      <c r="D56" s="93">
        <v>1</v>
      </c>
      <c r="E56" s="93">
        <v>250</v>
      </c>
      <c r="F56" s="88">
        <f t="shared" si="13"/>
        <v>11</v>
      </c>
      <c r="G56" s="88">
        <f t="shared" si="13"/>
        <v>10359.5</v>
      </c>
      <c r="H56" s="89">
        <v>2</v>
      </c>
      <c r="I56" s="89">
        <v>1005</v>
      </c>
      <c r="J56" s="89">
        <f t="shared" si="14"/>
        <v>22</v>
      </c>
      <c r="K56" s="89">
        <f t="shared" si="14"/>
        <v>39880.699999999997</v>
      </c>
      <c r="L56" s="90">
        <v>3</v>
      </c>
      <c r="M56" s="91">
        <v>5750</v>
      </c>
      <c r="N56" s="92">
        <f t="shared" si="15"/>
        <v>10</v>
      </c>
      <c r="O56" s="92">
        <f t="shared" si="16"/>
        <v>20806</v>
      </c>
      <c r="P56">
        <v>0</v>
      </c>
      <c r="Q56">
        <v>0</v>
      </c>
      <c r="R56">
        <v>8</v>
      </c>
      <c r="S56">
        <v>20273.8</v>
      </c>
    </row>
    <row r="57" spans="1:19" x14ac:dyDescent="0.2">
      <c r="A57" s="6" t="s">
        <v>142</v>
      </c>
      <c r="B57" s="90" t="s">
        <v>158</v>
      </c>
      <c r="C57" s="90">
        <v>8</v>
      </c>
      <c r="D57" s="93">
        <v>5</v>
      </c>
      <c r="E57" s="88">
        <v>4012.5</v>
      </c>
      <c r="F57" s="88">
        <f t="shared" si="13"/>
        <v>16</v>
      </c>
      <c r="G57" s="88">
        <f t="shared" si="13"/>
        <v>14372</v>
      </c>
      <c r="H57" s="89">
        <v>2</v>
      </c>
      <c r="I57" s="89">
        <v>1317.6</v>
      </c>
      <c r="J57" s="89">
        <f t="shared" si="14"/>
        <v>24</v>
      </c>
      <c r="K57" s="89">
        <f t="shared" si="14"/>
        <v>41198.299999999996</v>
      </c>
      <c r="L57" s="90">
        <v>4</v>
      </c>
      <c r="M57" s="91">
        <v>9190</v>
      </c>
      <c r="N57" s="92">
        <f t="shared" si="15"/>
        <v>14</v>
      </c>
      <c r="O57" s="92">
        <f t="shared" si="16"/>
        <v>29996</v>
      </c>
      <c r="P57">
        <v>9</v>
      </c>
      <c r="Q57">
        <v>20777.5</v>
      </c>
      <c r="R57">
        <v>17</v>
      </c>
      <c r="S57">
        <v>41051.300000000003</v>
      </c>
    </row>
    <row r="58" spans="1:19" x14ac:dyDescent="0.2">
      <c r="A58" s="6" t="s">
        <v>142</v>
      </c>
      <c r="B58" s="90" t="s">
        <v>159</v>
      </c>
      <c r="C58" s="90">
        <v>9</v>
      </c>
      <c r="D58" s="93">
        <v>3</v>
      </c>
      <c r="E58" s="88">
        <v>3047.5</v>
      </c>
      <c r="F58" s="88">
        <f t="shared" si="13"/>
        <v>19</v>
      </c>
      <c r="G58" s="88">
        <f t="shared" si="13"/>
        <v>17419.5</v>
      </c>
      <c r="H58" s="89">
        <v>12</v>
      </c>
      <c r="I58" s="89">
        <v>14796.75</v>
      </c>
      <c r="J58" s="89">
        <f t="shared" si="14"/>
        <v>36</v>
      </c>
      <c r="K58" s="89">
        <f t="shared" si="14"/>
        <v>55995.049999999996</v>
      </c>
      <c r="L58" s="90">
        <v>6</v>
      </c>
      <c r="M58" s="91">
        <v>15310</v>
      </c>
      <c r="N58" s="92">
        <f t="shared" si="15"/>
        <v>20</v>
      </c>
      <c r="O58" s="92">
        <f t="shared" si="16"/>
        <v>45306</v>
      </c>
      <c r="P58">
        <v>6</v>
      </c>
      <c r="Q58">
        <v>11000</v>
      </c>
      <c r="R58">
        <v>23</v>
      </c>
      <c r="S58">
        <v>52051.3</v>
      </c>
    </row>
    <row r="59" spans="1:19" x14ac:dyDescent="0.2">
      <c r="A59" s="6" t="s">
        <v>142</v>
      </c>
      <c r="B59" s="90" t="s">
        <v>160</v>
      </c>
      <c r="C59" s="90">
        <v>10</v>
      </c>
      <c r="D59" s="88">
        <v>1</v>
      </c>
      <c r="E59" s="88">
        <v>1420</v>
      </c>
      <c r="F59" s="88">
        <f t="shared" si="13"/>
        <v>20</v>
      </c>
      <c r="G59" s="88">
        <f t="shared" si="13"/>
        <v>18839.5</v>
      </c>
      <c r="H59" s="89">
        <v>10</v>
      </c>
      <c r="I59" s="89">
        <v>6660</v>
      </c>
      <c r="J59" s="89">
        <f t="shared" si="14"/>
        <v>46</v>
      </c>
      <c r="K59" s="89">
        <f t="shared" si="14"/>
        <v>62655.049999999996</v>
      </c>
      <c r="L59" s="90">
        <v>3</v>
      </c>
      <c r="M59" s="91">
        <v>9790</v>
      </c>
      <c r="N59" s="92">
        <f t="shared" si="15"/>
        <v>23</v>
      </c>
      <c r="O59" s="92">
        <f t="shared" si="16"/>
        <v>55096</v>
      </c>
      <c r="P59">
        <v>0</v>
      </c>
      <c r="Q59">
        <v>0</v>
      </c>
      <c r="R59">
        <v>23</v>
      </c>
      <c r="S59">
        <v>52051.3</v>
      </c>
    </row>
    <row r="60" spans="1:19" x14ac:dyDescent="0.2">
      <c r="A60" s="6" t="s">
        <v>142</v>
      </c>
      <c r="B60" s="90" t="s">
        <v>161</v>
      </c>
      <c r="C60" s="90">
        <v>11</v>
      </c>
      <c r="D60" s="88">
        <v>16</v>
      </c>
      <c r="E60" s="88">
        <v>36994.86</v>
      </c>
      <c r="F60" s="88">
        <f t="shared" si="13"/>
        <v>36</v>
      </c>
      <c r="G60" s="88">
        <f t="shared" si="13"/>
        <v>55834.36</v>
      </c>
      <c r="H60" s="89">
        <v>0</v>
      </c>
      <c r="I60" s="89">
        <v>0</v>
      </c>
      <c r="J60" s="89">
        <f t="shared" si="14"/>
        <v>46</v>
      </c>
      <c r="K60" s="89">
        <f t="shared" si="14"/>
        <v>62655.049999999996</v>
      </c>
      <c r="L60" s="90">
        <v>5</v>
      </c>
      <c r="M60" s="91">
        <v>11800</v>
      </c>
      <c r="N60" s="92">
        <f t="shared" si="15"/>
        <v>28</v>
      </c>
      <c r="O60" s="92">
        <f t="shared" si="16"/>
        <v>66896</v>
      </c>
      <c r="P60" s="86"/>
      <c r="Q60" s="86">
        <v>0</v>
      </c>
    </row>
    <row r="61" spans="1:19" x14ac:dyDescent="0.2">
      <c r="A61" s="6" t="s">
        <v>142</v>
      </c>
      <c r="B61" s="90" t="s">
        <v>162</v>
      </c>
      <c r="C61" s="90">
        <v>12</v>
      </c>
      <c r="D61" s="93">
        <v>2</v>
      </c>
      <c r="E61" s="88">
        <v>1957</v>
      </c>
      <c r="F61" s="88">
        <f t="shared" si="13"/>
        <v>38</v>
      </c>
      <c r="G61" s="88">
        <f t="shared" si="13"/>
        <v>57791.360000000001</v>
      </c>
      <c r="H61" s="89">
        <v>0</v>
      </c>
      <c r="I61" s="89">
        <v>0</v>
      </c>
      <c r="J61" s="89">
        <f t="shared" si="14"/>
        <v>46</v>
      </c>
      <c r="K61" s="89">
        <f t="shared" si="14"/>
        <v>62655.049999999996</v>
      </c>
      <c r="L61" s="90">
        <v>0</v>
      </c>
      <c r="M61" s="91">
        <v>0</v>
      </c>
      <c r="N61" s="92">
        <f t="shared" si="15"/>
        <v>28</v>
      </c>
      <c r="O61" s="92">
        <f t="shared" si="16"/>
        <v>66896</v>
      </c>
      <c r="P61" s="86"/>
      <c r="Q61" s="86">
        <v>0</v>
      </c>
    </row>
    <row r="62" spans="1:19" x14ac:dyDescent="0.2">
      <c r="A62" s="6" t="s">
        <v>65</v>
      </c>
      <c r="B62" s="90" t="s">
        <v>151</v>
      </c>
      <c r="C62" s="90">
        <v>1</v>
      </c>
      <c r="D62" s="88">
        <v>0</v>
      </c>
      <c r="E62" s="88">
        <v>0</v>
      </c>
      <c r="F62" s="88">
        <f>D62</f>
        <v>0</v>
      </c>
      <c r="G62" s="88">
        <f>E62</f>
        <v>0</v>
      </c>
      <c r="H62" s="88">
        <v>0</v>
      </c>
      <c r="I62" s="88">
        <v>0</v>
      </c>
      <c r="J62" s="88">
        <f>H62</f>
        <v>0</v>
      </c>
      <c r="K62" s="88">
        <f>I62</f>
        <v>0</v>
      </c>
      <c r="L62" s="90">
        <v>0</v>
      </c>
      <c r="M62" s="91">
        <v>0</v>
      </c>
      <c r="N62" s="92">
        <f>L62</f>
        <v>0</v>
      </c>
      <c r="O62" s="92">
        <f>M62</f>
        <v>0</v>
      </c>
      <c r="P62">
        <v>2</v>
      </c>
      <c r="Q62">
        <v>4500</v>
      </c>
      <c r="R62">
        <v>2</v>
      </c>
      <c r="S62">
        <v>4500</v>
      </c>
    </row>
    <row r="63" spans="1:19" x14ac:dyDescent="0.2">
      <c r="A63" s="6" t="s">
        <v>65</v>
      </c>
      <c r="B63" s="90" t="s">
        <v>152</v>
      </c>
      <c r="C63" s="90">
        <v>2</v>
      </c>
      <c r="D63" s="88">
        <v>0</v>
      </c>
      <c r="E63" s="88">
        <v>0</v>
      </c>
      <c r="F63" s="88">
        <f t="shared" ref="F63:F73" si="17">F62+D63</f>
        <v>0</v>
      </c>
      <c r="G63" s="88">
        <f t="shared" ref="G63:G73" si="18">G62+E63</f>
        <v>0</v>
      </c>
      <c r="H63" s="88">
        <v>0</v>
      </c>
      <c r="I63" s="88">
        <v>0</v>
      </c>
      <c r="J63" s="88">
        <f t="shared" ref="J63:J73" si="19">J62+H63</f>
        <v>0</v>
      </c>
      <c r="K63" s="88">
        <f t="shared" ref="K63:K73" si="20">K62+I63</f>
        <v>0</v>
      </c>
      <c r="L63" s="90">
        <v>0</v>
      </c>
      <c r="M63" s="91">
        <v>0</v>
      </c>
      <c r="N63" s="92">
        <f t="shared" ref="N63:N73" si="21">N62+L63</f>
        <v>0</v>
      </c>
      <c r="O63" s="92">
        <f t="shared" ref="O63:O73" si="22">O62+M63</f>
        <v>0</v>
      </c>
      <c r="P63">
        <v>0</v>
      </c>
      <c r="Q63">
        <v>0</v>
      </c>
      <c r="R63">
        <v>2</v>
      </c>
      <c r="S63">
        <v>4500</v>
      </c>
    </row>
    <row r="64" spans="1:19" x14ac:dyDescent="0.2">
      <c r="A64" s="6" t="s">
        <v>65</v>
      </c>
      <c r="B64" s="90" t="s">
        <v>153</v>
      </c>
      <c r="C64" s="90">
        <v>3</v>
      </c>
      <c r="D64" s="88">
        <v>0</v>
      </c>
      <c r="E64" s="88">
        <v>0</v>
      </c>
      <c r="F64" s="88">
        <f t="shared" si="17"/>
        <v>0</v>
      </c>
      <c r="G64" s="88">
        <f t="shared" si="18"/>
        <v>0</v>
      </c>
      <c r="H64" s="88">
        <v>0</v>
      </c>
      <c r="I64" s="88">
        <v>0</v>
      </c>
      <c r="J64" s="88">
        <f t="shared" si="19"/>
        <v>0</v>
      </c>
      <c r="K64" s="88">
        <f t="shared" si="20"/>
        <v>0</v>
      </c>
      <c r="L64" s="90">
        <v>0</v>
      </c>
      <c r="M64" s="91">
        <v>0</v>
      </c>
      <c r="N64" s="92">
        <f t="shared" si="21"/>
        <v>0</v>
      </c>
      <c r="O64" s="92">
        <f t="shared" si="22"/>
        <v>0</v>
      </c>
      <c r="P64">
        <v>2</v>
      </c>
      <c r="Q64">
        <v>700</v>
      </c>
      <c r="R64">
        <v>4</v>
      </c>
      <c r="S64">
        <v>5200</v>
      </c>
    </row>
    <row r="65" spans="1:19" x14ac:dyDescent="0.2">
      <c r="A65" s="6" t="s">
        <v>65</v>
      </c>
      <c r="B65" s="90" t="s">
        <v>154</v>
      </c>
      <c r="C65" s="90">
        <v>4</v>
      </c>
      <c r="D65" s="88">
        <v>0</v>
      </c>
      <c r="E65" s="88">
        <v>0</v>
      </c>
      <c r="F65" s="88">
        <f t="shared" si="17"/>
        <v>0</v>
      </c>
      <c r="G65" s="88">
        <f t="shared" si="18"/>
        <v>0</v>
      </c>
      <c r="H65" s="88">
        <v>0</v>
      </c>
      <c r="I65" s="88">
        <v>0</v>
      </c>
      <c r="J65" s="88">
        <f t="shared" si="19"/>
        <v>0</v>
      </c>
      <c r="K65" s="88">
        <f t="shared" si="20"/>
        <v>0</v>
      </c>
      <c r="L65" s="90">
        <v>0</v>
      </c>
      <c r="M65" s="91">
        <v>0</v>
      </c>
      <c r="N65" s="92">
        <f t="shared" si="21"/>
        <v>0</v>
      </c>
      <c r="O65" s="92">
        <f t="shared" si="22"/>
        <v>0</v>
      </c>
      <c r="P65">
        <v>0</v>
      </c>
      <c r="Q65">
        <v>0</v>
      </c>
      <c r="R65">
        <v>4</v>
      </c>
      <c r="S65">
        <v>5200</v>
      </c>
    </row>
    <row r="66" spans="1:19" x14ac:dyDescent="0.2">
      <c r="A66" s="6" t="s">
        <v>65</v>
      </c>
      <c r="B66" s="90" t="s">
        <v>155</v>
      </c>
      <c r="C66" s="90">
        <v>5</v>
      </c>
      <c r="D66" s="88">
        <v>0</v>
      </c>
      <c r="E66" s="88">
        <v>0</v>
      </c>
      <c r="F66" s="88">
        <f t="shared" si="17"/>
        <v>0</v>
      </c>
      <c r="G66" s="88">
        <f t="shared" si="18"/>
        <v>0</v>
      </c>
      <c r="H66" s="88">
        <v>0</v>
      </c>
      <c r="I66" s="88">
        <v>0</v>
      </c>
      <c r="J66" s="88">
        <f t="shared" si="19"/>
        <v>0</v>
      </c>
      <c r="K66" s="88">
        <f t="shared" si="20"/>
        <v>0</v>
      </c>
      <c r="L66" s="90">
        <v>1</v>
      </c>
      <c r="M66" s="91">
        <v>300</v>
      </c>
      <c r="N66" s="92">
        <f t="shared" si="21"/>
        <v>1</v>
      </c>
      <c r="O66" s="92">
        <f t="shared" si="22"/>
        <v>300</v>
      </c>
      <c r="P66">
        <v>0</v>
      </c>
      <c r="Q66">
        <v>0</v>
      </c>
      <c r="R66">
        <v>4</v>
      </c>
      <c r="S66">
        <v>5200</v>
      </c>
    </row>
    <row r="67" spans="1:19" x14ac:dyDescent="0.2">
      <c r="A67" s="6" t="s">
        <v>65</v>
      </c>
      <c r="B67" s="90" t="s">
        <v>156</v>
      </c>
      <c r="C67" s="90">
        <v>6</v>
      </c>
      <c r="D67" s="88">
        <v>0</v>
      </c>
      <c r="E67" s="88">
        <v>0</v>
      </c>
      <c r="F67" s="88">
        <f t="shared" si="17"/>
        <v>0</v>
      </c>
      <c r="G67" s="88">
        <f t="shared" si="18"/>
        <v>0</v>
      </c>
      <c r="H67" s="88">
        <v>0</v>
      </c>
      <c r="I67" s="88">
        <v>0</v>
      </c>
      <c r="J67" s="88">
        <f t="shared" si="19"/>
        <v>0</v>
      </c>
      <c r="K67" s="88">
        <f t="shared" si="20"/>
        <v>0</v>
      </c>
      <c r="L67" s="90">
        <v>0</v>
      </c>
      <c r="M67" s="91">
        <v>0</v>
      </c>
      <c r="N67" s="92">
        <f t="shared" si="21"/>
        <v>1</v>
      </c>
      <c r="O67" s="92">
        <f t="shared" si="22"/>
        <v>300</v>
      </c>
      <c r="P67">
        <v>2</v>
      </c>
      <c r="Q67">
        <v>1184</v>
      </c>
      <c r="R67">
        <v>6</v>
      </c>
      <c r="S67">
        <v>6384</v>
      </c>
    </row>
    <row r="68" spans="1:19" x14ac:dyDescent="0.2">
      <c r="A68" s="6" t="s">
        <v>65</v>
      </c>
      <c r="B68" s="90" t="s">
        <v>157</v>
      </c>
      <c r="C68" s="90">
        <v>7</v>
      </c>
      <c r="D68" s="88">
        <v>0</v>
      </c>
      <c r="E68" s="88">
        <v>0</v>
      </c>
      <c r="F68" s="88">
        <f t="shared" si="17"/>
        <v>0</v>
      </c>
      <c r="G68" s="88">
        <f t="shared" si="18"/>
        <v>0</v>
      </c>
      <c r="H68" s="88">
        <v>0</v>
      </c>
      <c r="I68" s="88">
        <v>0</v>
      </c>
      <c r="J68" s="88">
        <f t="shared" si="19"/>
        <v>0</v>
      </c>
      <c r="K68" s="88">
        <f t="shared" si="20"/>
        <v>0</v>
      </c>
      <c r="L68" s="90">
        <v>2</v>
      </c>
      <c r="M68" s="91">
        <v>3900</v>
      </c>
      <c r="N68" s="92">
        <f t="shared" si="21"/>
        <v>3</v>
      </c>
      <c r="O68" s="92">
        <f t="shared" si="22"/>
        <v>4200</v>
      </c>
      <c r="P68">
        <v>3</v>
      </c>
      <c r="Q68">
        <v>1297.9000000000001</v>
      </c>
      <c r="R68">
        <v>9</v>
      </c>
      <c r="S68">
        <v>7681.9</v>
      </c>
    </row>
    <row r="69" spans="1:19" x14ac:dyDescent="0.2">
      <c r="A69" s="6" t="s">
        <v>65</v>
      </c>
      <c r="B69" s="90" t="s">
        <v>158</v>
      </c>
      <c r="C69" s="90">
        <v>8</v>
      </c>
      <c r="D69" s="88">
        <v>0</v>
      </c>
      <c r="E69" s="88">
        <v>0</v>
      </c>
      <c r="F69" s="88">
        <f t="shared" si="17"/>
        <v>0</v>
      </c>
      <c r="G69" s="88">
        <f t="shared" si="18"/>
        <v>0</v>
      </c>
      <c r="H69" s="88">
        <v>0</v>
      </c>
      <c r="I69" s="88">
        <v>0</v>
      </c>
      <c r="J69" s="88">
        <f t="shared" si="19"/>
        <v>0</v>
      </c>
      <c r="K69" s="88">
        <f t="shared" si="20"/>
        <v>0</v>
      </c>
      <c r="L69" s="90">
        <v>1</v>
      </c>
      <c r="M69" s="91">
        <v>700</v>
      </c>
      <c r="N69" s="92">
        <f t="shared" si="21"/>
        <v>4</v>
      </c>
      <c r="O69" s="92">
        <f t="shared" si="22"/>
        <v>4900</v>
      </c>
      <c r="P69">
        <v>1</v>
      </c>
      <c r="Q69">
        <v>297.89999999999998</v>
      </c>
      <c r="R69">
        <v>10</v>
      </c>
      <c r="S69">
        <v>7979.8</v>
      </c>
    </row>
    <row r="70" spans="1:19" x14ac:dyDescent="0.2">
      <c r="A70" s="6" t="s">
        <v>65</v>
      </c>
      <c r="B70" s="90" t="s">
        <v>159</v>
      </c>
      <c r="C70" s="90">
        <v>9</v>
      </c>
      <c r="D70" s="88">
        <v>0</v>
      </c>
      <c r="E70" s="88">
        <v>0</v>
      </c>
      <c r="F70" s="88">
        <f t="shared" si="17"/>
        <v>0</v>
      </c>
      <c r="G70" s="88">
        <f t="shared" si="18"/>
        <v>0</v>
      </c>
      <c r="H70" s="88">
        <v>0</v>
      </c>
      <c r="I70" s="88">
        <v>0</v>
      </c>
      <c r="J70" s="88">
        <f t="shared" si="19"/>
        <v>0</v>
      </c>
      <c r="K70" s="88">
        <f t="shared" si="20"/>
        <v>0</v>
      </c>
      <c r="L70" s="90">
        <v>0</v>
      </c>
      <c r="M70" s="91">
        <v>0</v>
      </c>
      <c r="N70" s="92">
        <f t="shared" si="21"/>
        <v>4</v>
      </c>
      <c r="O70" s="92">
        <f t="shared" si="22"/>
        <v>4900</v>
      </c>
      <c r="P70">
        <v>4</v>
      </c>
      <c r="Q70">
        <v>4575</v>
      </c>
      <c r="R70">
        <v>14</v>
      </c>
      <c r="S70">
        <v>12554.8</v>
      </c>
    </row>
    <row r="71" spans="1:19" x14ac:dyDescent="0.2">
      <c r="A71" s="6" t="s">
        <v>65</v>
      </c>
      <c r="B71" s="90" t="s">
        <v>160</v>
      </c>
      <c r="C71" s="90">
        <v>10</v>
      </c>
      <c r="D71" s="88">
        <v>0</v>
      </c>
      <c r="E71" s="88">
        <v>0</v>
      </c>
      <c r="F71" s="88">
        <f t="shared" si="17"/>
        <v>0</v>
      </c>
      <c r="G71" s="88">
        <f t="shared" si="18"/>
        <v>0</v>
      </c>
      <c r="H71" s="88">
        <v>0</v>
      </c>
      <c r="I71" s="88">
        <v>0</v>
      </c>
      <c r="J71" s="88">
        <f t="shared" si="19"/>
        <v>0</v>
      </c>
      <c r="K71" s="88">
        <f t="shared" si="20"/>
        <v>0</v>
      </c>
      <c r="L71" s="90">
        <v>0</v>
      </c>
      <c r="M71" s="91">
        <v>0</v>
      </c>
      <c r="N71" s="92">
        <f t="shared" si="21"/>
        <v>4</v>
      </c>
      <c r="O71" s="92">
        <f t="shared" si="22"/>
        <v>4900</v>
      </c>
      <c r="P71">
        <v>0</v>
      </c>
      <c r="Q71">
        <v>0</v>
      </c>
      <c r="R71">
        <v>14</v>
      </c>
      <c r="S71">
        <v>12554.8</v>
      </c>
    </row>
    <row r="72" spans="1:19" x14ac:dyDescent="0.2">
      <c r="A72" s="6" t="s">
        <v>65</v>
      </c>
      <c r="B72" s="90" t="s">
        <v>161</v>
      </c>
      <c r="C72" s="90">
        <v>11</v>
      </c>
      <c r="D72" s="88">
        <v>0</v>
      </c>
      <c r="E72" s="88">
        <v>0</v>
      </c>
      <c r="F72" s="88">
        <f t="shared" si="17"/>
        <v>0</v>
      </c>
      <c r="G72" s="88">
        <f t="shared" si="18"/>
        <v>0</v>
      </c>
      <c r="H72" s="88">
        <v>0</v>
      </c>
      <c r="I72" s="88">
        <v>0</v>
      </c>
      <c r="J72" s="88">
        <f t="shared" si="19"/>
        <v>0</v>
      </c>
      <c r="K72" s="88">
        <f t="shared" si="20"/>
        <v>0</v>
      </c>
      <c r="L72" s="90">
        <v>0</v>
      </c>
      <c r="M72" s="91">
        <v>0</v>
      </c>
      <c r="N72" s="92">
        <f t="shared" si="21"/>
        <v>4</v>
      </c>
      <c r="O72" s="92">
        <f t="shared" si="22"/>
        <v>4900</v>
      </c>
      <c r="P72" s="86"/>
      <c r="Q72" s="86">
        <v>0</v>
      </c>
    </row>
    <row r="73" spans="1:19" x14ac:dyDescent="0.2">
      <c r="A73" s="6" t="s">
        <v>65</v>
      </c>
      <c r="B73" s="90" t="s">
        <v>162</v>
      </c>
      <c r="C73" s="90">
        <v>12</v>
      </c>
      <c r="D73" s="88">
        <v>0</v>
      </c>
      <c r="E73" s="88">
        <v>0</v>
      </c>
      <c r="F73" s="88">
        <f t="shared" si="17"/>
        <v>0</v>
      </c>
      <c r="G73" s="88">
        <f t="shared" si="18"/>
        <v>0</v>
      </c>
      <c r="H73" s="88">
        <v>0</v>
      </c>
      <c r="I73" s="88">
        <v>0</v>
      </c>
      <c r="J73" s="88">
        <f t="shared" si="19"/>
        <v>0</v>
      </c>
      <c r="K73" s="88">
        <f t="shared" si="20"/>
        <v>0</v>
      </c>
      <c r="L73" s="90">
        <v>2</v>
      </c>
      <c r="M73" s="91">
        <v>3900</v>
      </c>
      <c r="N73" s="92">
        <f t="shared" si="21"/>
        <v>6</v>
      </c>
      <c r="O73" s="92">
        <f t="shared" si="22"/>
        <v>8800</v>
      </c>
      <c r="P73" s="86"/>
      <c r="Q73" s="86">
        <v>0</v>
      </c>
    </row>
    <row r="74" spans="1:19" x14ac:dyDescent="0.2">
      <c r="A74" s="6" t="s">
        <v>41</v>
      </c>
      <c r="B74" s="90" t="s">
        <v>151</v>
      </c>
      <c r="C74" s="90">
        <v>1</v>
      </c>
      <c r="D74" s="88">
        <v>65</v>
      </c>
      <c r="E74" s="88">
        <v>7710</v>
      </c>
      <c r="F74" s="88">
        <f>D74</f>
        <v>65</v>
      </c>
      <c r="G74" s="88">
        <f>E74</f>
        <v>7710</v>
      </c>
      <c r="H74" s="89">
        <v>480</v>
      </c>
      <c r="I74" s="89">
        <v>8350</v>
      </c>
      <c r="J74" s="89">
        <f>H74</f>
        <v>480</v>
      </c>
      <c r="K74" s="89">
        <f>I74</f>
        <v>8350</v>
      </c>
      <c r="L74" s="90">
        <v>426</v>
      </c>
      <c r="M74" s="91">
        <v>9430</v>
      </c>
      <c r="N74" s="92">
        <f>L74</f>
        <v>426</v>
      </c>
      <c r="O74" s="92">
        <f>M74</f>
        <v>9430</v>
      </c>
      <c r="P74">
        <v>405</v>
      </c>
      <c r="Q74">
        <v>9015</v>
      </c>
      <c r="R74">
        <v>405</v>
      </c>
      <c r="S74">
        <v>9015</v>
      </c>
    </row>
    <row r="75" spans="1:19" x14ac:dyDescent="0.2">
      <c r="A75" s="6" t="s">
        <v>41</v>
      </c>
      <c r="B75" s="90" t="s">
        <v>152</v>
      </c>
      <c r="C75" s="90">
        <v>2</v>
      </c>
      <c r="D75" s="88">
        <v>103</v>
      </c>
      <c r="E75" s="88">
        <v>3852</v>
      </c>
      <c r="F75" s="88">
        <f t="shared" ref="F75:G85" si="23">F74+D75</f>
        <v>168</v>
      </c>
      <c r="G75" s="88">
        <f t="shared" si="23"/>
        <v>11562</v>
      </c>
      <c r="H75" s="89">
        <v>334</v>
      </c>
      <c r="I75" s="89">
        <v>5945</v>
      </c>
      <c r="J75" s="89">
        <f t="shared" ref="J75:K85" si="24">J74+H75</f>
        <v>814</v>
      </c>
      <c r="K75" s="89">
        <f t="shared" si="24"/>
        <v>14295</v>
      </c>
      <c r="L75" s="90">
        <v>341</v>
      </c>
      <c r="M75" s="91">
        <v>11085</v>
      </c>
      <c r="N75" s="92">
        <f t="shared" ref="N75:N85" si="25">N74+L75</f>
        <v>767</v>
      </c>
      <c r="O75" s="92">
        <f t="shared" ref="O75:O85" si="26">O74+M75</f>
        <v>20515</v>
      </c>
      <c r="P75">
        <v>342</v>
      </c>
      <c r="Q75">
        <v>10340</v>
      </c>
      <c r="R75">
        <v>747</v>
      </c>
      <c r="S75">
        <v>19355</v>
      </c>
    </row>
    <row r="76" spans="1:19" x14ac:dyDescent="0.2">
      <c r="A76" s="6" t="s">
        <v>41</v>
      </c>
      <c r="B76" s="90" t="s">
        <v>153</v>
      </c>
      <c r="C76" s="90">
        <v>3</v>
      </c>
      <c r="D76" s="88">
        <v>76</v>
      </c>
      <c r="E76" s="88">
        <v>2385</v>
      </c>
      <c r="F76" s="88">
        <f t="shared" si="23"/>
        <v>244</v>
      </c>
      <c r="G76" s="88">
        <f t="shared" si="23"/>
        <v>13947</v>
      </c>
      <c r="H76" s="89">
        <v>192</v>
      </c>
      <c r="I76" s="89">
        <v>4525</v>
      </c>
      <c r="J76" s="89">
        <f t="shared" si="24"/>
        <v>1006</v>
      </c>
      <c r="K76" s="89">
        <f t="shared" si="24"/>
        <v>18820</v>
      </c>
      <c r="L76" s="90">
        <v>105</v>
      </c>
      <c r="M76" s="91">
        <v>3415</v>
      </c>
      <c r="N76" s="92">
        <f t="shared" si="25"/>
        <v>872</v>
      </c>
      <c r="O76" s="92">
        <f t="shared" si="26"/>
        <v>23930</v>
      </c>
      <c r="P76">
        <v>98</v>
      </c>
      <c r="Q76">
        <v>2600</v>
      </c>
      <c r="R76">
        <v>845</v>
      </c>
      <c r="S76">
        <v>21955</v>
      </c>
    </row>
    <row r="77" spans="1:19" x14ac:dyDescent="0.2">
      <c r="A77" s="6" t="s">
        <v>41</v>
      </c>
      <c r="B77" s="90" t="s">
        <v>154</v>
      </c>
      <c r="C77" s="90">
        <v>4</v>
      </c>
      <c r="D77" s="88">
        <v>105</v>
      </c>
      <c r="E77" s="88">
        <v>3700</v>
      </c>
      <c r="F77" s="88">
        <f t="shared" si="23"/>
        <v>349</v>
      </c>
      <c r="G77" s="88">
        <f t="shared" si="23"/>
        <v>17647</v>
      </c>
      <c r="H77" s="89">
        <v>193</v>
      </c>
      <c r="I77" s="89">
        <v>4952</v>
      </c>
      <c r="J77" s="89">
        <f t="shared" si="24"/>
        <v>1199</v>
      </c>
      <c r="K77" s="89">
        <f t="shared" si="24"/>
        <v>23772</v>
      </c>
      <c r="L77" s="90">
        <v>132</v>
      </c>
      <c r="M77" s="91">
        <v>6285</v>
      </c>
      <c r="N77" s="92">
        <f t="shared" si="25"/>
        <v>1004</v>
      </c>
      <c r="O77" s="92">
        <f t="shared" si="26"/>
        <v>30215</v>
      </c>
      <c r="P77">
        <v>4</v>
      </c>
      <c r="Q77">
        <v>4240</v>
      </c>
      <c r="R77">
        <v>849</v>
      </c>
      <c r="S77">
        <v>26195</v>
      </c>
    </row>
    <row r="78" spans="1:19" x14ac:dyDescent="0.2">
      <c r="A78" s="6" t="s">
        <v>41</v>
      </c>
      <c r="B78" s="90" t="s">
        <v>155</v>
      </c>
      <c r="C78" s="90">
        <v>5</v>
      </c>
      <c r="D78" s="88">
        <v>70</v>
      </c>
      <c r="E78" s="88">
        <v>2010</v>
      </c>
      <c r="F78" s="88">
        <f t="shared" si="23"/>
        <v>419</v>
      </c>
      <c r="G78" s="88">
        <f t="shared" si="23"/>
        <v>19657</v>
      </c>
      <c r="H78" s="89">
        <v>115</v>
      </c>
      <c r="I78" s="89">
        <v>2995</v>
      </c>
      <c r="J78" s="89">
        <f t="shared" si="24"/>
        <v>1314</v>
      </c>
      <c r="K78" s="89">
        <f t="shared" si="24"/>
        <v>26767</v>
      </c>
      <c r="L78" s="90">
        <v>38</v>
      </c>
      <c r="M78" s="91">
        <v>7095</v>
      </c>
      <c r="N78" s="92">
        <f t="shared" si="25"/>
        <v>1042</v>
      </c>
      <c r="O78" s="92">
        <f t="shared" si="26"/>
        <v>37310</v>
      </c>
      <c r="P78">
        <v>12</v>
      </c>
      <c r="Q78">
        <v>5510</v>
      </c>
      <c r="R78">
        <v>861</v>
      </c>
      <c r="S78">
        <v>31705</v>
      </c>
    </row>
    <row r="79" spans="1:19" x14ac:dyDescent="0.2">
      <c r="A79" s="6" t="s">
        <v>41</v>
      </c>
      <c r="B79" s="90" t="s">
        <v>156</v>
      </c>
      <c r="C79" s="90">
        <v>6</v>
      </c>
      <c r="D79" s="88">
        <v>33</v>
      </c>
      <c r="E79" s="88">
        <v>3380</v>
      </c>
      <c r="F79" s="88">
        <f t="shared" si="23"/>
        <v>452</v>
      </c>
      <c r="G79" s="88">
        <f t="shared" si="23"/>
        <v>23037</v>
      </c>
      <c r="H79" s="89">
        <v>68</v>
      </c>
      <c r="I79" s="89">
        <v>3342</v>
      </c>
      <c r="J79" s="89">
        <f t="shared" si="24"/>
        <v>1382</v>
      </c>
      <c r="K79" s="89">
        <f t="shared" si="24"/>
        <v>30109</v>
      </c>
      <c r="L79" s="90">
        <v>22</v>
      </c>
      <c r="M79" s="91">
        <v>715</v>
      </c>
      <c r="N79" s="92">
        <f t="shared" si="25"/>
        <v>1064</v>
      </c>
      <c r="O79" s="92">
        <f t="shared" si="26"/>
        <v>38025</v>
      </c>
      <c r="P79">
        <v>13</v>
      </c>
      <c r="Q79">
        <v>5025</v>
      </c>
      <c r="R79">
        <v>874</v>
      </c>
      <c r="S79">
        <v>36730</v>
      </c>
    </row>
    <row r="80" spans="1:19" x14ac:dyDescent="0.2">
      <c r="A80" s="6" t="s">
        <v>41</v>
      </c>
      <c r="B80" s="90" t="s">
        <v>157</v>
      </c>
      <c r="C80" s="90">
        <v>7</v>
      </c>
      <c r="D80" s="88">
        <v>36</v>
      </c>
      <c r="E80" s="88">
        <v>1180</v>
      </c>
      <c r="F80" s="88">
        <f t="shared" si="23"/>
        <v>488</v>
      </c>
      <c r="G80" s="88">
        <f t="shared" si="23"/>
        <v>24217</v>
      </c>
      <c r="H80" s="89">
        <v>67</v>
      </c>
      <c r="I80" s="89">
        <v>1485</v>
      </c>
      <c r="J80" s="89">
        <f t="shared" si="24"/>
        <v>1449</v>
      </c>
      <c r="K80" s="89">
        <f t="shared" si="24"/>
        <v>31594</v>
      </c>
      <c r="L80" s="90">
        <v>29</v>
      </c>
      <c r="M80" s="91">
        <v>3950</v>
      </c>
      <c r="N80" s="92">
        <f t="shared" si="25"/>
        <v>1093</v>
      </c>
      <c r="O80" s="92">
        <f t="shared" si="26"/>
        <v>41975</v>
      </c>
      <c r="P80">
        <v>16</v>
      </c>
      <c r="Q80">
        <v>9853.4</v>
      </c>
      <c r="R80">
        <v>890</v>
      </c>
      <c r="S80">
        <v>46583.4</v>
      </c>
    </row>
    <row r="81" spans="1:19" x14ac:dyDescent="0.2">
      <c r="A81" s="6" t="s">
        <v>41</v>
      </c>
      <c r="B81" s="90" t="s">
        <v>158</v>
      </c>
      <c r="C81" s="90">
        <v>8</v>
      </c>
      <c r="D81" s="88">
        <v>48</v>
      </c>
      <c r="E81" s="88">
        <v>1295</v>
      </c>
      <c r="F81" s="88">
        <f t="shared" si="23"/>
        <v>536</v>
      </c>
      <c r="G81" s="88">
        <f t="shared" si="23"/>
        <v>25512</v>
      </c>
      <c r="H81" s="89">
        <v>33</v>
      </c>
      <c r="I81" s="89">
        <v>21823</v>
      </c>
      <c r="J81" s="89">
        <f t="shared" si="24"/>
        <v>1482</v>
      </c>
      <c r="K81" s="89">
        <f t="shared" si="24"/>
        <v>53417</v>
      </c>
      <c r="L81" s="90">
        <v>33</v>
      </c>
      <c r="M81" s="91">
        <v>5589</v>
      </c>
      <c r="N81" s="92">
        <f t="shared" si="25"/>
        <v>1126</v>
      </c>
      <c r="O81" s="92">
        <f t="shared" si="26"/>
        <v>47564</v>
      </c>
      <c r="P81">
        <v>10</v>
      </c>
      <c r="Q81">
        <v>3702</v>
      </c>
      <c r="R81">
        <v>900</v>
      </c>
      <c r="S81">
        <v>50285.4</v>
      </c>
    </row>
    <row r="82" spans="1:19" x14ac:dyDescent="0.2">
      <c r="A82" s="6" t="s">
        <v>41</v>
      </c>
      <c r="B82" s="90" t="s">
        <v>159</v>
      </c>
      <c r="C82" s="90">
        <v>9</v>
      </c>
      <c r="D82" s="88">
        <v>64</v>
      </c>
      <c r="E82" s="88">
        <v>1760</v>
      </c>
      <c r="F82" s="88">
        <f t="shared" si="23"/>
        <v>600</v>
      </c>
      <c r="G82" s="88">
        <f t="shared" si="23"/>
        <v>27272</v>
      </c>
      <c r="H82" s="89">
        <v>41</v>
      </c>
      <c r="I82" s="89">
        <v>5909</v>
      </c>
      <c r="J82" s="89">
        <f t="shared" si="24"/>
        <v>1523</v>
      </c>
      <c r="K82" s="89">
        <f t="shared" si="24"/>
        <v>59326</v>
      </c>
      <c r="L82" s="90">
        <v>46</v>
      </c>
      <c r="M82" s="91">
        <v>2105</v>
      </c>
      <c r="N82" s="92">
        <f t="shared" si="25"/>
        <v>1172</v>
      </c>
      <c r="O82" s="92">
        <f t="shared" si="26"/>
        <v>49669</v>
      </c>
      <c r="P82">
        <v>5</v>
      </c>
      <c r="Q82">
        <v>3922</v>
      </c>
      <c r="R82">
        <v>905</v>
      </c>
      <c r="S82">
        <v>54207.4</v>
      </c>
    </row>
    <row r="83" spans="1:19" x14ac:dyDescent="0.2">
      <c r="A83" s="6" t="s">
        <v>41</v>
      </c>
      <c r="B83" s="90" t="s">
        <v>160</v>
      </c>
      <c r="C83" s="90">
        <v>10</v>
      </c>
      <c r="D83" s="88">
        <v>29</v>
      </c>
      <c r="E83" s="88">
        <v>775</v>
      </c>
      <c r="F83" s="88">
        <f t="shared" si="23"/>
        <v>629</v>
      </c>
      <c r="G83" s="88">
        <f t="shared" si="23"/>
        <v>28047</v>
      </c>
      <c r="H83" s="89">
        <v>22</v>
      </c>
      <c r="I83" s="89">
        <v>495</v>
      </c>
      <c r="J83" s="89">
        <f t="shared" si="24"/>
        <v>1545</v>
      </c>
      <c r="K83" s="89">
        <f t="shared" si="24"/>
        <v>59821</v>
      </c>
      <c r="L83" s="90">
        <v>21</v>
      </c>
      <c r="M83" s="91">
        <v>785</v>
      </c>
      <c r="N83" s="92">
        <f t="shared" si="25"/>
        <v>1193</v>
      </c>
      <c r="O83" s="92">
        <f t="shared" si="26"/>
        <v>50454</v>
      </c>
      <c r="P83">
        <v>0</v>
      </c>
      <c r="Q83">
        <v>0</v>
      </c>
      <c r="R83">
        <v>905</v>
      </c>
      <c r="S83">
        <v>54207.4</v>
      </c>
    </row>
    <row r="84" spans="1:19" x14ac:dyDescent="0.2">
      <c r="A84" s="6" t="s">
        <v>41</v>
      </c>
      <c r="B84" s="90" t="s">
        <v>161</v>
      </c>
      <c r="C84" s="90">
        <v>11</v>
      </c>
      <c r="D84" s="88">
        <v>24</v>
      </c>
      <c r="E84" s="88">
        <v>625</v>
      </c>
      <c r="F84" s="88">
        <f t="shared" si="23"/>
        <v>653</v>
      </c>
      <c r="G84" s="88">
        <f t="shared" si="23"/>
        <v>28672</v>
      </c>
      <c r="H84" s="89">
        <v>19</v>
      </c>
      <c r="I84" s="89">
        <v>670</v>
      </c>
      <c r="J84" s="89">
        <f t="shared" si="24"/>
        <v>1564</v>
      </c>
      <c r="K84" s="89">
        <f t="shared" si="24"/>
        <v>60491</v>
      </c>
      <c r="L84" s="90">
        <v>19</v>
      </c>
      <c r="M84" s="91">
        <v>8390</v>
      </c>
      <c r="N84" s="92">
        <f t="shared" si="25"/>
        <v>1212</v>
      </c>
      <c r="O84" s="92">
        <f t="shared" si="26"/>
        <v>58844</v>
      </c>
      <c r="P84" s="86"/>
      <c r="Q84" s="86">
        <v>0</v>
      </c>
    </row>
    <row r="85" spans="1:19" x14ac:dyDescent="0.2">
      <c r="A85" s="6" t="s">
        <v>41</v>
      </c>
      <c r="B85" s="90" t="s">
        <v>162</v>
      </c>
      <c r="C85" s="90">
        <v>12</v>
      </c>
      <c r="D85" s="88">
        <v>30</v>
      </c>
      <c r="E85" s="88">
        <v>750</v>
      </c>
      <c r="F85" s="88">
        <f t="shared" si="23"/>
        <v>683</v>
      </c>
      <c r="G85" s="88">
        <f t="shared" si="23"/>
        <v>29422</v>
      </c>
      <c r="H85" s="89">
        <v>15</v>
      </c>
      <c r="I85" s="89">
        <v>470</v>
      </c>
      <c r="J85" s="89">
        <f t="shared" si="24"/>
        <v>1579</v>
      </c>
      <c r="K85" s="89">
        <f t="shared" si="24"/>
        <v>60961</v>
      </c>
      <c r="L85" s="90">
        <v>17</v>
      </c>
      <c r="M85" s="91">
        <v>11295</v>
      </c>
      <c r="N85" s="92">
        <f t="shared" si="25"/>
        <v>1229</v>
      </c>
      <c r="O85" s="92">
        <f t="shared" si="26"/>
        <v>70139</v>
      </c>
      <c r="P85" s="86"/>
      <c r="Q85" s="86">
        <v>0</v>
      </c>
    </row>
    <row r="86" spans="1:19" x14ac:dyDescent="0.2">
      <c r="A86" s="6" t="s">
        <v>62</v>
      </c>
      <c r="B86" s="90" t="s">
        <v>151</v>
      </c>
      <c r="C86" s="90">
        <v>1</v>
      </c>
      <c r="D86" s="88">
        <v>0</v>
      </c>
      <c r="E86" s="88">
        <v>0</v>
      </c>
      <c r="F86" s="88">
        <f>D86</f>
        <v>0</v>
      </c>
      <c r="G86" s="88">
        <f>E86</f>
        <v>0</v>
      </c>
      <c r="H86" s="88">
        <v>0</v>
      </c>
      <c r="I86" s="88">
        <v>0</v>
      </c>
      <c r="J86" s="88">
        <f>H86</f>
        <v>0</v>
      </c>
      <c r="K86" s="88">
        <f>I86</f>
        <v>0</v>
      </c>
      <c r="L86" s="90">
        <v>0</v>
      </c>
      <c r="M86" s="91">
        <v>0</v>
      </c>
      <c r="N86" s="92">
        <f>L86</f>
        <v>0</v>
      </c>
      <c r="O86" s="92">
        <f>M86</f>
        <v>0</v>
      </c>
      <c r="P86">
        <v>0</v>
      </c>
      <c r="Q86">
        <v>0</v>
      </c>
      <c r="R86">
        <v>0</v>
      </c>
      <c r="S86">
        <v>0</v>
      </c>
    </row>
    <row r="87" spans="1:19" x14ac:dyDescent="0.2">
      <c r="A87" s="6" t="s">
        <v>62</v>
      </c>
      <c r="B87" s="90" t="s">
        <v>152</v>
      </c>
      <c r="C87" s="90">
        <v>2</v>
      </c>
      <c r="D87" s="88">
        <v>0</v>
      </c>
      <c r="E87" s="88">
        <v>0</v>
      </c>
      <c r="F87" s="88">
        <f t="shared" ref="F87:F97" si="27">F86+D87</f>
        <v>0</v>
      </c>
      <c r="G87" s="88">
        <f t="shared" ref="G87:G97" si="28">G86+E87</f>
        <v>0</v>
      </c>
      <c r="H87" s="88">
        <v>0</v>
      </c>
      <c r="I87" s="88">
        <v>0</v>
      </c>
      <c r="J87" s="88">
        <f t="shared" ref="J87:J97" si="29">J86+H87</f>
        <v>0</v>
      </c>
      <c r="K87" s="88">
        <f t="shared" ref="K87:K97" si="30">K86+I87</f>
        <v>0</v>
      </c>
      <c r="L87" s="90">
        <v>0</v>
      </c>
      <c r="M87" s="91">
        <v>0</v>
      </c>
      <c r="N87" s="92">
        <f t="shared" ref="N87:N97" si="31">N86+L87</f>
        <v>0</v>
      </c>
      <c r="O87" s="92">
        <f t="shared" ref="O87:O97" si="32">O86+M87</f>
        <v>0</v>
      </c>
      <c r="P87">
        <v>1</v>
      </c>
      <c r="Q87">
        <v>600</v>
      </c>
      <c r="R87">
        <v>1</v>
      </c>
      <c r="S87">
        <v>600</v>
      </c>
    </row>
    <row r="88" spans="1:19" x14ac:dyDescent="0.2">
      <c r="A88" s="6" t="s">
        <v>62</v>
      </c>
      <c r="B88" s="90" t="s">
        <v>153</v>
      </c>
      <c r="C88" s="90">
        <v>3</v>
      </c>
      <c r="D88" s="88">
        <v>0</v>
      </c>
      <c r="E88" s="88">
        <v>0</v>
      </c>
      <c r="F88" s="88">
        <f t="shared" si="27"/>
        <v>0</v>
      </c>
      <c r="G88" s="88">
        <f t="shared" si="28"/>
        <v>0</v>
      </c>
      <c r="H88" s="88">
        <v>0</v>
      </c>
      <c r="I88" s="88">
        <v>0</v>
      </c>
      <c r="J88" s="88">
        <f t="shared" si="29"/>
        <v>0</v>
      </c>
      <c r="K88" s="88">
        <f t="shared" si="30"/>
        <v>0</v>
      </c>
      <c r="L88" s="90">
        <v>0</v>
      </c>
      <c r="M88" s="91">
        <v>0</v>
      </c>
      <c r="N88" s="92">
        <f t="shared" si="31"/>
        <v>0</v>
      </c>
      <c r="O88" s="92">
        <f t="shared" si="32"/>
        <v>0</v>
      </c>
      <c r="P88">
        <v>0</v>
      </c>
      <c r="Q88">
        <v>0</v>
      </c>
      <c r="R88">
        <v>1</v>
      </c>
      <c r="S88">
        <v>600</v>
      </c>
    </row>
    <row r="89" spans="1:19" x14ac:dyDescent="0.2">
      <c r="A89" s="6" t="s">
        <v>62</v>
      </c>
      <c r="B89" s="90" t="s">
        <v>154</v>
      </c>
      <c r="C89" s="90">
        <v>4</v>
      </c>
      <c r="D89" s="88">
        <v>0</v>
      </c>
      <c r="E89" s="88">
        <v>0</v>
      </c>
      <c r="F89" s="88">
        <f t="shared" si="27"/>
        <v>0</v>
      </c>
      <c r="G89" s="88">
        <f t="shared" si="28"/>
        <v>0</v>
      </c>
      <c r="H89" s="88">
        <v>0</v>
      </c>
      <c r="I89" s="88">
        <v>0</v>
      </c>
      <c r="J89" s="88">
        <f t="shared" si="29"/>
        <v>0</v>
      </c>
      <c r="K89" s="88">
        <f t="shared" si="30"/>
        <v>0</v>
      </c>
      <c r="L89" s="90">
        <v>0</v>
      </c>
      <c r="M89" s="91">
        <v>0</v>
      </c>
      <c r="N89" s="92">
        <f t="shared" si="31"/>
        <v>0</v>
      </c>
      <c r="O89" s="92">
        <f t="shared" si="32"/>
        <v>0</v>
      </c>
      <c r="P89">
        <v>0</v>
      </c>
      <c r="Q89">
        <v>0</v>
      </c>
      <c r="R89">
        <v>1</v>
      </c>
      <c r="S89">
        <v>600</v>
      </c>
    </row>
    <row r="90" spans="1:19" x14ac:dyDescent="0.2">
      <c r="A90" s="6" t="s">
        <v>62</v>
      </c>
      <c r="B90" s="90" t="s">
        <v>155</v>
      </c>
      <c r="C90" s="90">
        <v>5</v>
      </c>
      <c r="D90" s="88">
        <v>0</v>
      </c>
      <c r="E90" s="88">
        <v>0</v>
      </c>
      <c r="F90" s="88">
        <f t="shared" si="27"/>
        <v>0</v>
      </c>
      <c r="G90" s="88">
        <f t="shared" si="28"/>
        <v>0</v>
      </c>
      <c r="H90" s="88">
        <v>0</v>
      </c>
      <c r="I90" s="88">
        <v>0</v>
      </c>
      <c r="J90" s="88">
        <f t="shared" si="29"/>
        <v>0</v>
      </c>
      <c r="K90" s="88">
        <f t="shared" si="30"/>
        <v>0</v>
      </c>
      <c r="L90" s="90">
        <v>0</v>
      </c>
      <c r="M90" s="91">
        <v>0</v>
      </c>
      <c r="N90" s="92">
        <f t="shared" si="31"/>
        <v>0</v>
      </c>
      <c r="O90" s="92">
        <f t="shared" si="32"/>
        <v>0</v>
      </c>
      <c r="P90">
        <v>0</v>
      </c>
      <c r="Q90">
        <v>0</v>
      </c>
      <c r="R90">
        <v>1</v>
      </c>
      <c r="S90">
        <v>600</v>
      </c>
    </row>
    <row r="91" spans="1:19" x14ac:dyDescent="0.2">
      <c r="A91" s="6" t="s">
        <v>62</v>
      </c>
      <c r="B91" s="90" t="s">
        <v>156</v>
      </c>
      <c r="C91" s="90">
        <v>6</v>
      </c>
      <c r="D91" s="88">
        <v>0</v>
      </c>
      <c r="E91" s="88">
        <v>0</v>
      </c>
      <c r="F91" s="88">
        <f t="shared" si="27"/>
        <v>0</v>
      </c>
      <c r="G91" s="88">
        <f t="shared" si="28"/>
        <v>0</v>
      </c>
      <c r="H91" s="88">
        <v>0</v>
      </c>
      <c r="I91" s="88">
        <v>0</v>
      </c>
      <c r="J91" s="88">
        <f t="shared" si="29"/>
        <v>0</v>
      </c>
      <c r="K91" s="88">
        <f t="shared" si="30"/>
        <v>0</v>
      </c>
      <c r="L91" s="90">
        <v>1</v>
      </c>
      <c r="M91" s="91">
        <v>1578.8</v>
      </c>
      <c r="N91" s="92">
        <f t="shared" si="31"/>
        <v>1</v>
      </c>
      <c r="O91" s="92">
        <f t="shared" si="32"/>
        <v>1578.8</v>
      </c>
      <c r="P91">
        <v>0</v>
      </c>
      <c r="Q91">
        <v>0</v>
      </c>
      <c r="R91">
        <v>1</v>
      </c>
      <c r="S91">
        <v>600</v>
      </c>
    </row>
    <row r="92" spans="1:19" x14ac:dyDescent="0.2">
      <c r="A92" s="6" t="s">
        <v>62</v>
      </c>
      <c r="B92" s="90" t="s">
        <v>157</v>
      </c>
      <c r="C92" s="90">
        <v>7</v>
      </c>
      <c r="D92" s="88">
        <v>0</v>
      </c>
      <c r="E92" s="88">
        <v>0</v>
      </c>
      <c r="F92" s="88">
        <f t="shared" si="27"/>
        <v>0</v>
      </c>
      <c r="G92" s="88">
        <f t="shared" si="28"/>
        <v>0</v>
      </c>
      <c r="H92" s="88">
        <v>0</v>
      </c>
      <c r="I92" s="88">
        <v>0</v>
      </c>
      <c r="J92" s="88">
        <f t="shared" si="29"/>
        <v>0</v>
      </c>
      <c r="K92" s="88">
        <f t="shared" si="30"/>
        <v>0</v>
      </c>
      <c r="L92" s="90">
        <v>0</v>
      </c>
      <c r="M92" s="91">
        <v>0</v>
      </c>
      <c r="N92" s="92">
        <f t="shared" si="31"/>
        <v>1</v>
      </c>
      <c r="O92" s="92">
        <f t="shared" si="32"/>
        <v>1578.8</v>
      </c>
      <c r="P92">
        <v>0</v>
      </c>
      <c r="Q92">
        <v>0</v>
      </c>
      <c r="R92">
        <v>1</v>
      </c>
      <c r="S92">
        <v>600</v>
      </c>
    </row>
    <row r="93" spans="1:19" x14ac:dyDescent="0.2">
      <c r="A93" s="6" t="s">
        <v>62</v>
      </c>
      <c r="B93" s="90" t="s">
        <v>158</v>
      </c>
      <c r="C93" s="90">
        <v>8</v>
      </c>
      <c r="D93" s="88">
        <v>0</v>
      </c>
      <c r="E93" s="88">
        <v>0</v>
      </c>
      <c r="F93" s="88">
        <f t="shared" si="27"/>
        <v>0</v>
      </c>
      <c r="G93" s="88">
        <f t="shared" si="28"/>
        <v>0</v>
      </c>
      <c r="H93" s="88">
        <v>0</v>
      </c>
      <c r="I93" s="88">
        <v>0</v>
      </c>
      <c r="J93" s="88">
        <f t="shared" si="29"/>
        <v>0</v>
      </c>
      <c r="K93" s="88">
        <f t="shared" si="30"/>
        <v>0</v>
      </c>
      <c r="L93" s="90">
        <v>0</v>
      </c>
      <c r="M93" s="91">
        <v>0</v>
      </c>
      <c r="N93" s="92">
        <f t="shared" si="31"/>
        <v>1</v>
      </c>
      <c r="O93" s="92">
        <f t="shared" si="32"/>
        <v>1578.8</v>
      </c>
      <c r="P93">
        <v>0</v>
      </c>
      <c r="Q93">
        <v>0</v>
      </c>
      <c r="R93">
        <v>1</v>
      </c>
      <c r="S93">
        <v>600</v>
      </c>
    </row>
    <row r="94" spans="1:19" x14ac:dyDescent="0.2">
      <c r="A94" s="6" t="s">
        <v>62</v>
      </c>
      <c r="B94" s="90" t="s">
        <v>159</v>
      </c>
      <c r="C94" s="90">
        <v>9</v>
      </c>
      <c r="D94" s="88">
        <v>0</v>
      </c>
      <c r="E94" s="88">
        <v>0</v>
      </c>
      <c r="F94" s="88">
        <f t="shared" si="27"/>
        <v>0</v>
      </c>
      <c r="G94" s="88">
        <f t="shared" si="28"/>
        <v>0</v>
      </c>
      <c r="H94" s="88">
        <v>0</v>
      </c>
      <c r="I94" s="88">
        <v>0</v>
      </c>
      <c r="J94" s="88">
        <f t="shared" si="29"/>
        <v>0</v>
      </c>
      <c r="K94" s="88">
        <f t="shared" si="30"/>
        <v>0</v>
      </c>
      <c r="L94" s="90">
        <v>0</v>
      </c>
      <c r="M94" s="91">
        <v>0</v>
      </c>
      <c r="N94" s="92">
        <f t="shared" si="31"/>
        <v>1</v>
      </c>
      <c r="O94" s="92">
        <f t="shared" si="32"/>
        <v>1578.8</v>
      </c>
      <c r="P94">
        <v>0</v>
      </c>
      <c r="Q94">
        <v>0</v>
      </c>
      <c r="R94">
        <v>1</v>
      </c>
      <c r="S94">
        <v>600</v>
      </c>
    </row>
    <row r="95" spans="1:19" x14ac:dyDescent="0.2">
      <c r="A95" s="6" t="s">
        <v>62</v>
      </c>
      <c r="B95" s="90" t="s">
        <v>160</v>
      </c>
      <c r="C95" s="90">
        <v>10</v>
      </c>
      <c r="D95" s="88">
        <v>0</v>
      </c>
      <c r="E95" s="88">
        <v>0</v>
      </c>
      <c r="F95" s="88">
        <f t="shared" si="27"/>
        <v>0</v>
      </c>
      <c r="G95" s="88">
        <f t="shared" si="28"/>
        <v>0</v>
      </c>
      <c r="H95" s="88">
        <v>0</v>
      </c>
      <c r="I95" s="88">
        <v>0</v>
      </c>
      <c r="J95" s="88">
        <f t="shared" si="29"/>
        <v>0</v>
      </c>
      <c r="K95" s="88">
        <f t="shared" si="30"/>
        <v>0</v>
      </c>
      <c r="L95" s="90">
        <v>0</v>
      </c>
      <c r="M95" s="91">
        <v>0</v>
      </c>
      <c r="N95" s="92">
        <f t="shared" si="31"/>
        <v>1</v>
      </c>
      <c r="O95" s="92">
        <f t="shared" si="32"/>
        <v>1578.8</v>
      </c>
      <c r="P95">
        <v>0</v>
      </c>
      <c r="Q95">
        <v>0</v>
      </c>
      <c r="R95">
        <v>1</v>
      </c>
      <c r="S95">
        <v>600</v>
      </c>
    </row>
    <row r="96" spans="1:19" x14ac:dyDescent="0.2">
      <c r="A96" s="6" t="s">
        <v>62</v>
      </c>
      <c r="B96" s="90" t="s">
        <v>161</v>
      </c>
      <c r="C96" s="90">
        <v>11</v>
      </c>
      <c r="D96" s="88">
        <v>0</v>
      </c>
      <c r="E96" s="88">
        <v>0</v>
      </c>
      <c r="F96" s="88">
        <f t="shared" si="27"/>
        <v>0</v>
      </c>
      <c r="G96" s="88">
        <f t="shared" si="28"/>
        <v>0</v>
      </c>
      <c r="H96" s="88">
        <v>0</v>
      </c>
      <c r="I96" s="88">
        <v>0</v>
      </c>
      <c r="J96" s="88">
        <f t="shared" si="29"/>
        <v>0</v>
      </c>
      <c r="K96" s="88">
        <f t="shared" si="30"/>
        <v>0</v>
      </c>
      <c r="L96" s="90">
        <v>0</v>
      </c>
      <c r="M96" s="91">
        <v>0</v>
      </c>
      <c r="N96" s="92">
        <f t="shared" si="31"/>
        <v>1</v>
      </c>
      <c r="O96" s="92">
        <f t="shared" si="32"/>
        <v>1578.8</v>
      </c>
      <c r="P96" s="86"/>
      <c r="Q96" s="86">
        <v>0</v>
      </c>
    </row>
    <row r="97" spans="1:19" x14ac:dyDescent="0.2">
      <c r="A97" s="6" t="s">
        <v>62</v>
      </c>
      <c r="B97" s="90" t="s">
        <v>162</v>
      </c>
      <c r="C97" s="90">
        <v>12</v>
      </c>
      <c r="D97" s="88">
        <v>0</v>
      </c>
      <c r="E97" s="88">
        <v>0</v>
      </c>
      <c r="F97" s="88">
        <f t="shared" si="27"/>
        <v>0</v>
      </c>
      <c r="G97" s="88">
        <f t="shared" si="28"/>
        <v>0</v>
      </c>
      <c r="H97" s="88">
        <v>0</v>
      </c>
      <c r="I97" s="88">
        <v>0</v>
      </c>
      <c r="J97" s="88">
        <f t="shared" si="29"/>
        <v>0</v>
      </c>
      <c r="K97" s="88">
        <f t="shared" si="30"/>
        <v>0</v>
      </c>
      <c r="L97" s="90">
        <v>0</v>
      </c>
      <c r="M97" s="91">
        <v>0</v>
      </c>
      <c r="N97" s="92">
        <f t="shared" si="31"/>
        <v>1</v>
      </c>
      <c r="O97" s="92">
        <f t="shared" si="32"/>
        <v>1578.8</v>
      </c>
      <c r="P97" s="86"/>
      <c r="Q97" s="86">
        <v>0</v>
      </c>
    </row>
    <row r="98" spans="1:19" x14ac:dyDescent="0.2">
      <c r="A98" s="6" t="s">
        <v>114</v>
      </c>
      <c r="B98" s="90" t="s">
        <v>151</v>
      </c>
      <c r="C98" s="90">
        <v>1</v>
      </c>
      <c r="D98" s="88">
        <v>0</v>
      </c>
      <c r="E98" s="88">
        <v>0</v>
      </c>
      <c r="F98" s="88">
        <f>D98</f>
        <v>0</v>
      </c>
      <c r="G98" s="88">
        <f>E98</f>
        <v>0</v>
      </c>
      <c r="H98" s="89">
        <v>3</v>
      </c>
      <c r="I98" s="89">
        <v>2666.7</v>
      </c>
      <c r="J98" s="89">
        <f>H98</f>
        <v>3</v>
      </c>
      <c r="K98" s="89">
        <f>I98</f>
        <v>2666.7</v>
      </c>
      <c r="L98" s="90">
        <v>2</v>
      </c>
      <c r="M98" s="91">
        <v>5349.9</v>
      </c>
      <c r="N98" s="92">
        <f>L98</f>
        <v>2</v>
      </c>
      <c r="O98" s="92">
        <f>M98</f>
        <v>5349.9</v>
      </c>
      <c r="P98">
        <v>0</v>
      </c>
      <c r="Q98">
        <v>0</v>
      </c>
      <c r="R98">
        <v>0</v>
      </c>
      <c r="S98">
        <v>0</v>
      </c>
    </row>
    <row r="99" spans="1:19" x14ac:dyDescent="0.2">
      <c r="A99" s="6" t="s">
        <v>114</v>
      </c>
      <c r="B99" s="90" t="s">
        <v>152</v>
      </c>
      <c r="C99" s="90">
        <v>2</v>
      </c>
      <c r="D99" s="93">
        <v>1</v>
      </c>
      <c r="E99" s="93">
        <v>320</v>
      </c>
      <c r="F99" s="88">
        <f t="shared" ref="F99:G109" si="33">F98+D99</f>
        <v>1</v>
      </c>
      <c r="G99" s="88">
        <f t="shared" si="33"/>
        <v>320</v>
      </c>
      <c r="H99" s="89">
        <v>0</v>
      </c>
      <c r="I99" s="89">
        <v>0</v>
      </c>
      <c r="J99" s="89">
        <f t="shared" ref="J99:K109" si="34">J98+H99</f>
        <v>3</v>
      </c>
      <c r="K99" s="89">
        <f t="shared" si="34"/>
        <v>2666.7</v>
      </c>
      <c r="L99" s="90">
        <v>0</v>
      </c>
      <c r="M99" s="91">
        <v>0</v>
      </c>
      <c r="N99" s="92">
        <f t="shared" ref="N99:N109" si="35">N98+L99</f>
        <v>2</v>
      </c>
      <c r="O99" s="92">
        <f t="shared" ref="O99:O109" si="36">O98+M99</f>
        <v>5349.9</v>
      </c>
      <c r="P99">
        <v>2</v>
      </c>
      <c r="Q99">
        <v>4750</v>
      </c>
      <c r="R99">
        <v>2</v>
      </c>
      <c r="S99">
        <v>4750</v>
      </c>
    </row>
    <row r="100" spans="1:19" x14ac:dyDescent="0.2">
      <c r="A100" s="6" t="s">
        <v>114</v>
      </c>
      <c r="B100" s="90" t="s">
        <v>153</v>
      </c>
      <c r="C100" s="90">
        <v>3</v>
      </c>
      <c r="D100" s="93">
        <v>1</v>
      </c>
      <c r="E100" s="93">
        <v>420</v>
      </c>
      <c r="F100" s="88">
        <f t="shared" si="33"/>
        <v>2</v>
      </c>
      <c r="G100" s="88">
        <f t="shared" si="33"/>
        <v>740</v>
      </c>
      <c r="H100" s="89">
        <v>2</v>
      </c>
      <c r="I100" s="89">
        <v>11407.060000000001</v>
      </c>
      <c r="J100" s="89">
        <f t="shared" si="34"/>
        <v>5</v>
      </c>
      <c r="K100" s="89">
        <f t="shared" si="34"/>
        <v>14073.760000000002</v>
      </c>
      <c r="L100" s="90">
        <v>2</v>
      </c>
      <c r="M100" s="91">
        <v>4662.68</v>
      </c>
      <c r="N100" s="92">
        <f t="shared" si="35"/>
        <v>4</v>
      </c>
      <c r="O100" s="92">
        <f t="shared" si="36"/>
        <v>10012.58</v>
      </c>
      <c r="P100">
        <v>0</v>
      </c>
      <c r="Q100">
        <v>0</v>
      </c>
      <c r="R100">
        <v>2</v>
      </c>
      <c r="S100">
        <v>4750</v>
      </c>
    </row>
    <row r="101" spans="1:19" x14ac:dyDescent="0.2">
      <c r="A101" s="6" t="s">
        <v>114</v>
      </c>
      <c r="B101" s="90" t="s">
        <v>154</v>
      </c>
      <c r="C101" s="90">
        <v>4</v>
      </c>
      <c r="D101" s="93">
        <v>1</v>
      </c>
      <c r="E101" s="93">
        <v>5100</v>
      </c>
      <c r="F101" s="88">
        <f t="shared" si="33"/>
        <v>3</v>
      </c>
      <c r="G101" s="88">
        <f t="shared" si="33"/>
        <v>5840</v>
      </c>
      <c r="H101" s="89">
        <v>0</v>
      </c>
      <c r="I101" s="89">
        <v>0</v>
      </c>
      <c r="J101" s="89">
        <f t="shared" si="34"/>
        <v>5</v>
      </c>
      <c r="K101" s="89">
        <f t="shared" si="34"/>
        <v>14073.760000000002</v>
      </c>
      <c r="L101" s="90">
        <v>4</v>
      </c>
      <c r="M101" s="91">
        <v>9979.84</v>
      </c>
      <c r="N101" s="92">
        <f t="shared" si="35"/>
        <v>8</v>
      </c>
      <c r="O101" s="92">
        <f t="shared" si="36"/>
        <v>19992.419999999998</v>
      </c>
      <c r="P101">
        <v>0</v>
      </c>
      <c r="Q101">
        <v>0</v>
      </c>
      <c r="R101">
        <v>2</v>
      </c>
      <c r="S101">
        <v>4750</v>
      </c>
    </row>
    <row r="102" spans="1:19" x14ac:dyDescent="0.2">
      <c r="A102" s="6" t="s">
        <v>114</v>
      </c>
      <c r="B102" s="90" t="s">
        <v>155</v>
      </c>
      <c r="C102" s="90">
        <v>5</v>
      </c>
      <c r="D102" s="93">
        <v>0</v>
      </c>
      <c r="E102" s="93">
        <v>0</v>
      </c>
      <c r="F102" s="88">
        <f t="shared" si="33"/>
        <v>3</v>
      </c>
      <c r="G102" s="88">
        <f t="shared" si="33"/>
        <v>5840</v>
      </c>
      <c r="H102" s="89">
        <v>3</v>
      </c>
      <c r="I102" s="89">
        <v>10350</v>
      </c>
      <c r="J102" s="89">
        <f t="shared" si="34"/>
        <v>8</v>
      </c>
      <c r="K102" s="89">
        <f t="shared" si="34"/>
        <v>24423.760000000002</v>
      </c>
      <c r="L102" s="90">
        <v>0</v>
      </c>
      <c r="M102" s="91">
        <v>0</v>
      </c>
      <c r="N102" s="92">
        <f t="shared" si="35"/>
        <v>8</v>
      </c>
      <c r="O102" s="92">
        <f t="shared" si="36"/>
        <v>19992.419999999998</v>
      </c>
      <c r="P102">
        <v>5</v>
      </c>
      <c r="Q102">
        <v>14306.91</v>
      </c>
      <c r="R102">
        <v>7</v>
      </c>
      <c r="S102">
        <v>19056.91</v>
      </c>
    </row>
    <row r="103" spans="1:19" x14ac:dyDescent="0.2">
      <c r="A103" s="6" t="s">
        <v>114</v>
      </c>
      <c r="B103" s="90" t="s">
        <v>156</v>
      </c>
      <c r="C103" s="90">
        <v>6</v>
      </c>
      <c r="D103" s="93">
        <v>0</v>
      </c>
      <c r="E103" s="93">
        <v>0</v>
      </c>
      <c r="F103" s="88">
        <f t="shared" si="33"/>
        <v>3</v>
      </c>
      <c r="G103" s="88">
        <f t="shared" si="33"/>
        <v>5840</v>
      </c>
      <c r="H103" s="89">
        <v>4</v>
      </c>
      <c r="I103" s="89">
        <v>28781.5</v>
      </c>
      <c r="J103" s="89">
        <f t="shared" si="34"/>
        <v>12</v>
      </c>
      <c r="K103" s="89">
        <f t="shared" si="34"/>
        <v>53205.26</v>
      </c>
      <c r="L103" s="90">
        <v>2</v>
      </c>
      <c r="M103" s="91">
        <v>2280</v>
      </c>
      <c r="N103" s="92">
        <f t="shared" si="35"/>
        <v>10</v>
      </c>
      <c r="O103" s="92">
        <f t="shared" si="36"/>
        <v>22272.42</v>
      </c>
      <c r="P103">
        <v>7</v>
      </c>
      <c r="Q103">
        <v>37297.32</v>
      </c>
      <c r="R103">
        <v>14</v>
      </c>
      <c r="S103">
        <v>56354.23</v>
      </c>
    </row>
    <row r="104" spans="1:19" x14ac:dyDescent="0.2">
      <c r="A104" s="6" t="s">
        <v>114</v>
      </c>
      <c r="B104" s="90" t="s">
        <v>157</v>
      </c>
      <c r="C104" s="90">
        <v>7</v>
      </c>
      <c r="D104" s="93">
        <v>0</v>
      </c>
      <c r="E104" s="93">
        <v>0</v>
      </c>
      <c r="F104" s="88">
        <f t="shared" si="33"/>
        <v>3</v>
      </c>
      <c r="G104" s="88">
        <f t="shared" si="33"/>
        <v>5840</v>
      </c>
      <c r="H104" s="89">
        <v>0</v>
      </c>
      <c r="I104" s="89">
        <v>0</v>
      </c>
      <c r="J104" s="89">
        <f t="shared" si="34"/>
        <v>12</v>
      </c>
      <c r="K104" s="89">
        <f t="shared" si="34"/>
        <v>53205.26</v>
      </c>
      <c r="L104" s="90">
        <v>0</v>
      </c>
      <c r="M104" s="91">
        <v>0</v>
      </c>
      <c r="N104" s="92">
        <f t="shared" si="35"/>
        <v>10</v>
      </c>
      <c r="O104" s="92">
        <f t="shared" si="36"/>
        <v>22272.42</v>
      </c>
      <c r="P104">
        <v>1</v>
      </c>
      <c r="Q104">
        <v>14600</v>
      </c>
      <c r="R104">
        <v>15</v>
      </c>
      <c r="S104">
        <v>70954.23</v>
      </c>
    </row>
    <row r="105" spans="1:19" x14ac:dyDescent="0.2">
      <c r="A105" s="6" t="s">
        <v>114</v>
      </c>
      <c r="B105" s="90" t="s">
        <v>158</v>
      </c>
      <c r="C105" s="90">
        <v>8</v>
      </c>
      <c r="D105" s="93">
        <v>0</v>
      </c>
      <c r="E105" s="93">
        <v>0</v>
      </c>
      <c r="F105" s="88">
        <f t="shared" si="33"/>
        <v>3</v>
      </c>
      <c r="G105" s="88">
        <f t="shared" si="33"/>
        <v>5840</v>
      </c>
      <c r="H105" s="89">
        <v>1</v>
      </c>
      <c r="I105" s="89">
        <v>1265</v>
      </c>
      <c r="J105" s="89">
        <f t="shared" si="34"/>
        <v>13</v>
      </c>
      <c r="K105" s="89">
        <f t="shared" si="34"/>
        <v>54470.26</v>
      </c>
      <c r="L105" s="90">
        <v>1</v>
      </c>
      <c r="M105" s="91">
        <v>975</v>
      </c>
      <c r="N105" s="92">
        <f t="shared" si="35"/>
        <v>11</v>
      </c>
      <c r="O105" s="92">
        <f t="shared" si="36"/>
        <v>23247.42</v>
      </c>
      <c r="P105">
        <v>3</v>
      </c>
      <c r="Q105">
        <v>14200</v>
      </c>
      <c r="R105">
        <v>18</v>
      </c>
      <c r="S105">
        <v>85154.23</v>
      </c>
    </row>
    <row r="106" spans="1:19" x14ac:dyDescent="0.2">
      <c r="A106" s="6" t="s">
        <v>114</v>
      </c>
      <c r="B106" s="90" t="s">
        <v>159</v>
      </c>
      <c r="C106" s="90">
        <v>9</v>
      </c>
      <c r="D106" s="93">
        <v>0</v>
      </c>
      <c r="E106" s="93">
        <v>0</v>
      </c>
      <c r="F106" s="88">
        <f t="shared" si="33"/>
        <v>3</v>
      </c>
      <c r="G106" s="88">
        <f t="shared" si="33"/>
        <v>5840</v>
      </c>
      <c r="H106" s="89">
        <v>1</v>
      </c>
      <c r="I106" s="89">
        <v>1600</v>
      </c>
      <c r="J106" s="89">
        <f t="shared" si="34"/>
        <v>14</v>
      </c>
      <c r="K106" s="89">
        <f t="shared" si="34"/>
        <v>56070.26</v>
      </c>
      <c r="L106" s="90">
        <v>2</v>
      </c>
      <c r="M106" s="91">
        <v>8291</v>
      </c>
      <c r="N106" s="92">
        <f t="shared" si="35"/>
        <v>13</v>
      </c>
      <c r="O106" s="92">
        <f t="shared" si="36"/>
        <v>31538.42</v>
      </c>
      <c r="P106">
        <v>6</v>
      </c>
      <c r="Q106">
        <v>33500</v>
      </c>
      <c r="R106">
        <v>24</v>
      </c>
      <c r="S106">
        <v>118654.23</v>
      </c>
    </row>
    <row r="107" spans="1:19" x14ac:dyDescent="0.2">
      <c r="A107" s="6" t="s">
        <v>114</v>
      </c>
      <c r="B107" s="90" t="s">
        <v>160</v>
      </c>
      <c r="C107" s="90">
        <v>10</v>
      </c>
      <c r="D107" s="93">
        <v>1</v>
      </c>
      <c r="E107" s="93">
        <v>22891.29</v>
      </c>
      <c r="F107" s="88">
        <f t="shared" si="33"/>
        <v>4</v>
      </c>
      <c r="G107" s="88">
        <f t="shared" si="33"/>
        <v>28731.29</v>
      </c>
      <c r="H107" s="89">
        <v>0</v>
      </c>
      <c r="I107" s="89">
        <v>0</v>
      </c>
      <c r="J107" s="89">
        <f t="shared" si="34"/>
        <v>14</v>
      </c>
      <c r="K107" s="89">
        <f t="shared" si="34"/>
        <v>56070.26</v>
      </c>
      <c r="L107" s="90">
        <v>6</v>
      </c>
      <c r="M107" s="91">
        <v>45760.18</v>
      </c>
      <c r="N107" s="92">
        <f t="shared" si="35"/>
        <v>19</v>
      </c>
      <c r="O107" s="92">
        <f t="shared" si="36"/>
        <v>77298.600000000006</v>
      </c>
      <c r="P107">
        <v>0</v>
      </c>
      <c r="Q107">
        <v>0</v>
      </c>
      <c r="R107">
        <v>24</v>
      </c>
      <c r="S107">
        <v>118654.23</v>
      </c>
    </row>
    <row r="108" spans="1:19" x14ac:dyDescent="0.2">
      <c r="A108" s="6" t="s">
        <v>114</v>
      </c>
      <c r="B108" s="90" t="s">
        <v>161</v>
      </c>
      <c r="C108" s="90">
        <v>11</v>
      </c>
      <c r="D108" s="93">
        <v>1</v>
      </c>
      <c r="E108" s="93">
        <v>210.6</v>
      </c>
      <c r="F108" s="88">
        <f t="shared" si="33"/>
        <v>5</v>
      </c>
      <c r="G108" s="88">
        <f t="shared" si="33"/>
        <v>28941.89</v>
      </c>
      <c r="H108" s="89">
        <v>1</v>
      </c>
      <c r="I108" s="89">
        <v>5500</v>
      </c>
      <c r="J108" s="89">
        <f t="shared" si="34"/>
        <v>15</v>
      </c>
      <c r="K108" s="89">
        <f t="shared" si="34"/>
        <v>61570.26</v>
      </c>
      <c r="L108" s="90">
        <v>2</v>
      </c>
      <c r="M108" s="91">
        <v>13026</v>
      </c>
      <c r="N108" s="92">
        <f t="shared" si="35"/>
        <v>21</v>
      </c>
      <c r="O108" s="92">
        <f t="shared" si="36"/>
        <v>90324.6</v>
      </c>
      <c r="P108" s="86"/>
      <c r="Q108" s="86">
        <v>0</v>
      </c>
    </row>
    <row r="109" spans="1:19" x14ac:dyDescent="0.2">
      <c r="A109" s="6" t="s">
        <v>114</v>
      </c>
      <c r="B109" s="90" t="s">
        <v>162</v>
      </c>
      <c r="C109" s="90">
        <v>12</v>
      </c>
      <c r="D109" s="93">
        <v>0</v>
      </c>
      <c r="E109" s="93">
        <v>0</v>
      </c>
      <c r="F109" s="88">
        <f t="shared" si="33"/>
        <v>5</v>
      </c>
      <c r="G109" s="88">
        <f t="shared" si="33"/>
        <v>28941.89</v>
      </c>
      <c r="H109" s="89">
        <v>0</v>
      </c>
      <c r="I109" s="89">
        <v>0</v>
      </c>
      <c r="J109" s="89">
        <f t="shared" si="34"/>
        <v>15</v>
      </c>
      <c r="K109" s="89">
        <f t="shared" si="34"/>
        <v>61570.26</v>
      </c>
      <c r="L109" s="90">
        <v>0</v>
      </c>
      <c r="M109" s="91">
        <v>0</v>
      </c>
      <c r="N109" s="92">
        <f t="shared" si="35"/>
        <v>21</v>
      </c>
      <c r="O109" s="92">
        <f t="shared" si="36"/>
        <v>90324.6</v>
      </c>
      <c r="P109" s="86"/>
      <c r="Q109" s="86">
        <v>0</v>
      </c>
    </row>
    <row r="110" spans="1:19" x14ac:dyDescent="0.2">
      <c r="A110" s="6" t="s">
        <v>47</v>
      </c>
      <c r="B110" s="90" t="s">
        <v>151</v>
      </c>
      <c r="C110" s="90">
        <v>1</v>
      </c>
      <c r="D110" s="93">
        <v>3</v>
      </c>
      <c r="E110" s="93">
        <v>300</v>
      </c>
      <c r="F110" s="88">
        <f>D110</f>
        <v>3</v>
      </c>
      <c r="G110" s="88">
        <f>E110</f>
        <v>300</v>
      </c>
      <c r="H110" s="89">
        <v>12</v>
      </c>
      <c r="I110" s="89">
        <v>6920</v>
      </c>
      <c r="J110" s="89">
        <f>H110</f>
        <v>12</v>
      </c>
      <c r="K110" s="89">
        <f>I110</f>
        <v>6920</v>
      </c>
      <c r="L110" s="90">
        <v>37</v>
      </c>
      <c r="M110" s="91">
        <v>7080</v>
      </c>
      <c r="N110" s="92">
        <f>L110</f>
        <v>37</v>
      </c>
      <c r="O110" s="92">
        <f>M110</f>
        <v>7080</v>
      </c>
      <c r="P110">
        <v>9</v>
      </c>
      <c r="Q110">
        <v>2880</v>
      </c>
      <c r="R110">
        <v>9</v>
      </c>
      <c r="S110">
        <v>2880</v>
      </c>
    </row>
    <row r="111" spans="1:19" x14ac:dyDescent="0.2">
      <c r="A111" s="6" t="s">
        <v>47</v>
      </c>
      <c r="B111" s="90" t="s">
        <v>152</v>
      </c>
      <c r="C111" s="90">
        <v>2</v>
      </c>
      <c r="D111" s="93">
        <v>2</v>
      </c>
      <c r="E111" s="93">
        <v>270</v>
      </c>
      <c r="F111" s="88">
        <f t="shared" ref="F111:G121" si="37">F110+D111</f>
        <v>5</v>
      </c>
      <c r="G111" s="88">
        <f t="shared" si="37"/>
        <v>570</v>
      </c>
      <c r="H111" s="89">
        <v>1</v>
      </c>
      <c r="I111" s="89">
        <v>115</v>
      </c>
      <c r="J111" s="89">
        <f t="shared" ref="J111:K121" si="38">J110+H111</f>
        <v>13</v>
      </c>
      <c r="K111" s="89">
        <f t="shared" si="38"/>
        <v>7035</v>
      </c>
      <c r="L111" s="90">
        <v>6</v>
      </c>
      <c r="M111" s="91">
        <v>680</v>
      </c>
      <c r="N111" s="92">
        <f t="shared" ref="N111:N121" si="39">N110+L111</f>
        <v>43</v>
      </c>
      <c r="O111" s="92">
        <f t="shared" ref="O111:O121" si="40">O110+M111</f>
        <v>7760</v>
      </c>
      <c r="P111">
        <v>16</v>
      </c>
      <c r="Q111">
        <v>3071</v>
      </c>
      <c r="R111">
        <v>25</v>
      </c>
      <c r="S111">
        <v>5951</v>
      </c>
    </row>
    <row r="112" spans="1:19" x14ac:dyDescent="0.2">
      <c r="A112" s="6" t="s">
        <v>47</v>
      </c>
      <c r="B112" s="90" t="s">
        <v>153</v>
      </c>
      <c r="C112" s="90">
        <v>3</v>
      </c>
      <c r="D112" s="93">
        <v>0</v>
      </c>
      <c r="E112" s="93">
        <v>0</v>
      </c>
      <c r="F112" s="88">
        <f t="shared" si="37"/>
        <v>5</v>
      </c>
      <c r="G112" s="88">
        <f t="shared" si="37"/>
        <v>570</v>
      </c>
      <c r="H112" s="89">
        <v>1</v>
      </c>
      <c r="I112" s="89">
        <v>135</v>
      </c>
      <c r="J112" s="89">
        <f t="shared" si="38"/>
        <v>14</v>
      </c>
      <c r="K112" s="89">
        <f t="shared" si="38"/>
        <v>7170</v>
      </c>
      <c r="L112" s="90">
        <v>2</v>
      </c>
      <c r="M112" s="91">
        <v>3370</v>
      </c>
      <c r="N112" s="92">
        <f t="shared" si="39"/>
        <v>45</v>
      </c>
      <c r="O112" s="92">
        <f t="shared" si="40"/>
        <v>11130</v>
      </c>
      <c r="P112">
        <v>2</v>
      </c>
      <c r="Q112">
        <v>240</v>
      </c>
      <c r="R112">
        <v>27</v>
      </c>
      <c r="S112">
        <v>6191</v>
      </c>
    </row>
    <row r="113" spans="1:19" x14ac:dyDescent="0.2">
      <c r="A113" s="6" t="s">
        <v>47</v>
      </c>
      <c r="B113" s="90" t="s">
        <v>154</v>
      </c>
      <c r="C113" s="90">
        <v>4</v>
      </c>
      <c r="D113" s="93">
        <v>10</v>
      </c>
      <c r="E113" s="93">
        <v>1282.5</v>
      </c>
      <c r="F113" s="88">
        <f t="shared" si="37"/>
        <v>15</v>
      </c>
      <c r="G113" s="88">
        <f t="shared" si="37"/>
        <v>1852.5</v>
      </c>
      <c r="H113" s="89">
        <v>36</v>
      </c>
      <c r="I113" s="89">
        <v>8600</v>
      </c>
      <c r="J113" s="89">
        <f t="shared" si="38"/>
        <v>50</v>
      </c>
      <c r="K113" s="89">
        <f t="shared" si="38"/>
        <v>15770</v>
      </c>
      <c r="L113" s="90">
        <v>11</v>
      </c>
      <c r="M113" s="91">
        <v>1303</v>
      </c>
      <c r="N113" s="92">
        <f t="shared" si="39"/>
        <v>56</v>
      </c>
      <c r="O113" s="92">
        <f t="shared" si="40"/>
        <v>12433</v>
      </c>
      <c r="P113">
        <v>15</v>
      </c>
      <c r="Q113">
        <v>1425</v>
      </c>
      <c r="R113">
        <v>42</v>
      </c>
      <c r="S113">
        <v>7616</v>
      </c>
    </row>
    <row r="114" spans="1:19" x14ac:dyDescent="0.2">
      <c r="A114" s="6" t="s">
        <v>47</v>
      </c>
      <c r="B114" s="90" t="s">
        <v>155</v>
      </c>
      <c r="C114" s="90">
        <v>5</v>
      </c>
      <c r="D114" s="93">
        <v>8</v>
      </c>
      <c r="E114" s="93">
        <v>1350</v>
      </c>
      <c r="F114" s="88">
        <f t="shared" si="37"/>
        <v>23</v>
      </c>
      <c r="G114" s="88">
        <f t="shared" si="37"/>
        <v>3202.5</v>
      </c>
      <c r="H114" s="89">
        <v>12</v>
      </c>
      <c r="I114" s="89">
        <v>1965</v>
      </c>
      <c r="J114" s="89">
        <f t="shared" si="38"/>
        <v>62</v>
      </c>
      <c r="K114" s="89">
        <f t="shared" si="38"/>
        <v>17735</v>
      </c>
      <c r="L114" s="90">
        <v>4</v>
      </c>
      <c r="M114" s="91">
        <v>390</v>
      </c>
      <c r="N114" s="92">
        <f t="shared" si="39"/>
        <v>60</v>
      </c>
      <c r="O114" s="92">
        <f t="shared" si="40"/>
        <v>12823</v>
      </c>
      <c r="P114">
        <v>18</v>
      </c>
      <c r="Q114">
        <v>2668</v>
      </c>
      <c r="R114">
        <v>60</v>
      </c>
      <c r="S114">
        <v>10284</v>
      </c>
    </row>
    <row r="115" spans="1:19" x14ac:dyDescent="0.2">
      <c r="A115" s="6" t="s">
        <v>47</v>
      </c>
      <c r="B115" s="90" t="s">
        <v>156</v>
      </c>
      <c r="C115" s="90">
        <v>6</v>
      </c>
      <c r="D115" s="93">
        <v>1</v>
      </c>
      <c r="E115" s="93">
        <v>1145.8399999999999</v>
      </c>
      <c r="F115" s="88">
        <f t="shared" si="37"/>
        <v>24</v>
      </c>
      <c r="G115" s="88">
        <f t="shared" si="37"/>
        <v>4348.34</v>
      </c>
      <c r="H115" s="89">
        <v>0</v>
      </c>
      <c r="I115" s="89">
        <v>0</v>
      </c>
      <c r="J115" s="89">
        <f t="shared" si="38"/>
        <v>62</v>
      </c>
      <c r="K115" s="89">
        <f t="shared" si="38"/>
        <v>17735</v>
      </c>
      <c r="L115" s="90">
        <v>11</v>
      </c>
      <c r="M115" s="91">
        <v>1298</v>
      </c>
      <c r="N115" s="92">
        <f t="shared" si="39"/>
        <v>71</v>
      </c>
      <c r="O115" s="92">
        <f t="shared" si="40"/>
        <v>14121</v>
      </c>
      <c r="P115">
        <v>15</v>
      </c>
      <c r="Q115">
        <v>1844</v>
      </c>
      <c r="R115">
        <v>75</v>
      </c>
      <c r="S115">
        <v>12128</v>
      </c>
    </row>
    <row r="116" spans="1:19" x14ac:dyDescent="0.2">
      <c r="A116" s="6" t="s">
        <v>47</v>
      </c>
      <c r="B116" s="90" t="s">
        <v>157</v>
      </c>
      <c r="C116" s="90">
        <v>7</v>
      </c>
      <c r="D116" s="93">
        <v>0</v>
      </c>
      <c r="E116" s="93">
        <v>0</v>
      </c>
      <c r="F116" s="88">
        <f t="shared" si="37"/>
        <v>24</v>
      </c>
      <c r="G116" s="88">
        <f t="shared" si="37"/>
        <v>4348.34</v>
      </c>
      <c r="H116" s="89">
        <v>0</v>
      </c>
      <c r="I116" s="89">
        <v>0</v>
      </c>
      <c r="J116" s="89">
        <f t="shared" si="38"/>
        <v>62</v>
      </c>
      <c r="K116" s="89">
        <f t="shared" si="38"/>
        <v>17735</v>
      </c>
      <c r="L116" s="90">
        <v>10</v>
      </c>
      <c r="M116" s="91">
        <v>1080</v>
      </c>
      <c r="N116" s="92">
        <f t="shared" si="39"/>
        <v>81</v>
      </c>
      <c r="O116" s="92">
        <f t="shared" si="40"/>
        <v>15201</v>
      </c>
      <c r="P116">
        <v>31</v>
      </c>
      <c r="Q116">
        <v>4069.2</v>
      </c>
      <c r="R116">
        <v>106</v>
      </c>
      <c r="S116">
        <v>16197.2</v>
      </c>
    </row>
    <row r="117" spans="1:19" x14ac:dyDescent="0.2">
      <c r="A117" s="6" t="s">
        <v>47</v>
      </c>
      <c r="B117" s="90" t="s">
        <v>158</v>
      </c>
      <c r="C117" s="90">
        <v>8</v>
      </c>
      <c r="D117" s="93">
        <v>3</v>
      </c>
      <c r="E117" s="93">
        <v>135</v>
      </c>
      <c r="F117" s="88">
        <f t="shared" si="37"/>
        <v>27</v>
      </c>
      <c r="G117" s="88">
        <f t="shared" si="37"/>
        <v>4483.34</v>
      </c>
      <c r="H117" s="89">
        <v>6</v>
      </c>
      <c r="I117" s="89">
        <v>350</v>
      </c>
      <c r="J117" s="89">
        <f t="shared" si="38"/>
        <v>68</v>
      </c>
      <c r="K117" s="89">
        <f t="shared" si="38"/>
        <v>18085</v>
      </c>
      <c r="L117" s="90">
        <v>42</v>
      </c>
      <c r="M117" s="91">
        <v>6286</v>
      </c>
      <c r="N117" s="92">
        <f t="shared" si="39"/>
        <v>123</v>
      </c>
      <c r="O117" s="92">
        <f t="shared" si="40"/>
        <v>21487</v>
      </c>
      <c r="P117">
        <v>24</v>
      </c>
      <c r="Q117">
        <v>4940</v>
      </c>
      <c r="R117">
        <v>130</v>
      </c>
      <c r="S117">
        <v>21137.200000000001</v>
      </c>
    </row>
    <row r="118" spans="1:19" x14ac:dyDescent="0.2">
      <c r="A118" s="6" t="s">
        <v>47</v>
      </c>
      <c r="B118" s="90" t="s">
        <v>159</v>
      </c>
      <c r="C118" s="90">
        <v>9</v>
      </c>
      <c r="D118" s="93">
        <v>1</v>
      </c>
      <c r="E118" s="93">
        <v>400</v>
      </c>
      <c r="F118" s="88">
        <f t="shared" si="37"/>
        <v>28</v>
      </c>
      <c r="G118" s="88">
        <f t="shared" si="37"/>
        <v>4883.34</v>
      </c>
      <c r="H118" s="89">
        <v>8</v>
      </c>
      <c r="I118" s="89">
        <v>960</v>
      </c>
      <c r="J118" s="89">
        <f t="shared" si="38"/>
        <v>76</v>
      </c>
      <c r="K118" s="89">
        <f t="shared" si="38"/>
        <v>19045</v>
      </c>
      <c r="L118" s="90">
        <v>2</v>
      </c>
      <c r="M118" s="91">
        <v>6400</v>
      </c>
      <c r="N118" s="92">
        <f t="shared" si="39"/>
        <v>125</v>
      </c>
      <c r="O118" s="92">
        <f t="shared" si="40"/>
        <v>27887</v>
      </c>
      <c r="P118">
        <v>77</v>
      </c>
      <c r="Q118">
        <v>8184</v>
      </c>
      <c r="R118">
        <v>207</v>
      </c>
      <c r="S118">
        <v>29321.200000000001</v>
      </c>
    </row>
    <row r="119" spans="1:19" x14ac:dyDescent="0.2">
      <c r="A119" s="6" t="s">
        <v>47</v>
      </c>
      <c r="B119" s="90" t="s">
        <v>160</v>
      </c>
      <c r="C119" s="90">
        <v>10</v>
      </c>
      <c r="D119" s="93">
        <v>0</v>
      </c>
      <c r="E119" s="93">
        <v>0</v>
      </c>
      <c r="F119" s="88">
        <f t="shared" si="37"/>
        <v>28</v>
      </c>
      <c r="G119" s="88">
        <f t="shared" si="37"/>
        <v>4883.34</v>
      </c>
      <c r="H119" s="89">
        <v>110</v>
      </c>
      <c r="I119" s="89">
        <v>6230</v>
      </c>
      <c r="J119" s="89">
        <f t="shared" si="38"/>
        <v>186</v>
      </c>
      <c r="K119" s="89">
        <f t="shared" si="38"/>
        <v>25275</v>
      </c>
      <c r="L119" s="90">
        <v>21</v>
      </c>
      <c r="M119" s="91">
        <v>5190</v>
      </c>
      <c r="N119" s="92">
        <f t="shared" si="39"/>
        <v>146</v>
      </c>
      <c r="O119" s="92">
        <f t="shared" si="40"/>
        <v>33077</v>
      </c>
      <c r="P119">
        <v>0</v>
      </c>
      <c r="Q119">
        <v>0</v>
      </c>
      <c r="R119">
        <v>207</v>
      </c>
      <c r="S119">
        <v>29321.200000000001</v>
      </c>
    </row>
    <row r="120" spans="1:19" x14ac:dyDescent="0.2">
      <c r="A120" s="6" t="s">
        <v>47</v>
      </c>
      <c r="B120" s="90" t="s">
        <v>161</v>
      </c>
      <c r="C120" s="90">
        <v>11</v>
      </c>
      <c r="D120" s="93">
        <v>14</v>
      </c>
      <c r="E120" s="88">
        <v>1938</v>
      </c>
      <c r="F120" s="88">
        <f t="shared" si="37"/>
        <v>42</v>
      </c>
      <c r="G120" s="88">
        <f t="shared" si="37"/>
        <v>6821.34</v>
      </c>
      <c r="H120" s="89">
        <v>31</v>
      </c>
      <c r="I120" s="89">
        <v>3168.6</v>
      </c>
      <c r="J120" s="89">
        <f t="shared" si="38"/>
        <v>217</v>
      </c>
      <c r="K120" s="89">
        <f t="shared" si="38"/>
        <v>28443.599999999999</v>
      </c>
      <c r="L120" s="90">
        <v>7</v>
      </c>
      <c r="M120" s="91">
        <v>6215</v>
      </c>
      <c r="N120" s="92">
        <f t="shared" si="39"/>
        <v>153</v>
      </c>
      <c r="O120" s="92">
        <f t="shared" si="40"/>
        <v>39292</v>
      </c>
      <c r="P120" s="86"/>
      <c r="Q120" s="86">
        <v>0</v>
      </c>
    </row>
    <row r="121" spans="1:19" x14ac:dyDescent="0.2">
      <c r="A121" s="6" t="s">
        <v>47</v>
      </c>
      <c r="B121" s="90" t="s">
        <v>162</v>
      </c>
      <c r="C121" s="90">
        <v>12</v>
      </c>
      <c r="D121" s="93">
        <v>2</v>
      </c>
      <c r="E121" s="93">
        <v>2016.15</v>
      </c>
      <c r="F121" s="88">
        <f t="shared" si="37"/>
        <v>44</v>
      </c>
      <c r="G121" s="88">
        <f t="shared" si="37"/>
        <v>8837.49</v>
      </c>
      <c r="H121" s="89">
        <v>0</v>
      </c>
      <c r="I121" s="89">
        <v>0</v>
      </c>
      <c r="J121" s="89">
        <f t="shared" si="38"/>
        <v>217</v>
      </c>
      <c r="K121" s="89">
        <f t="shared" si="38"/>
        <v>28443.599999999999</v>
      </c>
      <c r="L121" s="90">
        <v>1</v>
      </c>
      <c r="M121" s="91">
        <v>1160</v>
      </c>
      <c r="N121" s="92">
        <f t="shared" si="39"/>
        <v>154</v>
      </c>
      <c r="O121" s="92">
        <f t="shared" si="40"/>
        <v>40452</v>
      </c>
      <c r="P121" s="86"/>
      <c r="Q121" s="86">
        <v>0</v>
      </c>
    </row>
    <row r="122" spans="1:19" x14ac:dyDescent="0.2">
      <c r="A122" t="s">
        <v>302</v>
      </c>
      <c r="B122" s="90"/>
      <c r="C122" s="90"/>
      <c r="D122" s="93"/>
      <c r="E122" s="93"/>
      <c r="F122" s="88"/>
      <c r="G122" s="88"/>
      <c r="H122" s="89"/>
      <c r="I122" s="89"/>
      <c r="J122" s="89"/>
      <c r="K122" s="89"/>
      <c r="L122" s="90"/>
      <c r="M122" s="91"/>
      <c r="N122" s="92"/>
      <c r="O122" s="92"/>
      <c r="P122">
        <v>0</v>
      </c>
      <c r="Q122">
        <v>0</v>
      </c>
      <c r="R122">
        <v>0</v>
      </c>
      <c r="S122">
        <v>0</v>
      </c>
    </row>
    <row r="123" spans="1:19" x14ac:dyDescent="0.2">
      <c r="A123" t="s">
        <v>302</v>
      </c>
      <c r="B123" s="90"/>
      <c r="C123" s="90"/>
      <c r="D123" s="93"/>
      <c r="E123" s="93"/>
      <c r="F123" s="88"/>
      <c r="G123" s="88"/>
      <c r="H123" s="89"/>
      <c r="I123" s="89"/>
      <c r="J123" s="89"/>
      <c r="K123" s="89"/>
      <c r="L123" s="90"/>
      <c r="M123" s="91"/>
      <c r="N123" s="92"/>
      <c r="O123" s="92"/>
      <c r="P123">
        <v>0</v>
      </c>
      <c r="Q123">
        <v>0</v>
      </c>
      <c r="R123">
        <v>0</v>
      </c>
      <c r="S123">
        <v>0</v>
      </c>
    </row>
    <row r="124" spans="1:19" x14ac:dyDescent="0.2">
      <c r="A124" t="s">
        <v>302</v>
      </c>
      <c r="B124" s="90"/>
      <c r="C124" s="90"/>
      <c r="D124" s="93"/>
      <c r="E124" s="93"/>
      <c r="F124" s="88"/>
      <c r="G124" s="88"/>
      <c r="H124" s="89"/>
      <c r="I124" s="89"/>
      <c r="J124" s="89"/>
      <c r="K124" s="89"/>
      <c r="L124" s="90"/>
      <c r="M124" s="91"/>
      <c r="N124" s="92"/>
      <c r="O124" s="92"/>
      <c r="P124">
        <v>0</v>
      </c>
      <c r="Q124">
        <v>0</v>
      </c>
      <c r="R124">
        <v>0</v>
      </c>
      <c r="S124">
        <v>0</v>
      </c>
    </row>
    <row r="125" spans="1:19" x14ac:dyDescent="0.2">
      <c r="A125" t="s">
        <v>302</v>
      </c>
      <c r="B125" s="90"/>
      <c r="C125" s="90"/>
      <c r="D125" s="93"/>
      <c r="E125" s="93"/>
      <c r="F125" s="88"/>
      <c r="G125" s="88"/>
      <c r="H125" s="89"/>
      <c r="I125" s="89"/>
      <c r="J125" s="89"/>
      <c r="K125" s="89"/>
      <c r="L125" s="90"/>
      <c r="M125" s="91"/>
      <c r="N125" s="92"/>
      <c r="O125" s="92"/>
      <c r="P125">
        <v>0</v>
      </c>
      <c r="Q125">
        <v>0</v>
      </c>
      <c r="R125">
        <v>0</v>
      </c>
      <c r="S125">
        <v>0</v>
      </c>
    </row>
    <row r="126" spans="1:19" x14ac:dyDescent="0.2">
      <c r="A126" t="s">
        <v>302</v>
      </c>
      <c r="B126" s="90"/>
      <c r="C126" s="90"/>
      <c r="D126" s="93"/>
      <c r="E126" s="93"/>
      <c r="F126" s="88"/>
      <c r="G126" s="88"/>
      <c r="H126" s="89"/>
      <c r="I126" s="89"/>
      <c r="J126" s="89"/>
      <c r="K126" s="89"/>
      <c r="L126" s="90"/>
      <c r="M126" s="91"/>
      <c r="N126" s="92"/>
      <c r="O126" s="92"/>
      <c r="P126">
        <v>0</v>
      </c>
      <c r="Q126">
        <v>0</v>
      </c>
      <c r="R126">
        <v>0</v>
      </c>
      <c r="S126">
        <v>0</v>
      </c>
    </row>
    <row r="127" spans="1:19" x14ac:dyDescent="0.2">
      <c r="A127" t="s">
        <v>302</v>
      </c>
      <c r="B127" s="90"/>
      <c r="C127" s="90"/>
      <c r="D127" s="93"/>
      <c r="E127" s="93"/>
      <c r="F127" s="88"/>
      <c r="G127" s="88"/>
      <c r="H127" s="89"/>
      <c r="I127" s="89"/>
      <c r="J127" s="89"/>
      <c r="K127" s="89"/>
      <c r="L127" s="90"/>
      <c r="M127" s="91"/>
      <c r="N127" s="92"/>
      <c r="O127" s="92"/>
      <c r="P127">
        <v>0</v>
      </c>
      <c r="Q127">
        <v>0</v>
      </c>
      <c r="R127">
        <v>0</v>
      </c>
      <c r="S127">
        <v>0</v>
      </c>
    </row>
    <row r="128" spans="1:19" x14ac:dyDescent="0.2">
      <c r="A128" t="s">
        <v>302</v>
      </c>
      <c r="B128" s="90"/>
      <c r="C128" s="90"/>
      <c r="D128" s="93"/>
      <c r="E128" s="93"/>
      <c r="F128" s="88"/>
      <c r="G128" s="88"/>
      <c r="H128" s="89"/>
      <c r="I128" s="89"/>
      <c r="J128" s="89"/>
      <c r="K128" s="89"/>
      <c r="L128" s="90"/>
      <c r="M128" s="91"/>
      <c r="N128" s="92"/>
      <c r="O128" s="92"/>
      <c r="P128">
        <v>0</v>
      </c>
      <c r="Q128">
        <v>0</v>
      </c>
      <c r="R128">
        <v>0</v>
      </c>
      <c r="S128">
        <v>0</v>
      </c>
    </row>
    <row r="129" spans="1:19" x14ac:dyDescent="0.2">
      <c r="A129" t="s">
        <v>302</v>
      </c>
      <c r="B129" s="90"/>
      <c r="C129" s="90"/>
      <c r="D129" s="93"/>
      <c r="E129" s="93"/>
      <c r="F129" s="88"/>
      <c r="G129" s="88"/>
      <c r="H129" s="89"/>
      <c r="I129" s="89"/>
      <c r="J129" s="89"/>
      <c r="K129" s="89"/>
      <c r="L129" s="90"/>
      <c r="M129" s="91"/>
      <c r="N129" s="92"/>
      <c r="O129" s="92"/>
      <c r="P129">
        <v>0</v>
      </c>
      <c r="Q129">
        <v>0</v>
      </c>
      <c r="R129">
        <v>0</v>
      </c>
      <c r="S129">
        <v>0</v>
      </c>
    </row>
    <row r="130" spans="1:19" x14ac:dyDescent="0.2">
      <c r="A130" t="s">
        <v>302</v>
      </c>
      <c r="B130" s="90"/>
      <c r="C130" s="90"/>
      <c r="D130" s="93"/>
      <c r="E130" s="93"/>
      <c r="F130" s="88"/>
      <c r="G130" s="88"/>
      <c r="H130" s="89"/>
      <c r="I130" s="89"/>
      <c r="J130" s="89"/>
      <c r="K130" s="89"/>
      <c r="L130" s="90"/>
      <c r="M130" s="91"/>
      <c r="N130" s="92"/>
      <c r="O130" s="92"/>
      <c r="P130">
        <v>0</v>
      </c>
      <c r="Q130">
        <v>0</v>
      </c>
      <c r="R130">
        <v>0</v>
      </c>
      <c r="S130">
        <v>0</v>
      </c>
    </row>
    <row r="131" spans="1:19" x14ac:dyDescent="0.2">
      <c r="A131" t="s">
        <v>302</v>
      </c>
      <c r="B131" s="90"/>
      <c r="C131" s="90"/>
      <c r="D131" s="93"/>
      <c r="E131" s="93"/>
      <c r="F131" s="88"/>
      <c r="G131" s="88"/>
      <c r="H131" s="89"/>
      <c r="I131" s="89"/>
      <c r="J131" s="89"/>
      <c r="K131" s="89"/>
      <c r="L131" s="90"/>
      <c r="M131" s="91"/>
      <c r="N131" s="92"/>
      <c r="O131" s="92"/>
      <c r="P131">
        <v>0</v>
      </c>
      <c r="Q131">
        <v>0</v>
      </c>
      <c r="R131">
        <v>0</v>
      </c>
      <c r="S131">
        <v>0</v>
      </c>
    </row>
    <row r="132" spans="1:19" x14ac:dyDescent="0.2">
      <c r="A132" t="s">
        <v>302</v>
      </c>
      <c r="B132" s="90"/>
      <c r="C132" s="90"/>
      <c r="D132" s="93"/>
      <c r="E132" s="93"/>
      <c r="F132" s="88"/>
      <c r="G132" s="88"/>
      <c r="H132" s="89"/>
      <c r="I132" s="89"/>
      <c r="J132" s="89"/>
      <c r="K132" s="89"/>
      <c r="L132" s="90"/>
      <c r="M132" s="91"/>
      <c r="N132" s="92"/>
      <c r="O132" s="92"/>
      <c r="P132" s="86"/>
      <c r="Q132" s="86"/>
    </row>
    <row r="133" spans="1:19" x14ac:dyDescent="0.2">
      <c r="A133" t="s">
        <v>302</v>
      </c>
      <c r="B133" s="90"/>
      <c r="C133" s="90"/>
      <c r="D133" s="93"/>
      <c r="E133" s="93"/>
      <c r="F133" s="88"/>
      <c r="G133" s="88"/>
      <c r="H133" s="89"/>
      <c r="I133" s="89"/>
      <c r="J133" s="89"/>
      <c r="K133" s="89"/>
      <c r="L133" s="90"/>
      <c r="M133" s="91"/>
      <c r="N133" s="92"/>
      <c r="O133" s="92"/>
      <c r="P133" s="86"/>
      <c r="Q133" s="86"/>
    </row>
    <row r="134" spans="1:19" x14ac:dyDescent="0.2">
      <c r="A134" s="6" t="s">
        <v>89</v>
      </c>
      <c r="B134" s="90" t="s">
        <v>151</v>
      </c>
      <c r="C134" s="90">
        <v>1</v>
      </c>
      <c r="D134" s="88">
        <v>1</v>
      </c>
      <c r="E134" s="88">
        <v>1700</v>
      </c>
      <c r="F134" s="88">
        <f>D134</f>
        <v>1</v>
      </c>
      <c r="G134" s="88">
        <f>E134</f>
        <v>1700</v>
      </c>
      <c r="H134" s="89">
        <v>0</v>
      </c>
      <c r="I134" s="89">
        <v>0</v>
      </c>
      <c r="J134" s="89">
        <f>H134</f>
        <v>0</v>
      </c>
      <c r="K134" s="89">
        <f>I134</f>
        <v>0</v>
      </c>
      <c r="L134" s="90">
        <v>1</v>
      </c>
      <c r="M134" s="91">
        <v>1200</v>
      </c>
      <c r="N134" s="92">
        <f>L134</f>
        <v>1</v>
      </c>
      <c r="O134" s="92">
        <f>M134</f>
        <v>1200</v>
      </c>
      <c r="P134">
        <v>1</v>
      </c>
      <c r="Q134">
        <v>1040</v>
      </c>
      <c r="R134">
        <v>1</v>
      </c>
      <c r="S134">
        <v>1040</v>
      </c>
    </row>
    <row r="135" spans="1:19" x14ac:dyDescent="0.2">
      <c r="A135" s="6" t="s">
        <v>89</v>
      </c>
      <c r="B135" s="90" t="s">
        <v>152</v>
      </c>
      <c r="C135" s="90">
        <v>2</v>
      </c>
      <c r="D135" s="93">
        <v>3</v>
      </c>
      <c r="E135" s="88">
        <v>2899</v>
      </c>
      <c r="F135" s="88">
        <f t="shared" ref="F135:G145" si="41">F134+D135</f>
        <v>4</v>
      </c>
      <c r="G135" s="88">
        <f t="shared" si="41"/>
        <v>4599</v>
      </c>
      <c r="H135" s="89">
        <v>1</v>
      </c>
      <c r="I135" s="89">
        <v>1580</v>
      </c>
      <c r="J135" s="89">
        <f t="shared" ref="J135:K145" si="42">J134+H135</f>
        <v>1</v>
      </c>
      <c r="K135" s="89">
        <f t="shared" si="42"/>
        <v>1580</v>
      </c>
      <c r="L135" s="90">
        <v>2</v>
      </c>
      <c r="M135" s="91">
        <v>1610</v>
      </c>
      <c r="N135" s="92">
        <f t="shared" ref="N135:N145" si="43">N134+L135</f>
        <v>3</v>
      </c>
      <c r="O135" s="92">
        <f t="shared" ref="O135:O145" si="44">O134+M135</f>
        <v>2810</v>
      </c>
      <c r="P135">
        <v>0</v>
      </c>
      <c r="Q135">
        <v>0</v>
      </c>
      <c r="R135">
        <v>1</v>
      </c>
      <c r="S135">
        <v>1040</v>
      </c>
    </row>
    <row r="136" spans="1:19" x14ac:dyDescent="0.2">
      <c r="A136" s="6" t="s">
        <v>89</v>
      </c>
      <c r="B136" s="90" t="s">
        <v>153</v>
      </c>
      <c r="C136" s="90">
        <v>3</v>
      </c>
      <c r="D136" s="93">
        <v>0</v>
      </c>
      <c r="E136" s="88">
        <v>0</v>
      </c>
      <c r="F136" s="88">
        <f t="shared" si="41"/>
        <v>4</v>
      </c>
      <c r="G136" s="88">
        <f t="shared" si="41"/>
        <v>4599</v>
      </c>
      <c r="H136" s="89">
        <v>0</v>
      </c>
      <c r="I136" s="89">
        <v>0</v>
      </c>
      <c r="J136" s="89">
        <f t="shared" si="42"/>
        <v>1</v>
      </c>
      <c r="K136" s="89">
        <f t="shared" si="42"/>
        <v>1580</v>
      </c>
      <c r="L136" s="90">
        <v>1</v>
      </c>
      <c r="M136" s="91">
        <v>1650</v>
      </c>
      <c r="N136" s="92">
        <f t="shared" si="43"/>
        <v>4</v>
      </c>
      <c r="O136" s="92">
        <f t="shared" si="44"/>
        <v>4460</v>
      </c>
      <c r="P136">
        <v>0</v>
      </c>
      <c r="Q136">
        <v>0</v>
      </c>
      <c r="R136">
        <v>1</v>
      </c>
      <c r="S136">
        <v>1040</v>
      </c>
    </row>
    <row r="137" spans="1:19" x14ac:dyDescent="0.2">
      <c r="A137" s="6" t="s">
        <v>89</v>
      </c>
      <c r="B137" s="90" t="s">
        <v>154</v>
      </c>
      <c r="C137" s="90">
        <v>4</v>
      </c>
      <c r="D137" s="88">
        <v>1</v>
      </c>
      <c r="E137" s="88">
        <v>2000</v>
      </c>
      <c r="F137" s="88">
        <f t="shared" si="41"/>
        <v>5</v>
      </c>
      <c r="G137" s="88">
        <f t="shared" si="41"/>
        <v>6599</v>
      </c>
      <c r="H137" s="89">
        <v>2</v>
      </c>
      <c r="I137" s="89">
        <v>6736</v>
      </c>
      <c r="J137" s="89">
        <f t="shared" si="42"/>
        <v>3</v>
      </c>
      <c r="K137" s="89">
        <f t="shared" si="42"/>
        <v>8316</v>
      </c>
      <c r="L137" s="90">
        <v>1</v>
      </c>
      <c r="M137" s="91">
        <v>1380</v>
      </c>
      <c r="N137" s="92">
        <f t="shared" si="43"/>
        <v>5</v>
      </c>
      <c r="O137" s="92">
        <f t="shared" si="44"/>
        <v>5840</v>
      </c>
      <c r="P137">
        <v>0</v>
      </c>
      <c r="Q137">
        <v>0</v>
      </c>
      <c r="R137">
        <v>1</v>
      </c>
      <c r="S137">
        <v>1040</v>
      </c>
    </row>
    <row r="138" spans="1:19" x14ac:dyDescent="0.2">
      <c r="A138" s="6" t="s">
        <v>89</v>
      </c>
      <c r="B138" s="90" t="s">
        <v>155</v>
      </c>
      <c r="C138" s="90">
        <v>5</v>
      </c>
      <c r="D138" s="93">
        <v>4</v>
      </c>
      <c r="E138" s="88">
        <v>2995</v>
      </c>
      <c r="F138" s="88">
        <f t="shared" si="41"/>
        <v>9</v>
      </c>
      <c r="G138" s="88">
        <f t="shared" si="41"/>
        <v>9594</v>
      </c>
      <c r="H138" s="89">
        <v>2</v>
      </c>
      <c r="I138" s="89">
        <v>4446</v>
      </c>
      <c r="J138" s="89">
        <f t="shared" si="42"/>
        <v>5</v>
      </c>
      <c r="K138" s="89">
        <f t="shared" si="42"/>
        <v>12762</v>
      </c>
      <c r="L138" s="90">
        <v>2</v>
      </c>
      <c r="M138" s="91">
        <v>3810</v>
      </c>
      <c r="N138" s="92">
        <f t="shared" si="43"/>
        <v>7</v>
      </c>
      <c r="O138" s="92">
        <f t="shared" si="44"/>
        <v>9650</v>
      </c>
      <c r="P138">
        <v>2</v>
      </c>
      <c r="Q138">
        <v>4100</v>
      </c>
      <c r="R138">
        <v>3</v>
      </c>
      <c r="S138">
        <v>5140</v>
      </c>
    </row>
    <row r="139" spans="1:19" x14ac:dyDescent="0.2">
      <c r="A139" s="6" t="s">
        <v>89</v>
      </c>
      <c r="B139" s="90" t="s">
        <v>156</v>
      </c>
      <c r="C139" s="90">
        <v>6</v>
      </c>
      <c r="D139" s="88">
        <v>1</v>
      </c>
      <c r="E139" s="88">
        <v>3520</v>
      </c>
      <c r="F139" s="88">
        <f t="shared" si="41"/>
        <v>10</v>
      </c>
      <c r="G139" s="88">
        <f t="shared" si="41"/>
        <v>13114</v>
      </c>
      <c r="H139" s="89">
        <v>0</v>
      </c>
      <c r="I139" s="89">
        <v>0</v>
      </c>
      <c r="J139" s="89">
        <f t="shared" si="42"/>
        <v>5</v>
      </c>
      <c r="K139" s="89">
        <f t="shared" si="42"/>
        <v>12762</v>
      </c>
      <c r="L139" s="90">
        <v>0</v>
      </c>
      <c r="M139" s="91">
        <v>0</v>
      </c>
      <c r="N139" s="92">
        <f t="shared" si="43"/>
        <v>7</v>
      </c>
      <c r="O139" s="92">
        <f t="shared" si="44"/>
        <v>9650</v>
      </c>
      <c r="P139">
        <v>0</v>
      </c>
      <c r="Q139">
        <v>0</v>
      </c>
      <c r="R139">
        <v>3</v>
      </c>
      <c r="S139">
        <v>5140</v>
      </c>
    </row>
    <row r="140" spans="1:19" x14ac:dyDescent="0.2">
      <c r="A140" s="6" t="s">
        <v>89</v>
      </c>
      <c r="B140" s="90" t="s">
        <v>157</v>
      </c>
      <c r="C140" s="90">
        <v>7</v>
      </c>
      <c r="D140" s="93">
        <v>2</v>
      </c>
      <c r="E140" s="88">
        <v>2243</v>
      </c>
      <c r="F140" s="88">
        <f t="shared" si="41"/>
        <v>12</v>
      </c>
      <c r="G140" s="88">
        <f t="shared" si="41"/>
        <v>15357</v>
      </c>
      <c r="H140" s="89">
        <v>2</v>
      </c>
      <c r="I140" s="89">
        <v>1890</v>
      </c>
      <c r="J140" s="89">
        <f t="shared" si="42"/>
        <v>7</v>
      </c>
      <c r="K140" s="89">
        <f t="shared" si="42"/>
        <v>14652</v>
      </c>
      <c r="L140" s="90">
        <v>1</v>
      </c>
      <c r="M140" s="91">
        <v>1200</v>
      </c>
      <c r="N140" s="92">
        <f t="shared" si="43"/>
        <v>8</v>
      </c>
      <c r="O140" s="92">
        <f t="shared" si="44"/>
        <v>10850</v>
      </c>
      <c r="P140">
        <v>5</v>
      </c>
      <c r="Q140">
        <v>12773.35</v>
      </c>
      <c r="R140">
        <v>8</v>
      </c>
      <c r="S140">
        <v>17913.349999999999</v>
      </c>
    </row>
    <row r="141" spans="1:19" x14ac:dyDescent="0.2">
      <c r="A141" s="6" t="s">
        <v>89</v>
      </c>
      <c r="B141" s="90" t="s">
        <v>158</v>
      </c>
      <c r="C141" s="90">
        <v>8</v>
      </c>
      <c r="D141" s="93">
        <v>1</v>
      </c>
      <c r="E141" s="93">
        <v>8000</v>
      </c>
      <c r="F141" s="88">
        <f t="shared" si="41"/>
        <v>13</v>
      </c>
      <c r="G141" s="88">
        <f t="shared" si="41"/>
        <v>23357</v>
      </c>
      <c r="H141" s="89">
        <v>1</v>
      </c>
      <c r="I141" s="89">
        <v>1000</v>
      </c>
      <c r="J141" s="89">
        <f t="shared" si="42"/>
        <v>8</v>
      </c>
      <c r="K141" s="89">
        <f t="shared" si="42"/>
        <v>15652</v>
      </c>
      <c r="L141" s="90">
        <v>2</v>
      </c>
      <c r="M141" s="91">
        <v>17140</v>
      </c>
      <c r="N141" s="92">
        <f t="shared" si="43"/>
        <v>10</v>
      </c>
      <c r="O141" s="92">
        <f t="shared" si="44"/>
        <v>27990</v>
      </c>
      <c r="P141">
        <v>1</v>
      </c>
      <c r="Q141">
        <v>2143</v>
      </c>
      <c r="R141">
        <v>9</v>
      </c>
      <c r="S141">
        <v>20056.349999999999</v>
      </c>
    </row>
    <row r="142" spans="1:19" x14ac:dyDescent="0.2">
      <c r="A142" s="6" t="s">
        <v>89</v>
      </c>
      <c r="B142" s="90" t="s">
        <v>159</v>
      </c>
      <c r="C142" s="90">
        <v>9</v>
      </c>
      <c r="D142" s="93">
        <v>1</v>
      </c>
      <c r="E142" s="93">
        <v>2433</v>
      </c>
      <c r="F142" s="88">
        <f t="shared" si="41"/>
        <v>14</v>
      </c>
      <c r="G142" s="88">
        <f t="shared" si="41"/>
        <v>25790</v>
      </c>
      <c r="H142" s="89">
        <v>7</v>
      </c>
      <c r="I142" s="89">
        <v>9432</v>
      </c>
      <c r="J142" s="89">
        <f t="shared" si="42"/>
        <v>15</v>
      </c>
      <c r="K142" s="89">
        <f t="shared" si="42"/>
        <v>25084</v>
      </c>
      <c r="L142" s="90">
        <v>0</v>
      </c>
      <c r="M142" s="91">
        <v>0</v>
      </c>
      <c r="N142" s="92">
        <f t="shared" si="43"/>
        <v>10</v>
      </c>
      <c r="O142" s="92">
        <f t="shared" si="44"/>
        <v>27990</v>
      </c>
      <c r="P142">
        <v>1</v>
      </c>
      <c r="Q142">
        <v>450</v>
      </c>
      <c r="R142">
        <v>10</v>
      </c>
      <c r="S142">
        <v>20506.349999999999</v>
      </c>
    </row>
    <row r="143" spans="1:19" x14ac:dyDescent="0.2">
      <c r="A143" s="6" t="s">
        <v>89</v>
      </c>
      <c r="B143" s="90" t="s">
        <v>160</v>
      </c>
      <c r="C143" s="90">
        <v>10</v>
      </c>
      <c r="D143" s="93">
        <v>2</v>
      </c>
      <c r="E143" s="88">
        <v>11210</v>
      </c>
      <c r="F143" s="88">
        <f t="shared" si="41"/>
        <v>16</v>
      </c>
      <c r="G143" s="88">
        <f t="shared" si="41"/>
        <v>37000</v>
      </c>
      <c r="H143" s="89">
        <v>0</v>
      </c>
      <c r="I143" s="89">
        <v>0</v>
      </c>
      <c r="J143" s="89">
        <f t="shared" si="42"/>
        <v>15</v>
      </c>
      <c r="K143" s="89">
        <f t="shared" si="42"/>
        <v>25084</v>
      </c>
      <c r="L143" s="90">
        <v>1</v>
      </c>
      <c r="M143" s="91">
        <v>790</v>
      </c>
      <c r="N143" s="92">
        <f t="shared" si="43"/>
        <v>11</v>
      </c>
      <c r="O143" s="92">
        <f t="shared" si="44"/>
        <v>28780</v>
      </c>
      <c r="P143">
        <v>0</v>
      </c>
      <c r="Q143">
        <v>0</v>
      </c>
      <c r="R143">
        <v>10</v>
      </c>
      <c r="S143">
        <v>20506.349999999999</v>
      </c>
    </row>
    <row r="144" spans="1:19" x14ac:dyDescent="0.2">
      <c r="A144" s="6" t="s">
        <v>89</v>
      </c>
      <c r="B144" s="90" t="s">
        <v>161</v>
      </c>
      <c r="C144" s="90">
        <v>11</v>
      </c>
      <c r="D144" s="93">
        <v>1</v>
      </c>
      <c r="E144" s="93">
        <v>2433</v>
      </c>
      <c r="F144" s="88">
        <f t="shared" si="41"/>
        <v>17</v>
      </c>
      <c r="G144" s="88">
        <f t="shared" si="41"/>
        <v>39433</v>
      </c>
      <c r="H144" s="89">
        <v>1</v>
      </c>
      <c r="I144" s="89">
        <v>1500</v>
      </c>
      <c r="J144" s="89">
        <f t="shared" si="42"/>
        <v>16</v>
      </c>
      <c r="K144" s="89">
        <f t="shared" si="42"/>
        <v>26584</v>
      </c>
      <c r="L144" s="90">
        <v>2</v>
      </c>
      <c r="M144" s="91">
        <v>1189</v>
      </c>
      <c r="N144" s="92">
        <f t="shared" si="43"/>
        <v>13</v>
      </c>
      <c r="O144" s="92">
        <f t="shared" si="44"/>
        <v>29969</v>
      </c>
      <c r="P144" s="86"/>
      <c r="Q144" s="86">
        <v>0</v>
      </c>
    </row>
    <row r="145" spans="1:19" x14ac:dyDescent="0.2">
      <c r="A145" s="6" t="s">
        <v>89</v>
      </c>
      <c r="B145" s="90" t="s">
        <v>162</v>
      </c>
      <c r="C145" s="90">
        <v>12</v>
      </c>
      <c r="D145" s="93">
        <v>1</v>
      </c>
      <c r="E145" s="93">
        <v>1064</v>
      </c>
      <c r="F145" s="88">
        <f t="shared" si="41"/>
        <v>18</v>
      </c>
      <c r="G145" s="88">
        <f t="shared" si="41"/>
        <v>40497</v>
      </c>
      <c r="H145" s="89">
        <v>0</v>
      </c>
      <c r="I145" s="89">
        <v>0</v>
      </c>
      <c r="J145" s="89">
        <f t="shared" si="42"/>
        <v>16</v>
      </c>
      <c r="K145" s="89">
        <f t="shared" si="42"/>
        <v>26584</v>
      </c>
      <c r="L145" s="90">
        <v>2</v>
      </c>
      <c r="M145" s="91">
        <v>11210</v>
      </c>
      <c r="N145" s="92">
        <f t="shared" si="43"/>
        <v>15</v>
      </c>
      <c r="O145" s="92">
        <f t="shared" si="44"/>
        <v>41179</v>
      </c>
      <c r="Q145" s="86">
        <v>0</v>
      </c>
    </row>
    <row r="146" spans="1:19" x14ac:dyDescent="0.2">
      <c r="A146" s="6" t="s">
        <v>113</v>
      </c>
      <c r="B146" s="90" t="s">
        <v>151</v>
      </c>
      <c r="C146" s="90">
        <v>1</v>
      </c>
      <c r="D146" s="88">
        <v>0</v>
      </c>
      <c r="E146" s="88">
        <v>0</v>
      </c>
      <c r="F146" s="88">
        <f>D146</f>
        <v>0</v>
      </c>
      <c r="G146" s="88">
        <f>E146</f>
        <v>0</v>
      </c>
      <c r="H146" s="88">
        <v>0</v>
      </c>
      <c r="I146" s="88">
        <v>0</v>
      </c>
      <c r="J146" s="88">
        <f>H146</f>
        <v>0</v>
      </c>
      <c r="K146" s="88">
        <f>I146</f>
        <v>0</v>
      </c>
      <c r="L146" s="90">
        <v>0</v>
      </c>
      <c r="M146" s="91">
        <v>0</v>
      </c>
      <c r="N146" s="92">
        <f>L146</f>
        <v>0</v>
      </c>
      <c r="O146" s="92">
        <f>M146</f>
        <v>0</v>
      </c>
      <c r="P146">
        <v>0</v>
      </c>
      <c r="Q146">
        <v>0</v>
      </c>
      <c r="R146">
        <v>0</v>
      </c>
      <c r="S146">
        <v>0</v>
      </c>
    </row>
    <row r="147" spans="1:19" x14ac:dyDescent="0.2">
      <c r="A147" s="6" t="s">
        <v>113</v>
      </c>
      <c r="B147" s="90" t="s">
        <v>152</v>
      </c>
      <c r="C147" s="90">
        <v>2</v>
      </c>
      <c r="D147" s="88">
        <v>0</v>
      </c>
      <c r="E147" s="88">
        <v>0</v>
      </c>
      <c r="F147" s="88">
        <f t="shared" ref="F147:F157" si="45">F146+D147</f>
        <v>0</v>
      </c>
      <c r="G147" s="88">
        <f t="shared" ref="G147:G157" si="46">G146+E147</f>
        <v>0</v>
      </c>
      <c r="H147" s="88">
        <v>0</v>
      </c>
      <c r="I147" s="88">
        <v>0</v>
      </c>
      <c r="J147" s="88">
        <f t="shared" ref="J147:J157" si="47">J146+H147</f>
        <v>0</v>
      </c>
      <c r="K147" s="88">
        <f t="shared" ref="K147:K157" si="48">K146+I147</f>
        <v>0</v>
      </c>
      <c r="L147" s="90">
        <v>0</v>
      </c>
      <c r="M147" s="91">
        <v>0</v>
      </c>
      <c r="N147" s="92">
        <f t="shared" ref="N147:N157" si="49">N146+L147</f>
        <v>0</v>
      </c>
      <c r="O147" s="92">
        <f t="shared" ref="O147:O157" si="50">O146+M147</f>
        <v>0</v>
      </c>
      <c r="P147">
        <v>0</v>
      </c>
      <c r="Q147">
        <v>0</v>
      </c>
      <c r="R147">
        <v>0</v>
      </c>
      <c r="S147">
        <v>0</v>
      </c>
    </row>
    <row r="148" spans="1:19" x14ac:dyDescent="0.2">
      <c r="A148" s="6" t="s">
        <v>113</v>
      </c>
      <c r="B148" s="90" t="s">
        <v>153</v>
      </c>
      <c r="C148" s="90">
        <v>3</v>
      </c>
      <c r="D148" s="88">
        <v>0</v>
      </c>
      <c r="E148" s="88">
        <v>0</v>
      </c>
      <c r="F148" s="88">
        <f t="shared" si="45"/>
        <v>0</v>
      </c>
      <c r="G148" s="88">
        <f t="shared" si="46"/>
        <v>0</v>
      </c>
      <c r="H148" s="88">
        <v>0</v>
      </c>
      <c r="I148" s="88">
        <v>0</v>
      </c>
      <c r="J148" s="88">
        <f t="shared" si="47"/>
        <v>0</v>
      </c>
      <c r="K148" s="88">
        <f t="shared" si="48"/>
        <v>0</v>
      </c>
      <c r="L148" s="90">
        <v>0</v>
      </c>
      <c r="M148" s="91">
        <v>0</v>
      </c>
      <c r="N148" s="92">
        <f t="shared" si="49"/>
        <v>0</v>
      </c>
      <c r="O148" s="92">
        <f t="shared" si="50"/>
        <v>0</v>
      </c>
      <c r="P148">
        <v>0</v>
      </c>
      <c r="Q148">
        <v>0</v>
      </c>
      <c r="R148">
        <v>0</v>
      </c>
      <c r="S148">
        <v>0</v>
      </c>
    </row>
    <row r="149" spans="1:19" x14ac:dyDescent="0.2">
      <c r="A149" s="6" t="s">
        <v>113</v>
      </c>
      <c r="B149" s="90" t="s">
        <v>154</v>
      </c>
      <c r="C149" s="90">
        <v>4</v>
      </c>
      <c r="D149" s="88">
        <v>0</v>
      </c>
      <c r="E149" s="88">
        <v>0</v>
      </c>
      <c r="F149" s="88">
        <f t="shared" si="45"/>
        <v>0</v>
      </c>
      <c r="G149" s="88">
        <f t="shared" si="46"/>
        <v>0</v>
      </c>
      <c r="H149" s="88">
        <v>0</v>
      </c>
      <c r="I149" s="88">
        <v>0</v>
      </c>
      <c r="J149" s="88">
        <f t="shared" si="47"/>
        <v>0</v>
      </c>
      <c r="K149" s="88">
        <f t="shared" si="48"/>
        <v>0</v>
      </c>
      <c r="L149" s="90">
        <v>3</v>
      </c>
      <c r="M149" s="91">
        <v>285</v>
      </c>
      <c r="N149" s="92">
        <f t="shared" si="49"/>
        <v>3</v>
      </c>
      <c r="O149" s="92">
        <f t="shared" si="50"/>
        <v>285</v>
      </c>
      <c r="P149">
        <v>0</v>
      </c>
      <c r="Q149">
        <v>0</v>
      </c>
      <c r="R149">
        <v>0</v>
      </c>
      <c r="S149">
        <v>0</v>
      </c>
    </row>
    <row r="150" spans="1:19" x14ac:dyDescent="0.2">
      <c r="A150" s="6" t="s">
        <v>113</v>
      </c>
      <c r="B150" s="90" t="s">
        <v>155</v>
      </c>
      <c r="C150" s="90">
        <v>5</v>
      </c>
      <c r="D150" s="88">
        <v>0</v>
      </c>
      <c r="E150" s="88">
        <v>0</v>
      </c>
      <c r="F150" s="88">
        <f t="shared" si="45"/>
        <v>0</v>
      </c>
      <c r="G150" s="88">
        <f t="shared" si="46"/>
        <v>0</v>
      </c>
      <c r="H150" s="88">
        <v>0</v>
      </c>
      <c r="I150" s="88">
        <v>0</v>
      </c>
      <c r="J150" s="88">
        <f t="shared" si="47"/>
        <v>0</v>
      </c>
      <c r="K150" s="88">
        <f t="shared" si="48"/>
        <v>0</v>
      </c>
      <c r="L150" s="90">
        <v>0</v>
      </c>
      <c r="M150" s="91">
        <v>0</v>
      </c>
      <c r="N150" s="92">
        <f t="shared" si="49"/>
        <v>3</v>
      </c>
      <c r="O150" s="92">
        <f t="shared" si="50"/>
        <v>285</v>
      </c>
      <c r="P150">
        <v>0</v>
      </c>
      <c r="Q150">
        <v>0</v>
      </c>
      <c r="R150">
        <v>0</v>
      </c>
      <c r="S150">
        <v>0</v>
      </c>
    </row>
    <row r="151" spans="1:19" x14ac:dyDescent="0.2">
      <c r="A151" s="6" t="s">
        <v>113</v>
      </c>
      <c r="B151" s="90" t="s">
        <v>156</v>
      </c>
      <c r="C151" s="90">
        <v>6</v>
      </c>
      <c r="D151" s="88">
        <v>0</v>
      </c>
      <c r="E151" s="88">
        <v>0</v>
      </c>
      <c r="F151" s="88">
        <f t="shared" si="45"/>
        <v>0</v>
      </c>
      <c r="G151" s="88">
        <f t="shared" si="46"/>
        <v>0</v>
      </c>
      <c r="H151" s="88">
        <v>0</v>
      </c>
      <c r="I151" s="88">
        <v>0</v>
      </c>
      <c r="J151" s="88">
        <f t="shared" si="47"/>
        <v>0</v>
      </c>
      <c r="K151" s="88">
        <f t="shared" si="48"/>
        <v>0</v>
      </c>
      <c r="L151" s="90">
        <v>0</v>
      </c>
      <c r="M151" s="91">
        <v>0</v>
      </c>
      <c r="N151" s="92">
        <f t="shared" si="49"/>
        <v>3</v>
      </c>
      <c r="O151" s="92">
        <f t="shared" si="50"/>
        <v>285</v>
      </c>
      <c r="P151">
        <v>0</v>
      </c>
      <c r="Q151">
        <v>0</v>
      </c>
      <c r="R151">
        <v>0</v>
      </c>
      <c r="S151">
        <v>0</v>
      </c>
    </row>
    <row r="152" spans="1:19" x14ac:dyDescent="0.2">
      <c r="A152" s="6" t="s">
        <v>113</v>
      </c>
      <c r="B152" s="90" t="s">
        <v>157</v>
      </c>
      <c r="C152" s="90">
        <v>7</v>
      </c>
      <c r="D152" s="88">
        <v>0</v>
      </c>
      <c r="E152" s="88">
        <v>0</v>
      </c>
      <c r="F152" s="88">
        <f t="shared" si="45"/>
        <v>0</v>
      </c>
      <c r="G152" s="88">
        <f t="shared" si="46"/>
        <v>0</v>
      </c>
      <c r="H152" s="88">
        <v>0</v>
      </c>
      <c r="I152" s="88">
        <v>0</v>
      </c>
      <c r="J152" s="88">
        <f t="shared" si="47"/>
        <v>0</v>
      </c>
      <c r="K152" s="88">
        <f t="shared" si="48"/>
        <v>0</v>
      </c>
      <c r="L152" s="90">
        <v>0</v>
      </c>
      <c r="M152" s="91">
        <v>0</v>
      </c>
      <c r="N152" s="92">
        <f t="shared" si="49"/>
        <v>3</v>
      </c>
      <c r="O152" s="92">
        <f t="shared" si="50"/>
        <v>285</v>
      </c>
      <c r="P152">
        <v>0</v>
      </c>
      <c r="Q152">
        <v>0</v>
      </c>
      <c r="R152">
        <v>0</v>
      </c>
      <c r="S152">
        <v>0</v>
      </c>
    </row>
    <row r="153" spans="1:19" x14ac:dyDescent="0.2">
      <c r="A153" s="6" t="s">
        <v>113</v>
      </c>
      <c r="B153" s="90" t="s">
        <v>158</v>
      </c>
      <c r="C153" s="90">
        <v>8</v>
      </c>
      <c r="D153" s="88">
        <v>0</v>
      </c>
      <c r="E153" s="88">
        <v>0</v>
      </c>
      <c r="F153" s="88">
        <f t="shared" si="45"/>
        <v>0</v>
      </c>
      <c r="G153" s="88">
        <f t="shared" si="46"/>
        <v>0</v>
      </c>
      <c r="H153" s="88">
        <v>0</v>
      </c>
      <c r="I153" s="88">
        <v>0</v>
      </c>
      <c r="J153" s="88">
        <f t="shared" si="47"/>
        <v>0</v>
      </c>
      <c r="K153" s="88">
        <f t="shared" si="48"/>
        <v>0</v>
      </c>
      <c r="L153" s="90">
        <v>0</v>
      </c>
      <c r="M153" s="91">
        <v>0</v>
      </c>
      <c r="N153" s="92">
        <f t="shared" si="49"/>
        <v>3</v>
      </c>
      <c r="O153" s="92">
        <f t="shared" si="50"/>
        <v>285</v>
      </c>
      <c r="P153">
        <v>0</v>
      </c>
      <c r="Q153">
        <v>0</v>
      </c>
      <c r="R153">
        <v>0</v>
      </c>
      <c r="S153">
        <v>0</v>
      </c>
    </row>
    <row r="154" spans="1:19" x14ac:dyDescent="0.2">
      <c r="A154" s="6" t="s">
        <v>113</v>
      </c>
      <c r="B154" s="90" t="s">
        <v>159</v>
      </c>
      <c r="C154" s="90">
        <v>9</v>
      </c>
      <c r="D154" s="88">
        <v>0</v>
      </c>
      <c r="E154" s="88">
        <v>0</v>
      </c>
      <c r="F154" s="88">
        <f t="shared" si="45"/>
        <v>0</v>
      </c>
      <c r="G154" s="88">
        <f t="shared" si="46"/>
        <v>0</v>
      </c>
      <c r="H154" s="88">
        <v>0</v>
      </c>
      <c r="I154" s="88">
        <v>0</v>
      </c>
      <c r="J154" s="88">
        <f t="shared" si="47"/>
        <v>0</v>
      </c>
      <c r="K154" s="88">
        <f t="shared" si="48"/>
        <v>0</v>
      </c>
      <c r="L154" s="90">
        <v>1</v>
      </c>
      <c r="M154" s="91">
        <v>550</v>
      </c>
      <c r="N154" s="92">
        <f t="shared" si="49"/>
        <v>4</v>
      </c>
      <c r="O154" s="92">
        <f t="shared" si="50"/>
        <v>835</v>
      </c>
      <c r="P154">
        <v>1</v>
      </c>
      <c r="Q154">
        <v>10343</v>
      </c>
      <c r="R154">
        <v>1</v>
      </c>
      <c r="S154">
        <v>10343</v>
      </c>
    </row>
    <row r="155" spans="1:19" x14ac:dyDescent="0.2">
      <c r="A155" s="6" t="s">
        <v>113</v>
      </c>
      <c r="B155" s="90" t="s">
        <v>160</v>
      </c>
      <c r="C155" s="90">
        <v>10</v>
      </c>
      <c r="D155" s="88">
        <v>0</v>
      </c>
      <c r="E155" s="88">
        <v>0</v>
      </c>
      <c r="F155" s="88">
        <f t="shared" si="45"/>
        <v>0</v>
      </c>
      <c r="G155" s="88">
        <f t="shared" si="46"/>
        <v>0</v>
      </c>
      <c r="H155" s="88">
        <v>0</v>
      </c>
      <c r="I155" s="88">
        <v>0</v>
      </c>
      <c r="J155" s="88">
        <f t="shared" si="47"/>
        <v>0</v>
      </c>
      <c r="K155" s="88">
        <f t="shared" si="48"/>
        <v>0</v>
      </c>
      <c r="L155" s="90">
        <v>4</v>
      </c>
      <c r="M155" s="91">
        <v>500</v>
      </c>
      <c r="N155" s="92">
        <f t="shared" si="49"/>
        <v>8</v>
      </c>
      <c r="O155" s="92">
        <f t="shared" si="50"/>
        <v>1335</v>
      </c>
      <c r="P155">
        <v>0</v>
      </c>
      <c r="Q155">
        <v>0</v>
      </c>
      <c r="R155">
        <v>1</v>
      </c>
      <c r="S155">
        <v>10343</v>
      </c>
    </row>
    <row r="156" spans="1:19" x14ac:dyDescent="0.2">
      <c r="A156" s="6" t="s">
        <v>113</v>
      </c>
      <c r="B156" s="90" t="s">
        <v>161</v>
      </c>
      <c r="C156" s="90">
        <v>11</v>
      </c>
      <c r="D156" s="88">
        <v>0</v>
      </c>
      <c r="E156" s="88">
        <v>0</v>
      </c>
      <c r="F156" s="88">
        <f t="shared" si="45"/>
        <v>0</v>
      </c>
      <c r="G156" s="88">
        <f t="shared" si="46"/>
        <v>0</v>
      </c>
      <c r="H156" s="88">
        <v>0</v>
      </c>
      <c r="I156" s="88">
        <v>0</v>
      </c>
      <c r="J156" s="88">
        <f t="shared" si="47"/>
        <v>0</v>
      </c>
      <c r="K156" s="88">
        <f t="shared" si="48"/>
        <v>0</v>
      </c>
      <c r="L156" s="90">
        <v>0</v>
      </c>
      <c r="M156" s="91">
        <v>0</v>
      </c>
      <c r="N156" s="92">
        <f t="shared" si="49"/>
        <v>8</v>
      </c>
      <c r="O156" s="92">
        <f t="shared" si="50"/>
        <v>1335</v>
      </c>
      <c r="P156" s="86"/>
      <c r="Q156" s="86">
        <v>0</v>
      </c>
    </row>
    <row r="157" spans="1:19" x14ac:dyDescent="0.2">
      <c r="A157" s="6" t="s">
        <v>113</v>
      </c>
      <c r="B157" s="90" t="s">
        <v>162</v>
      </c>
      <c r="C157" s="90">
        <v>12</v>
      </c>
      <c r="D157" s="88">
        <v>0</v>
      </c>
      <c r="E157" s="88">
        <v>0</v>
      </c>
      <c r="F157" s="88">
        <f t="shared" si="45"/>
        <v>0</v>
      </c>
      <c r="G157" s="88">
        <f t="shared" si="46"/>
        <v>0</v>
      </c>
      <c r="H157" s="88">
        <v>0</v>
      </c>
      <c r="I157" s="88">
        <v>0</v>
      </c>
      <c r="J157" s="88">
        <f t="shared" si="47"/>
        <v>0</v>
      </c>
      <c r="K157" s="88">
        <f t="shared" si="48"/>
        <v>0</v>
      </c>
      <c r="L157" s="90">
        <v>1</v>
      </c>
      <c r="M157" s="91">
        <v>300</v>
      </c>
      <c r="N157" s="92">
        <f t="shared" si="49"/>
        <v>9</v>
      </c>
      <c r="O157" s="92">
        <f t="shared" si="50"/>
        <v>1635</v>
      </c>
      <c r="P157" s="86"/>
      <c r="Q157" s="86">
        <v>0</v>
      </c>
    </row>
    <row r="158" spans="1:19" x14ac:dyDescent="0.2">
      <c r="A158" s="6" t="s">
        <v>117</v>
      </c>
      <c r="B158" s="90" t="s">
        <v>151</v>
      </c>
      <c r="C158" s="90">
        <v>1</v>
      </c>
      <c r="D158" s="93">
        <v>1</v>
      </c>
      <c r="E158" s="93">
        <v>240</v>
      </c>
      <c r="F158" s="88">
        <f>D158</f>
        <v>1</v>
      </c>
      <c r="G158" s="88">
        <f>E158</f>
        <v>240</v>
      </c>
      <c r="H158" s="89">
        <v>2</v>
      </c>
      <c r="I158" s="89">
        <v>3000</v>
      </c>
      <c r="J158" s="89">
        <f>H158</f>
        <v>2</v>
      </c>
      <c r="K158" s="89">
        <f>I158</f>
        <v>3000</v>
      </c>
      <c r="L158" s="90">
        <v>1</v>
      </c>
      <c r="M158" s="91">
        <v>1870</v>
      </c>
      <c r="N158" s="92">
        <f>L158</f>
        <v>1</v>
      </c>
      <c r="O158" s="92">
        <f>M158</f>
        <v>1870</v>
      </c>
      <c r="P158">
        <v>0</v>
      </c>
      <c r="Q158">
        <v>0</v>
      </c>
      <c r="R158">
        <v>0</v>
      </c>
      <c r="S158">
        <v>0</v>
      </c>
    </row>
    <row r="159" spans="1:19" x14ac:dyDescent="0.2">
      <c r="A159" s="6" t="s">
        <v>117</v>
      </c>
      <c r="B159" s="90" t="s">
        <v>152</v>
      </c>
      <c r="C159" s="90">
        <v>2</v>
      </c>
      <c r="D159" s="93">
        <v>1</v>
      </c>
      <c r="E159" s="93">
        <v>540</v>
      </c>
      <c r="F159" s="88">
        <f t="shared" ref="F159:G169" si="51">F158+D159</f>
        <v>2</v>
      </c>
      <c r="G159" s="88">
        <f t="shared" si="51"/>
        <v>780</v>
      </c>
      <c r="H159" s="89">
        <v>2</v>
      </c>
      <c r="I159" s="89">
        <v>5100</v>
      </c>
      <c r="J159" s="89">
        <f t="shared" ref="J159:K169" si="52">J158+H159</f>
        <v>4</v>
      </c>
      <c r="K159" s="89">
        <f t="shared" si="52"/>
        <v>8100</v>
      </c>
      <c r="L159" s="90">
        <v>2</v>
      </c>
      <c r="M159" s="91">
        <v>1662</v>
      </c>
      <c r="N159" s="92">
        <f t="shared" ref="N159:N169" si="53">N158+L159</f>
        <v>3</v>
      </c>
      <c r="O159" s="92">
        <f t="shared" ref="O159:O169" si="54">O158+M159</f>
        <v>3532</v>
      </c>
      <c r="P159">
        <v>1</v>
      </c>
      <c r="Q159">
        <v>100</v>
      </c>
      <c r="R159">
        <v>1</v>
      </c>
      <c r="S159">
        <v>100</v>
      </c>
    </row>
    <row r="160" spans="1:19" x14ac:dyDescent="0.2">
      <c r="A160" s="6" t="s">
        <v>117</v>
      </c>
      <c r="B160" s="90" t="s">
        <v>153</v>
      </c>
      <c r="C160" s="90">
        <v>3</v>
      </c>
      <c r="D160" s="93">
        <v>0</v>
      </c>
      <c r="E160" s="93">
        <v>0</v>
      </c>
      <c r="F160" s="88">
        <f t="shared" si="51"/>
        <v>2</v>
      </c>
      <c r="G160" s="88">
        <f t="shared" si="51"/>
        <v>780</v>
      </c>
      <c r="H160" s="89">
        <v>9</v>
      </c>
      <c r="I160" s="89">
        <v>6800</v>
      </c>
      <c r="J160" s="89">
        <f t="shared" si="52"/>
        <v>13</v>
      </c>
      <c r="K160" s="89">
        <f t="shared" si="52"/>
        <v>14900</v>
      </c>
      <c r="L160" s="90">
        <v>3</v>
      </c>
      <c r="M160" s="91">
        <v>3870</v>
      </c>
      <c r="N160" s="92">
        <f t="shared" si="53"/>
        <v>6</v>
      </c>
      <c r="O160" s="92">
        <f t="shared" si="54"/>
        <v>7402</v>
      </c>
      <c r="P160">
        <v>2</v>
      </c>
      <c r="Q160">
        <v>1425.88</v>
      </c>
      <c r="R160">
        <v>3</v>
      </c>
      <c r="S160">
        <v>1525.88</v>
      </c>
    </row>
    <row r="161" spans="1:19" x14ac:dyDescent="0.2">
      <c r="A161" s="6" t="s">
        <v>117</v>
      </c>
      <c r="B161" s="90" t="s">
        <v>154</v>
      </c>
      <c r="C161" s="90">
        <v>4</v>
      </c>
      <c r="D161" s="93">
        <v>1</v>
      </c>
      <c r="E161" s="93">
        <v>2000</v>
      </c>
      <c r="F161" s="88">
        <f t="shared" si="51"/>
        <v>3</v>
      </c>
      <c r="G161" s="88">
        <f t="shared" si="51"/>
        <v>2780</v>
      </c>
      <c r="H161" s="89">
        <v>7</v>
      </c>
      <c r="I161" s="89">
        <v>14200</v>
      </c>
      <c r="J161" s="89">
        <f t="shared" si="52"/>
        <v>20</v>
      </c>
      <c r="K161" s="89">
        <f t="shared" si="52"/>
        <v>29100</v>
      </c>
      <c r="L161" s="90">
        <v>1</v>
      </c>
      <c r="M161" s="91">
        <v>2870</v>
      </c>
      <c r="N161" s="92">
        <f t="shared" si="53"/>
        <v>7</v>
      </c>
      <c r="O161" s="92">
        <f t="shared" si="54"/>
        <v>10272</v>
      </c>
      <c r="P161">
        <v>1</v>
      </c>
      <c r="Q161">
        <v>113</v>
      </c>
      <c r="R161">
        <v>4</v>
      </c>
      <c r="S161">
        <v>1638.88</v>
      </c>
    </row>
    <row r="162" spans="1:19" x14ac:dyDescent="0.2">
      <c r="A162" s="6" t="s">
        <v>117</v>
      </c>
      <c r="B162" s="90" t="s">
        <v>155</v>
      </c>
      <c r="C162" s="90">
        <v>5</v>
      </c>
      <c r="D162" s="93">
        <v>2</v>
      </c>
      <c r="E162" s="88">
        <v>5910</v>
      </c>
      <c r="F162" s="88">
        <f t="shared" si="51"/>
        <v>5</v>
      </c>
      <c r="G162" s="88">
        <f t="shared" si="51"/>
        <v>8690</v>
      </c>
      <c r="H162" s="89">
        <v>32</v>
      </c>
      <c r="I162" s="89">
        <v>7580</v>
      </c>
      <c r="J162" s="89">
        <f t="shared" si="52"/>
        <v>52</v>
      </c>
      <c r="K162" s="89">
        <f t="shared" si="52"/>
        <v>36680</v>
      </c>
      <c r="L162" s="90">
        <v>4</v>
      </c>
      <c r="M162" s="91">
        <v>3800</v>
      </c>
      <c r="N162" s="92">
        <f t="shared" si="53"/>
        <v>11</v>
      </c>
      <c r="O162" s="92">
        <f t="shared" si="54"/>
        <v>14072</v>
      </c>
      <c r="P162">
        <v>2</v>
      </c>
      <c r="Q162">
        <v>1445</v>
      </c>
      <c r="R162">
        <v>6</v>
      </c>
      <c r="S162">
        <v>3083.88</v>
      </c>
    </row>
    <row r="163" spans="1:19" x14ac:dyDescent="0.2">
      <c r="A163" s="6" t="s">
        <v>117</v>
      </c>
      <c r="B163" s="90" t="s">
        <v>156</v>
      </c>
      <c r="C163" s="90">
        <v>6</v>
      </c>
      <c r="D163" s="93">
        <v>0</v>
      </c>
      <c r="E163" s="93">
        <v>0</v>
      </c>
      <c r="F163" s="88">
        <f t="shared" si="51"/>
        <v>5</v>
      </c>
      <c r="G163" s="88">
        <f t="shared" si="51"/>
        <v>8690</v>
      </c>
      <c r="H163" s="89">
        <v>1</v>
      </c>
      <c r="I163" s="89">
        <v>1000</v>
      </c>
      <c r="J163" s="89">
        <f t="shared" si="52"/>
        <v>53</v>
      </c>
      <c r="K163" s="89">
        <f t="shared" si="52"/>
        <v>37680</v>
      </c>
      <c r="L163" s="90">
        <v>3</v>
      </c>
      <c r="M163" s="91">
        <v>2181</v>
      </c>
      <c r="N163" s="92">
        <f t="shared" si="53"/>
        <v>14</v>
      </c>
      <c r="O163" s="92">
        <f t="shared" si="54"/>
        <v>16253</v>
      </c>
      <c r="P163">
        <v>5</v>
      </c>
      <c r="Q163">
        <v>1884</v>
      </c>
      <c r="R163">
        <v>11</v>
      </c>
      <c r="S163">
        <v>4967.88</v>
      </c>
    </row>
    <row r="164" spans="1:19" x14ac:dyDescent="0.2">
      <c r="A164" s="6" t="s">
        <v>117</v>
      </c>
      <c r="B164" s="90" t="s">
        <v>157</v>
      </c>
      <c r="C164" s="90">
        <v>7</v>
      </c>
      <c r="D164" s="93">
        <v>0</v>
      </c>
      <c r="E164" s="93">
        <v>0</v>
      </c>
      <c r="F164" s="88">
        <f t="shared" si="51"/>
        <v>5</v>
      </c>
      <c r="G164" s="88">
        <f t="shared" si="51"/>
        <v>8690</v>
      </c>
      <c r="H164" s="89">
        <v>0</v>
      </c>
      <c r="I164" s="89">
        <v>0</v>
      </c>
      <c r="J164" s="89">
        <f t="shared" si="52"/>
        <v>53</v>
      </c>
      <c r="K164" s="89">
        <f t="shared" si="52"/>
        <v>37680</v>
      </c>
      <c r="L164" s="90">
        <v>1</v>
      </c>
      <c r="M164" s="91">
        <v>2250</v>
      </c>
      <c r="N164" s="92">
        <f t="shared" si="53"/>
        <v>15</v>
      </c>
      <c r="O164" s="92">
        <f t="shared" si="54"/>
        <v>18503</v>
      </c>
      <c r="P164">
        <v>7</v>
      </c>
      <c r="Q164">
        <v>5875</v>
      </c>
      <c r="R164">
        <v>18</v>
      </c>
      <c r="S164">
        <v>10842.88</v>
      </c>
    </row>
    <row r="165" spans="1:19" x14ac:dyDescent="0.2">
      <c r="A165" s="6" t="s">
        <v>117</v>
      </c>
      <c r="B165" s="90" t="s">
        <v>158</v>
      </c>
      <c r="C165" s="90">
        <v>8</v>
      </c>
      <c r="D165" s="93">
        <v>0</v>
      </c>
      <c r="E165" s="93">
        <v>0</v>
      </c>
      <c r="F165" s="88">
        <f t="shared" si="51"/>
        <v>5</v>
      </c>
      <c r="G165" s="88">
        <f t="shared" si="51"/>
        <v>8690</v>
      </c>
      <c r="H165" s="89">
        <v>8</v>
      </c>
      <c r="I165" s="89">
        <v>1500</v>
      </c>
      <c r="J165" s="89">
        <f t="shared" si="52"/>
        <v>61</v>
      </c>
      <c r="K165" s="89">
        <f t="shared" si="52"/>
        <v>39180</v>
      </c>
      <c r="L165" s="90">
        <v>4</v>
      </c>
      <c r="M165" s="91">
        <v>2570</v>
      </c>
      <c r="N165" s="92">
        <f t="shared" si="53"/>
        <v>19</v>
      </c>
      <c r="O165" s="92">
        <f t="shared" si="54"/>
        <v>21073</v>
      </c>
      <c r="P165">
        <v>4</v>
      </c>
      <c r="Q165">
        <v>3625</v>
      </c>
      <c r="R165">
        <v>22</v>
      </c>
      <c r="S165">
        <v>14467.88</v>
      </c>
    </row>
    <row r="166" spans="1:19" x14ac:dyDescent="0.2">
      <c r="A166" s="6" t="s">
        <v>117</v>
      </c>
      <c r="B166" s="90" t="s">
        <v>159</v>
      </c>
      <c r="C166" s="90">
        <v>9</v>
      </c>
      <c r="D166" s="93">
        <v>8</v>
      </c>
      <c r="E166" s="93">
        <v>4740</v>
      </c>
      <c r="F166" s="88">
        <f t="shared" si="51"/>
        <v>13</v>
      </c>
      <c r="G166" s="88">
        <f t="shared" si="51"/>
        <v>13430</v>
      </c>
      <c r="H166" s="89">
        <v>2</v>
      </c>
      <c r="I166" s="89">
        <v>3000</v>
      </c>
      <c r="J166" s="89">
        <f t="shared" si="52"/>
        <v>63</v>
      </c>
      <c r="K166" s="89">
        <f t="shared" si="52"/>
        <v>42180</v>
      </c>
      <c r="L166" s="90">
        <v>3</v>
      </c>
      <c r="M166" s="91">
        <v>6730</v>
      </c>
      <c r="N166" s="92">
        <f t="shared" si="53"/>
        <v>22</v>
      </c>
      <c r="O166" s="92">
        <f t="shared" si="54"/>
        <v>27803</v>
      </c>
      <c r="P166">
        <v>9</v>
      </c>
      <c r="Q166">
        <v>14405.85</v>
      </c>
      <c r="R166">
        <v>31</v>
      </c>
      <c r="S166">
        <v>28873.73</v>
      </c>
    </row>
    <row r="167" spans="1:19" x14ac:dyDescent="0.2">
      <c r="A167" s="6" t="s">
        <v>117</v>
      </c>
      <c r="B167" s="90" t="s">
        <v>160</v>
      </c>
      <c r="C167" s="90">
        <v>10</v>
      </c>
      <c r="D167" s="93">
        <v>0</v>
      </c>
      <c r="E167" s="93">
        <v>0</v>
      </c>
      <c r="F167" s="88">
        <f t="shared" si="51"/>
        <v>13</v>
      </c>
      <c r="G167" s="88">
        <f t="shared" si="51"/>
        <v>13430</v>
      </c>
      <c r="H167" s="89">
        <v>0</v>
      </c>
      <c r="I167" s="89">
        <v>0</v>
      </c>
      <c r="J167" s="89">
        <f t="shared" si="52"/>
        <v>63</v>
      </c>
      <c r="K167" s="89">
        <f t="shared" si="52"/>
        <v>42180</v>
      </c>
      <c r="L167" s="90">
        <v>3</v>
      </c>
      <c r="M167" s="91">
        <v>1974</v>
      </c>
      <c r="N167" s="92">
        <f t="shared" si="53"/>
        <v>25</v>
      </c>
      <c r="O167" s="92">
        <f t="shared" si="54"/>
        <v>29777</v>
      </c>
      <c r="P167">
        <v>0</v>
      </c>
      <c r="Q167">
        <v>0</v>
      </c>
      <c r="R167">
        <v>31</v>
      </c>
      <c r="S167">
        <v>28873.73</v>
      </c>
    </row>
    <row r="168" spans="1:19" x14ac:dyDescent="0.2">
      <c r="A168" s="6" t="s">
        <v>117</v>
      </c>
      <c r="B168" s="90" t="s">
        <v>161</v>
      </c>
      <c r="C168" s="90">
        <v>11</v>
      </c>
      <c r="D168" s="93">
        <v>4</v>
      </c>
      <c r="E168" s="88">
        <v>9560</v>
      </c>
      <c r="F168" s="88">
        <f t="shared" si="51"/>
        <v>17</v>
      </c>
      <c r="G168" s="88">
        <f t="shared" si="51"/>
        <v>22990</v>
      </c>
      <c r="H168" s="89">
        <v>3</v>
      </c>
      <c r="I168" s="89">
        <v>2636</v>
      </c>
      <c r="J168" s="89">
        <f t="shared" si="52"/>
        <v>66</v>
      </c>
      <c r="K168" s="89">
        <f t="shared" si="52"/>
        <v>44816</v>
      </c>
      <c r="L168" s="90">
        <v>10</v>
      </c>
      <c r="M168" s="91">
        <v>19200</v>
      </c>
      <c r="N168" s="92">
        <f t="shared" si="53"/>
        <v>35</v>
      </c>
      <c r="O168" s="92">
        <f t="shared" si="54"/>
        <v>48977</v>
      </c>
      <c r="P168" s="86"/>
      <c r="Q168" s="86">
        <v>0</v>
      </c>
    </row>
    <row r="169" spans="1:19" x14ac:dyDescent="0.2">
      <c r="A169" s="6" t="s">
        <v>117</v>
      </c>
      <c r="B169" s="90" t="s">
        <v>162</v>
      </c>
      <c r="C169" s="90">
        <v>12</v>
      </c>
      <c r="D169" s="93">
        <v>10</v>
      </c>
      <c r="E169" s="88">
        <v>7755</v>
      </c>
      <c r="F169" s="88">
        <f t="shared" si="51"/>
        <v>27</v>
      </c>
      <c r="G169" s="88">
        <f t="shared" si="51"/>
        <v>30745</v>
      </c>
      <c r="H169" s="89">
        <v>2</v>
      </c>
      <c r="I169" s="89">
        <v>6000</v>
      </c>
      <c r="J169" s="89">
        <f t="shared" si="52"/>
        <v>68</v>
      </c>
      <c r="K169" s="89">
        <f t="shared" si="52"/>
        <v>50816</v>
      </c>
      <c r="L169" s="90">
        <v>2</v>
      </c>
      <c r="M169" s="91">
        <v>420</v>
      </c>
      <c r="N169" s="92">
        <f t="shared" si="53"/>
        <v>37</v>
      </c>
      <c r="O169" s="92">
        <f t="shared" si="54"/>
        <v>49397</v>
      </c>
      <c r="P169" s="86"/>
      <c r="Q169" s="86">
        <v>0</v>
      </c>
    </row>
    <row r="170" spans="1:19" x14ac:dyDescent="0.2">
      <c r="A170" s="6" t="s">
        <v>99</v>
      </c>
      <c r="B170" s="90" t="s">
        <v>151</v>
      </c>
      <c r="C170" s="90">
        <v>1</v>
      </c>
      <c r="D170" s="93">
        <v>0</v>
      </c>
      <c r="E170" s="93">
        <v>0</v>
      </c>
      <c r="F170" s="88">
        <f>D170</f>
        <v>0</v>
      </c>
      <c r="G170" s="88">
        <f>E170</f>
        <v>0</v>
      </c>
      <c r="H170" s="88">
        <v>0</v>
      </c>
      <c r="I170" s="88">
        <v>0</v>
      </c>
      <c r="J170" s="88">
        <f>H170</f>
        <v>0</v>
      </c>
      <c r="K170" s="88">
        <f>I170</f>
        <v>0</v>
      </c>
      <c r="L170" s="90">
        <v>0</v>
      </c>
      <c r="M170" s="91">
        <v>0</v>
      </c>
      <c r="N170" s="92">
        <f>L170</f>
        <v>0</v>
      </c>
      <c r="O170" s="92">
        <f>M170</f>
        <v>0</v>
      </c>
      <c r="P170">
        <v>1</v>
      </c>
      <c r="Q170">
        <v>60</v>
      </c>
      <c r="R170">
        <v>1</v>
      </c>
      <c r="S170">
        <v>60</v>
      </c>
    </row>
    <row r="171" spans="1:19" x14ac:dyDescent="0.2">
      <c r="A171" s="6" t="s">
        <v>99</v>
      </c>
      <c r="B171" s="90" t="s">
        <v>152</v>
      </c>
      <c r="C171" s="90">
        <v>2</v>
      </c>
      <c r="D171" s="93">
        <v>0</v>
      </c>
      <c r="E171" s="93">
        <v>0</v>
      </c>
      <c r="F171" s="88">
        <f t="shared" ref="F171:F181" si="55">F170+D171</f>
        <v>0</v>
      </c>
      <c r="G171" s="88">
        <f t="shared" ref="G171:G181" si="56">G170+E171</f>
        <v>0</v>
      </c>
      <c r="H171" s="88">
        <v>0</v>
      </c>
      <c r="I171" s="88">
        <v>0</v>
      </c>
      <c r="J171" s="88">
        <f t="shared" ref="J171:J181" si="57">J170+H171</f>
        <v>0</v>
      </c>
      <c r="K171" s="88">
        <f t="shared" ref="K171:K181" si="58">K170+I171</f>
        <v>0</v>
      </c>
      <c r="L171" s="90">
        <v>0</v>
      </c>
      <c r="M171" s="91">
        <v>0</v>
      </c>
      <c r="N171" s="92">
        <f t="shared" ref="N171:N181" si="59">N170+L171</f>
        <v>0</v>
      </c>
      <c r="O171" s="92">
        <f t="shared" ref="O171:O181" si="60">O170+M171</f>
        <v>0</v>
      </c>
      <c r="P171">
        <v>0</v>
      </c>
      <c r="Q171">
        <v>0</v>
      </c>
      <c r="R171">
        <v>1</v>
      </c>
      <c r="S171">
        <v>60</v>
      </c>
    </row>
    <row r="172" spans="1:19" x14ac:dyDescent="0.2">
      <c r="A172" s="6" t="s">
        <v>99</v>
      </c>
      <c r="B172" s="90" t="s">
        <v>153</v>
      </c>
      <c r="C172" s="90">
        <v>3</v>
      </c>
      <c r="D172" s="93">
        <v>0</v>
      </c>
      <c r="E172" s="93">
        <v>0</v>
      </c>
      <c r="F172" s="88">
        <f t="shared" si="55"/>
        <v>0</v>
      </c>
      <c r="G172" s="88">
        <f t="shared" si="56"/>
        <v>0</v>
      </c>
      <c r="H172" s="88">
        <v>0</v>
      </c>
      <c r="I172" s="88">
        <v>0</v>
      </c>
      <c r="J172" s="88">
        <f t="shared" si="57"/>
        <v>0</v>
      </c>
      <c r="K172" s="88">
        <f t="shared" si="58"/>
        <v>0</v>
      </c>
      <c r="L172" s="90">
        <v>1</v>
      </c>
      <c r="M172" s="91">
        <v>320</v>
      </c>
      <c r="N172" s="92">
        <f t="shared" si="59"/>
        <v>1</v>
      </c>
      <c r="O172" s="92">
        <f t="shared" si="60"/>
        <v>320</v>
      </c>
      <c r="P172">
        <v>0</v>
      </c>
      <c r="Q172">
        <v>0</v>
      </c>
      <c r="R172">
        <v>1</v>
      </c>
      <c r="S172">
        <v>60</v>
      </c>
    </row>
    <row r="173" spans="1:19" x14ac:dyDescent="0.2">
      <c r="A173" s="6" t="s">
        <v>99</v>
      </c>
      <c r="B173" s="90" t="s">
        <v>154</v>
      </c>
      <c r="C173" s="90">
        <v>4</v>
      </c>
      <c r="D173" s="93">
        <v>0</v>
      </c>
      <c r="E173" s="93">
        <v>0</v>
      </c>
      <c r="F173" s="88">
        <f t="shared" si="55"/>
        <v>0</v>
      </c>
      <c r="G173" s="88">
        <f t="shared" si="56"/>
        <v>0</v>
      </c>
      <c r="H173" s="88">
        <v>0</v>
      </c>
      <c r="I173" s="88">
        <v>0</v>
      </c>
      <c r="J173" s="88">
        <f t="shared" si="57"/>
        <v>0</v>
      </c>
      <c r="K173" s="88">
        <f t="shared" si="58"/>
        <v>0</v>
      </c>
      <c r="L173" s="90">
        <v>1</v>
      </c>
      <c r="M173" s="91">
        <v>3300</v>
      </c>
      <c r="N173" s="92">
        <f t="shared" si="59"/>
        <v>2</v>
      </c>
      <c r="O173" s="92">
        <f t="shared" si="60"/>
        <v>3620</v>
      </c>
      <c r="P173">
        <v>4</v>
      </c>
      <c r="Q173">
        <v>245</v>
      </c>
      <c r="R173">
        <v>5</v>
      </c>
      <c r="S173">
        <v>305</v>
      </c>
    </row>
    <row r="174" spans="1:19" x14ac:dyDescent="0.2">
      <c r="A174" s="6" t="s">
        <v>99</v>
      </c>
      <c r="B174" s="90" t="s">
        <v>155</v>
      </c>
      <c r="C174" s="90">
        <v>5</v>
      </c>
      <c r="D174" s="93">
        <v>0</v>
      </c>
      <c r="E174" s="93">
        <v>0</v>
      </c>
      <c r="F174" s="88">
        <f t="shared" si="55"/>
        <v>0</v>
      </c>
      <c r="G174" s="88">
        <f t="shared" si="56"/>
        <v>0</v>
      </c>
      <c r="H174" s="88">
        <v>0</v>
      </c>
      <c r="I174" s="88">
        <v>0</v>
      </c>
      <c r="J174" s="88">
        <f t="shared" si="57"/>
        <v>0</v>
      </c>
      <c r="K174" s="88">
        <f t="shared" si="58"/>
        <v>0</v>
      </c>
      <c r="L174" s="90">
        <v>0</v>
      </c>
      <c r="M174" s="91">
        <v>0</v>
      </c>
      <c r="N174" s="92">
        <f t="shared" si="59"/>
        <v>2</v>
      </c>
      <c r="O174" s="92">
        <f t="shared" si="60"/>
        <v>3620</v>
      </c>
      <c r="P174">
        <v>4</v>
      </c>
      <c r="Q174">
        <v>577.5</v>
      </c>
      <c r="R174">
        <v>9</v>
      </c>
      <c r="S174">
        <v>882.5</v>
      </c>
    </row>
    <row r="175" spans="1:19" x14ac:dyDescent="0.2">
      <c r="A175" s="6" t="s">
        <v>99</v>
      </c>
      <c r="B175" s="90" t="s">
        <v>156</v>
      </c>
      <c r="C175" s="90">
        <v>6</v>
      </c>
      <c r="D175" s="93">
        <v>0</v>
      </c>
      <c r="E175" s="93">
        <v>0</v>
      </c>
      <c r="F175" s="88">
        <f t="shared" si="55"/>
        <v>0</v>
      </c>
      <c r="G175" s="88">
        <f t="shared" si="56"/>
        <v>0</v>
      </c>
      <c r="H175" s="88">
        <v>0</v>
      </c>
      <c r="I175" s="88">
        <v>0</v>
      </c>
      <c r="J175" s="88">
        <f t="shared" si="57"/>
        <v>0</v>
      </c>
      <c r="K175" s="88">
        <f t="shared" si="58"/>
        <v>0</v>
      </c>
      <c r="L175" s="90">
        <v>3</v>
      </c>
      <c r="M175" s="91">
        <v>1580</v>
      </c>
      <c r="N175" s="92">
        <f t="shared" si="59"/>
        <v>5</v>
      </c>
      <c r="O175" s="92">
        <f t="shared" si="60"/>
        <v>5200</v>
      </c>
      <c r="P175">
        <v>2</v>
      </c>
      <c r="Q175">
        <v>350</v>
      </c>
      <c r="R175">
        <v>11</v>
      </c>
      <c r="S175">
        <v>1232.5</v>
      </c>
    </row>
    <row r="176" spans="1:19" x14ac:dyDescent="0.2">
      <c r="A176" s="6" t="s">
        <v>99</v>
      </c>
      <c r="B176" s="90" t="s">
        <v>157</v>
      </c>
      <c r="C176" s="90">
        <v>7</v>
      </c>
      <c r="D176" s="93">
        <v>0</v>
      </c>
      <c r="E176" s="93">
        <v>0</v>
      </c>
      <c r="F176" s="88">
        <f t="shared" si="55"/>
        <v>0</v>
      </c>
      <c r="G176" s="88">
        <f t="shared" si="56"/>
        <v>0</v>
      </c>
      <c r="H176" s="88">
        <v>0</v>
      </c>
      <c r="I176" s="88">
        <v>0</v>
      </c>
      <c r="J176" s="88">
        <f t="shared" si="57"/>
        <v>0</v>
      </c>
      <c r="K176" s="88">
        <f t="shared" si="58"/>
        <v>0</v>
      </c>
      <c r="L176" s="90">
        <v>5</v>
      </c>
      <c r="M176" s="91">
        <v>1300</v>
      </c>
      <c r="N176" s="92">
        <f t="shared" si="59"/>
        <v>10</v>
      </c>
      <c r="O176" s="92">
        <f t="shared" si="60"/>
        <v>6500</v>
      </c>
      <c r="P176">
        <v>3</v>
      </c>
      <c r="Q176">
        <v>1400</v>
      </c>
      <c r="R176">
        <v>14</v>
      </c>
      <c r="S176">
        <v>2632.5</v>
      </c>
    </row>
    <row r="177" spans="1:19" x14ac:dyDescent="0.2">
      <c r="A177" s="6" t="s">
        <v>99</v>
      </c>
      <c r="B177" s="90" t="s">
        <v>158</v>
      </c>
      <c r="C177" s="90">
        <v>8</v>
      </c>
      <c r="D177" s="93">
        <v>0</v>
      </c>
      <c r="E177" s="93">
        <v>0</v>
      </c>
      <c r="F177" s="88">
        <f t="shared" si="55"/>
        <v>0</v>
      </c>
      <c r="G177" s="88">
        <f t="shared" si="56"/>
        <v>0</v>
      </c>
      <c r="H177" s="88">
        <v>0</v>
      </c>
      <c r="I177" s="88">
        <v>0</v>
      </c>
      <c r="J177" s="88">
        <f t="shared" si="57"/>
        <v>0</v>
      </c>
      <c r="K177" s="88">
        <f t="shared" si="58"/>
        <v>0</v>
      </c>
      <c r="L177" s="90">
        <v>0</v>
      </c>
      <c r="M177" s="91">
        <v>0</v>
      </c>
      <c r="N177" s="92">
        <f t="shared" si="59"/>
        <v>10</v>
      </c>
      <c r="O177" s="92">
        <f t="shared" si="60"/>
        <v>6500</v>
      </c>
      <c r="P177">
        <v>0</v>
      </c>
      <c r="Q177">
        <v>0</v>
      </c>
      <c r="R177">
        <v>14</v>
      </c>
      <c r="S177">
        <v>2632.5</v>
      </c>
    </row>
    <row r="178" spans="1:19" x14ac:dyDescent="0.2">
      <c r="A178" s="6" t="s">
        <v>99</v>
      </c>
      <c r="B178" s="90" t="s">
        <v>159</v>
      </c>
      <c r="C178" s="90">
        <v>9</v>
      </c>
      <c r="D178" s="93">
        <v>0</v>
      </c>
      <c r="E178" s="93">
        <v>0</v>
      </c>
      <c r="F178" s="88">
        <f t="shared" si="55"/>
        <v>0</v>
      </c>
      <c r="G178" s="88">
        <f t="shared" si="56"/>
        <v>0</v>
      </c>
      <c r="H178" s="88">
        <v>0</v>
      </c>
      <c r="I178" s="88">
        <v>0</v>
      </c>
      <c r="J178" s="88">
        <f t="shared" si="57"/>
        <v>0</v>
      </c>
      <c r="K178" s="88">
        <f t="shared" si="58"/>
        <v>0</v>
      </c>
      <c r="L178" s="90">
        <v>0</v>
      </c>
      <c r="M178" s="91">
        <v>0</v>
      </c>
      <c r="N178" s="92">
        <f t="shared" si="59"/>
        <v>10</v>
      </c>
      <c r="O178" s="92">
        <f t="shared" si="60"/>
        <v>6500</v>
      </c>
      <c r="P178">
        <v>0</v>
      </c>
      <c r="Q178">
        <v>0</v>
      </c>
      <c r="R178">
        <v>14</v>
      </c>
      <c r="S178">
        <v>2632.5</v>
      </c>
    </row>
    <row r="179" spans="1:19" x14ac:dyDescent="0.2">
      <c r="A179" s="6" t="s">
        <v>99</v>
      </c>
      <c r="B179" s="90" t="s">
        <v>160</v>
      </c>
      <c r="C179" s="90">
        <v>10</v>
      </c>
      <c r="D179" s="93">
        <v>0</v>
      </c>
      <c r="E179" s="93">
        <v>0</v>
      </c>
      <c r="F179" s="88">
        <f t="shared" si="55"/>
        <v>0</v>
      </c>
      <c r="G179" s="88">
        <f t="shared" si="56"/>
        <v>0</v>
      </c>
      <c r="H179" s="88">
        <v>0</v>
      </c>
      <c r="I179" s="88">
        <v>0</v>
      </c>
      <c r="J179" s="88">
        <f t="shared" si="57"/>
        <v>0</v>
      </c>
      <c r="K179" s="88">
        <f t="shared" si="58"/>
        <v>0</v>
      </c>
      <c r="L179" s="90">
        <v>0</v>
      </c>
      <c r="M179" s="91">
        <v>0</v>
      </c>
      <c r="N179" s="92">
        <f t="shared" si="59"/>
        <v>10</v>
      </c>
      <c r="O179" s="92">
        <f t="shared" si="60"/>
        <v>6500</v>
      </c>
      <c r="P179">
        <v>0</v>
      </c>
      <c r="Q179">
        <v>0</v>
      </c>
      <c r="R179">
        <v>14</v>
      </c>
      <c r="S179">
        <v>2632.5</v>
      </c>
    </row>
    <row r="180" spans="1:19" x14ac:dyDescent="0.2">
      <c r="A180" s="6" t="s">
        <v>99</v>
      </c>
      <c r="B180" s="90" t="s">
        <v>161</v>
      </c>
      <c r="C180" s="90">
        <v>11</v>
      </c>
      <c r="D180" s="93">
        <v>0</v>
      </c>
      <c r="E180" s="93">
        <v>0</v>
      </c>
      <c r="F180" s="88">
        <f t="shared" si="55"/>
        <v>0</v>
      </c>
      <c r="G180" s="88">
        <f t="shared" si="56"/>
        <v>0</v>
      </c>
      <c r="H180" s="88">
        <v>0</v>
      </c>
      <c r="I180" s="88">
        <v>0</v>
      </c>
      <c r="J180" s="88">
        <f t="shared" si="57"/>
        <v>0</v>
      </c>
      <c r="K180" s="88">
        <f t="shared" si="58"/>
        <v>0</v>
      </c>
      <c r="L180" s="90">
        <v>2</v>
      </c>
      <c r="M180" s="91">
        <v>514</v>
      </c>
      <c r="N180" s="92">
        <f t="shared" si="59"/>
        <v>12</v>
      </c>
      <c r="O180" s="92">
        <f t="shared" si="60"/>
        <v>7014</v>
      </c>
      <c r="P180" s="86"/>
      <c r="Q180" s="86">
        <v>0</v>
      </c>
    </row>
    <row r="181" spans="1:19" x14ac:dyDescent="0.2">
      <c r="A181" s="6" t="s">
        <v>99</v>
      </c>
      <c r="B181" s="90" t="s">
        <v>162</v>
      </c>
      <c r="C181" s="90">
        <v>12</v>
      </c>
      <c r="D181" s="93">
        <v>0</v>
      </c>
      <c r="E181" s="93">
        <v>0</v>
      </c>
      <c r="F181" s="88">
        <f t="shared" si="55"/>
        <v>0</v>
      </c>
      <c r="G181" s="88">
        <f t="shared" si="56"/>
        <v>0</v>
      </c>
      <c r="H181" s="88">
        <v>0</v>
      </c>
      <c r="I181" s="88">
        <v>0</v>
      </c>
      <c r="J181" s="88">
        <f t="shared" si="57"/>
        <v>0</v>
      </c>
      <c r="K181" s="88">
        <f t="shared" si="58"/>
        <v>0</v>
      </c>
      <c r="L181" s="90">
        <v>2</v>
      </c>
      <c r="M181" s="91">
        <v>140</v>
      </c>
      <c r="N181" s="92">
        <f t="shared" si="59"/>
        <v>14</v>
      </c>
      <c r="O181" s="92">
        <f t="shared" si="60"/>
        <v>7154</v>
      </c>
      <c r="P181" s="86"/>
      <c r="Q181" s="86">
        <v>0</v>
      </c>
    </row>
    <row r="182" spans="1:19" x14ac:dyDescent="0.2">
      <c r="A182" s="6" t="s">
        <v>123</v>
      </c>
      <c r="B182" s="90" t="s">
        <v>151</v>
      </c>
      <c r="C182" s="90">
        <v>1</v>
      </c>
      <c r="D182" s="93">
        <v>0</v>
      </c>
      <c r="E182" s="93">
        <v>0</v>
      </c>
      <c r="F182" s="88">
        <f>D182</f>
        <v>0</v>
      </c>
      <c r="G182" s="88">
        <f>E182</f>
        <v>0</v>
      </c>
      <c r="H182" s="89">
        <v>0</v>
      </c>
      <c r="I182" s="89">
        <v>0</v>
      </c>
      <c r="J182" s="89">
        <f>H182</f>
        <v>0</v>
      </c>
      <c r="K182" s="89">
        <f>I182</f>
        <v>0</v>
      </c>
      <c r="L182" s="90">
        <v>0</v>
      </c>
      <c r="M182" s="91">
        <v>0</v>
      </c>
      <c r="N182" s="92">
        <f>L182</f>
        <v>0</v>
      </c>
      <c r="O182" s="92">
        <f>M182</f>
        <v>0</v>
      </c>
      <c r="P182">
        <v>1</v>
      </c>
      <c r="Q182">
        <v>1400</v>
      </c>
      <c r="R182">
        <v>1</v>
      </c>
      <c r="S182">
        <v>1400</v>
      </c>
    </row>
    <row r="183" spans="1:19" x14ac:dyDescent="0.2">
      <c r="A183" s="6" t="s">
        <v>123</v>
      </c>
      <c r="B183" s="90" t="s">
        <v>152</v>
      </c>
      <c r="C183" s="90">
        <v>2</v>
      </c>
      <c r="D183" s="93">
        <v>0</v>
      </c>
      <c r="E183" s="93">
        <v>0</v>
      </c>
      <c r="F183" s="88">
        <f t="shared" ref="F183:G193" si="61">F182+D183</f>
        <v>0</v>
      </c>
      <c r="G183" s="88">
        <f t="shared" si="61"/>
        <v>0</v>
      </c>
      <c r="H183" s="89">
        <v>0</v>
      </c>
      <c r="I183" s="89">
        <v>0</v>
      </c>
      <c r="J183" s="89">
        <f t="shared" ref="J183:K193" si="62">J182+H183</f>
        <v>0</v>
      </c>
      <c r="K183" s="89">
        <f t="shared" si="62"/>
        <v>0</v>
      </c>
      <c r="L183" s="90">
        <v>1</v>
      </c>
      <c r="M183" s="91">
        <v>17540</v>
      </c>
      <c r="N183" s="92">
        <f t="shared" ref="N183:N193" si="63">N182+L183</f>
        <v>1</v>
      </c>
      <c r="O183" s="92">
        <f t="shared" ref="O183:O193" si="64">O182+M183</f>
        <v>17540</v>
      </c>
      <c r="P183">
        <v>0</v>
      </c>
      <c r="Q183">
        <v>0</v>
      </c>
      <c r="R183">
        <v>1</v>
      </c>
      <c r="S183">
        <v>1400</v>
      </c>
    </row>
    <row r="184" spans="1:19" x14ac:dyDescent="0.2">
      <c r="A184" s="6" t="s">
        <v>123</v>
      </c>
      <c r="B184" s="90" t="s">
        <v>153</v>
      </c>
      <c r="C184" s="90">
        <v>3</v>
      </c>
      <c r="D184" s="93">
        <v>0</v>
      </c>
      <c r="E184" s="93">
        <v>0</v>
      </c>
      <c r="F184" s="88">
        <f t="shared" si="61"/>
        <v>0</v>
      </c>
      <c r="G184" s="88">
        <f t="shared" si="61"/>
        <v>0</v>
      </c>
      <c r="H184" s="89">
        <v>0</v>
      </c>
      <c r="I184" s="89">
        <v>0</v>
      </c>
      <c r="J184" s="89">
        <f t="shared" si="62"/>
        <v>0</v>
      </c>
      <c r="K184" s="89">
        <f t="shared" si="62"/>
        <v>0</v>
      </c>
      <c r="L184" s="90">
        <v>0</v>
      </c>
      <c r="M184" s="91">
        <v>0</v>
      </c>
      <c r="N184" s="92">
        <f t="shared" si="63"/>
        <v>1</v>
      </c>
      <c r="O184" s="92">
        <f t="shared" si="64"/>
        <v>17540</v>
      </c>
      <c r="P184">
        <v>0</v>
      </c>
      <c r="Q184">
        <v>0</v>
      </c>
      <c r="R184">
        <v>1</v>
      </c>
      <c r="S184">
        <v>1400</v>
      </c>
    </row>
    <row r="185" spans="1:19" x14ac:dyDescent="0.2">
      <c r="A185" s="6" t="s">
        <v>123</v>
      </c>
      <c r="B185" s="90" t="s">
        <v>154</v>
      </c>
      <c r="C185" s="90">
        <v>4</v>
      </c>
      <c r="D185" s="93">
        <v>0</v>
      </c>
      <c r="E185" s="93">
        <v>0</v>
      </c>
      <c r="F185" s="88">
        <f t="shared" si="61"/>
        <v>0</v>
      </c>
      <c r="G185" s="88">
        <f t="shared" si="61"/>
        <v>0</v>
      </c>
      <c r="H185" s="89">
        <v>0</v>
      </c>
      <c r="I185" s="89">
        <v>0</v>
      </c>
      <c r="J185" s="89">
        <f t="shared" si="62"/>
        <v>0</v>
      </c>
      <c r="K185" s="89">
        <f t="shared" si="62"/>
        <v>0</v>
      </c>
      <c r="L185" s="90">
        <v>0</v>
      </c>
      <c r="M185" s="91">
        <v>0</v>
      </c>
      <c r="N185" s="92">
        <f t="shared" si="63"/>
        <v>1</v>
      </c>
      <c r="O185" s="92">
        <f t="shared" si="64"/>
        <v>17540</v>
      </c>
      <c r="P185">
        <v>0</v>
      </c>
      <c r="Q185">
        <v>0</v>
      </c>
      <c r="R185">
        <v>1</v>
      </c>
      <c r="S185">
        <v>1400</v>
      </c>
    </row>
    <row r="186" spans="1:19" x14ac:dyDescent="0.2">
      <c r="A186" s="6" t="s">
        <v>123</v>
      </c>
      <c r="B186" s="90" t="s">
        <v>155</v>
      </c>
      <c r="C186" s="90">
        <v>5</v>
      </c>
      <c r="D186" s="93">
        <v>0</v>
      </c>
      <c r="E186" s="93">
        <v>0</v>
      </c>
      <c r="F186" s="88">
        <f t="shared" si="61"/>
        <v>0</v>
      </c>
      <c r="G186" s="88">
        <f t="shared" si="61"/>
        <v>0</v>
      </c>
      <c r="H186" s="89">
        <v>3</v>
      </c>
      <c r="I186" s="89">
        <v>15000</v>
      </c>
      <c r="J186" s="89">
        <f t="shared" si="62"/>
        <v>3</v>
      </c>
      <c r="K186" s="89">
        <f t="shared" si="62"/>
        <v>15000</v>
      </c>
      <c r="L186" s="90">
        <v>2</v>
      </c>
      <c r="M186" s="91">
        <v>1350</v>
      </c>
      <c r="N186" s="92">
        <f t="shared" si="63"/>
        <v>3</v>
      </c>
      <c r="O186" s="92">
        <f t="shared" si="64"/>
        <v>18890</v>
      </c>
      <c r="P186">
        <v>0</v>
      </c>
      <c r="Q186">
        <v>0</v>
      </c>
      <c r="R186">
        <v>1</v>
      </c>
      <c r="S186">
        <v>1400</v>
      </c>
    </row>
    <row r="187" spans="1:19" x14ac:dyDescent="0.2">
      <c r="A187" s="6" t="s">
        <v>123</v>
      </c>
      <c r="B187" s="90" t="s">
        <v>156</v>
      </c>
      <c r="C187" s="90">
        <v>6</v>
      </c>
      <c r="D187" s="93">
        <v>0</v>
      </c>
      <c r="E187" s="93">
        <v>0</v>
      </c>
      <c r="F187" s="88">
        <f t="shared" si="61"/>
        <v>0</v>
      </c>
      <c r="G187" s="88">
        <f t="shared" si="61"/>
        <v>0</v>
      </c>
      <c r="H187" s="89">
        <v>0</v>
      </c>
      <c r="I187" s="89">
        <v>0</v>
      </c>
      <c r="J187" s="89">
        <f t="shared" si="62"/>
        <v>3</v>
      </c>
      <c r="K187" s="89">
        <f t="shared" si="62"/>
        <v>15000</v>
      </c>
      <c r="L187" s="90">
        <v>1</v>
      </c>
      <c r="M187" s="91">
        <v>6000</v>
      </c>
      <c r="N187" s="92">
        <f t="shared" si="63"/>
        <v>4</v>
      </c>
      <c r="O187" s="92">
        <f t="shared" si="64"/>
        <v>24890</v>
      </c>
      <c r="P187">
        <v>0</v>
      </c>
      <c r="Q187">
        <v>0</v>
      </c>
      <c r="R187">
        <v>1</v>
      </c>
      <c r="S187">
        <v>1400</v>
      </c>
    </row>
    <row r="188" spans="1:19" x14ac:dyDescent="0.2">
      <c r="A188" s="6" t="s">
        <v>123</v>
      </c>
      <c r="B188" s="90" t="s">
        <v>157</v>
      </c>
      <c r="C188" s="90">
        <v>7</v>
      </c>
      <c r="D188" s="93">
        <v>0</v>
      </c>
      <c r="E188" s="93">
        <v>0</v>
      </c>
      <c r="F188" s="88">
        <f t="shared" si="61"/>
        <v>0</v>
      </c>
      <c r="G188" s="88">
        <f t="shared" si="61"/>
        <v>0</v>
      </c>
      <c r="H188" s="89">
        <v>0</v>
      </c>
      <c r="I188" s="89">
        <v>0</v>
      </c>
      <c r="J188" s="89">
        <f t="shared" si="62"/>
        <v>3</v>
      </c>
      <c r="K188" s="89">
        <f t="shared" si="62"/>
        <v>15000</v>
      </c>
      <c r="L188" s="90">
        <v>2</v>
      </c>
      <c r="M188" s="91">
        <v>2488</v>
      </c>
      <c r="N188" s="92">
        <f t="shared" si="63"/>
        <v>6</v>
      </c>
      <c r="O188" s="92">
        <f t="shared" si="64"/>
        <v>27378</v>
      </c>
      <c r="P188">
        <v>3</v>
      </c>
      <c r="Q188">
        <v>12450</v>
      </c>
      <c r="R188">
        <v>4</v>
      </c>
      <c r="S188">
        <v>13850</v>
      </c>
    </row>
    <row r="189" spans="1:19" x14ac:dyDescent="0.2">
      <c r="A189" s="6" t="s">
        <v>123</v>
      </c>
      <c r="B189" s="90" t="s">
        <v>158</v>
      </c>
      <c r="C189" s="90">
        <v>8</v>
      </c>
      <c r="D189" s="93">
        <v>0</v>
      </c>
      <c r="E189" s="93">
        <v>0</v>
      </c>
      <c r="F189" s="88">
        <f t="shared" si="61"/>
        <v>0</v>
      </c>
      <c r="G189" s="88">
        <f t="shared" si="61"/>
        <v>0</v>
      </c>
      <c r="H189" s="89">
        <v>1</v>
      </c>
      <c r="I189" s="89">
        <v>676.31</v>
      </c>
      <c r="J189" s="89">
        <f t="shared" si="62"/>
        <v>4</v>
      </c>
      <c r="K189" s="89">
        <f t="shared" si="62"/>
        <v>15676.31</v>
      </c>
      <c r="L189" s="90">
        <v>2</v>
      </c>
      <c r="M189" s="91">
        <v>1650</v>
      </c>
      <c r="N189" s="92">
        <f t="shared" si="63"/>
        <v>8</v>
      </c>
      <c r="O189" s="92">
        <f t="shared" si="64"/>
        <v>29028</v>
      </c>
      <c r="P189">
        <v>2</v>
      </c>
      <c r="Q189">
        <v>2150</v>
      </c>
      <c r="R189">
        <v>6</v>
      </c>
      <c r="S189">
        <v>16000</v>
      </c>
    </row>
    <row r="190" spans="1:19" x14ac:dyDescent="0.2">
      <c r="A190" s="6" t="s">
        <v>123</v>
      </c>
      <c r="B190" s="90" t="s">
        <v>159</v>
      </c>
      <c r="C190" s="90">
        <v>9</v>
      </c>
      <c r="D190" s="93">
        <v>0</v>
      </c>
      <c r="E190" s="93">
        <v>0</v>
      </c>
      <c r="F190" s="88">
        <f t="shared" si="61"/>
        <v>0</v>
      </c>
      <c r="G190" s="88">
        <f t="shared" si="61"/>
        <v>0</v>
      </c>
      <c r="H190" s="89">
        <v>0</v>
      </c>
      <c r="I190" s="89">
        <v>0</v>
      </c>
      <c r="J190" s="89">
        <f t="shared" si="62"/>
        <v>4</v>
      </c>
      <c r="K190" s="89">
        <f t="shared" si="62"/>
        <v>15676.31</v>
      </c>
      <c r="L190" s="90">
        <v>1</v>
      </c>
      <c r="M190" s="91">
        <v>1404</v>
      </c>
      <c r="N190" s="92">
        <f t="shared" si="63"/>
        <v>9</v>
      </c>
      <c r="O190" s="92">
        <f t="shared" si="64"/>
        <v>30432</v>
      </c>
      <c r="P190">
        <v>0</v>
      </c>
      <c r="Q190">
        <v>0</v>
      </c>
      <c r="R190">
        <v>6</v>
      </c>
      <c r="S190">
        <v>16000</v>
      </c>
    </row>
    <row r="191" spans="1:19" x14ac:dyDescent="0.2">
      <c r="A191" s="6" t="s">
        <v>123</v>
      </c>
      <c r="B191" s="90" t="s">
        <v>160</v>
      </c>
      <c r="C191" s="90">
        <v>10</v>
      </c>
      <c r="D191" s="93">
        <v>0</v>
      </c>
      <c r="E191" s="93">
        <v>0</v>
      </c>
      <c r="F191" s="88">
        <f t="shared" si="61"/>
        <v>0</v>
      </c>
      <c r="G191" s="88">
        <f t="shared" si="61"/>
        <v>0</v>
      </c>
      <c r="H191" s="89">
        <v>1</v>
      </c>
      <c r="I191" s="89">
        <v>1167.99</v>
      </c>
      <c r="J191" s="89">
        <f t="shared" si="62"/>
        <v>5</v>
      </c>
      <c r="K191" s="89">
        <f t="shared" si="62"/>
        <v>16844.3</v>
      </c>
      <c r="L191" s="90">
        <v>2</v>
      </c>
      <c r="M191" s="91">
        <v>11600</v>
      </c>
      <c r="N191" s="92">
        <f t="shared" si="63"/>
        <v>11</v>
      </c>
      <c r="O191" s="92">
        <f t="shared" si="64"/>
        <v>42032</v>
      </c>
      <c r="P191">
        <v>0</v>
      </c>
      <c r="Q191">
        <v>0</v>
      </c>
      <c r="R191">
        <v>6</v>
      </c>
      <c r="S191">
        <v>16000</v>
      </c>
    </row>
    <row r="192" spans="1:19" x14ac:dyDescent="0.2">
      <c r="A192" s="6" t="s">
        <v>123</v>
      </c>
      <c r="B192" s="90" t="s">
        <v>161</v>
      </c>
      <c r="C192" s="90">
        <v>11</v>
      </c>
      <c r="D192" s="93">
        <v>0</v>
      </c>
      <c r="E192" s="93">
        <v>0</v>
      </c>
      <c r="F192" s="88">
        <f t="shared" si="61"/>
        <v>0</v>
      </c>
      <c r="G192" s="88">
        <f t="shared" si="61"/>
        <v>0</v>
      </c>
      <c r="H192" s="89">
        <v>4</v>
      </c>
      <c r="I192" s="89">
        <v>7034.4000000000005</v>
      </c>
      <c r="J192" s="89">
        <f t="shared" si="62"/>
        <v>9</v>
      </c>
      <c r="K192" s="89">
        <f t="shared" si="62"/>
        <v>23878.7</v>
      </c>
      <c r="L192" s="90">
        <v>1</v>
      </c>
      <c r="M192" s="91">
        <v>160</v>
      </c>
      <c r="N192" s="92">
        <f t="shared" si="63"/>
        <v>12</v>
      </c>
      <c r="O192" s="92">
        <f t="shared" si="64"/>
        <v>42192</v>
      </c>
      <c r="P192" s="86"/>
      <c r="Q192" s="86">
        <v>0</v>
      </c>
    </row>
    <row r="193" spans="1:19" x14ac:dyDescent="0.2">
      <c r="A193" s="6" t="s">
        <v>123</v>
      </c>
      <c r="B193" s="90" t="s">
        <v>162</v>
      </c>
      <c r="C193" s="90">
        <v>12</v>
      </c>
      <c r="D193" s="93">
        <v>0</v>
      </c>
      <c r="E193" s="93">
        <v>0</v>
      </c>
      <c r="F193" s="88">
        <f t="shared" si="61"/>
        <v>0</v>
      </c>
      <c r="G193" s="88">
        <f t="shared" si="61"/>
        <v>0</v>
      </c>
      <c r="H193" s="89">
        <v>3</v>
      </c>
      <c r="I193" s="89">
        <v>6997.5</v>
      </c>
      <c r="J193" s="89">
        <f t="shared" si="62"/>
        <v>12</v>
      </c>
      <c r="K193" s="89">
        <f t="shared" si="62"/>
        <v>30876.2</v>
      </c>
      <c r="L193" s="90">
        <v>0</v>
      </c>
      <c r="M193" s="91">
        <v>0</v>
      </c>
      <c r="N193" s="92">
        <f t="shared" si="63"/>
        <v>12</v>
      </c>
      <c r="O193" s="92">
        <f t="shared" si="64"/>
        <v>42192</v>
      </c>
      <c r="P193" s="86"/>
      <c r="Q193" s="86">
        <v>0</v>
      </c>
    </row>
    <row r="194" spans="1:19" x14ac:dyDescent="0.2">
      <c r="A194" s="6" t="s">
        <v>92</v>
      </c>
      <c r="B194" s="90" t="s">
        <v>151</v>
      </c>
      <c r="C194" s="90">
        <v>1</v>
      </c>
      <c r="D194" s="88">
        <v>12</v>
      </c>
      <c r="E194" s="88">
        <v>14057</v>
      </c>
      <c r="F194" s="88">
        <f>D194</f>
        <v>12</v>
      </c>
      <c r="G194" s="88">
        <f>E194</f>
        <v>14057</v>
      </c>
      <c r="H194" s="89">
        <v>6</v>
      </c>
      <c r="I194" s="89">
        <v>5110</v>
      </c>
      <c r="J194" s="89">
        <f>H194</f>
        <v>6</v>
      </c>
      <c r="K194" s="89">
        <f>I194</f>
        <v>5110</v>
      </c>
      <c r="L194" s="90">
        <v>2</v>
      </c>
      <c r="M194" s="91">
        <v>4900</v>
      </c>
      <c r="N194" s="92">
        <f>L194</f>
        <v>2</v>
      </c>
      <c r="O194" s="92">
        <f>M194</f>
        <v>4900</v>
      </c>
      <c r="P194">
        <v>0</v>
      </c>
      <c r="Q194">
        <v>0</v>
      </c>
      <c r="R194">
        <v>0</v>
      </c>
      <c r="S194">
        <v>0</v>
      </c>
    </row>
    <row r="195" spans="1:19" x14ac:dyDescent="0.2">
      <c r="A195" s="6" t="s">
        <v>92</v>
      </c>
      <c r="B195" s="90" t="s">
        <v>152</v>
      </c>
      <c r="C195" s="90">
        <v>2</v>
      </c>
      <c r="D195" s="93">
        <v>0</v>
      </c>
      <c r="E195" s="93">
        <v>0</v>
      </c>
      <c r="F195" s="88">
        <f t="shared" ref="F195:G205" si="65">F194+D195</f>
        <v>12</v>
      </c>
      <c r="G195" s="88">
        <f t="shared" si="65"/>
        <v>14057</v>
      </c>
      <c r="H195" s="89">
        <v>4</v>
      </c>
      <c r="I195" s="89">
        <v>5100</v>
      </c>
      <c r="J195" s="89">
        <f t="shared" ref="J195:K205" si="66">J194+H195</f>
        <v>10</v>
      </c>
      <c r="K195" s="89">
        <f t="shared" si="66"/>
        <v>10210</v>
      </c>
      <c r="L195" s="90">
        <v>3</v>
      </c>
      <c r="M195" s="91">
        <v>6770</v>
      </c>
      <c r="N195" s="92">
        <f t="shared" ref="N195:N205" si="67">N194+L195</f>
        <v>5</v>
      </c>
      <c r="O195" s="92">
        <f t="shared" ref="O195:O205" si="68">O194+M195</f>
        <v>11670</v>
      </c>
      <c r="P195">
        <v>0</v>
      </c>
      <c r="Q195">
        <v>0</v>
      </c>
      <c r="R195">
        <v>0</v>
      </c>
      <c r="S195">
        <v>0</v>
      </c>
    </row>
    <row r="196" spans="1:19" x14ac:dyDescent="0.2">
      <c r="A196" s="6" t="s">
        <v>92</v>
      </c>
      <c r="B196" s="90" t="s">
        <v>153</v>
      </c>
      <c r="C196" s="90">
        <v>3</v>
      </c>
      <c r="D196" s="93">
        <v>6</v>
      </c>
      <c r="E196" s="93">
        <v>9775</v>
      </c>
      <c r="F196" s="88">
        <f t="shared" si="65"/>
        <v>18</v>
      </c>
      <c r="G196" s="88">
        <f t="shared" si="65"/>
        <v>23832</v>
      </c>
      <c r="H196" s="89">
        <v>3</v>
      </c>
      <c r="I196" s="89">
        <v>6250</v>
      </c>
      <c r="J196" s="89">
        <f t="shared" si="66"/>
        <v>13</v>
      </c>
      <c r="K196" s="89">
        <f t="shared" si="66"/>
        <v>16460</v>
      </c>
      <c r="L196" s="90">
        <v>0</v>
      </c>
      <c r="M196" s="91">
        <v>0</v>
      </c>
      <c r="N196" s="92">
        <f t="shared" si="67"/>
        <v>5</v>
      </c>
      <c r="O196" s="92">
        <f t="shared" si="68"/>
        <v>11670</v>
      </c>
      <c r="P196">
        <v>2</v>
      </c>
      <c r="Q196">
        <v>4275</v>
      </c>
      <c r="R196">
        <v>2</v>
      </c>
      <c r="S196">
        <v>4275</v>
      </c>
    </row>
    <row r="197" spans="1:19" x14ac:dyDescent="0.2">
      <c r="A197" s="6" t="s">
        <v>92</v>
      </c>
      <c r="B197" s="90" t="s">
        <v>154</v>
      </c>
      <c r="C197" s="90">
        <v>4</v>
      </c>
      <c r="D197" s="93">
        <v>2</v>
      </c>
      <c r="E197" s="88">
        <v>2380</v>
      </c>
      <c r="F197" s="88">
        <f t="shared" si="65"/>
        <v>20</v>
      </c>
      <c r="G197" s="88">
        <f t="shared" si="65"/>
        <v>26212</v>
      </c>
      <c r="H197" s="89">
        <v>1</v>
      </c>
      <c r="I197" s="89">
        <v>1100</v>
      </c>
      <c r="J197" s="89">
        <f t="shared" si="66"/>
        <v>14</v>
      </c>
      <c r="K197" s="89">
        <f t="shared" si="66"/>
        <v>17560</v>
      </c>
      <c r="L197" s="90">
        <v>2</v>
      </c>
      <c r="M197" s="91">
        <v>2700</v>
      </c>
      <c r="N197" s="92">
        <f t="shared" si="67"/>
        <v>7</v>
      </c>
      <c r="O197" s="92">
        <f t="shared" si="68"/>
        <v>14370</v>
      </c>
      <c r="P197">
        <v>0</v>
      </c>
      <c r="Q197">
        <v>0</v>
      </c>
      <c r="R197">
        <v>2</v>
      </c>
      <c r="S197">
        <v>4275</v>
      </c>
    </row>
    <row r="198" spans="1:19" x14ac:dyDescent="0.2">
      <c r="A198" s="6" t="s">
        <v>92</v>
      </c>
      <c r="B198" s="90" t="s">
        <v>155</v>
      </c>
      <c r="C198" s="90">
        <v>5</v>
      </c>
      <c r="D198" s="93">
        <v>0</v>
      </c>
      <c r="E198" s="88">
        <v>0</v>
      </c>
      <c r="F198" s="88">
        <f t="shared" si="65"/>
        <v>20</v>
      </c>
      <c r="G198" s="88">
        <f t="shared" si="65"/>
        <v>26212</v>
      </c>
      <c r="H198" s="89">
        <v>0</v>
      </c>
      <c r="I198" s="89">
        <v>0</v>
      </c>
      <c r="J198" s="89">
        <f t="shared" si="66"/>
        <v>14</v>
      </c>
      <c r="K198" s="89">
        <f t="shared" si="66"/>
        <v>17560</v>
      </c>
      <c r="L198" s="90">
        <v>3</v>
      </c>
      <c r="M198" s="91">
        <v>4900</v>
      </c>
      <c r="N198" s="92">
        <f t="shared" si="67"/>
        <v>10</v>
      </c>
      <c r="O198" s="92">
        <f t="shared" si="68"/>
        <v>19270</v>
      </c>
      <c r="P198">
        <v>2</v>
      </c>
      <c r="Q198">
        <v>6600</v>
      </c>
      <c r="R198">
        <v>4</v>
      </c>
      <c r="S198">
        <v>10875</v>
      </c>
    </row>
    <row r="199" spans="1:19" x14ac:dyDescent="0.2">
      <c r="A199" s="6" t="s">
        <v>92</v>
      </c>
      <c r="B199" s="90" t="s">
        <v>156</v>
      </c>
      <c r="C199" s="90">
        <v>6</v>
      </c>
      <c r="D199" s="93">
        <v>0</v>
      </c>
      <c r="E199" s="88">
        <v>0</v>
      </c>
      <c r="F199" s="88">
        <f t="shared" si="65"/>
        <v>20</v>
      </c>
      <c r="G199" s="88">
        <f t="shared" si="65"/>
        <v>26212</v>
      </c>
      <c r="H199" s="89">
        <v>4</v>
      </c>
      <c r="I199" s="89">
        <v>2900</v>
      </c>
      <c r="J199" s="89">
        <f t="shared" si="66"/>
        <v>18</v>
      </c>
      <c r="K199" s="89">
        <f t="shared" si="66"/>
        <v>20460</v>
      </c>
      <c r="L199" s="90">
        <v>9</v>
      </c>
      <c r="M199" s="91">
        <v>15980</v>
      </c>
      <c r="N199" s="92">
        <f t="shared" si="67"/>
        <v>19</v>
      </c>
      <c r="O199" s="92">
        <f t="shared" si="68"/>
        <v>35250</v>
      </c>
      <c r="P199">
        <v>0</v>
      </c>
      <c r="Q199">
        <v>0</v>
      </c>
      <c r="R199">
        <v>4</v>
      </c>
      <c r="S199">
        <v>10875</v>
      </c>
    </row>
    <row r="200" spans="1:19" x14ac:dyDescent="0.2">
      <c r="A200" s="6" t="s">
        <v>92</v>
      </c>
      <c r="B200" s="90" t="s">
        <v>157</v>
      </c>
      <c r="C200" s="90">
        <v>7</v>
      </c>
      <c r="D200" s="93">
        <v>6</v>
      </c>
      <c r="E200" s="88">
        <v>2320</v>
      </c>
      <c r="F200" s="88">
        <f t="shared" si="65"/>
        <v>26</v>
      </c>
      <c r="G200" s="88">
        <f t="shared" si="65"/>
        <v>28532</v>
      </c>
      <c r="H200" s="89">
        <v>2</v>
      </c>
      <c r="I200" s="89">
        <v>1700</v>
      </c>
      <c r="J200" s="89">
        <f t="shared" si="66"/>
        <v>20</v>
      </c>
      <c r="K200" s="89">
        <f t="shared" si="66"/>
        <v>22160</v>
      </c>
      <c r="L200" s="90">
        <v>3</v>
      </c>
      <c r="M200" s="91">
        <v>4585</v>
      </c>
      <c r="N200" s="92">
        <f t="shared" si="67"/>
        <v>22</v>
      </c>
      <c r="O200" s="92">
        <f t="shared" si="68"/>
        <v>39835</v>
      </c>
      <c r="P200">
        <v>1</v>
      </c>
      <c r="Q200">
        <v>2750</v>
      </c>
      <c r="R200">
        <v>5</v>
      </c>
      <c r="S200">
        <v>13625</v>
      </c>
    </row>
    <row r="201" spans="1:19" x14ac:dyDescent="0.2">
      <c r="A201" s="6" t="s">
        <v>92</v>
      </c>
      <c r="B201" s="90" t="s">
        <v>158</v>
      </c>
      <c r="C201" s="90">
        <v>8</v>
      </c>
      <c r="D201" s="93">
        <v>0</v>
      </c>
      <c r="E201" s="88">
        <v>0</v>
      </c>
      <c r="F201" s="88">
        <f t="shared" si="65"/>
        <v>26</v>
      </c>
      <c r="G201" s="88">
        <f t="shared" si="65"/>
        <v>28532</v>
      </c>
      <c r="H201" s="89">
        <v>3</v>
      </c>
      <c r="I201" s="89">
        <v>4600</v>
      </c>
      <c r="J201" s="89">
        <f t="shared" si="66"/>
        <v>23</v>
      </c>
      <c r="K201" s="89">
        <f t="shared" si="66"/>
        <v>26760</v>
      </c>
      <c r="L201" s="90">
        <v>1</v>
      </c>
      <c r="M201" s="91">
        <v>1500</v>
      </c>
      <c r="N201" s="92">
        <f t="shared" si="67"/>
        <v>23</v>
      </c>
      <c r="O201" s="92">
        <f t="shared" si="68"/>
        <v>41335</v>
      </c>
      <c r="P201">
        <v>6</v>
      </c>
      <c r="Q201">
        <v>9000</v>
      </c>
      <c r="R201">
        <v>11</v>
      </c>
      <c r="S201">
        <v>22625</v>
      </c>
    </row>
    <row r="202" spans="1:19" x14ac:dyDescent="0.2">
      <c r="A202" s="6" t="s">
        <v>92</v>
      </c>
      <c r="B202" s="90" t="s">
        <v>159</v>
      </c>
      <c r="C202" s="90">
        <v>9</v>
      </c>
      <c r="D202" s="93">
        <v>1</v>
      </c>
      <c r="E202" s="93">
        <v>1500</v>
      </c>
      <c r="F202" s="88">
        <f t="shared" si="65"/>
        <v>27</v>
      </c>
      <c r="G202" s="88">
        <f t="shared" si="65"/>
        <v>30032</v>
      </c>
      <c r="H202" s="89">
        <v>1</v>
      </c>
      <c r="I202" s="89">
        <v>860</v>
      </c>
      <c r="J202" s="89">
        <f t="shared" si="66"/>
        <v>24</v>
      </c>
      <c r="K202" s="89">
        <f t="shared" si="66"/>
        <v>27620</v>
      </c>
      <c r="L202" s="90">
        <v>3</v>
      </c>
      <c r="M202" s="91">
        <v>4940</v>
      </c>
      <c r="N202" s="92">
        <f t="shared" si="67"/>
        <v>26</v>
      </c>
      <c r="O202" s="92">
        <f t="shared" si="68"/>
        <v>46275</v>
      </c>
      <c r="P202">
        <v>6</v>
      </c>
      <c r="Q202">
        <v>20650</v>
      </c>
      <c r="R202">
        <v>17</v>
      </c>
      <c r="S202">
        <v>43275</v>
      </c>
    </row>
    <row r="203" spans="1:19" x14ac:dyDescent="0.2">
      <c r="A203" s="6" t="s">
        <v>92</v>
      </c>
      <c r="B203" s="90" t="s">
        <v>160</v>
      </c>
      <c r="C203" s="90">
        <v>10</v>
      </c>
      <c r="D203" s="93">
        <v>4</v>
      </c>
      <c r="E203" s="93">
        <v>17354.62</v>
      </c>
      <c r="F203" s="88">
        <f t="shared" si="65"/>
        <v>31</v>
      </c>
      <c r="G203" s="88">
        <f t="shared" si="65"/>
        <v>47386.619999999995</v>
      </c>
      <c r="H203" s="89">
        <v>23</v>
      </c>
      <c r="I203" s="89">
        <v>17280</v>
      </c>
      <c r="J203" s="89">
        <f t="shared" si="66"/>
        <v>47</v>
      </c>
      <c r="K203" s="89">
        <f t="shared" si="66"/>
        <v>44900</v>
      </c>
      <c r="L203" s="90">
        <v>6</v>
      </c>
      <c r="M203" s="91">
        <v>15095</v>
      </c>
      <c r="N203" s="92">
        <f t="shared" si="67"/>
        <v>32</v>
      </c>
      <c r="O203" s="92">
        <f t="shared" si="68"/>
        <v>61370</v>
      </c>
      <c r="P203">
        <v>0</v>
      </c>
      <c r="Q203">
        <v>0</v>
      </c>
      <c r="R203">
        <v>17</v>
      </c>
      <c r="S203">
        <v>43275</v>
      </c>
    </row>
    <row r="204" spans="1:19" x14ac:dyDescent="0.2">
      <c r="A204" s="6" t="s">
        <v>92</v>
      </c>
      <c r="B204" s="90" t="s">
        <v>161</v>
      </c>
      <c r="C204" s="90">
        <v>11</v>
      </c>
      <c r="D204" s="93">
        <v>0</v>
      </c>
      <c r="E204" s="88">
        <v>0</v>
      </c>
      <c r="F204" s="88">
        <f t="shared" si="65"/>
        <v>31</v>
      </c>
      <c r="G204" s="88">
        <f t="shared" si="65"/>
        <v>47386.619999999995</v>
      </c>
      <c r="H204" s="89">
        <v>6</v>
      </c>
      <c r="I204" s="89">
        <v>10050</v>
      </c>
      <c r="J204" s="89">
        <f t="shared" si="66"/>
        <v>53</v>
      </c>
      <c r="K204" s="89">
        <f t="shared" si="66"/>
        <v>54950</v>
      </c>
      <c r="L204" s="90">
        <v>9</v>
      </c>
      <c r="M204" s="91">
        <v>25200</v>
      </c>
      <c r="N204" s="92">
        <f t="shared" si="67"/>
        <v>41</v>
      </c>
      <c r="O204" s="92">
        <f t="shared" si="68"/>
        <v>86570</v>
      </c>
      <c r="P204" s="86"/>
      <c r="Q204" s="86">
        <v>0</v>
      </c>
    </row>
    <row r="205" spans="1:19" x14ac:dyDescent="0.2">
      <c r="A205" s="6" t="s">
        <v>92</v>
      </c>
      <c r="B205" s="90" t="s">
        <v>162</v>
      </c>
      <c r="C205" s="90">
        <v>12</v>
      </c>
      <c r="D205" s="93">
        <v>0</v>
      </c>
      <c r="E205" s="88">
        <v>0</v>
      </c>
      <c r="F205" s="88">
        <f t="shared" si="65"/>
        <v>31</v>
      </c>
      <c r="G205" s="88">
        <f t="shared" si="65"/>
        <v>47386.619999999995</v>
      </c>
      <c r="H205" s="89">
        <v>6</v>
      </c>
      <c r="I205" s="89">
        <v>12637.5</v>
      </c>
      <c r="J205" s="89">
        <f t="shared" si="66"/>
        <v>59</v>
      </c>
      <c r="K205" s="89">
        <f t="shared" si="66"/>
        <v>67587.5</v>
      </c>
      <c r="L205" s="90">
        <v>5</v>
      </c>
      <c r="M205" s="91">
        <v>21680</v>
      </c>
      <c r="N205" s="92">
        <f t="shared" si="67"/>
        <v>46</v>
      </c>
      <c r="O205" s="92">
        <f t="shared" si="68"/>
        <v>108250</v>
      </c>
      <c r="P205" s="86"/>
      <c r="Q205" s="86">
        <v>0</v>
      </c>
    </row>
    <row r="206" spans="1:19" x14ac:dyDescent="0.2">
      <c r="A206" s="6" t="s">
        <v>37</v>
      </c>
      <c r="B206" s="90" t="s">
        <v>151</v>
      </c>
      <c r="C206" s="90">
        <v>1</v>
      </c>
      <c r="D206" s="93">
        <v>0</v>
      </c>
      <c r="E206" s="93">
        <v>0</v>
      </c>
      <c r="F206" s="88">
        <f>D206</f>
        <v>0</v>
      </c>
      <c r="G206" s="88">
        <f>E206</f>
        <v>0</v>
      </c>
      <c r="H206" s="89">
        <v>1</v>
      </c>
      <c r="I206" s="89">
        <v>1030</v>
      </c>
      <c r="J206" s="89">
        <f>H206</f>
        <v>1</v>
      </c>
      <c r="K206" s="89">
        <f>I206</f>
        <v>1030</v>
      </c>
      <c r="L206" s="90">
        <v>0</v>
      </c>
      <c r="M206" s="91">
        <v>0</v>
      </c>
      <c r="N206" s="92">
        <f>L206</f>
        <v>0</v>
      </c>
      <c r="O206" s="92">
        <f>M206</f>
        <v>0</v>
      </c>
      <c r="P206">
        <v>0</v>
      </c>
      <c r="Q206">
        <v>0</v>
      </c>
      <c r="R206">
        <v>0</v>
      </c>
      <c r="S206">
        <v>0</v>
      </c>
    </row>
    <row r="207" spans="1:19" x14ac:dyDescent="0.2">
      <c r="A207" s="6" t="s">
        <v>37</v>
      </c>
      <c r="B207" s="90" t="s">
        <v>152</v>
      </c>
      <c r="C207" s="90">
        <v>2</v>
      </c>
      <c r="D207" s="93">
        <v>0</v>
      </c>
      <c r="E207" s="93">
        <v>0</v>
      </c>
      <c r="F207" s="88">
        <f t="shared" ref="F207:G217" si="69">F206+D207</f>
        <v>0</v>
      </c>
      <c r="G207" s="88">
        <f t="shared" si="69"/>
        <v>0</v>
      </c>
      <c r="H207" s="89">
        <v>0</v>
      </c>
      <c r="I207" s="89">
        <v>0</v>
      </c>
      <c r="J207" s="89">
        <f t="shared" ref="J207:K217" si="70">J206+H207</f>
        <v>1</v>
      </c>
      <c r="K207" s="89">
        <f t="shared" si="70"/>
        <v>1030</v>
      </c>
      <c r="L207" s="90">
        <v>0</v>
      </c>
      <c r="M207" s="91">
        <v>0</v>
      </c>
      <c r="N207" s="92">
        <f t="shared" ref="N207:N217" si="71">N206+L207</f>
        <v>0</v>
      </c>
      <c r="O207" s="92">
        <f t="shared" ref="O207:O217" si="72">O206+M207</f>
        <v>0</v>
      </c>
      <c r="P207">
        <v>0</v>
      </c>
      <c r="Q207">
        <v>0</v>
      </c>
      <c r="R207">
        <v>0</v>
      </c>
      <c r="S207">
        <v>0</v>
      </c>
    </row>
    <row r="208" spans="1:19" x14ac:dyDescent="0.2">
      <c r="A208" s="6" t="s">
        <v>37</v>
      </c>
      <c r="B208" s="90" t="s">
        <v>153</v>
      </c>
      <c r="C208" s="90">
        <v>3</v>
      </c>
      <c r="D208" s="93">
        <v>0</v>
      </c>
      <c r="E208" s="93">
        <v>0</v>
      </c>
      <c r="F208" s="88">
        <f t="shared" si="69"/>
        <v>0</v>
      </c>
      <c r="G208" s="88">
        <f t="shared" si="69"/>
        <v>0</v>
      </c>
      <c r="H208" s="89">
        <v>0</v>
      </c>
      <c r="I208" s="89">
        <v>0</v>
      </c>
      <c r="J208" s="89">
        <f t="shared" si="70"/>
        <v>1</v>
      </c>
      <c r="K208" s="89">
        <f t="shared" si="70"/>
        <v>1030</v>
      </c>
      <c r="L208" s="90">
        <v>0</v>
      </c>
      <c r="M208" s="91">
        <v>0</v>
      </c>
      <c r="N208" s="92">
        <f t="shared" si="71"/>
        <v>0</v>
      </c>
      <c r="O208" s="92">
        <f t="shared" si="72"/>
        <v>0</v>
      </c>
      <c r="P208">
        <v>2</v>
      </c>
      <c r="Q208">
        <v>1800</v>
      </c>
      <c r="R208">
        <v>2</v>
      </c>
      <c r="S208">
        <v>1800</v>
      </c>
    </row>
    <row r="209" spans="1:19" x14ac:dyDescent="0.2">
      <c r="A209" s="6" t="s">
        <v>37</v>
      </c>
      <c r="B209" s="90" t="s">
        <v>154</v>
      </c>
      <c r="C209" s="90">
        <v>4</v>
      </c>
      <c r="D209" s="93">
        <v>0</v>
      </c>
      <c r="E209" s="93">
        <v>0</v>
      </c>
      <c r="F209" s="88">
        <f t="shared" si="69"/>
        <v>0</v>
      </c>
      <c r="G209" s="88">
        <f t="shared" si="69"/>
        <v>0</v>
      </c>
      <c r="H209" s="89">
        <v>1</v>
      </c>
      <c r="I209" s="89">
        <v>550</v>
      </c>
      <c r="J209" s="89">
        <f t="shared" si="70"/>
        <v>2</v>
      </c>
      <c r="K209" s="89">
        <f t="shared" si="70"/>
        <v>1580</v>
      </c>
      <c r="L209" s="90">
        <v>0</v>
      </c>
      <c r="M209" s="91">
        <v>0</v>
      </c>
      <c r="N209" s="92">
        <f t="shared" si="71"/>
        <v>0</v>
      </c>
      <c r="O209" s="92">
        <f t="shared" si="72"/>
        <v>0</v>
      </c>
      <c r="P209">
        <v>0</v>
      </c>
      <c r="Q209">
        <v>0</v>
      </c>
      <c r="R209">
        <v>2</v>
      </c>
      <c r="S209">
        <v>1800</v>
      </c>
    </row>
    <row r="210" spans="1:19" x14ac:dyDescent="0.2">
      <c r="A210" s="6" t="s">
        <v>37</v>
      </c>
      <c r="B210" s="90" t="s">
        <v>155</v>
      </c>
      <c r="C210" s="90">
        <v>5</v>
      </c>
      <c r="D210" s="93">
        <v>0</v>
      </c>
      <c r="E210" s="93">
        <v>0</v>
      </c>
      <c r="F210" s="88">
        <f t="shared" si="69"/>
        <v>0</v>
      </c>
      <c r="G210" s="88">
        <f t="shared" si="69"/>
        <v>0</v>
      </c>
      <c r="H210" s="89">
        <v>0</v>
      </c>
      <c r="I210" s="89">
        <v>0</v>
      </c>
      <c r="J210" s="89">
        <f t="shared" si="70"/>
        <v>2</v>
      </c>
      <c r="K210" s="89">
        <f t="shared" si="70"/>
        <v>1580</v>
      </c>
      <c r="L210" s="90">
        <v>0</v>
      </c>
      <c r="M210" s="91">
        <v>0</v>
      </c>
      <c r="N210" s="92">
        <f t="shared" si="71"/>
        <v>0</v>
      </c>
      <c r="O210" s="92">
        <f t="shared" si="72"/>
        <v>0</v>
      </c>
      <c r="P210">
        <v>0</v>
      </c>
      <c r="Q210">
        <v>0</v>
      </c>
      <c r="R210">
        <v>2</v>
      </c>
      <c r="S210">
        <v>1800</v>
      </c>
    </row>
    <row r="211" spans="1:19" x14ac:dyDescent="0.2">
      <c r="A211" s="6" t="s">
        <v>37</v>
      </c>
      <c r="B211" s="90" t="s">
        <v>156</v>
      </c>
      <c r="C211" s="90">
        <v>6</v>
      </c>
      <c r="D211" s="93">
        <v>0</v>
      </c>
      <c r="E211" s="93">
        <v>0</v>
      </c>
      <c r="F211" s="88">
        <f t="shared" si="69"/>
        <v>0</v>
      </c>
      <c r="G211" s="88">
        <f t="shared" si="69"/>
        <v>0</v>
      </c>
      <c r="H211" s="89">
        <v>4</v>
      </c>
      <c r="I211" s="89">
        <v>21500</v>
      </c>
      <c r="J211" s="89">
        <f t="shared" si="70"/>
        <v>6</v>
      </c>
      <c r="K211" s="89">
        <f t="shared" si="70"/>
        <v>23080</v>
      </c>
      <c r="L211" s="90">
        <v>1</v>
      </c>
      <c r="M211" s="91">
        <v>2200</v>
      </c>
      <c r="N211" s="92">
        <f t="shared" si="71"/>
        <v>1</v>
      </c>
      <c r="O211" s="92">
        <f t="shared" si="72"/>
        <v>2200</v>
      </c>
      <c r="P211">
        <v>1</v>
      </c>
      <c r="Q211">
        <v>1180</v>
      </c>
      <c r="R211">
        <v>3</v>
      </c>
      <c r="S211">
        <v>2980</v>
      </c>
    </row>
    <row r="212" spans="1:19" x14ac:dyDescent="0.2">
      <c r="A212" s="6" t="s">
        <v>37</v>
      </c>
      <c r="B212" s="90" t="s">
        <v>157</v>
      </c>
      <c r="C212" s="90">
        <v>7</v>
      </c>
      <c r="D212" s="93">
        <v>1</v>
      </c>
      <c r="E212" s="93">
        <v>1200</v>
      </c>
      <c r="F212" s="88">
        <f t="shared" si="69"/>
        <v>1</v>
      </c>
      <c r="G212" s="88">
        <f t="shared" si="69"/>
        <v>1200</v>
      </c>
      <c r="H212" s="89">
        <v>1</v>
      </c>
      <c r="I212" s="89">
        <v>600</v>
      </c>
      <c r="J212" s="89">
        <f t="shared" si="70"/>
        <v>7</v>
      </c>
      <c r="K212" s="89">
        <f t="shared" si="70"/>
        <v>23680</v>
      </c>
      <c r="L212" s="90">
        <v>0</v>
      </c>
      <c r="M212" s="91">
        <v>0</v>
      </c>
      <c r="N212" s="92">
        <f t="shared" si="71"/>
        <v>1</v>
      </c>
      <c r="O212" s="92">
        <f t="shared" si="72"/>
        <v>2200</v>
      </c>
      <c r="P212">
        <v>1</v>
      </c>
      <c r="Q212">
        <v>6960</v>
      </c>
      <c r="R212">
        <v>4</v>
      </c>
      <c r="S212">
        <v>9940</v>
      </c>
    </row>
    <row r="213" spans="1:19" x14ac:dyDescent="0.2">
      <c r="A213" s="6" t="s">
        <v>37</v>
      </c>
      <c r="B213" s="90" t="s">
        <v>158</v>
      </c>
      <c r="C213" s="90">
        <v>8</v>
      </c>
      <c r="D213" s="93">
        <v>1</v>
      </c>
      <c r="E213" s="93">
        <v>7061.35</v>
      </c>
      <c r="F213" s="88">
        <f t="shared" si="69"/>
        <v>2</v>
      </c>
      <c r="G213" s="88">
        <f t="shared" si="69"/>
        <v>8261.35</v>
      </c>
      <c r="H213" s="89">
        <v>0</v>
      </c>
      <c r="I213" s="89">
        <v>0</v>
      </c>
      <c r="J213" s="89">
        <f t="shared" si="70"/>
        <v>7</v>
      </c>
      <c r="K213" s="89">
        <f t="shared" si="70"/>
        <v>23680</v>
      </c>
      <c r="L213" s="90">
        <v>0</v>
      </c>
      <c r="M213" s="91">
        <v>0</v>
      </c>
      <c r="N213" s="92">
        <f t="shared" si="71"/>
        <v>1</v>
      </c>
      <c r="O213" s="92">
        <f t="shared" si="72"/>
        <v>2200</v>
      </c>
      <c r="P213">
        <v>0</v>
      </c>
      <c r="Q213">
        <v>0</v>
      </c>
      <c r="R213">
        <v>4</v>
      </c>
      <c r="S213">
        <v>9940</v>
      </c>
    </row>
    <row r="214" spans="1:19" x14ac:dyDescent="0.2">
      <c r="A214" s="6" t="s">
        <v>37</v>
      </c>
      <c r="B214" s="90" t="s">
        <v>159</v>
      </c>
      <c r="C214" s="90">
        <v>9</v>
      </c>
      <c r="D214" s="93">
        <v>1</v>
      </c>
      <c r="E214" s="93">
        <v>400</v>
      </c>
      <c r="F214" s="88">
        <f t="shared" si="69"/>
        <v>3</v>
      </c>
      <c r="G214" s="88">
        <f t="shared" si="69"/>
        <v>8661.35</v>
      </c>
      <c r="H214" s="89">
        <v>0</v>
      </c>
      <c r="I214" s="89">
        <v>0</v>
      </c>
      <c r="J214" s="89">
        <f t="shared" si="70"/>
        <v>7</v>
      </c>
      <c r="K214" s="89">
        <f t="shared" si="70"/>
        <v>23680</v>
      </c>
      <c r="L214" s="90">
        <v>0</v>
      </c>
      <c r="M214" s="91">
        <v>0</v>
      </c>
      <c r="N214" s="92">
        <f t="shared" si="71"/>
        <v>1</v>
      </c>
      <c r="O214" s="92">
        <f t="shared" si="72"/>
        <v>2200</v>
      </c>
      <c r="P214">
        <v>3</v>
      </c>
      <c r="Q214">
        <v>3300</v>
      </c>
      <c r="R214">
        <v>7</v>
      </c>
      <c r="S214">
        <v>13240</v>
      </c>
    </row>
    <row r="215" spans="1:19" x14ac:dyDescent="0.2">
      <c r="A215" s="6" t="s">
        <v>37</v>
      </c>
      <c r="B215" s="90" t="s">
        <v>160</v>
      </c>
      <c r="C215" s="90">
        <v>10</v>
      </c>
      <c r="D215" s="93">
        <v>0</v>
      </c>
      <c r="E215" s="93">
        <v>0</v>
      </c>
      <c r="F215" s="88">
        <f t="shared" si="69"/>
        <v>3</v>
      </c>
      <c r="G215" s="88">
        <f t="shared" si="69"/>
        <v>8661.35</v>
      </c>
      <c r="H215" s="89">
        <v>0</v>
      </c>
      <c r="I215" s="89">
        <v>0</v>
      </c>
      <c r="J215" s="89">
        <f t="shared" si="70"/>
        <v>7</v>
      </c>
      <c r="K215" s="89">
        <f t="shared" si="70"/>
        <v>23680</v>
      </c>
      <c r="L215" s="90">
        <v>1</v>
      </c>
      <c r="M215" s="91">
        <v>550</v>
      </c>
      <c r="N215" s="92">
        <f t="shared" si="71"/>
        <v>2</v>
      </c>
      <c r="O215" s="92">
        <f t="shared" si="72"/>
        <v>2750</v>
      </c>
      <c r="P215">
        <v>0</v>
      </c>
      <c r="Q215">
        <v>0</v>
      </c>
      <c r="R215">
        <v>7</v>
      </c>
      <c r="S215">
        <v>13240</v>
      </c>
    </row>
    <row r="216" spans="1:19" x14ac:dyDescent="0.2">
      <c r="A216" s="6" t="s">
        <v>37</v>
      </c>
      <c r="B216" s="90" t="s">
        <v>161</v>
      </c>
      <c r="C216" s="90">
        <v>11</v>
      </c>
      <c r="D216" s="93">
        <v>2</v>
      </c>
      <c r="E216" s="93">
        <v>14820</v>
      </c>
      <c r="F216" s="88">
        <f t="shared" si="69"/>
        <v>5</v>
      </c>
      <c r="G216" s="88">
        <f t="shared" si="69"/>
        <v>23481.35</v>
      </c>
      <c r="H216" s="89">
        <v>1</v>
      </c>
      <c r="I216" s="89">
        <v>1750</v>
      </c>
      <c r="J216" s="89">
        <f t="shared" si="70"/>
        <v>8</v>
      </c>
      <c r="K216" s="89">
        <f t="shared" si="70"/>
        <v>25430</v>
      </c>
      <c r="L216" s="90">
        <v>2</v>
      </c>
      <c r="M216" s="91">
        <v>1170</v>
      </c>
      <c r="N216" s="92">
        <f t="shared" si="71"/>
        <v>4</v>
      </c>
      <c r="O216" s="92">
        <f t="shared" si="72"/>
        <v>3920</v>
      </c>
      <c r="P216" s="86"/>
      <c r="Q216" s="86">
        <v>0</v>
      </c>
    </row>
    <row r="217" spans="1:19" x14ac:dyDescent="0.2">
      <c r="A217" s="6" t="s">
        <v>37</v>
      </c>
      <c r="B217" s="90" t="s">
        <v>162</v>
      </c>
      <c r="C217" s="90">
        <v>12</v>
      </c>
      <c r="D217" s="93">
        <v>1</v>
      </c>
      <c r="E217" s="88">
        <v>3550</v>
      </c>
      <c r="F217" s="88">
        <f t="shared" si="69"/>
        <v>6</v>
      </c>
      <c r="G217" s="88">
        <f t="shared" si="69"/>
        <v>27031.35</v>
      </c>
      <c r="H217" s="89">
        <v>0</v>
      </c>
      <c r="I217" s="89">
        <v>0</v>
      </c>
      <c r="J217" s="89">
        <f t="shared" si="70"/>
        <v>8</v>
      </c>
      <c r="K217" s="89">
        <f t="shared" si="70"/>
        <v>25430</v>
      </c>
      <c r="L217" s="90">
        <v>1</v>
      </c>
      <c r="M217" s="91">
        <v>580</v>
      </c>
      <c r="N217" s="92">
        <f t="shared" si="71"/>
        <v>5</v>
      </c>
      <c r="O217" s="92">
        <f t="shared" si="72"/>
        <v>4500</v>
      </c>
      <c r="P217" s="86"/>
      <c r="Q217" s="86">
        <v>0</v>
      </c>
    </row>
    <row r="218" spans="1:19" x14ac:dyDescent="0.2">
      <c r="A218" s="6" t="s">
        <v>91</v>
      </c>
      <c r="B218" s="90" t="s">
        <v>151</v>
      </c>
      <c r="C218" s="90">
        <v>1</v>
      </c>
      <c r="D218" s="93">
        <v>0</v>
      </c>
      <c r="E218" s="93">
        <v>0</v>
      </c>
      <c r="F218" s="88">
        <f>D218</f>
        <v>0</v>
      </c>
      <c r="G218" s="88">
        <f>E218</f>
        <v>0</v>
      </c>
      <c r="H218" s="89">
        <v>1</v>
      </c>
      <c r="I218" s="89">
        <v>3042</v>
      </c>
      <c r="J218" s="89">
        <f>H218</f>
        <v>1</v>
      </c>
      <c r="K218" s="89">
        <f>I218</f>
        <v>3042</v>
      </c>
      <c r="L218" s="90">
        <v>1</v>
      </c>
      <c r="M218" s="91">
        <v>2463</v>
      </c>
      <c r="N218" s="92">
        <f>L218</f>
        <v>1</v>
      </c>
      <c r="O218" s="92">
        <f>M218</f>
        <v>2463</v>
      </c>
      <c r="P218">
        <v>4</v>
      </c>
      <c r="Q218">
        <v>4057</v>
      </c>
      <c r="R218">
        <v>4</v>
      </c>
      <c r="S218">
        <v>4057</v>
      </c>
    </row>
    <row r="219" spans="1:19" x14ac:dyDescent="0.2">
      <c r="A219" s="6" t="s">
        <v>91</v>
      </c>
      <c r="B219" s="90" t="s">
        <v>152</v>
      </c>
      <c r="C219" s="90">
        <v>2</v>
      </c>
      <c r="D219" s="93">
        <v>1</v>
      </c>
      <c r="E219" s="93">
        <v>800</v>
      </c>
      <c r="F219" s="88">
        <f t="shared" ref="F219:G229" si="73">F218+D219</f>
        <v>1</v>
      </c>
      <c r="G219" s="88">
        <f t="shared" si="73"/>
        <v>800</v>
      </c>
      <c r="H219" s="89">
        <v>0</v>
      </c>
      <c r="I219" s="89">
        <v>0</v>
      </c>
      <c r="J219" s="89">
        <f t="shared" ref="J219:K229" si="74">J218+H219</f>
        <v>1</v>
      </c>
      <c r="K219" s="89">
        <f t="shared" si="74"/>
        <v>3042</v>
      </c>
      <c r="L219" s="90">
        <v>1</v>
      </c>
      <c r="M219" s="91">
        <v>870</v>
      </c>
      <c r="N219" s="92">
        <f t="shared" ref="N219:N229" si="75">N218+L219</f>
        <v>2</v>
      </c>
      <c r="O219" s="92">
        <f t="shared" ref="O219:O229" si="76">O218+M219</f>
        <v>3333</v>
      </c>
      <c r="P219">
        <v>0</v>
      </c>
      <c r="Q219">
        <v>0</v>
      </c>
      <c r="R219">
        <v>4</v>
      </c>
      <c r="S219">
        <v>4057</v>
      </c>
    </row>
    <row r="220" spans="1:19" x14ac:dyDescent="0.2">
      <c r="A220" s="6" t="s">
        <v>91</v>
      </c>
      <c r="B220" s="90" t="s">
        <v>153</v>
      </c>
      <c r="C220" s="90">
        <v>3</v>
      </c>
      <c r="D220" s="93">
        <v>0</v>
      </c>
      <c r="E220" s="93">
        <v>0</v>
      </c>
      <c r="F220" s="88">
        <f t="shared" si="73"/>
        <v>1</v>
      </c>
      <c r="G220" s="88">
        <f t="shared" si="73"/>
        <v>800</v>
      </c>
      <c r="H220" s="89">
        <v>0</v>
      </c>
      <c r="I220" s="89">
        <v>0</v>
      </c>
      <c r="J220" s="89">
        <f t="shared" si="74"/>
        <v>1</v>
      </c>
      <c r="K220" s="89">
        <f t="shared" si="74"/>
        <v>3042</v>
      </c>
      <c r="L220" s="90">
        <v>0</v>
      </c>
      <c r="M220" s="91">
        <v>0</v>
      </c>
      <c r="N220" s="92">
        <f t="shared" si="75"/>
        <v>2</v>
      </c>
      <c r="O220" s="92">
        <f t="shared" si="76"/>
        <v>3333</v>
      </c>
      <c r="P220">
        <v>1</v>
      </c>
      <c r="Q220">
        <v>1750</v>
      </c>
      <c r="R220">
        <v>5</v>
      </c>
      <c r="S220">
        <v>5807</v>
      </c>
    </row>
    <row r="221" spans="1:19" x14ac:dyDescent="0.2">
      <c r="A221" s="6" t="s">
        <v>91</v>
      </c>
      <c r="B221" s="90" t="s">
        <v>154</v>
      </c>
      <c r="C221" s="90">
        <v>4</v>
      </c>
      <c r="D221" s="93">
        <v>0</v>
      </c>
      <c r="E221" s="93">
        <v>0</v>
      </c>
      <c r="F221" s="88">
        <f t="shared" si="73"/>
        <v>1</v>
      </c>
      <c r="G221" s="88">
        <f t="shared" si="73"/>
        <v>800</v>
      </c>
      <c r="H221" s="89">
        <v>0</v>
      </c>
      <c r="I221" s="89">
        <v>0</v>
      </c>
      <c r="J221" s="89">
        <f t="shared" si="74"/>
        <v>1</v>
      </c>
      <c r="K221" s="89">
        <f t="shared" si="74"/>
        <v>3042</v>
      </c>
      <c r="L221" s="90">
        <v>0</v>
      </c>
      <c r="M221" s="91">
        <v>0</v>
      </c>
      <c r="N221" s="92">
        <f t="shared" si="75"/>
        <v>2</v>
      </c>
      <c r="O221" s="92">
        <f t="shared" si="76"/>
        <v>3333</v>
      </c>
      <c r="P221">
        <v>0</v>
      </c>
      <c r="Q221">
        <v>0</v>
      </c>
      <c r="R221">
        <v>5</v>
      </c>
      <c r="S221">
        <v>5807</v>
      </c>
    </row>
    <row r="222" spans="1:19" x14ac:dyDescent="0.2">
      <c r="A222" s="6" t="s">
        <v>91</v>
      </c>
      <c r="B222" s="90" t="s">
        <v>155</v>
      </c>
      <c r="C222" s="90">
        <v>5</v>
      </c>
      <c r="D222" s="93">
        <v>0</v>
      </c>
      <c r="E222" s="93">
        <v>0</v>
      </c>
      <c r="F222" s="88">
        <f t="shared" si="73"/>
        <v>1</v>
      </c>
      <c r="G222" s="88">
        <f t="shared" si="73"/>
        <v>800</v>
      </c>
      <c r="H222" s="89">
        <v>0</v>
      </c>
      <c r="I222" s="89">
        <v>0</v>
      </c>
      <c r="J222" s="89">
        <f t="shared" si="74"/>
        <v>1</v>
      </c>
      <c r="K222" s="89">
        <f t="shared" si="74"/>
        <v>3042</v>
      </c>
      <c r="L222" s="90">
        <v>0</v>
      </c>
      <c r="M222" s="91">
        <v>0</v>
      </c>
      <c r="N222" s="92">
        <f t="shared" si="75"/>
        <v>2</v>
      </c>
      <c r="O222" s="92">
        <f t="shared" si="76"/>
        <v>3333</v>
      </c>
      <c r="P222">
        <v>1</v>
      </c>
      <c r="Q222">
        <v>2000</v>
      </c>
      <c r="R222">
        <v>6</v>
      </c>
      <c r="S222">
        <v>7807</v>
      </c>
    </row>
    <row r="223" spans="1:19" x14ac:dyDescent="0.2">
      <c r="A223" s="6" t="s">
        <v>91</v>
      </c>
      <c r="B223" s="90" t="s">
        <v>156</v>
      </c>
      <c r="C223" s="90">
        <v>6</v>
      </c>
      <c r="D223" s="93">
        <v>0</v>
      </c>
      <c r="E223" s="93">
        <v>0</v>
      </c>
      <c r="F223" s="88">
        <f t="shared" si="73"/>
        <v>1</v>
      </c>
      <c r="G223" s="88">
        <f t="shared" si="73"/>
        <v>800</v>
      </c>
      <c r="H223" s="89">
        <v>1</v>
      </c>
      <c r="I223" s="89">
        <v>942.5</v>
      </c>
      <c r="J223" s="89">
        <f t="shared" si="74"/>
        <v>2</v>
      </c>
      <c r="K223" s="89">
        <f t="shared" si="74"/>
        <v>3984.5</v>
      </c>
      <c r="L223" s="90">
        <v>0</v>
      </c>
      <c r="M223" s="91">
        <v>0</v>
      </c>
      <c r="N223" s="92">
        <f t="shared" si="75"/>
        <v>2</v>
      </c>
      <c r="O223" s="92">
        <f t="shared" si="76"/>
        <v>3333</v>
      </c>
      <c r="P223">
        <v>5</v>
      </c>
      <c r="Q223">
        <v>5145</v>
      </c>
      <c r="R223">
        <v>11</v>
      </c>
      <c r="S223">
        <v>12952</v>
      </c>
    </row>
    <row r="224" spans="1:19" x14ac:dyDescent="0.2">
      <c r="A224" s="6" t="s">
        <v>91</v>
      </c>
      <c r="B224" s="90" t="s">
        <v>157</v>
      </c>
      <c r="C224" s="90">
        <v>7</v>
      </c>
      <c r="D224" s="93">
        <v>0</v>
      </c>
      <c r="E224" s="93">
        <v>0</v>
      </c>
      <c r="F224" s="88">
        <f t="shared" si="73"/>
        <v>1</v>
      </c>
      <c r="G224" s="88">
        <f t="shared" si="73"/>
        <v>800</v>
      </c>
      <c r="H224" s="89">
        <v>0</v>
      </c>
      <c r="I224" s="89">
        <v>0</v>
      </c>
      <c r="J224" s="89">
        <f t="shared" si="74"/>
        <v>2</v>
      </c>
      <c r="K224" s="89">
        <f t="shared" si="74"/>
        <v>3984.5</v>
      </c>
      <c r="L224" s="90">
        <v>0</v>
      </c>
      <c r="M224" s="91">
        <v>0</v>
      </c>
      <c r="N224" s="92">
        <f t="shared" si="75"/>
        <v>2</v>
      </c>
      <c r="O224" s="92">
        <f t="shared" si="76"/>
        <v>3333</v>
      </c>
      <c r="P224">
        <v>3</v>
      </c>
      <c r="Q224">
        <v>5119.8</v>
      </c>
      <c r="R224">
        <v>14</v>
      </c>
      <c r="S224">
        <v>18071.8</v>
      </c>
    </row>
    <row r="225" spans="1:19" x14ac:dyDescent="0.2">
      <c r="A225" s="6" t="s">
        <v>91</v>
      </c>
      <c r="B225" s="90" t="s">
        <v>158</v>
      </c>
      <c r="C225" s="90">
        <v>8</v>
      </c>
      <c r="D225" s="93">
        <v>0</v>
      </c>
      <c r="E225" s="93">
        <v>0</v>
      </c>
      <c r="F225" s="88">
        <f t="shared" si="73"/>
        <v>1</v>
      </c>
      <c r="G225" s="88">
        <f t="shared" si="73"/>
        <v>800</v>
      </c>
      <c r="H225" s="89">
        <v>1</v>
      </c>
      <c r="I225" s="89">
        <v>826</v>
      </c>
      <c r="J225" s="89">
        <f t="shared" si="74"/>
        <v>3</v>
      </c>
      <c r="K225" s="89">
        <f t="shared" si="74"/>
        <v>4810.5</v>
      </c>
      <c r="L225" s="90">
        <v>2</v>
      </c>
      <c r="M225" s="91">
        <v>4500</v>
      </c>
      <c r="N225" s="92">
        <f t="shared" si="75"/>
        <v>4</v>
      </c>
      <c r="O225" s="92">
        <f t="shared" si="76"/>
        <v>7833</v>
      </c>
      <c r="P225">
        <v>1</v>
      </c>
      <c r="Q225">
        <v>788</v>
      </c>
      <c r="R225">
        <v>15</v>
      </c>
      <c r="S225">
        <v>18859.8</v>
      </c>
    </row>
    <row r="226" spans="1:19" x14ac:dyDescent="0.2">
      <c r="A226" s="6" t="s">
        <v>91</v>
      </c>
      <c r="B226" s="90" t="s">
        <v>159</v>
      </c>
      <c r="C226" s="90">
        <v>9</v>
      </c>
      <c r="D226" s="88">
        <v>2</v>
      </c>
      <c r="E226" s="88">
        <v>24472</v>
      </c>
      <c r="F226" s="88">
        <f t="shared" si="73"/>
        <v>3</v>
      </c>
      <c r="G226" s="88">
        <f t="shared" si="73"/>
        <v>25272</v>
      </c>
      <c r="H226" s="89">
        <v>0</v>
      </c>
      <c r="I226" s="89">
        <v>0</v>
      </c>
      <c r="J226" s="89">
        <f t="shared" si="74"/>
        <v>3</v>
      </c>
      <c r="K226" s="89">
        <f t="shared" si="74"/>
        <v>4810.5</v>
      </c>
      <c r="L226" s="90">
        <v>1</v>
      </c>
      <c r="M226" s="91">
        <v>800</v>
      </c>
      <c r="N226" s="92">
        <f t="shared" si="75"/>
        <v>5</v>
      </c>
      <c r="O226" s="92">
        <f t="shared" si="76"/>
        <v>8633</v>
      </c>
      <c r="P226">
        <v>3</v>
      </c>
      <c r="Q226">
        <v>4812</v>
      </c>
      <c r="R226">
        <v>18</v>
      </c>
      <c r="S226">
        <v>23671.8</v>
      </c>
    </row>
    <row r="227" spans="1:19" x14ac:dyDescent="0.2">
      <c r="A227" s="6" t="s">
        <v>91</v>
      </c>
      <c r="B227" s="90" t="s">
        <v>160</v>
      </c>
      <c r="C227" s="90">
        <v>10</v>
      </c>
      <c r="D227" s="93">
        <v>0</v>
      </c>
      <c r="E227" s="93">
        <v>0</v>
      </c>
      <c r="F227" s="88">
        <f t="shared" si="73"/>
        <v>3</v>
      </c>
      <c r="G227" s="88">
        <f t="shared" si="73"/>
        <v>25272</v>
      </c>
      <c r="H227" s="89">
        <v>2</v>
      </c>
      <c r="I227" s="89">
        <v>2248</v>
      </c>
      <c r="J227" s="89">
        <f t="shared" si="74"/>
        <v>5</v>
      </c>
      <c r="K227" s="89">
        <f t="shared" si="74"/>
        <v>7058.5</v>
      </c>
      <c r="L227" s="90">
        <v>2</v>
      </c>
      <c r="M227" s="91">
        <v>23500</v>
      </c>
      <c r="N227" s="92">
        <f t="shared" si="75"/>
        <v>7</v>
      </c>
      <c r="O227" s="92">
        <f t="shared" si="76"/>
        <v>32133</v>
      </c>
      <c r="P227">
        <v>0</v>
      </c>
      <c r="Q227">
        <v>0</v>
      </c>
      <c r="R227">
        <v>18</v>
      </c>
      <c r="S227">
        <v>23671.8</v>
      </c>
    </row>
    <row r="228" spans="1:19" x14ac:dyDescent="0.2">
      <c r="A228" s="6" t="s">
        <v>91</v>
      </c>
      <c r="B228" s="90" t="s">
        <v>161</v>
      </c>
      <c r="C228" s="90">
        <v>11</v>
      </c>
      <c r="D228" s="93">
        <v>0</v>
      </c>
      <c r="E228" s="93">
        <v>0</v>
      </c>
      <c r="F228" s="88">
        <f t="shared" si="73"/>
        <v>3</v>
      </c>
      <c r="G228" s="88">
        <f t="shared" si="73"/>
        <v>25272</v>
      </c>
      <c r="H228" s="89">
        <v>1</v>
      </c>
      <c r="I228" s="89">
        <v>440</v>
      </c>
      <c r="J228" s="89">
        <f t="shared" si="74"/>
        <v>6</v>
      </c>
      <c r="K228" s="89">
        <f t="shared" si="74"/>
        <v>7498.5</v>
      </c>
      <c r="L228" s="90">
        <v>2</v>
      </c>
      <c r="M228" s="91">
        <v>801</v>
      </c>
      <c r="N228" s="92">
        <f t="shared" si="75"/>
        <v>9</v>
      </c>
      <c r="O228" s="92">
        <f t="shared" si="76"/>
        <v>32934</v>
      </c>
      <c r="P228" s="86"/>
      <c r="Q228" s="86">
        <v>0</v>
      </c>
    </row>
    <row r="229" spans="1:19" x14ac:dyDescent="0.2">
      <c r="A229" s="6" t="s">
        <v>91</v>
      </c>
      <c r="B229" s="90" t="s">
        <v>162</v>
      </c>
      <c r="C229" s="90">
        <v>12</v>
      </c>
      <c r="D229" s="93">
        <v>0</v>
      </c>
      <c r="E229" s="93">
        <v>0</v>
      </c>
      <c r="F229" s="88">
        <f t="shared" si="73"/>
        <v>3</v>
      </c>
      <c r="G229" s="88">
        <f t="shared" si="73"/>
        <v>25272</v>
      </c>
      <c r="H229" s="89">
        <v>3</v>
      </c>
      <c r="I229" s="89">
        <v>39849</v>
      </c>
      <c r="J229" s="89">
        <f t="shared" si="74"/>
        <v>9</v>
      </c>
      <c r="K229" s="89">
        <f t="shared" si="74"/>
        <v>47347.5</v>
      </c>
      <c r="L229" s="90">
        <v>2</v>
      </c>
      <c r="M229" s="91">
        <v>3997</v>
      </c>
      <c r="N229" s="92">
        <f t="shared" si="75"/>
        <v>11</v>
      </c>
      <c r="O229" s="92">
        <f t="shared" si="76"/>
        <v>36931</v>
      </c>
      <c r="P229" s="86"/>
      <c r="Q229" s="86">
        <v>0</v>
      </c>
    </row>
    <row r="230" spans="1:19" x14ac:dyDescent="0.2">
      <c r="A230" s="6" t="s">
        <v>126</v>
      </c>
      <c r="B230" s="90" t="s">
        <v>151</v>
      </c>
      <c r="C230" s="90">
        <v>1</v>
      </c>
      <c r="D230" s="93">
        <v>1</v>
      </c>
      <c r="E230" s="93">
        <v>10207.99</v>
      </c>
      <c r="F230" s="88">
        <f>D230</f>
        <v>1</v>
      </c>
      <c r="G230" s="88">
        <f>E230</f>
        <v>10207.99</v>
      </c>
      <c r="H230" s="89">
        <v>1</v>
      </c>
      <c r="I230" s="89">
        <v>6100</v>
      </c>
      <c r="J230" s="89">
        <f>H230</f>
        <v>1</v>
      </c>
      <c r="K230" s="89">
        <f>I230</f>
        <v>6100</v>
      </c>
      <c r="L230" s="90">
        <v>2</v>
      </c>
      <c r="M230" s="91">
        <v>14200</v>
      </c>
      <c r="N230" s="92">
        <f>L230</f>
        <v>2</v>
      </c>
      <c r="O230" s="92">
        <f>M230</f>
        <v>14200</v>
      </c>
      <c r="P230">
        <v>2</v>
      </c>
      <c r="Q230">
        <v>11050</v>
      </c>
      <c r="R230">
        <v>2</v>
      </c>
      <c r="S230">
        <v>11050</v>
      </c>
    </row>
    <row r="231" spans="1:19" x14ac:dyDescent="0.2">
      <c r="A231" s="6" t="s">
        <v>126</v>
      </c>
      <c r="B231" s="90" t="s">
        <v>152</v>
      </c>
      <c r="C231" s="90">
        <v>2</v>
      </c>
      <c r="D231" s="93">
        <v>0</v>
      </c>
      <c r="E231" s="93">
        <v>0</v>
      </c>
      <c r="F231" s="88">
        <f t="shared" ref="F231:G241" si="77">F230+D231</f>
        <v>1</v>
      </c>
      <c r="G231" s="88">
        <f t="shared" si="77"/>
        <v>10207.99</v>
      </c>
      <c r="H231" s="89">
        <v>1</v>
      </c>
      <c r="I231" s="89">
        <v>1800</v>
      </c>
      <c r="J231" s="89">
        <f t="shared" ref="J231:K241" si="78">J230+H231</f>
        <v>2</v>
      </c>
      <c r="K231" s="89">
        <f t="shared" si="78"/>
        <v>7900</v>
      </c>
      <c r="L231" s="90">
        <v>2</v>
      </c>
      <c r="M231" s="91">
        <v>13500</v>
      </c>
      <c r="N231" s="92">
        <f t="shared" ref="N231:N241" si="79">N230+L231</f>
        <v>4</v>
      </c>
      <c r="O231" s="92">
        <f t="shared" ref="O231:O241" si="80">O230+M231</f>
        <v>27700</v>
      </c>
      <c r="P231">
        <v>2</v>
      </c>
      <c r="Q231">
        <v>7500</v>
      </c>
      <c r="R231">
        <v>4</v>
      </c>
      <c r="S231">
        <v>18550</v>
      </c>
    </row>
    <row r="232" spans="1:19" x14ac:dyDescent="0.2">
      <c r="A232" s="6" t="s">
        <v>126</v>
      </c>
      <c r="B232" s="90" t="s">
        <v>153</v>
      </c>
      <c r="C232" s="90">
        <v>3</v>
      </c>
      <c r="D232" s="93">
        <v>1</v>
      </c>
      <c r="E232" s="93">
        <v>8837.9500000000007</v>
      </c>
      <c r="F232" s="88">
        <f t="shared" si="77"/>
        <v>2</v>
      </c>
      <c r="G232" s="88">
        <f t="shared" si="77"/>
        <v>19045.940000000002</v>
      </c>
      <c r="H232" s="89">
        <v>0</v>
      </c>
      <c r="I232" s="89">
        <v>0</v>
      </c>
      <c r="J232" s="89">
        <f t="shared" si="78"/>
        <v>2</v>
      </c>
      <c r="K232" s="89">
        <f t="shared" si="78"/>
        <v>7900</v>
      </c>
      <c r="L232" s="90">
        <v>1</v>
      </c>
      <c r="M232" s="91">
        <v>13000</v>
      </c>
      <c r="N232" s="92">
        <f t="shared" si="79"/>
        <v>5</v>
      </c>
      <c r="O232" s="92">
        <f t="shared" si="80"/>
        <v>40700</v>
      </c>
      <c r="P232">
        <v>3</v>
      </c>
      <c r="Q232">
        <v>18100</v>
      </c>
      <c r="R232">
        <v>7</v>
      </c>
      <c r="S232">
        <v>36650</v>
      </c>
    </row>
    <row r="233" spans="1:19" x14ac:dyDescent="0.2">
      <c r="A233" s="6" t="s">
        <v>126</v>
      </c>
      <c r="B233" s="90" t="s">
        <v>154</v>
      </c>
      <c r="C233" s="90">
        <v>4</v>
      </c>
      <c r="D233" s="93">
        <v>1</v>
      </c>
      <c r="E233" s="93">
        <v>3000</v>
      </c>
      <c r="F233" s="88">
        <f t="shared" si="77"/>
        <v>3</v>
      </c>
      <c r="G233" s="88">
        <f t="shared" si="77"/>
        <v>22045.940000000002</v>
      </c>
      <c r="H233" s="89">
        <v>3</v>
      </c>
      <c r="I233" s="89">
        <v>7800</v>
      </c>
      <c r="J233" s="89">
        <f t="shared" si="78"/>
        <v>5</v>
      </c>
      <c r="K233" s="89">
        <f t="shared" si="78"/>
        <v>15700</v>
      </c>
      <c r="L233" s="90">
        <v>2</v>
      </c>
      <c r="M233" s="91">
        <v>20864</v>
      </c>
      <c r="N233" s="92">
        <f t="shared" si="79"/>
        <v>7</v>
      </c>
      <c r="O233" s="92">
        <f t="shared" si="80"/>
        <v>61564</v>
      </c>
      <c r="P233">
        <v>0</v>
      </c>
      <c r="Q233">
        <v>0</v>
      </c>
      <c r="R233">
        <v>7</v>
      </c>
      <c r="S233">
        <v>36650</v>
      </c>
    </row>
    <row r="234" spans="1:19" x14ac:dyDescent="0.2">
      <c r="A234" s="6" t="s">
        <v>126</v>
      </c>
      <c r="B234" s="90" t="s">
        <v>155</v>
      </c>
      <c r="C234" s="90">
        <v>5</v>
      </c>
      <c r="D234" s="93">
        <v>0</v>
      </c>
      <c r="E234" s="93">
        <v>0</v>
      </c>
      <c r="F234" s="88">
        <f t="shared" si="77"/>
        <v>3</v>
      </c>
      <c r="G234" s="88">
        <f t="shared" si="77"/>
        <v>22045.940000000002</v>
      </c>
      <c r="H234" s="89">
        <v>3</v>
      </c>
      <c r="I234" s="89">
        <v>20920</v>
      </c>
      <c r="J234" s="89">
        <f t="shared" si="78"/>
        <v>8</v>
      </c>
      <c r="K234" s="89">
        <f t="shared" si="78"/>
        <v>36620</v>
      </c>
      <c r="L234" s="90">
        <v>0</v>
      </c>
      <c r="M234" s="91">
        <v>0</v>
      </c>
      <c r="N234" s="92">
        <f t="shared" si="79"/>
        <v>7</v>
      </c>
      <c r="O234" s="92">
        <f t="shared" si="80"/>
        <v>61564</v>
      </c>
      <c r="P234">
        <v>1</v>
      </c>
      <c r="Q234">
        <v>14760</v>
      </c>
      <c r="R234">
        <v>8</v>
      </c>
      <c r="S234">
        <v>51410</v>
      </c>
    </row>
    <row r="235" spans="1:19" x14ac:dyDescent="0.2">
      <c r="A235" s="6" t="s">
        <v>126</v>
      </c>
      <c r="B235" s="90" t="s">
        <v>156</v>
      </c>
      <c r="C235" s="90">
        <v>6</v>
      </c>
      <c r="D235" s="93">
        <v>2</v>
      </c>
      <c r="E235" s="88">
        <v>22795</v>
      </c>
      <c r="F235" s="88">
        <f t="shared" si="77"/>
        <v>5</v>
      </c>
      <c r="G235" s="88">
        <f t="shared" si="77"/>
        <v>44840.94</v>
      </c>
      <c r="H235" s="89">
        <v>1</v>
      </c>
      <c r="I235" s="89">
        <v>3500</v>
      </c>
      <c r="J235" s="89">
        <f t="shared" si="78"/>
        <v>9</v>
      </c>
      <c r="K235" s="89">
        <f t="shared" si="78"/>
        <v>40120</v>
      </c>
      <c r="L235" s="90">
        <v>2</v>
      </c>
      <c r="M235" s="91">
        <v>13600</v>
      </c>
      <c r="N235" s="92">
        <f t="shared" si="79"/>
        <v>9</v>
      </c>
      <c r="O235" s="92">
        <f t="shared" si="80"/>
        <v>75164</v>
      </c>
      <c r="P235">
        <v>2</v>
      </c>
      <c r="Q235">
        <v>20710</v>
      </c>
      <c r="R235">
        <v>10</v>
      </c>
      <c r="S235">
        <v>72120</v>
      </c>
    </row>
    <row r="236" spans="1:19" x14ac:dyDescent="0.2">
      <c r="A236" s="6" t="s">
        <v>126</v>
      </c>
      <c r="B236" s="90" t="s">
        <v>157</v>
      </c>
      <c r="C236" s="90">
        <v>7</v>
      </c>
      <c r="D236" s="93">
        <v>2</v>
      </c>
      <c r="E236" s="93">
        <v>10000</v>
      </c>
      <c r="F236" s="88">
        <f t="shared" si="77"/>
        <v>7</v>
      </c>
      <c r="G236" s="88">
        <f t="shared" si="77"/>
        <v>54840.94</v>
      </c>
      <c r="H236" s="89">
        <v>1</v>
      </c>
      <c r="I236" s="89">
        <v>600</v>
      </c>
      <c r="J236" s="89">
        <f t="shared" si="78"/>
        <v>10</v>
      </c>
      <c r="K236" s="89">
        <f t="shared" si="78"/>
        <v>40720</v>
      </c>
      <c r="L236" s="90">
        <v>3</v>
      </c>
      <c r="M236" s="91">
        <v>11600</v>
      </c>
      <c r="N236" s="92">
        <f t="shared" si="79"/>
        <v>12</v>
      </c>
      <c r="O236" s="92">
        <f t="shared" si="80"/>
        <v>86764</v>
      </c>
      <c r="P236">
        <v>1</v>
      </c>
      <c r="Q236">
        <v>1350</v>
      </c>
      <c r="R236">
        <v>11</v>
      </c>
      <c r="S236">
        <v>73470</v>
      </c>
    </row>
    <row r="237" spans="1:19" x14ac:dyDescent="0.2">
      <c r="A237" s="6" t="s">
        <v>126</v>
      </c>
      <c r="B237" s="90" t="s">
        <v>158</v>
      </c>
      <c r="C237" s="90">
        <v>8</v>
      </c>
      <c r="D237" s="93">
        <v>4</v>
      </c>
      <c r="E237" s="88">
        <v>46069.919999999998</v>
      </c>
      <c r="F237" s="88">
        <f t="shared" si="77"/>
        <v>11</v>
      </c>
      <c r="G237" s="88">
        <f t="shared" si="77"/>
        <v>100910.86</v>
      </c>
      <c r="H237" s="89">
        <v>2</v>
      </c>
      <c r="I237" s="89">
        <v>13200</v>
      </c>
      <c r="J237" s="89">
        <f t="shared" si="78"/>
        <v>12</v>
      </c>
      <c r="K237" s="89">
        <f t="shared" si="78"/>
        <v>53920</v>
      </c>
      <c r="L237" s="90">
        <v>1</v>
      </c>
      <c r="M237" s="91">
        <v>1200</v>
      </c>
      <c r="N237" s="92">
        <f t="shared" si="79"/>
        <v>13</v>
      </c>
      <c r="O237" s="92">
        <f t="shared" si="80"/>
        <v>87964</v>
      </c>
      <c r="P237">
        <v>1</v>
      </c>
      <c r="Q237">
        <v>10000</v>
      </c>
      <c r="R237">
        <v>12</v>
      </c>
      <c r="S237">
        <v>83470</v>
      </c>
    </row>
    <row r="238" spans="1:19" x14ac:dyDescent="0.2">
      <c r="A238" s="6" t="s">
        <v>126</v>
      </c>
      <c r="B238" s="90" t="s">
        <v>159</v>
      </c>
      <c r="C238" s="90">
        <v>9</v>
      </c>
      <c r="D238" s="93">
        <v>1</v>
      </c>
      <c r="E238" s="93">
        <v>9000</v>
      </c>
      <c r="F238" s="88">
        <f t="shared" si="77"/>
        <v>12</v>
      </c>
      <c r="G238" s="88">
        <f t="shared" si="77"/>
        <v>109910.86</v>
      </c>
      <c r="H238" s="89">
        <v>4</v>
      </c>
      <c r="I238" s="89">
        <v>28300</v>
      </c>
      <c r="J238" s="89">
        <f t="shared" si="78"/>
        <v>16</v>
      </c>
      <c r="K238" s="89">
        <f t="shared" si="78"/>
        <v>82220</v>
      </c>
      <c r="L238" s="90">
        <v>2</v>
      </c>
      <c r="M238" s="91">
        <v>9100</v>
      </c>
      <c r="N238" s="92">
        <f t="shared" si="79"/>
        <v>15</v>
      </c>
      <c r="O238" s="92">
        <f t="shared" si="80"/>
        <v>97064</v>
      </c>
      <c r="P238">
        <v>3</v>
      </c>
      <c r="Q238">
        <v>17550</v>
      </c>
      <c r="R238">
        <v>15</v>
      </c>
      <c r="S238">
        <v>101020</v>
      </c>
    </row>
    <row r="239" spans="1:19" x14ac:dyDescent="0.2">
      <c r="A239" s="6" t="s">
        <v>126</v>
      </c>
      <c r="B239" s="90" t="s">
        <v>160</v>
      </c>
      <c r="C239" s="90">
        <v>10</v>
      </c>
      <c r="D239" s="93">
        <v>5</v>
      </c>
      <c r="E239" s="88">
        <v>41696</v>
      </c>
      <c r="F239" s="88">
        <f t="shared" si="77"/>
        <v>17</v>
      </c>
      <c r="G239" s="88">
        <f t="shared" si="77"/>
        <v>151606.85999999999</v>
      </c>
      <c r="H239" s="89">
        <v>2</v>
      </c>
      <c r="I239" s="89">
        <v>53800</v>
      </c>
      <c r="J239" s="89">
        <f t="shared" si="78"/>
        <v>18</v>
      </c>
      <c r="K239" s="89">
        <f t="shared" si="78"/>
        <v>136020</v>
      </c>
      <c r="L239" s="90">
        <v>2</v>
      </c>
      <c r="M239" s="91">
        <v>2100</v>
      </c>
      <c r="N239" s="92">
        <f t="shared" si="79"/>
        <v>17</v>
      </c>
      <c r="O239" s="92">
        <f t="shared" si="80"/>
        <v>99164</v>
      </c>
      <c r="P239">
        <v>0</v>
      </c>
      <c r="Q239">
        <v>0</v>
      </c>
      <c r="R239">
        <v>15</v>
      </c>
      <c r="S239">
        <v>101020</v>
      </c>
    </row>
    <row r="240" spans="1:19" x14ac:dyDescent="0.2">
      <c r="A240" s="6" t="s">
        <v>126</v>
      </c>
      <c r="B240" s="90" t="s">
        <v>161</v>
      </c>
      <c r="C240" s="90">
        <v>11</v>
      </c>
      <c r="D240" s="93">
        <v>7</v>
      </c>
      <c r="E240" s="88">
        <v>36260</v>
      </c>
      <c r="F240" s="88">
        <f t="shared" si="77"/>
        <v>24</v>
      </c>
      <c r="G240" s="88">
        <f t="shared" si="77"/>
        <v>187866.86</v>
      </c>
      <c r="H240" s="89">
        <v>2</v>
      </c>
      <c r="I240" s="89">
        <v>8200</v>
      </c>
      <c r="J240" s="89">
        <f t="shared" si="78"/>
        <v>20</v>
      </c>
      <c r="K240" s="89">
        <f t="shared" si="78"/>
        <v>144220</v>
      </c>
      <c r="L240" s="90">
        <v>0</v>
      </c>
      <c r="M240" s="91">
        <v>0</v>
      </c>
      <c r="N240" s="92">
        <f t="shared" si="79"/>
        <v>17</v>
      </c>
      <c r="O240" s="92">
        <f t="shared" si="80"/>
        <v>99164</v>
      </c>
      <c r="P240" s="86"/>
      <c r="Q240" s="86">
        <v>0</v>
      </c>
    </row>
    <row r="241" spans="1:19" x14ac:dyDescent="0.2">
      <c r="A241" s="6" t="s">
        <v>126</v>
      </c>
      <c r="B241" s="90" t="s">
        <v>162</v>
      </c>
      <c r="C241" s="90">
        <v>12</v>
      </c>
      <c r="D241" s="93">
        <v>1</v>
      </c>
      <c r="E241" s="93">
        <v>11591.9</v>
      </c>
      <c r="F241" s="88">
        <f t="shared" si="77"/>
        <v>25</v>
      </c>
      <c r="G241" s="88">
        <f t="shared" si="77"/>
        <v>199458.75999999998</v>
      </c>
      <c r="H241" s="89">
        <v>1</v>
      </c>
      <c r="I241" s="89">
        <v>12400</v>
      </c>
      <c r="J241" s="89">
        <f t="shared" si="78"/>
        <v>21</v>
      </c>
      <c r="K241" s="89">
        <f t="shared" si="78"/>
        <v>156620</v>
      </c>
      <c r="L241" s="90">
        <v>0</v>
      </c>
      <c r="M241" s="91">
        <v>0</v>
      </c>
      <c r="N241" s="92">
        <f t="shared" si="79"/>
        <v>17</v>
      </c>
      <c r="O241" s="92">
        <f t="shared" si="80"/>
        <v>99164</v>
      </c>
      <c r="P241" s="86"/>
      <c r="Q241" s="86">
        <v>0</v>
      </c>
    </row>
    <row r="242" spans="1:19" x14ac:dyDescent="0.2">
      <c r="A242" s="6" t="s">
        <v>73</v>
      </c>
      <c r="B242" s="90" t="s">
        <v>151</v>
      </c>
      <c r="C242" s="90">
        <v>1</v>
      </c>
      <c r="D242" s="93">
        <v>0</v>
      </c>
      <c r="E242" s="93">
        <v>0</v>
      </c>
      <c r="F242" s="88">
        <f>D242</f>
        <v>0</v>
      </c>
      <c r="G242" s="88">
        <f>E242</f>
        <v>0</v>
      </c>
      <c r="H242" s="89">
        <v>0</v>
      </c>
      <c r="I242" s="89">
        <v>0</v>
      </c>
      <c r="J242" s="89">
        <f>H242</f>
        <v>0</v>
      </c>
      <c r="K242" s="89">
        <f>I242</f>
        <v>0</v>
      </c>
      <c r="L242" s="90">
        <v>0</v>
      </c>
      <c r="M242" s="91">
        <v>0</v>
      </c>
      <c r="N242" s="92">
        <f>L242</f>
        <v>0</v>
      </c>
      <c r="O242" s="92">
        <f>M242</f>
        <v>0</v>
      </c>
      <c r="P242">
        <v>0</v>
      </c>
      <c r="Q242">
        <v>0</v>
      </c>
      <c r="R242">
        <v>0</v>
      </c>
      <c r="S242">
        <v>0</v>
      </c>
    </row>
    <row r="243" spans="1:19" x14ac:dyDescent="0.2">
      <c r="A243" s="6" t="s">
        <v>73</v>
      </c>
      <c r="B243" s="90" t="s">
        <v>152</v>
      </c>
      <c r="C243" s="90">
        <v>2</v>
      </c>
      <c r="D243" s="93">
        <v>0</v>
      </c>
      <c r="E243" s="93">
        <v>0</v>
      </c>
      <c r="F243" s="88">
        <f t="shared" ref="F243:G253" si="81">F242+D243</f>
        <v>0</v>
      </c>
      <c r="G243" s="88">
        <f t="shared" si="81"/>
        <v>0</v>
      </c>
      <c r="H243" s="89">
        <v>0</v>
      </c>
      <c r="I243" s="89">
        <v>0</v>
      </c>
      <c r="J243" s="89">
        <f t="shared" ref="J243:K253" si="82">J242+H243</f>
        <v>0</v>
      </c>
      <c r="K243" s="89">
        <f t="shared" si="82"/>
        <v>0</v>
      </c>
      <c r="L243" s="90">
        <v>1</v>
      </c>
      <c r="M243" s="91">
        <v>35</v>
      </c>
      <c r="N243" s="92">
        <f t="shared" ref="N243:N253" si="83">N242+L243</f>
        <v>1</v>
      </c>
      <c r="O243" s="92">
        <f t="shared" ref="O243:O253" si="84">O242+M243</f>
        <v>35</v>
      </c>
      <c r="P243">
        <v>0</v>
      </c>
      <c r="Q243">
        <v>0</v>
      </c>
      <c r="R243">
        <v>0</v>
      </c>
      <c r="S243">
        <v>0</v>
      </c>
    </row>
    <row r="244" spans="1:19" x14ac:dyDescent="0.2">
      <c r="A244" s="6" t="s">
        <v>73</v>
      </c>
      <c r="B244" s="90" t="s">
        <v>153</v>
      </c>
      <c r="C244" s="90">
        <v>3</v>
      </c>
      <c r="D244" s="93">
        <v>0</v>
      </c>
      <c r="E244" s="93">
        <v>0</v>
      </c>
      <c r="F244" s="88">
        <f t="shared" si="81"/>
        <v>0</v>
      </c>
      <c r="G244" s="88">
        <f t="shared" si="81"/>
        <v>0</v>
      </c>
      <c r="H244" s="89">
        <v>0</v>
      </c>
      <c r="I244" s="89">
        <v>0</v>
      </c>
      <c r="J244" s="89">
        <f t="shared" si="82"/>
        <v>0</v>
      </c>
      <c r="K244" s="89">
        <f t="shared" si="82"/>
        <v>0</v>
      </c>
      <c r="L244" s="90">
        <v>0</v>
      </c>
      <c r="M244" s="91">
        <v>0</v>
      </c>
      <c r="N244" s="92">
        <f t="shared" si="83"/>
        <v>1</v>
      </c>
      <c r="O244" s="92">
        <f t="shared" si="84"/>
        <v>35</v>
      </c>
      <c r="P244">
        <v>0</v>
      </c>
      <c r="Q244">
        <v>0</v>
      </c>
      <c r="R244">
        <v>0</v>
      </c>
      <c r="S244">
        <v>0</v>
      </c>
    </row>
    <row r="245" spans="1:19" x14ac:dyDescent="0.2">
      <c r="A245" s="6" t="s">
        <v>73</v>
      </c>
      <c r="B245" s="90" t="s">
        <v>154</v>
      </c>
      <c r="C245" s="90">
        <v>4</v>
      </c>
      <c r="D245" s="93">
        <v>0</v>
      </c>
      <c r="E245" s="93">
        <v>0</v>
      </c>
      <c r="F245" s="88">
        <f t="shared" si="81"/>
        <v>0</v>
      </c>
      <c r="G245" s="88">
        <f t="shared" si="81"/>
        <v>0</v>
      </c>
      <c r="H245" s="89">
        <v>1</v>
      </c>
      <c r="I245" s="89">
        <v>700</v>
      </c>
      <c r="J245" s="89">
        <f t="shared" si="82"/>
        <v>1</v>
      </c>
      <c r="K245" s="89">
        <f t="shared" si="82"/>
        <v>700</v>
      </c>
      <c r="L245" s="90">
        <v>1</v>
      </c>
      <c r="M245" s="91">
        <v>35</v>
      </c>
      <c r="N245" s="92">
        <f t="shared" si="83"/>
        <v>2</v>
      </c>
      <c r="O245" s="92">
        <f t="shared" si="84"/>
        <v>70</v>
      </c>
      <c r="P245">
        <v>0</v>
      </c>
      <c r="Q245">
        <v>0</v>
      </c>
      <c r="R245">
        <v>0</v>
      </c>
      <c r="S245">
        <v>0</v>
      </c>
    </row>
    <row r="246" spans="1:19" x14ac:dyDescent="0.2">
      <c r="A246" s="6" t="s">
        <v>73</v>
      </c>
      <c r="B246" s="90" t="s">
        <v>155</v>
      </c>
      <c r="C246" s="90">
        <v>5</v>
      </c>
      <c r="D246" s="93">
        <v>0</v>
      </c>
      <c r="E246" s="93">
        <v>0</v>
      </c>
      <c r="F246" s="88">
        <f t="shared" si="81"/>
        <v>0</v>
      </c>
      <c r="G246" s="88">
        <f t="shared" si="81"/>
        <v>0</v>
      </c>
      <c r="H246" s="89">
        <v>4</v>
      </c>
      <c r="I246" s="89">
        <v>15650</v>
      </c>
      <c r="J246" s="89">
        <f t="shared" si="82"/>
        <v>5</v>
      </c>
      <c r="K246" s="89">
        <f t="shared" si="82"/>
        <v>16350</v>
      </c>
      <c r="L246" s="90">
        <v>1</v>
      </c>
      <c r="M246" s="91">
        <v>1260</v>
      </c>
      <c r="N246" s="92">
        <f t="shared" si="83"/>
        <v>3</v>
      </c>
      <c r="O246" s="92">
        <f t="shared" si="84"/>
        <v>1330</v>
      </c>
      <c r="P246">
        <v>0</v>
      </c>
      <c r="Q246">
        <v>0</v>
      </c>
      <c r="R246">
        <v>0</v>
      </c>
      <c r="S246">
        <v>0</v>
      </c>
    </row>
    <row r="247" spans="1:19" x14ac:dyDescent="0.2">
      <c r="A247" s="6" t="s">
        <v>73</v>
      </c>
      <c r="B247" s="90" t="s">
        <v>156</v>
      </c>
      <c r="C247" s="90">
        <v>6</v>
      </c>
      <c r="D247" s="93">
        <v>0</v>
      </c>
      <c r="E247" s="93">
        <v>0</v>
      </c>
      <c r="F247" s="88">
        <f t="shared" si="81"/>
        <v>0</v>
      </c>
      <c r="G247" s="88">
        <f t="shared" si="81"/>
        <v>0</v>
      </c>
      <c r="H247" s="89">
        <v>0</v>
      </c>
      <c r="I247" s="89">
        <v>0</v>
      </c>
      <c r="J247" s="89">
        <f t="shared" si="82"/>
        <v>5</v>
      </c>
      <c r="K247" s="89">
        <f t="shared" si="82"/>
        <v>16350</v>
      </c>
      <c r="L247" s="90">
        <v>0</v>
      </c>
      <c r="M247" s="91">
        <v>0</v>
      </c>
      <c r="N247" s="92">
        <f t="shared" si="83"/>
        <v>3</v>
      </c>
      <c r="O247" s="92">
        <f t="shared" si="84"/>
        <v>1330</v>
      </c>
      <c r="P247">
        <v>0</v>
      </c>
      <c r="Q247">
        <v>0</v>
      </c>
      <c r="R247">
        <v>0</v>
      </c>
      <c r="S247">
        <v>0</v>
      </c>
    </row>
    <row r="248" spans="1:19" x14ac:dyDescent="0.2">
      <c r="A248" s="6" t="s">
        <v>73</v>
      </c>
      <c r="B248" s="90" t="s">
        <v>157</v>
      </c>
      <c r="C248" s="90">
        <v>7</v>
      </c>
      <c r="D248" s="93">
        <v>0</v>
      </c>
      <c r="E248" s="93">
        <v>0</v>
      </c>
      <c r="F248" s="88">
        <f t="shared" si="81"/>
        <v>0</v>
      </c>
      <c r="G248" s="88">
        <f t="shared" si="81"/>
        <v>0</v>
      </c>
      <c r="H248" s="89">
        <v>0</v>
      </c>
      <c r="I248" s="89">
        <v>0</v>
      </c>
      <c r="J248" s="89">
        <f t="shared" si="82"/>
        <v>5</v>
      </c>
      <c r="K248" s="89">
        <f t="shared" si="82"/>
        <v>16350</v>
      </c>
      <c r="L248" s="90">
        <v>0</v>
      </c>
      <c r="M248" s="91">
        <v>0</v>
      </c>
      <c r="N248" s="92">
        <f t="shared" si="83"/>
        <v>3</v>
      </c>
      <c r="O248" s="92">
        <f t="shared" si="84"/>
        <v>1330</v>
      </c>
      <c r="P248">
        <v>2</v>
      </c>
      <c r="Q248">
        <v>935</v>
      </c>
      <c r="R248">
        <v>2</v>
      </c>
      <c r="S248">
        <v>935</v>
      </c>
    </row>
    <row r="249" spans="1:19" x14ac:dyDescent="0.2">
      <c r="A249" s="6" t="s">
        <v>73</v>
      </c>
      <c r="B249" s="90" t="s">
        <v>158</v>
      </c>
      <c r="C249" s="90">
        <v>8</v>
      </c>
      <c r="D249" s="93">
        <v>0</v>
      </c>
      <c r="E249" s="93">
        <v>0</v>
      </c>
      <c r="F249" s="88">
        <f t="shared" si="81"/>
        <v>0</v>
      </c>
      <c r="G249" s="88">
        <f t="shared" si="81"/>
        <v>0</v>
      </c>
      <c r="H249" s="89">
        <v>1</v>
      </c>
      <c r="I249" s="89">
        <v>2500</v>
      </c>
      <c r="J249" s="89">
        <f t="shared" si="82"/>
        <v>6</v>
      </c>
      <c r="K249" s="89">
        <f t="shared" si="82"/>
        <v>18850</v>
      </c>
      <c r="L249" s="90">
        <v>0</v>
      </c>
      <c r="M249" s="91">
        <v>0</v>
      </c>
      <c r="N249" s="92">
        <f t="shared" si="83"/>
        <v>3</v>
      </c>
      <c r="O249" s="92">
        <f t="shared" si="84"/>
        <v>1330</v>
      </c>
      <c r="P249">
        <v>1</v>
      </c>
      <c r="Q249">
        <v>2000</v>
      </c>
      <c r="R249">
        <v>3</v>
      </c>
      <c r="S249">
        <v>2935</v>
      </c>
    </row>
    <row r="250" spans="1:19" x14ac:dyDescent="0.2">
      <c r="A250" s="6" t="s">
        <v>73</v>
      </c>
      <c r="B250" s="90" t="s">
        <v>159</v>
      </c>
      <c r="C250" s="90">
        <v>9</v>
      </c>
      <c r="D250" s="93">
        <v>0</v>
      </c>
      <c r="E250" s="93">
        <v>0</v>
      </c>
      <c r="F250" s="88">
        <f t="shared" si="81"/>
        <v>0</v>
      </c>
      <c r="G250" s="88">
        <f t="shared" si="81"/>
        <v>0</v>
      </c>
      <c r="H250" s="89">
        <v>0</v>
      </c>
      <c r="I250" s="89">
        <v>0</v>
      </c>
      <c r="J250" s="89">
        <f t="shared" si="82"/>
        <v>6</v>
      </c>
      <c r="K250" s="89">
        <f t="shared" si="82"/>
        <v>18850</v>
      </c>
      <c r="L250" s="90">
        <v>2</v>
      </c>
      <c r="M250" s="91">
        <v>900</v>
      </c>
      <c r="N250" s="92">
        <f t="shared" si="83"/>
        <v>5</v>
      </c>
      <c r="O250" s="92">
        <f t="shared" si="84"/>
        <v>2230</v>
      </c>
      <c r="P250">
        <v>1</v>
      </c>
      <c r="Q250">
        <v>1575</v>
      </c>
      <c r="R250">
        <v>4</v>
      </c>
      <c r="S250">
        <v>4510</v>
      </c>
    </row>
    <row r="251" spans="1:19" x14ac:dyDescent="0.2">
      <c r="A251" s="6" t="s">
        <v>73</v>
      </c>
      <c r="B251" s="90" t="s">
        <v>160</v>
      </c>
      <c r="C251" s="90">
        <v>10</v>
      </c>
      <c r="D251" s="93">
        <v>0</v>
      </c>
      <c r="E251" s="93">
        <v>0</v>
      </c>
      <c r="F251" s="88">
        <f t="shared" si="81"/>
        <v>0</v>
      </c>
      <c r="G251" s="88">
        <f t="shared" si="81"/>
        <v>0</v>
      </c>
      <c r="H251" s="89">
        <v>0</v>
      </c>
      <c r="I251" s="89">
        <v>0</v>
      </c>
      <c r="J251" s="89">
        <f t="shared" si="82"/>
        <v>6</v>
      </c>
      <c r="K251" s="89">
        <f t="shared" si="82"/>
        <v>18850</v>
      </c>
      <c r="L251" s="90">
        <v>0</v>
      </c>
      <c r="M251" s="91">
        <v>0</v>
      </c>
      <c r="N251" s="92">
        <f t="shared" si="83"/>
        <v>5</v>
      </c>
      <c r="O251" s="92">
        <f t="shared" si="84"/>
        <v>2230</v>
      </c>
      <c r="P251">
        <v>0</v>
      </c>
      <c r="Q251">
        <v>0</v>
      </c>
      <c r="R251">
        <v>4</v>
      </c>
      <c r="S251">
        <v>4510</v>
      </c>
    </row>
    <row r="252" spans="1:19" x14ac:dyDescent="0.2">
      <c r="A252" s="6" t="s">
        <v>73</v>
      </c>
      <c r="B252" s="90" t="s">
        <v>161</v>
      </c>
      <c r="C252" s="90">
        <v>11</v>
      </c>
      <c r="D252" s="93">
        <v>0</v>
      </c>
      <c r="E252" s="93">
        <v>0</v>
      </c>
      <c r="F252" s="88">
        <f t="shared" si="81"/>
        <v>0</v>
      </c>
      <c r="G252" s="88">
        <f t="shared" si="81"/>
        <v>0</v>
      </c>
      <c r="H252" s="89">
        <v>0</v>
      </c>
      <c r="I252" s="89">
        <v>0</v>
      </c>
      <c r="J252" s="89">
        <f t="shared" si="82"/>
        <v>6</v>
      </c>
      <c r="K252" s="89">
        <f t="shared" si="82"/>
        <v>18850</v>
      </c>
      <c r="L252" s="90">
        <v>0</v>
      </c>
      <c r="M252" s="91">
        <v>0</v>
      </c>
      <c r="N252" s="92">
        <f t="shared" si="83"/>
        <v>5</v>
      </c>
      <c r="O252" s="92">
        <f t="shared" si="84"/>
        <v>2230</v>
      </c>
      <c r="P252" s="86"/>
      <c r="Q252" s="86">
        <v>0</v>
      </c>
    </row>
    <row r="253" spans="1:19" x14ac:dyDescent="0.2">
      <c r="A253" s="6" t="s">
        <v>73</v>
      </c>
      <c r="B253" s="90" t="s">
        <v>162</v>
      </c>
      <c r="C253" s="90">
        <v>12</v>
      </c>
      <c r="D253" s="93">
        <v>0</v>
      </c>
      <c r="E253" s="93">
        <v>0</v>
      </c>
      <c r="F253" s="88">
        <f t="shared" si="81"/>
        <v>0</v>
      </c>
      <c r="G253" s="88">
        <f t="shared" si="81"/>
        <v>0</v>
      </c>
      <c r="H253" s="89">
        <v>0</v>
      </c>
      <c r="I253" s="89">
        <v>0</v>
      </c>
      <c r="J253" s="89">
        <f t="shared" si="82"/>
        <v>6</v>
      </c>
      <c r="K253" s="89">
        <f t="shared" si="82"/>
        <v>18850</v>
      </c>
      <c r="L253" s="90">
        <v>0</v>
      </c>
      <c r="M253" s="91">
        <v>0</v>
      </c>
      <c r="N253" s="92">
        <f t="shared" si="83"/>
        <v>5</v>
      </c>
      <c r="O253" s="92">
        <f t="shared" si="84"/>
        <v>2230</v>
      </c>
      <c r="P253" s="86"/>
      <c r="Q253" s="86">
        <v>0</v>
      </c>
    </row>
    <row r="254" spans="1:19" x14ac:dyDescent="0.2">
      <c r="A254" s="6" t="s">
        <v>56</v>
      </c>
      <c r="B254" s="90" t="s">
        <v>151</v>
      </c>
      <c r="C254" s="90">
        <v>1</v>
      </c>
      <c r="D254" s="93">
        <v>0</v>
      </c>
      <c r="E254" s="93">
        <v>0</v>
      </c>
      <c r="F254" s="88">
        <f>D254</f>
        <v>0</v>
      </c>
      <c r="G254" s="88">
        <f>E254</f>
        <v>0</v>
      </c>
      <c r="H254" s="89">
        <v>0</v>
      </c>
      <c r="I254" s="89">
        <v>0</v>
      </c>
      <c r="J254" s="89">
        <f>H254</f>
        <v>0</v>
      </c>
      <c r="K254" s="89">
        <f>I254</f>
        <v>0</v>
      </c>
      <c r="L254" s="90">
        <v>0</v>
      </c>
      <c r="M254" s="91">
        <v>0</v>
      </c>
      <c r="N254" s="92">
        <f>L254</f>
        <v>0</v>
      </c>
      <c r="O254" s="92">
        <f>M254</f>
        <v>0</v>
      </c>
      <c r="P254">
        <v>0</v>
      </c>
      <c r="Q254">
        <v>0</v>
      </c>
      <c r="R254">
        <v>0</v>
      </c>
      <c r="S254">
        <v>0</v>
      </c>
    </row>
    <row r="255" spans="1:19" x14ac:dyDescent="0.2">
      <c r="A255" s="6" t="s">
        <v>56</v>
      </c>
      <c r="B255" s="90" t="s">
        <v>152</v>
      </c>
      <c r="C255" s="90">
        <v>2</v>
      </c>
      <c r="D255" s="93">
        <v>0</v>
      </c>
      <c r="E255" s="93">
        <v>0</v>
      </c>
      <c r="F255" s="88">
        <f t="shared" ref="F255:G265" si="85">F254+D255</f>
        <v>0</v>
      </c>
      <c r="G255" s="88">
        <f t="shared" si="85"/>
        <v>0</v>
      </c>
      <c r="H255" s="89">
        <v>0</v>
      </c>
      <c r="I255" s="89">
        <v>0</v>
      </c>
      <c r="J255" s="89">
        <f t="shared" ref="J255:K265" si="86">J254+H255</f>
        <v>0</v>
      </c>
      <c r="K255" s="89">
        <f t="shared" si="86"/>
        <v>0</v>
      </c>
      <c r="L255" s="90">
        <v>1</v>
      </c>
      <c r="M255" s="91">
        <v>500</v>
      </c>
      <c r="N255" s="92">
        <f t="shared" ref="N255:N265" si="87">N254+L255</f>
        <v>1</v>
      </c>
      <c r="O255" s="92">
        <f t="shared" ref="O255:O265" si="88">O254+M255</f>
        <v>500</v>
      </c>
      <c r="P255">
        <v>1</v>
      </c>
      <c r="Q255">
        <v>2700</v>
      </c>
      <c r="R255">
        <v>1</v>
      </c>
      <c r="S255">
        <v>2700</v>
      </c>
    </row>
    <row r="256" spans="1:19" x14ac:dyDescent="0.2">
      <c r="A256" s="6" t="s">
        <v>56</v>
      </c>
      <c r="B256" s="90" t="s">
        <v>153</v>
      </c>
      <c r="C256" s="90">
        <v>3</v>
      </c>
      <c r="D256" s="93">
        <v>0</v>
      </c>
      <c r="E256" s="93">
        <v>0</v>
      </c>
      <c r="F256" s="88">
        <f t="shared" si="85"/>
        <v>0</v>
      </c>
      <c r="G256" s="88">
        <f t="shared" si="85"/>
        <v>0</v>
      </c>
      <c r="H256" s="89">
        <v>1</v>
      </c>
      <c r="I256" s="89">
        <v>0.01</v>
      </c>
      <c r="J256" s="89">
        <f t="shared" si="86"/>
        <v>1</v>
      </c>
      <c r="K256" s="89">
        <f t="shared" si="86"/>
        <v>0.01</v>
      </c>
      <c r="L256" s="90">
        <v>0</v>
      </c>
      <c r="M256" s="91">
        <v>0</v>
      </c>
      <c r="N256" s="92">
        <f t="shared" si="87"/>
        <v>1</v>
      </c>
      <c r="O256" s="92">
        <f t="shared" si="88"/>
        <v>500</v>
      </c>
      <c r="P256">
        <v>0</v>
      </c>
      <c r="Q256">
        <v>0</v>
      </c>
      <c r="R256">
        <v>1</v>
      </c>
      <c r="S256">
        <v>2700</v>
      </c>
    </row>
    <row r="257" spans="1:19" x14ac:dyDescent="0.2">
      <c r="A257" s="6" t="s">
        <v>56</v>
      </c>
      <c r="B257" s="90" t="s">
        <v>154</v>
      </c>
      <c r="C257" s="90">
        <v>4</v>
      </c>
      <c r="D257" s="93">
        <v>0</v>
      </c>
      <c r="E257" s="93">
        <v>0</v>
      </c>
      <c r="F257" s="88">
        <f t="shared" si="85"/>
        <v>0</v>
      </c>
      <c r="G257" s="88">
        <f t="shared" si="85"/>
        <v>0</v>
      </c>
      <c r="H257" s="89">
        <v>0</v>
      </c>
      <c r="I257" s="89">
        <v>0</v>
      </c>
      <c r="J257" s="89">
        <f t="shared" si="86"/>
        <v>1</v>
      </c>
      <c r="K257" s="89">
        <f t="shared" si="86"/>
        <v>0.01</v>
      </c>
      <c r="L257" s="90">
        <v>2</v>
      </c>
      <c r="M257" s="91">
        <v>1580</v>
      </c>
      <c r="N257" s="92">
        <f t="shared" si="87"/>
        <v>3</v>
      </c>
      <c r="O257" s="92">
        <f t="shared" si="88"/>
        <v>2080</v>
      </c>
      <c r="P257">
        <v>0</v>
      </c>
      <c r="Q257">
        <v>0</v>
      </c>
      <c r="R257">
        <v>1</v>
      </c>
      <c r="S257">
        <v>2700</v>
      </c>
    </row>
    <row r="258" spans="1:19" x14ac:dyDescent="0.2">
      <c r="A258" s="6" t="s">
        <v>56</v>
      </c>
      <c r="B258" s="90" t="s">
        <v>155</v>
      </c>
      <c r="C258" s="90">
        <v>5</v>
      </c>
      <c r="D258" s="93">
        <v>0</v>
      </c>
      <c r="E258" s="93">
        <v>0</v>
      </c>
      <c r="F258" s="88">
        <f t="shared" si="85"/>
        <v>0</v>
      </c>
      <c r="G258" s="88">
        <f t="shared" si="85"/>
        <v>0</v>
      </c>
      <c r="H258" s="89">
        <v>5</v>
      </c>
      <c r="I258" s="89">
        <v>5207</v>
      </c>
      <c r="J258" s="89">
        <f t="shared" si="86"/>
        <v>6</v>
      </c>
      <c r="K258" s="89">
        <f t="shared" si="86"/>
        <v>5207.01</v>
      </c>
      <c r="L258" s="90">
        <v>3</v>
      </c>
      <c r="M258" s="91">
        <v>9240</v>
      </c>
      <c r="N258" s="92">
        <f t="shared" si="87"/>
        <v>6</v>
      </c>
      <c r="O258" s="92">
        <f t="shared" si="88"/>
        <v>11320</v>
      </c>
      <c r="P258">
        <v>0</v>
      </c>
      <c r="Q258">
        <v>0</v>
      </c>
      <c r="R258">
        <v>1</v>
      </c>
      <c r="S258">
        <v>2700</v>
      </c>
    </row>
    <row r="259" spans="1:19" x14ac:dyDescent="0.2">
      <c r="A259" s="6" t="s">
        <v>56</v>
      </c>
      <c r="B259" s="90" t="s">
        <v>156</v>
      </c>
      <c r="C259" s="90">
        <v>6</v>
      </c>
      <c r="D259" s="93">
        <v>0</v>
      </c>
      <c r="E259" s="93">
        <v>0</v>
      </c>
      <c r="F259" s="88">
        <f t="shared" si="85"/>
        <v>0</v>
      </c>
      <c r="G259" s="88">
        <f t="shared" si="85"/>
        <v>0</v>
      </c>
      <c r="H259" s="89">
        <v>0</v>
      </c>
      <c r="I259" s="89">
        <v>0</v>
      </c>
      <c r="J259" s="89">
        <f t="shared" si="86"/>
        <v>6</v>
      </c>
      <c r="K259" s="89">
        <f t="shared" si="86"/>
        <v>5207.01</v>
      </c>
      <c r="L259" s="90">
        <v>0</v>
      </c>
      <c r="M259" s="91">
        <v>0</v>
      </c>
      <c r="N259" s="92">
        <f t="shared" si="87"/>
        <v>6</v>
      </c>
      <c r="O259" s="92">
        <f t="shared" si="88"/>
        <v>11320</v>
      </c>
      <c r="P259">
        <v>0</v>
      </c>
      <c r="Q259">
        <v>0</v>
      </c>
      <c r="R259">
        <v>1</v>
      </c>
      <c r="S259">
        <v>2700</v>
      </c>
    </row>
    <row r="260" spans="1:19" x14ac:dyDescent="0.2">
      <c r="A260" s="6" t="s">
        <v>56</v>
      </c>
      <c r="B260" s="90" t="s">
        <v>157</v>
      </c>
      <c r="C260" s="90">
        <v>7</v>
      </c>
      <c r="D260" s="93">
        <v>0</v>
      </c>
      <c r="E260" s="93">
        <v>0</v>
      </c>
      <c r="F260" s="88">
        <f t="shared" si="85"/>
        <v>0</v>
      </c>
      <c r="G260" s="88">
        <f t="shared" si="85"/>
        <v>0</v>
      </c>
      <c r="H260" s="89">
        <v>0</v>
      </c>
      <c r="I260" s="89">
        <v>0</v>
      </c>
      <c r="J260" s="89">
        <f t="shared" si="86"/>
        <v>6</v>
      </c>
      <c r="K260" s="89">
        <f t="shared" si="86"/>
        <v>5207.01</v>
      </c>
      <c r="L260" s="90">
        <v>2</v>
      </c>
      <c r="M260" s="91">
        <v>10223.16</v>
      </c>
      <c r="N260" s="92">
        <f t="shared" si="87"/>
        <v>8</v>
      </c>
      <c r="O260" s="92">
        <f t="shared" si="88"/>
        <v>21543.16</v>
      </c>
      <c r="P260">
        <v>0</v>
      </c>
      <c r="Q260">
        <v>0</v>
      </c>
      <c r="R260">
        <v>1</v>
      </c>
      <c r="S260">
        <v>2700</v>
      </c>
    </row>
    <row r="261" spans="1:19" x14ac:dyDescent="0.2">
      <c r="A261" s="6" t="s">
        <v>56</v>
      </c>
      <c r="B261" s="90" t="s">
        <v>158</v>
      </c>
      <c r="C261" s="90">
        <v>8</v>
      </c>
      <c r="D261" s="93">
        <v>0</v>
      </c>
      <c r="E261" s="93">
        <v>0</v>
      </c>
      <c r="F261" s="88">
        <f t="shared" si="85"/>
        <v>0</v>
      </c>
      <c r="G261" s="88">
        <f t="shared" si="85"/>
        <v>0</v>
      </c>
      <c r="H261" s="89">
        <v>0</v>
      </c>
      <c r="I261" s="89">
        <v>0</v>
      </c>
      <c r="J261" s="89">
        <f t="shared" si="86"/>
        <v>6</v>
      </c>
      <c r="K261" s="89">
        <f t="shared" si="86"/>
        <v>5207.01</v>
      </c>
      <c r="L261" s="90">
        <v>1</v>
      </c>
      <c r="M261" s="91">
        <v>9000</v>
      </c>
      <c r="N261" s="92">
        <f t="shared" si="87"/>
        <v>9</v>
      </c>
      <c r="O261" s="92">
        <f t="shared" si="88"/>
        <v>30543.16</v>
      </c>
      <c r="P261">
        <v>3</v>
      </c>
      <c r="Q261">
        <v>4782.63</v>
      </c>
      <c r="R261">
        <v>4</v>
      </c>
      <c r="S261">
        <v>7482.63</v>
      </c>
    </row>
    <row r="262" spans="1:19" x14ac:dyDescent="0.2">
      <c r="A262" s="6" t="s">
        <v>56</v>
      </c>
      <c r="B262" s="90" t="s">
        <v>159</v>
      </c>
      <c r="C262" s="90">
        <v>9</v>
      </c>
      <c r="D262" s="93">
        <v>1</v>
      </c>
      <c r="E262" s="93">
        <v>1600</v>
      </c>
      <c r="F262" s="88">
        <f t="shared" si="85"/>
        <v>1</v>
      </c>
      <c r="G262" s="88">
        <f t="shared" si="85"/>
        <v>1600</v>
      </c>
      <c r="H262" s="89">
        <v>0</v>
      </c>
      <c r="I262" s="89">
        <v>0</v>
      </c>
      <c r="J262" s="89">
        <f t="shared" si="86"/>
        <v>6</v>
      </c>
      <c r="K262" s="89">
        <f t="shared" si="86"/>
        <v>5207.01</v>
      </c>
      <c r="L262" s="90">
        <v>0</v>
      </c>
      <c r="M262" s="91">
        <v>0</v>
      </c>
      <c r="N262" s="92">
        <f t="shared" si="87"/>
        <v>9</v>
      </c>
      <c r="O262" s="92">
        <f t="shared" si="88"/>
        <v>30543.16</v>
      </c>
      <c r="P262">
        <v>1</v>
      </c>
      <c r="Q262">
        <v>10338</v>
      </c>
      <c r="R262">
        <v>5</v>
      </c>
      <c r="S262">
        <v>17820.63</v>
      </c>
    </row>
    <row r="263" spans="1:19" x14ac:dyDescent="0.2">
      <c r="A263" s="6" t="s">
        <v>56</v>
      </c>
      <c r="B263" s="90" t="s">
        <v>160</v>
      </c>
      <c r="C263" s="90">
        <v>10</v>
      </c>
      <c r="D263" s="93">
        <v>0</v>
      </c>
      <c r="E263" s="93">
        <v>0</v>
      </c>
      <c r="F263" s="88">
        <f t="shared" si="85"/>
        <v>1</v>
      </c>
      <c r="G263" s="88">
        <f t="shared" si="85"/>
        <v>1600</v>
      </c>
      <c r="H263" s="89">
        <v>0</v>
      </c>
      <c r="I263" s="89">
        <v>0</v>
      </c>
      <c r="J263" s="89">
        <f t="shared" si="86"/>
        <v>6</v>
      </c>
      <c r="K263" s="89">
        <f t="shared" si="86"/>
        <v>5207.01</v>
      </c>
      <c r="L263" s="90">
        <v>1</v>
      </c>
      <c r="M263" s="91">
        <v>5000</v>
      </c>
      <c r="N263" s="92">
        <f t="shared" si="87"/>
        <v>10</v>
      </c>
      <c r="O263" s="92">
        <f t="shared" si="88"/>
        <v>35543.160000000003</v>
      </c>
      <c r="P263">
        <v>0</v>
      </c>
      <c r="Q263">
        <v>0</v>
      </c>
      <c r="R263">
        <v>5</v>
      </c>
      <c r="S263">
        <v>17820.63</v>
      </c>
    </row>
    <row r="264" spans="1:19" x14ac:dyDescent="0.2">
      <c r="A264" s="6" t="s">
        <v>56</v>
      </c>
      <c r="B264" s="90" t="s">
        <v>161</v>
      </c>
      <c r="C264" s="90">
        <v>11</v>
      </c>
      <c r="D264" s="93">
        <v>1</v>
      </c>
      <c r="E264" s="93">
        <v>1970</v>
      </c>
      <c r="F264" s="88">
        <f t="shared" si="85"/>
        <v>2</v>
      </c>
      <c r="G264" s="88">
        <f t="shared" si="85"/>
        <v>3570</v>
      </c>
      <c r="H264" s="89">
        <v>0</v>
      </c>
      <c r="I264" s="89">
        <v>0</v>
      </c>
      <c r="J264" s="89">
        <f t="shared" si="86"/>
        <v>6</v>
      </c>
      <c r="K264" s="89">
        <f t="shared" si="86"/>
        <v>5207.01</v>
      </c>
      <c r="L264" s="90">
        <v>1</v>
      </c>
      <c r="M264" s="91">
        <v>600</v>
      </c>
      <c r="N264" s="92">
        <f t="shared" si="87"/>
        <v>11</v>
      </c>
      <c r="O264" s="92">
        <f t="shared" si="88"/>
        <v>36143.160000000003</v>
      </c>
      <c r="P264" s="86"/>
      <c r="Q264" s="86">
        <v>0</v>
      </c>
    </row>
    <row r="265" spans="1:19" x14ac:dyDescent="0.2">
      <c r="A265" s="6" t="s">
        <v>56</v>
      </c>
      <c r="B265" s="90" t="s">
        <v>162</v>
      </c>
      <c r="C265" s="90">
        <v>12</v>
      </c>
      <c r="D265" s="93">
        <v>0</v>
      </c>
      <c r="E265" s="93">
        <v>0</v>
      </c>
      <c r="F265" s="88">
        <f t="shared" si="85"/>
        <v>2</v>
      </c>
      <c r="G265" s="88">
        <f t="shared" si="85"/>
        <v>3570</v>
      </c>
      <c r="H265" s="89">
        <v>0</v>
      </c>
      <c r="I265" s="89">
        <v>0</v>
      </c>
      <c r="J265" s="89">
        <f t="shared" si="86"/>
        <v>6</v>
      </c>
      <c r="K265" s="89">
        <f t="shared" si="86"/>
        <v>5207.01</v>
      </c>
      <c r="L265" s="90">
        <v>0</v>
      </c>
      <c r="M265" s="91">
        <v>0</v>
      </c>
      <c r="N265" s="92">
        <f t="shared" si="87"/>
        <v>11</v>
      </c>
      <c r="O265" s="92">
        <f t="shared" si="88"/>
        <v>36143.160000000003</v>
      </c>
      <c r="P265" s="86"/>
      <c r="Q265" s="86">
        <v>0</v>
      </c>
    </row>
    <row r="266" spans="1:19" x14ac:dyDescent="0.2">
      <c r="A266" t="s">
        <v>299</v>
      </c>
      <c r="B266" s="90"/>
      <c r="C266" s="90"/>
      <c r="D266" s="93"/>
      <c r="E266" s="93"/>
      <c r="F266" s="88"/>
      <c r="G266" s="88"/>
      <c r="H266" s="89"/>
      <c r="I266" s="89"/>
      <c r="J266" s="89"/>
      <c r="K266" s="89"/>
      <c r="L266" s="90"/>
      <c r="M266" s="91"/>
      <c r="N266" s="92"/>
      <c r="O266" s="92"/>
      <c r="P266">
        <v>0</v>
      </c>
      <c r="Q266">
        <v>0</v>
      </c>
      <c r="R266">
        <v>0</v>
      </c>
      <c r="S266">
        <v>0</v>
      </c>
    </row>
    <row r="267" spans="1:19" x14ac:dyDescent="0.2">
      <c r="A267" t="s">
        <v>299</v>
      </c>
      <c r="B267" s="90"/>
      <c r="C267" s="90"/>
      <c r="D267" s="93"/>
      <c r="E267" s="93"/>
      <c r="F267" s="88"/>
      <c r="G267" s="88"/>
      <c r="H267" s="89"/>
      <c r="I267" s="89"/>
      <c r="J267" s="89"/>
      <c r="K267" s="89"/>
      <c r="L267" s="90"/>
      <c r="M267" s="91"/>
      <c r="N267" s="92"/>
      <c r="O267" s="92"/>
      <c r="P267">
        <v>0</v>
      </c>
      <c r="Q267">
        <v>0</v>
      </c>
      <c r="R267">
        <v>0</v>
      </c>
      <c r="S267">
        <v>0</v>
      </c>
    </row>
    <row r="268" spans="1:19" x14ac:dyDescent="0.2">
      <c r="A268" t="s">
        <v>299</v>
      </c>
      <c r="B268" s="90"/>
      <c r="C268" s="90"/>
      <c r="D268" s="93"/>
      <c r="E268" s="93"/>
      <c r="F268" s="88"/>
      <c r="G268" s="88"/>
      <c r="H268" s="89"/>
      <c r="I268" s="89"/>
      <c r="J268" s="89"/>
      <c r="K268" s="89"/>
      <c r="L268" s="90"/>
      <c r="M268" s="91"/>
      <c r="N268" s="92"/>
      <c r="O268" s="92"/>
      <c r="P268">
        <v>0</v>
      </c>
      <c r="Q268">
        <v>0</v>
      </c>
      <c r="R268">
        <v>4</v>
      </c>
      <c r="S268">
        <v>840</v>
      </c>
    </row>
    <row r="269" spans="1:19" x14ac:dyDescent="0.2">
      <c r="A269" t="s">
        <v>299</v>
      </c>
      <c r="B269" s="90"/>
      <c r="C269" s="90"/>
      <c r="D269" s="93"/>
      <c r="E269" s="93"/>
      <c r="F269" s="88"/>
      <c r="G269" s="88"/>
      <c r="H269" s="89"/>
      <c r="I269" s="89"/>
      <c r="J269" s="89"/>
      <c r="K269" s="89"/>
      <c r="L269" s="90"/>
      <c r="M269" s="91"/>
      <c r="N269" s="92"/>
      <c r="O269" s="92"/>
      <c r="P269">
        <v>0</v>
      </c>
      <c r="Q269">
        <v>0</v>
      </c>
      <c r="R269">
        <v>4</v>
      </c>
      <c r="S269">
        <v>840</v>
      </c>
    </row>
    <row r="270" spans="1:19" x14ac:dyDescent="0.2">
      <c r="A270" t="s">
        <v>299</v>
      </c>
      <c r="B270" s="90"/>
      <c r="C270" s="90"/>
      <c r="D270" s="93"/>
      <c r="E270" s="93"/>
      <c r="F270" s="88"/>
      <c r="G270" s="88"/>
      <c r="H270" s="89"/>
      <c r="I270" s="89"/>
      <c r="J270" s="89"/>
      <c r="K270" s="89"/>
      <c r="L270" s="90"/>
      <c r="M270" s="91"/>
      <c r="N270" s="92"/>
      <c r="O270" s="92"/>
      <c r="P270">
        <v>0</v>
      </c>
      <c r="Q270">
        <v>0</v>
      </c>
      <c r="R270">
        <v>4</v>
      </c>
      <c r="S270">
        <v>840</v>
      </c>
    </row>
    <row r="271" spans="1:19" x14ac:dyDescent="0.2">
      <c r="A271" t="s">
        <v>299</v>
      </c>
      <c r="B271" s="90"/>
      <c r="C271" s="90"/>
      <c r="D271" s="93"/>
      <c r="E271" s="93"/>
      <c r="F271" s="88"/>
      <c r="G271" s="88"/>
      <c r="H271" s="89"/>
      <c r="I271" s="89"/>
      <c r="J271" s="89"/>
      <c r="K271" s="89"/>
      <c r="L271" s="90"/>
      <c r="M271" s="91"/>
      <c r="N271" s="92"/>
      <c r="O271" s="92"/>
      <c r="P271">
        <v>0</v>
      </c>
      <c r="Q271">
        <v>0</v>
      </c>
      <c r="R271">
        <v>4</v>
      </c>
      <c r="S271">
        <v>840</v>
      </c>
    </row>
    <row r="272" spans="1:19" x14ac:dyDescent="0.2">
      <c r="A272" t="s">
        <v>299</v>
      </c>
      <c r="B272" s="90"/>
      <c r="C272" s="90"/>
      <c r="D272" s="93"/>
      <c r="E272" s="93"/>
      <c r="F272" s="88"/>
      <c r="G272" s="88"/>
      <c r="H272" s="89"/>
      <c r="I272" s="89"/>
      <c r="J272" s="89"/>
      <c r="K272" s="89"/>
      <c r="L272" s="90"/>
      <c r="M272" s="91"/>
      <c r="N272" s="92"/>
      <c r="O272" s="92"/>
      <c r="P272">
        <v>5</v>
      </c>
      <c r="Q272">
        <v>262</v>
      </c>
      <c r="R272">
        <v>9</v>
      </c>
      <c r="S272">
        <v>1102</v>
      </c>
    </row>
    <row r="273" spans="1:19" x14ac:dyDescent="0.2">
      <c r="A273" t="s">
        <v>299</v>
      </c>
      <c r="B273" s="90"/>
      <c r="C273" s="90"/>
      <c r="D273" s="93"/>
      <c r="E273" s="93"/>
      <c r="F273" s="88"/>
      <c r="G273" s="88"/>
      <c r="H273" s="89"/>
      <c r="I273" s="89"/>
      <c r="J273" s="89"/>
      <c r="K273" s="89"/>
      <c r="L273" s="90"/>
      <c r="M273" s="91"/>
      <c r="N273" s="92"/>
      <c r="O273" s="92"/>
      <c r="P273">
        <v>0</v>
      </c>
      <c r="Q273">
        <v>0</v>
      </c>
      <c r="R273">
        <v>9</v>
      </c>
      <c r="S273">
        <v>1102</v>
      </c>
    </row>
    <row r="274" spans="1:19" x14ac:dyDescent="0.2">
      <c r="A274" t="s">
        <v>299</v>
      </c>
      <c r="B274" s="90"/>
      <c r="C274" s="90"/>
      <c r="D274" s="93"/>
      <c r="E274" s="93"/>
      <c r="F274" s="88"/>
      <c r="G274" s="88"/>
      <c r="H274" s="89"/>
      <c r="I274" s="89"/>
      <c r="J274" s="89"/>
      <c r="K274" s="89"/>
      <c r="L274" s="90"/>
      <c r="M274" s="91"/>
      <c r="N274" s="92"/>
      <c r="O274" s="92"/>
      <c r="P274">
        <v>0</v>
      </c>
      <c r="Q274">
        <v>0</v>
      </c>
      <c r="R274">
        <v>9</v>
      </c>
      <c r="S274">
        <v>1102</v>
      </c>
    </row>
    <row r="275" spans="1:19" x14ac:dyDescent="0.2">
      <c r="A275" t="s">
        <v>299</v>
      </c>
      <c r="B275" s="90"/>
      <c r="C275" s="90"/>
      <c r="D275" s="93"/>
      <c r="E275" s="93"/>
      <c r="F275" s="88"/>
      <c r="G275" s="88"/>
      <c r="H275" s="89"/>
      <c r="I275" s="89"/>
      <c r="J275" s="89"/>
      <c r="K275" s="89"/>
      <c r="L275" s="90"/>
      <c r="M275" s="91"/>
      <c r="N275" s="92"/>
      <c r="O275" s="92"/>
      <c r="P275">
        <v>0</v>
      </c>
      <c r="Q275">
        <v>0</v>
      </c>
      <c r="R275">
        <v>9</v>
      </c>
      <c r="S275">
        <v>1102</v>
      </c>
    </row>
    <row r="276" spans="1:19" x14ac:dyDescent="0.2">
      <c r="A276" t="s">
        <v>299</v>
      </c>
      <c r="B276" s="90"/>
      <c r="C276" s="90"/>
      <c r="D276" s="93"/>
      <c r="E276" s="93"/>
      <c r="F276" s="88"/>
      <c r="G276" s="88"/>
      <c r="H276" s="89"/>
      <c r="I276" s="89"/>
      <c r="J276" s="89"/>
      <c r="K276" s="89"/>
      <c r="L276" s="90"/>
      <c r="M276" s="91"/>
      <c r="N276" s="92"/>
      <c r="O276" s="92"/>
      <c r="P276" s="86"/>
      <c r="Q276" s="86"/>
    </row>
    <row r="277" spans="1:19" x14ac:dyDescent="0.2">
      <c r="A277" t="s">
        <v>299</v>
      </c>
      <c r="B277" s="90"/>
      <c r="C277" s="90"/>
      <c r="D277" s="93"/>
      <c r="E277" s="93"/>
      <c r="F277" s="88"/>
      <c r="G277" s="88"/>
      <c r="H277" s="89"/>
      <c r="I277" s="89"/>
      <c r="J277" s="89"/>
      <c r="K277" s="89"/>
      <c r="L277" s="90"/>
      <c r="M277" s="91"/>
      <c r="N277" s="92"/>
      <c r="O277" s="92"/>
      <c r="P277" s="86"/>
      <c r="Q277" s="86"/>
    </row>
    <row r="278" spans="1:19" x14ac:dyDescent="0.2">
      <c r="A278" s="6" t="s">
        <v>90</v>
      </c>
      <c r="B278" s="90" t="s">
        <v>151</v>
      </c>
      <c r="C278" s="90">
        <v>1</v>
      </c>
      <c r="D278" s="93">
        <v>0</v>
      </c>
      <c r="E278" s="93">
        <v>0</v>
      </c>
      <c r="F278" s="88">
        <f>D278</f>
        <v>0</v>
      </c>
      <c r="G278" s="88">
        <f>E278</f>
        <v>0</v>
      </c>
      <c r="H278" s="89">
        <v>1</v>
      </c>
      <c r="I278" s="89">
        <v>10013.44</v>
      </c>
      <c r="J278" s="89">
        <f>H278</f>
        <v>1</v>
      </c>
      <c r="K278" s="89">
        <f>I278</f>
        <v>10013.44</v>
      </c>
      <c r="L278" s="90">
        <v>0</v>
      </c>
      <c r="M278" s="91">
        <v>0</v>
      </c>
      <c r="N278" s="92">
        <f>L278</f>
        <v>0</v>
      </c>
      <c r="O278" s="92">
        <f>M278</f>
        <v>0</v>
      </c>
      <c r="P278">
        <v>1</v>
      </c>
      <c r="Q278">
        <v>13500</v>
      </c>
      <c r="R278">
        <v>1</v>
      </c>
      <c r="S278">
        <v>13500</v>
      </c>
    </row>
    <row r="279" spans="1:19" x14ac:dyDescent="0.2">
      <c r="A279" s="6" t="s">
        <v>90</v>
      </c>
      <c r="B279" s="90" t="s">
        <v>152</v>
      </c>
      <c r="C279" s="90">
        <v>2</v>
      </c>
      <c r="D279" s="93">
        <v>0</v>
      </c>
      <c r="E279" s="93">
        <v>0</v>
      </c>
      <c r="F279" s="88">
        <f t="shared" ref="F279:G289" si="89">F278+D279</f>
        <v>0</v>
      </c>
      <c r="G279" s="88">
        <f t="shared" si="89"/>
        <v>0</v>
      </c>
      <c r="H279" s="89">
        <v>3</v>
      </c>
      <c r="I279" s="89">
        <v>35500</v>
      </c>
      <c r="J279" s="89">
        <f t="shared" ref="J279:K289" si="90">J278+H279</f>
        <v>4</v>
      </c>
      <c r="K279" s="89">
        <f t="shared" si="90"/>
        <v>45513.440000000002</v>
      </c>
      <c r="L279" s="90">
        <v>3</v>
      </c>
      <c r="M279" s="91">
        <v>59420</v>
      </c>
      <c r="N279" s="92">
        <f t="shared" ref="N279:N289" si="91">N278+L279</f>
        <v>3</v>
      </c>
      <c r="O279" s="92">
        <f t="shared" ref="O279:O289" si="92">O278+M279</f>
        <v>59420</v>
      </c>
      <c r="P279">
        <v>3</v>
      </c>
      <c r="Q279">
        <v>78932</v>
      </c>
      <c r="R279">
        <v>4</v>
      </c>
      <c r="S279">
        <v>92432</v>
      </c>
    </row>
    <row r="280" spans="1:19" x14ac:dyDescent="0.2">
      <c r="A280" s="6" t="s">
        <v>90</v>
      </c>
      <c r="B280" s="90" t="s">
        <v>153</v>
      </c>
      <c r="C280" s="90">
        <v>3</v>
      </c>
      <c r="D280" s="93">
        <v>1</v>
      </c>
      <c r="E280" s="88">
        <v>6049.93</v>
      </c>
      <c r="F280" s="88">
        <f t="shared" si="89"/>
        <v>1</v>
      </c>
      <c r="G280" s="88">
        <f t="shared" si="89"/>
        <v>6049.93</v>
      </c>
      <c r="H280" s="89">
        <v>2</v>
      </c>
      <c r="I280" s="89">
        <v>17974.95</v>
      </c>
      <c r="J280" s="89">
        <f t="shared" si="90"/>
        <v>6</v>
      </c>
      <c r="K280" s="89">
        <f t="shared" si="90"/>
        <v>63488.39</v>
      </c>
      <c r="L280" s="90">
        <v>2</v>
      </c>
      <c r="M280" s="91">
        <v>25500</v>
      </c>
      <c r="N280" s="92">
        <f t="shared" si="91"/>
        <v>5</v>
      </c>
      <c r="O280" s="92">
        <f t="shared" si="92"/>
        <v>84920</v>
      </c>
      <c r="P280">
        <v>3</v>
      </c>
      <c r="Q280">
        <v>42100</v>
      </c>
      <c r="R280">
        <v>7</v>
      </c>
      <c r="S280">
        <v>134532</v>
      </c>
    </row>
    <row r="281" spans="1:19" x14ac:dyDescent="0.2">
      <c r="A281" s="6" t="s">
        <v>90</v>
      </c>
      <c r="B281" s="90" t="s">
        <v>154</v>
      </c>
      <c r="C281" s="90">
        <v>4</v>
      </c>
      <c r="D281" s="93">
        <v>0</v>
      </c>
      <c r="E281" s="93">
        <v>0</v>
      </c>
      <c r="F281" s="88">
        <f t="shared" si="89"/>
        <v>1</v>
      </c>
      <c r="G281" s="88">
        <f t="shared" si="89"/>
        <v>6049.93</v>
      </c>
      <c r="H281" s="89">
        <v>1</v>
      </c>
      <c r="I281" s="89">
        <v>15000</v>
      </c>
      <c r="J281" s="89">
        <f t="shared" si="90"/>
        <v>7</v>
      </c>
      <c r="K281" s="89">
        <f t="shared" si="90"/>
        <v>78488.39</v>
      </c>
      <c r="L281" s="90">
        <v>1</v>
      </c>
      <c r="M281" s="91">
        <v>9900</v>
      </c>
      <c r="N281" s="92">
        <f t="shared" si="91"/>
        <v>6</v>
      </c>
      <c r="O281" s="92">
        <f t="shared" si="92"/>
        <v>94820</v>
      </c>
      <c r="P281">
        <v>0</v>
      </c>
      <c r="Q281">
        <v>0</v>
      </c>
      <c r="R281">
        <v>7</v>
      </c>
      <c r="S281">
        <v>134532</v>
      </c>
    </row>
    <row r="282" spans="1:19" x14ac:dyDescent="0.2">
      <c r="A282" s="6" t="s">
        <v>90</v>
      </c>
      <c r="B282" s="90" t="s">
        <v>155</v>
      </c>
      <c r="C282" s="90">
        <v>5</v>
      </c>
      <c r="D282" s="93">
        <v>1</v>
      </c>
      <c r="E282" s="93">
        <v>10000</v>
      </c>
      <c r="F282" s="88">
        <f t="shared" si="89"/>
        <v>2</v>
      </c>
      <c r="G282" s="88">
        <f t="shared" si="89"/>
        <v>16049.93</v>
      </c>
      <c r="H282" s="89">
        <v>0</v>
      </c>
      <c r="I282" s="89">
        <v>0</v>
      </c>
      <c r="J282" s="89">
        <f t="shared" si="90"/>
        <v>7</v>
      </c>
      <c r="K282" s="89">
        <f t="shared" si="90"/>
        <v>78488.39</v>
      </c>
      <c r="L282" s="90">
        <v>2</v>
      </c>
      <c r="M282" s="91">
        <v>36300</v>
      </c>
      <c r="N282" s="92">
        <f t="shared" si="91"/>
        <v>8</v>
      </c>
      <c r="O282" s="92">
        <f t="shared" si="92"/>
        <v>131120</v>
      </c>
      <c r="P282">
        <v>1</v>
      </c>
      <c r="Q282">
        <v>41739.129999999997</v>
      </c>
      <c r="R282">
        <v>8</v>
      </c>
      <c r="S282">
        <v>176271.13</v>
      </c>
    </row>
    <row r="283" spans="1:19" x14ac:dyDescent="0.2">
      <c r="A283" s="6" t="s">
        <v>90</v>
      </c>
      <c r="B283" s="90" t="s">
        <v>156</v>
      </c>
      <c r="C283" s="90">
        <v>6</v>
      </c>
      <c r="D283" s="93">
        <v>1</v>
      </c>
      <c r="E283" s="93">
        <v>32760.36</v>
      </c>
      <c r="F283" s="88">
        <f t="shared" si="89"/>
        <v>3</v>
      </c>
      <c r="G283" s="88">
        <f t="shared" si="89"/>
        <v>48810.29</v>
      </c>
      <c r="H283" s="89">
        <v>3</v>
      </c>
      <c r="I283" s="89">
        <v>50710</v>
      </c>
      <c r="J283" s="89">
        <f t="shared" si="90"/>
        <v>10</v>
      </c>
      <c r="K283" s="89">
        <f t="shared" si="90"/>
        <v>129198.39</v>
      </c>
      <c r="L283" s="90">
        <v>4</v>
      </c>
      <c r="M283" s="91">
        <v>91100</v>
      </c>
      <c r="N283" s="92">
        <f t="shared" si="91"/>
        <v>12</v>
      </c>
      <c r="O283" s="92">
        <f t="shared" si="92"/>
        <v>222220</v>
      </c>
      <c r="P283">
        <v>5</v>
      </c>
      <c r="Q283">
        <v>31448.31</v>
      </c>
      <c r="R283">
        <v>13</v>
      </c>
      <c r="S283">
        <v>207719.44</v>
      </c>
    </row>
    <row r="284" spans="1:19" x14ac:dyDescent="0.2">
      <c r="A284" s="6" t="s">
        <v>90</v>
      </c>
      <c r="B284" s="90" t="s">
        <v>157</v>
      </c>
      <c r="C284" s="90">
        <v>7</v>
      </c>
      <c r="D284" s="93">
        <v>1</v>
      </c>
      <c r="E284" s="93">
        <v>10058.42</v>
      </c>
      <c r="F284" s="88">
        <f t="shared" si="89"/>
        <v>4</v>
      </c>
      <c r="G284" s="88">
        <f t="shared" si="89"/>
        <v>58868.71</v>
      </c>
      <c r="H284" s="89">
        <v>1</v>
      </c>
      <c r="I284" s="89">
        <v>20000</v>
      </c>
      <c r="J284" s="89">
        <f t="shared" si="90"/>
        <v>11</v>
      </c>
      <c r="K284" s="89">
        <f t="shared" si="90"/>
        <v>149198.39000000001</v>
      </c>
      <c r="L284" s="90">
        <v>0</v>
      </c>
      <c r="M284" s="91">
        <v>0</v>
      </c>
      <c r="N284" s="92">
        <f t="shared" si="91"/>
        <v>12</v>
      </c>
      <c r="O284" s="92">
        <f t="shared" si="92"/>
        <v>222220</v>
      </c>
      <c r="P284">
        <v>4</v>
      </c>
      <c r="Q284">
        <v>31470</v>
      </c>
      <c r="R284">
        <v>17</v>
      </c>
      <c r="S284">
        <v>239189.44</v>
      </c>
    </row>
    <row r="285" spans="1:19" x14ac:dyDescent="0.2">
      <c r="A285" s="6" t="s">
        <v>90</v>
      </c>
      <c r="B285" s="90" t="s">
        <v>158</v>
      </c>
      <c r="C285" s="90">
        <v>8</v>
      </c>
      <c r="D285" s="93">
        <v>2</v>
      </c>
      <c r="E285" s="93">
        <v>33321</v>
      </c>
      <c r="F285" s="88">
        <f t="shared" si="89"/>
        <v>6</v>
      </c>
      <c r="G285" s="88">
        <f t="shared" si="89"/>
        <v>92189.709999999992</v>
      </c>
      <c r="H285" s="89">
        <v>0</v>
      </c>
      <c r="I285" s="89">
        <v>0</v>
      </c>
      <c r="J285" s="89">
        <f t="shared" si="90"/>
        <v>11</v>
      </c>
      <c r="K285" s="89">
        <f t="shared" si="90"/>
        <v>149198.39000000001</v>
      </c>
      <c r="L285" s="90">
        <v>1</v>
      </c>
      <c r="M285" s="91">
        <v>18700</v>
      </c>
      <c r="N285" s="92">
        <f t="shared" si="91"/>
        <v>13</v>
      </c>
      <c r="O285" s="92">
        <f t="shared" si="92"/>
        <v>240920</v>
      </c>
      <c r="P285">
        <v>1</v>
      </c>
      <c r="Q285">
        <v>4800</v>
      </c>
      <c r="R285">
        <v>18</v>
      </c>
      <c r="S285">
        <v>243989.44</v>
      </c>
    </row>
    <row r="286" spans="1:19" x14ac:dyDescent="0.2">
      <c r="A286" s="6" t="s">
        <v>90</v>
      </c>
      <c r="B286" s="90" t="s">
        <v>159</v>
      </c>
      <c r="C286" s="90">
        <v>9</v>
      </c>
      <c r="D286" s="93">
        <v>3</v>
      </c>
      <c r="E286" s="88">
        <v>41258.67</v>
      </c>
      <c r="F286" s="88">
        <f t="shared" si="89"/>
        <v>9</v>
      </c>
      <c r="G286" s="88">
        <f t="shared" si="89"/>
        <v>133448.38</v>
      </c>
      <c r="H286" s="89">
        <v>3</v>
      </c>
      <c r="I286" s="89">
        <v>28180</v>
      </c>
      <c r="J286" s="89">
        <f t="shared" si="90"/>
        <v>14</v>
      </c>
      <c r="K286" s="89">
        <f t="shared" si="90"/>
        <v>177378.39</v>
      </c>
      <c r="L286" s="90">
        <v>4</v>
      </c>
      <c r="M286" s="91">
        <v>54200</v>
      </c>
      <c r="N286" s="92">
        <f t="shared" si="91"/>
        <v>17</v>
      </c>
      <c r="O286" s="92">
        <f t="shared" si="92"/>
        <v>295120</v>
      </c>
      <c r="P286">
        <v>2</v>
      </c>
      <c r="Q286">
        <v>19500</v>
      </c>
      <c r="R286">
        <v>20</v>
      </c>
      <c r="S286">
        <v>263489.44</v>
      </c>
    </row>
    <row r="287" spans="1:19" x14ac:dyDescent="0.2">
      <c r="A287" s="6" t="s">
        <v>90</v>
      </c>
      <c r="B287" s="90" t="s">
        <v>160</v>
      </c>
      <c r="C287" s="90">
        <v>10</v>
      </c>
      <c r="D287" s="93">
        <v>5</v>
      </c>
      <c r="E287" s="88">
        <v>40835.770000000004</v>
      </c>
      <c r="F287" s="88">
        <f t="shared" si="89"/>
        <v>14</v>
      </c>
      <c r="G287" s="88">
        <f t="shared" si="89"/>
        <v>174284.15000000002</v>
      </c>
      <c r="H287" s="89">
        <v>2</v>
      </c>
      <c r="I287" s="89">
        <v>33300</v>
      </c>
      <c r="J287" s="89">
        <f t="shared" si="90"/>
        <v>16</v>
      </c>
      <c r="K287" s="89">
        <f t="shared" si="90"/>
        <v>210678.39</v>
      </c>
      <c r="L287" s="90">
        <v>3</v>
      </c>
      <c r="M287" s="91">
        <v>25700</v>
      </c>
      <c r="N287" s="92">
        <f t="shared" si="91"/>
        <v>20</v>
      </c>
      <c r="O287" s="92">
        <f t="shared" si="92"/>
        <v>320820</v>
      </c>
      <c r="P287">
        <v>0</v>
      </c>
      <c r="Q287">
        <v>0</v>
      </c>
      <c r="R287">
        <v>20</v>
      </c>
      <c r="S287">
        <v>263489.44</v>
      </c>
    </row>
    <row r="288" spans="1:19" x14ac:dyDescent="0.2">
      <c r="A288" s="6" t="s">
        <v>90</v>
      </c>
      <c r="B288" s="90" t="s">
        <v>161</v>
      </c>
      <c r="C288" s="90">
        <v>11</v>
      </c>
      <c r="D288" s="93">
        <v>5</v>
      </c>
      <c r="E288" s="88">
        <v>35469.64</v>
      </c>
      <c r="F288" s="88">
        <f t="shared" si="89"/>
        <v>19</v>
      </c>
      <c r="G288" s="88">
        <f t="shared" si="89"/>
        <v>209753.79000000004</v>
      </c>
      <c r="H288" s="89">
        <v>4</v>
      </c>
      <c r="I288" s="89">
        <v>61845</v>
      </c>
      <c r="J288" s="89">
        <f t="shared" si="90"/>
        <v>20</v>
      </c>
      <c r="K288" s="89">
        <f t="shared" si="90"/>
        <v>272523.39</v>
      </c>
      <c r="L288" s="90">
        <v>2</v>
      </c>
      <c r="M288" s="91">
        <v>27400</v>
      </c>
      <c r="N288" s="92">
        <f t="shared" si="91"/>
        <v>22</v>
      </c>
      <c r="O288" s="92">
        <f t="shared" si="92"/>
        <v>348220</v>
      </c>
      <c r="P288" s="86"/>
      <c r="Q288" s="86">
        <v>0</v>
      </c>
    </row>
    <row r="289" spans="1:19" x14ac:dyDescent="0.2">
      <c r="A289" s="6" t="s">
        <v>90</v>
      </c>
      <c r="B289" s="90" t="s">
        <v>162</v>
      </c>
      <c r="C289" s="90">
        <v>12</v>
      </c>
      <c r="D289" s="93">
        <v>2</v>
      </c>
      <c r="E289" s="88">
        <v>22052.27</v>
      </c>
      <c r="F289" s="88">
        <f t="shared" si="89"/>
        <v>21</v>
      </c>
      <c r="G289" s="88">
        <f t="shared" si="89"/>
        <v>231806.06000000003</v>
      </c>
      <c r="H289" s="89">
        <v>3</v>
      </c>
      <c r="I289" s="89">
        <v>25495</v>
      </c>
      <c r="J289" s="89">
        <f t="shared" si="90"/>
        <v>23</v>
      </c>
      <c r="K289" s="89">
        <f t="shared" si="90"/>
        <v>298018.39</v>
      </c>
      <c r="L289" s="90">
        <v>3</v>
      </c>
      <c r="M289" s="91">
        <v>83450</v>
      </c>
      <c r="N289" s="92">
        <f t="shared" si="91"/>
        <v>25</v>
      </c>
      <c r="O289" s="92">
        <f t="shared" si="92"/>
        <v>431670</v>
      </c>
      <c r="P289" s="86"/>
      <c r="Q289" s="86">
        <v>0</v>
      </c>
    </row>
    <row r="290" spans="1:19" x14ac:dyDescent="0.2">
      <c r="A290" s="6" t="s">
        <v>54</v>
      </c>
      <c r="B290" s="90" t="s">
        <v>151</v>
      </c>
      <c r="C290" s="90">
        <v>1</v>
      </c>
      <c r="D290" s="93">
        <v>0</v>
      </c>
      <c r="E290" s="93">
        <v>0</v>
      </c>
      <c r="F290" s="88">
        <f>D290</f>
        <v>0</v>
      </c>
      <c r="G290" s="88">
        <f>E290</f>
        <v>0</v>
      </c>
      <c r="H290" s="89">
        <v>9</v>
      </c>
      <c r="I290" s="89">
        <v>145</v>
      </c>
      <c r="J290" s="89">
        <f>H290</f>
        <v>9</v>
      </c>
      <c r="K290" s="89">
        <f>I290</f>
        <v>145</v>
      </c>
      <c r="L290" s="90">
        <v>28</v>
      </c>
      <c r="M290" s="91">
        <v>6475</v>
      </c>
      <c r="N290" s="92">
        <f>L290</f>
        <v>28</v>
      </c>
      <c r="O290" s="92">
        <f>M290</f>
        <v>6475</v>
      </c>
      <c r="P290">
        <v>1</v>
      </c>
      <c r="Q290">
        <v>40</v>
      </c>
      <c r="R290">
        <v>1</v>
      </c>
      <c r="S290">
        <v>40</v>
      </c>
    </row>
    <row r="291" spans="1:19" x14ac:dyDescent="0.2">
      <c r="A291" s="6" t="s">
        <v>54</v>
      </c>
      <c r="B291" s="90" t="s">
        <v>152</v>
      </c>
      <c r="C291" s="90">
        <v>2</v>
      </c>
      <c r="D291" s="93">
        <v>0</v>
      </c>
      <c r="E291" s="93">
        <v>0</v>
      </c>
      <c r="F291" s="88">
        <f t="shared" ref="F291:G301" si="93">F290+D291</f>
        <v>0</v>
      </c>
      <c r="G291" s="88">
        <f t="shared" si="93"/>
        <v>0</v>
      </c>
      <c r="H291" s="89">
        <v>0</v>
      </c>
      <c r="I291" s="89">
        <v>0</v>
      </c>
      <c r="J291" s="89">
        <f t="shared" ref="J291:K301" si="94">J290+H291</f>
        <v>9</v>
      </c>
      <c r="K291" s="89">
        <f t="shared" si="94"/>
        <v>145</v>
      </c>
      <c r="L291" s="90">
        <v>25</v>
      </c>
      <c r="M291" s="91">
        <v>9405</v>
      </c>
      <c r="N291" s="92">
        <f t="shared" ref="N291:N301" si="95">N290+L291</f>
        <v>53</v>
      </c>
      <c r="O291" s="92">
        <f t="shared" ref="O291:O301" si="96">O290+M291</f>
        <v>15880</v>
      </c>
      <c r="P291">
        <v>0</v>
      </c>
      <c r="Q291">
        <v>0</v>
      </c>
      <c r="R291">
        <v>1</v>
      </c>
      <c r="S291">
        <v>40</v>
      </c>
    </row>
    <row r="292" spans="1:19" x14ac:dyDescent="0.2">
      <c r="A292" s="6" t="s">
        <v>54</v>
      </c>
      <c r="B292" s="90" t="s">
        <v>153</v>
      </c>
      <c r="C292" s="90">
        <v>3</v>
      </c>
      <c r="D292" s="93">
        <v>1</v>
      </c>
      <c r="E292" s="93">
        <v>855</v>
      </c>
      <c r="F292" s="88">
        <f t="shared" si="93"/>
        <v>1</v>
      </c>
      <c r="G292" s="88">
        <f t="shared" si="93"/>
        <v>855</v>
      </c>
      <c r="H292" s="89">
        <v>10</v>
      </c>
      <c r="I292" s="89">
        <v>580</v>
      </c>
      <c r="J292" s="89">
        <f t="shared" si="94"/>
        <v>19</v>
      </c>
      <c r="K292" s="89">
        <f t="shared" si="94"/>
        <v>725</v>
      </c>
      <c r="L292" s="90">
        <v>35</v>
      </c>
      <c r="M292" s="91">
        <v>3350</v>
      </c>
      <c r="N292" s="92">
        <f t="shared" si="95"/>
        <v>88</v>
      </c>
      <c r="O292" s="92">
        <f t="shared" si="96"/>
        <v>19230</v>
      </c>
      <c r="P292">
        <v>9</v>
      </c>
      <c r="Q292">
        <v>720</v>
      </c>
      <c r="R292">
        <v>10</v>
      </c>
      <c r="S292">
        <v>760</v>
      </c>
    </row>
    <row r="293" spans="1:19" x14ac:dyDescent="0.2">
      <c r="A293" s="6" t="s">
        <v>54</v>
      </c>
      <c r="B293" s="90" t="s">
        <v>154</v>
      </c>
      <c r="C293" s="90">
        <v>4</v>
      </c>
      <c r="D293" s="93">
        <v>0</v>
      </c>
      <c r="E293" s="93">
        <v>0</v>
      </c>
      <c r="F293" s="88">
        <f t="shared" si="93"/>
        <v>1</v>
      </c>
      <c r="G293" s="88">
        <f t="shared" si="93"/>
        <v>855</v>
      </c>
      <c r="H293" s="89">
        <v>15</v>
      </c>
      <c r="I293" s="89">
        <v>960</v>
      </c>
      <c r="J293" s="89">
        <f t="shared" si="94"/>
        <v>34</v>
      </c>
      <c r="K293" s="89">
        <f t="shared" si="94"/>
        <v>1685</v>
      </c>
      <c r="L293" s="90">
        <v>53</v>
      </c>
      <c r="M293" s="91">
        <v>4825</v>
      </c>
      <c r="N293" s="92">
        <f t="shared" si="95"/>
        <v>141</v>
      </c>
      <c r="O293" s="92">
        <f t="shared" si="96"/>
        <v>24055</v>
      </c>
      <c r="P293">
        <v>0</v>
      </c>
      <c r="Q293">
        <v>0</v>
      </c>
      <c r="R293">
        <v>10</v>
      </c>
      <c r="S293">
        <v>760</v>
      </c>
    </row>
    <row r="294" spans="1:19" x14ac:dyDescent="0.2">
      <c r="A294" s="6" t="s">
        <v>54</v>
      </c>
      <c r="B294" s="90" t="s">
        <v>155</v>
      </c>
      <c r="C294" s="90">
        <v>5</v>
      </c>
      <c r="D294" s="93">
        <v>0</v>
      </c>
      <c r="E294" s="93">
        <v>0</v>
      </c>
      <c r="F294" s="88">
        <f t="shared" si="93"/>
        <v>1</v>
      </c>
      <c r="G294" s="88">
        <f t="shared" si="93"/>
        <v>855</v>
      </c>
      <c r="H294" s="89">
        <v>9</v>
      </c>
      <c r="I294" s="89">
        <v>13482.369999999999</v>
      </c>
      <c r="J294" s="89">
        <f t="shared" si="94"/>
        <v>43</v>
      </c>
      <c r="K294" s="89">
        <f t="shared" si="94"/>
        <v>15167.369999999999</v>
      </c>
      <c r="L294" s="90">
        <v>7</v>
      </c>
      <c r="M294" s="91">
        <v>400</v>
      </c>
      <c r="N294" s="92">
        <f t="shared" si="95"/>
        <v>148</v>
      </c>
      <c r="O294" s="92">
        <f t="shared" si="96"/>
        <v>24455</v>
      </c>
      <c r="P294">
        <v>0</v>
      </c>
      <c r="Q294">
        <v>0</v>
      </c>
      <c r="R294">
        <v>10</v>
      </c>
      <c r="S294">
        <v>760</v>
      </c>
    </row>
    <row r="295" spans="1:19" x14ac:dyDescent="0.2">
      <c r="A295" s="6" t="s">
        <v>54</v>
      </c>
      <c r="B295" s="90" t="s">
        <v>156</v>
      </c>
      <c r="C295" s="90">
        <v>6</v>
      </c>
      <c r="D295" s="93">
        <v>4</v>
      </c>
      <c r="E295" s="88">
        <v>6250</v>
      </c>
      <c r="F295" s="88">
        <f t="shared" si="93"/>
        <v>5</v>
      </c>
      <c r="G295" s="88">
        <f t="shared" si="93"/>
        <v>7105</v>
      </c>
      <c r="H295" s="89">
        <v>11</v>
      </c>
      <c r="I295" s="89">
        <v>260</v>
      </c>
      <c r="J295" s="89">
        <f t="shared" si="94"/>
        <v>54</v>
      </c>
      <c r="K295" s="89">
        <f t="shared" si="94"/>
        <v>15427.369999999999</v>
      </c>
      <c r="L295" s="90">
        <v>4</v>
      </c>
      <c r="M295" s="91">
        <v>385</v>
      </c>
      <c r="N295" s="92">
        <f t="shared" si="95"/>
        <v>152</v>
      </c>
      <c r="O295" s="92">
        <f t="shared" si="96"/>
        <v>24840</v>
      </c>
      <c r="P295">
        <v>3</v>
      </c>
      <c r="Q295">
        <v>20955.73</v>
      </c>
      <c r="R295">
        <v>13</v>
      </c>
      <c r="S295">
        <v>21715.73</v>
      </c>
    </row>
    <row r="296" spans="1:19" x14ac:dyDescent="0.2">
      <c r="A296" s="6" t="s">
        <v>54</v>
      </c>
      <c r="B296" s="90" t="s">
        <v>157</v>
      </c>
      <c r="C296" s="90">
        <v>7</v>
      </c>
      <c r="D296" s="93">
        <v>1</v>
      </c>
      <c r="E296" s="93">
        <v>3300</v>
      </c>
      <c r="F296" s="88">
        <f t="shared" si="93"/>
        <v>6</v>
      </c>
      <c r="G296" s="88">
        <f t="shared" si="93"/>
        <v>10405</v>
      </c>
      <c r="H296" s="89">
        <v>12</v>
      </c>
      <c r="I296" s="89">
        <v>7595</v>
      </c>
      <c r="J296" s="89">
        <f t="shared" si="94"/>
        <v>66</v>
      </c>
      <c r="K296" s="89">
        <f t="shared" si="94"/>
        <v>23022.37</v>
      </c>
      <c r="L296" s="90">
        <v>19</v>
      </c>
      <c r="M296" s="91">
        <v>11555</v>
      </c>
      <c r="N296" s="92">
        <f t="shared" si="95"/>
        <v>171</v>
      </c>
      <c r="O296" s="92">
        <f t="shared" si="96"/>
        <v>36395</v>
      </c>
      <c r="P296">
        <v>1</v>
      </c>
      <c r="Q296">
        <v>3160</v>
      </c>
      <c r="R296">
        <v>14</v>
      </c>
      <c r="S296">
        <v>24875.73</v>
      </c>
    </row>
    <row r="297" spans="1:19" x14ac:dyDescent="0.2">
      <c r="A297" s="6" t="s">
        <v>54</v>
      </c>
      <c r="B297" s="90" t="s">
        <v>158</v>
      </c>
      <c r="C297" s="90">
        <v>8</v>
      </c>
      <c r="D297" s="93">
        <v>2</v>
      </c>
      <c r="E297" s="88">
        <v>7250</v>
      </c>
      <c r="F297" s="88">
        <f t="shared" si="93"/>
        <v>8</v>
      </c>
      <c r="G297" s="88">
        <f t="shared" si="93"/>
        <v>17655</v>
      </c>
      <c r="H297" s="89">
        <v>20</v>
      </c>
      <c r="I297" s="89">
        <v>4720</v>
      </c>
      <c r="J297" s="89">
        <f t="shared" si="94"/>
        <v>86</v>
      </c>
      <c r="K297" s="89">
        <f t="shared" si="94"/>
        <v>27742.37</v>
      </c>
      <c r="L297" s="90">
        <v>22</v>
      </c>
      <c r="M297" s="91">
        <v>2280</v>
      </c>
      <c r="N297" s="92">
        <f t="shared" si="95"/>
        <v>193</v>
      </c>
      <c r="O297" s="92">
        <f t="shared" si="96"/>
        <v>38675</v>
      </c>
      <c r="P297">
        <v>0</v>
      </c>
      <c r="Q297">
        <v>0</v>
      </c>
      <c r="R297">
        <v>14</v>
      </c>
      <c r="S297">
        <v>24875.73</v>
      </c>
    </row>
    <row r="298" spans="1:19" x14ac:dyDescent="0.2">
      <c r="A298" s="6" t="s">
        <v>54</v>
      </c>
      <c r="B298" s="90" t="s">
        <v>159</v>
      </c>
      <c r="C298" s="90">
        <v>9</v>
      </c>
      <c r="D298" s="93">
        <v>3</v>
      </c>
      <c r="E298" s="93">
        <v>2315</v>
      </c>
      <c r="F298" s="88">
        <f t="shared" si="93"/>
        <v>11</v>
      </c>
      <c r="G298" s="88">
        <f t="shared" si="93"/>
        <v>19970</v>
      </c>
      <c r="H298" s="89">
        <v>19</v>
      </c>
      <c r="I298" s="89">
        <v>4250</v>
      </c>
      <c r="J298" s="89">
        <f t="shared" si="94"/>
        <v>105</v>
      </c>
      <c r="K298" s="89">
        <f t="shared" si="94"/>
        <v>31992.37</v>
      </c>
      <c r="L298" s="90">
        <v>21</v>
      </c>
      <c r="M298" s="91">
        <v>3955</v>
      </c>
      <c r="N298" s="92">
        <f t="shared" si="95"/>
        <v>214</v>
      </c>
      <c r="O298" s="92">
        <f t="shared" si="96"/>
        <v>42630</v>
      </c>
      <c r="P298">
        <v>3</v>
      </c>
      <c r="Q298">
        <v>3</v>
      </c>
      <c r="R298">
        <v>17</v>
      </c>
      <c r="S298">
        <v>24878.73</v>
      </c>
    </row>
    <row r="299" spans="1:19" x14ac:dyDescent="0.2">
      <c r="A299" s="6" t="s">
        <v>54</v>
      </c>
      <c r="B299" s="90" t="s">
        <v>160</v>
      </c>
      <c r="C299" s="90">
        <v>10</v>
      </c>
      <c r="D299" s="93">
        <v>1</v>
      </c>
      <c r="E299" s="93">
        <v>15</v>
      </c>
      <c r="F299" s="88">
        <f t="shared" si="93"/>
        <v>12</v>
      </c>
      <c r="G299" s="88">
        <f t="shared" si="93"/>
        <v>19985</v>
      </c>
      <c r="H299" s="89">
        <v>13</v>
      </c>
      <c r="I299" s="89">
        <v>4380</v>
      </c>
      <c r="J299" s="89">
        <f t="shared" si="94"/>
        <v>118</v>
      </c>
      <c r="K299" s="89">
        <f t="shared" si="94"/>
        <v>36372.369999999995</v>
      </c>
      <c r="L299" s="90">
        <v>9</v>
      </c>
      <c r="M299" s="91">
        <v>1235</v>
      </c>
      <c r="N299" s="92">
        <f t="shared" si="95"/>
        <v>223</v>
      </c>
      <c r="O299" s="92">
        <f t="shared" si="96"/>
        <v>43865</v>
      </c>
      <c r="P299">
        <v>0</v>
      </c>
      <c r="Q299">
        <v>0</v>
      </c>
      <c r="R299">
        <v>17</v>
      </c>
      <c r="S299">
        <v>24878.73</v>
      </c>
    </row>
    <row r="300" spans="1:19" x14ac:dyDescent="0.2">
      <c r="A300" s="6" t="s">
        <v>54</v>
      </c>
      <c r="B300" s="90" t="s">
        <v>161</v>
      </c>
      <c r="C300" s="90">
        <v>11</v>
      </c>
      <c r="D300" s="93">
        <v>14</v>
      </c>
      <c r="E300" s="88">
        <v>730</v>
      </c>
      <c r="F300" s="88">
        <f t="shared" si="93"/>
        <v>26</v>
      </c>
      <c r="G300" s="88">
        <f t="shared" si="93"/>
        <v>20715</v>
      </c>
      <c r="H300" s="89">
        <v>7</v>
      </c>
      <c r="I300" s="89">
        <v>3065</v>
      </c>
      <c r="J300" s="89">
        <f t="shared" si="94"/>
        <v>125</v>
      </c>
      <c r="K300" s="89">
        <f t="shared" si="94"/>
        <v>39437.369999999995</v>
      </c>
      <c r="L300" s="90">
        <v>7</v>
      </c>
      <c r="M300" s="91">
        <v>11500</v>
      </c>
      <c r="N300" s="92">
        <f t="shared" si="95"/>
        <v>230</v>
      </c>
      <c r="O300" s="92">
        <f t="shared" si="96"/>
        <v>55365</v>
      </c>
      <c r="P300" s="86"/>
      <c r="Q300" s="86">
        <v>0</v>
      </c>
    </row>
    <row r="301" spans="1:19" x14ac:dyDescent="0.2">
      <c r="A301" s="6" t="s">
        <v>54</v>
      </c>
      <c r="B301" s="90" t="s">
        <v>162</v>
      </c>
      <c r="C301" s="90">
        <v>12</v>
      </c>
      <c r="D301" s="88">
        <v>11</v>
      </c>
      <c r="E301" s="88">
        <v>5395</v>
      </c>
      <c r="F301" s="88">
        <f t="shared" si="93"/>
        <v>37</v>
      </c>
      <c r="G301" s="88">
        <f t="shared" si="93"/>
        <v>26110</v>
      </c>
      <c r="H301" s="89">
        <v>24</v>
      </c>
      <c r="I301" s="89">
        <v>4510</v>
      </c>
      <c r="J301" s="89">
        <f t="shared" si="94"/>
        <v>149</v>
      </c>
      <c r="K301" s="89">
        <f t="shared" si="94"/>
        <v>43947.369999999995</v>
      </c>
      <c r="L301" s="90">
        <v>1</v>
      </c>
      <c r="M301" s="91">
        <v>720</v>
      </c>
      <c r="N301" s="92">
        <f t="shared" si="95"/>
        <v>231</v>
      </c>
      <c r="O301" s="92">
        <f t="shared" si="96"/>
        <v>56085</v>
      </c>
      <c r="P301" s="86"/>
      <c r="Q301" s="86">
        <v>0</v>
      </c>
    </row>
    <row r="302" spans="1:19" x14ac:dyDescent="0.2">
      <c r="A302" t="s">
        <v>300</v>
      </c>
      <c r="B302" s="90"/>
      <c r="C302" s="90"/>
      <c r="D302" s="88"/>
      <c r="E302" s="88"/>
      <c r="F302" s="88"/>
      <c r="G302" s="88"/>
      <c r="H302" s="89"/>
      <c r="I302" s="89"/>
      <c r="J302" s="89"/>
      <c r="K302" s="89"/>
      <c r="L302" s="90"/>
      <c r="M302" s="91"/>
      <c r="N302" s="92"/>
      <c r="O302" s="92"/>
      <c r="P302">
        <v>0</v>
      </c>
      <c r="Q302">
        <v>0</v>
      </c>
      <c r="R302">
        <v>0</v>
      </c>
      <c r="S302">
        <v>0</v>
      </c>
    </row>
    <row r="303" spans="1:19" x14ac:dyDescent="0.2">
      <c r="A303" t="s">
        <v>300</v>
      </c>
      <c r="B303" s="90"/>
      <c r="C303" s="90"/>
      <c r="D303" s="88"/>
      <c r="E303" s="88"/>
      <c r="F303" s="88"/>
      <c r="G303" s="88"/>
      <c r="H303" s="89"/>
      <c r="I303" s="89"/>
      <c r="J303" s="89"/>
      <c r="K303" s="89"/>
      <c r="L303" s="90"/>
      <c r="M303" s="91"/>
      <c r="N303" s="92"/>
      <c r="O303" s="92"/>
      <c r="P303">
        <v>0</v>
      </c>
      <c r="Q303">
        <v>0</v>
      </c>
      <c r="R303">
        <v>0</v>
      </c>
      <c r="S303">
        <v>0</v>
      </c>
    </row>
    <row r="304" spans="1:19" x14ac:dyDescent="0.2">
      <c r="A304" t="s">
        <v>300</v>
      </c>
      <c r="B304" s="90"/>
      <c r="C304" s="90"/>
      <c r="D304" s="88"/>
      <c r="E304" s="88"/>
      <c r="F304" s="88"/>
      <c r="G304" s="88"/>
      <c r="H304" s="89"/>
      <c r="I304" s="89"/>
      <c r="J304" s="89"/>
      <c r="K304" s="89"/>
      <c r="L304" s="90"/>
      <c r="M304" s="91"/>
      <c r="N304" s="92"/>
      <c r="O304" s="92"/>
      <c r="P304">
        <v>0</v>
      </c>
      <c r="Q304">
        <v>0</v>
      </c>
      <c r="R304">
        <v>0</v>
      </c>
      <c r="S304">
        <v>0</v>
      </c>
    </row>
    <row r="305" spans="1:19" x14ac:dyDescent="0.2">
      <c r="A305" t="s">
        <v>300</v>
      </c>
      <c r="B305" s="90"/>
      <c r="C305" s="90"/>
      <c r="D305" s="88"/>
      <c r="E305" s="88"/>
      <c r="F305" s="88"/>
      <c r="G305" s="88"/>
      <c r="H305" s="89"/>
      <c r="I305" s="89"/>
      <c r="J305" s="89"/>
      <c r="K305" s="89"/>
      <c r="L305" s="90"/>
      <c r="M305" s="91"/>
      <c r="N305" s="92"/>
      <c r="O305" s="92"/>
      <c r="P305">
        <v>0</v>
      </c>
      <c r="Q305">
        <v>0</v>
      </c>
      <c r="R305">
        <v>0</v>
      </c>
      <c r="S305">
        <v>0</v>
      </c>
    </row>
    <row r="306" spans="1:19" x14ac:dyDescent="0.2">
      <c r="A306" t="s">
        <v>300</v>
      </c>
      <c r="B306" s="90"/>
      <c r="C306" s="90"/>
      <c r="D306" s="88"/>
      <c r="E306" s="88"/>
      <c r="F306" s="88"/>
      <c r="G306" s="88"/>
      <c r="H306" s="89"/>
      <c r="I306" s="89"/>
      <c r="J306" s="89"/>
      <c r="K306" s="89"/>
      <c r="L306" s="90"/>
      <c r="M306" s="91"/>
      <c r="N306" s="92"/>
      <c r="O306" s="92"/>
      <c r="P306">
        <v>0</v>
      </c>
      <c r="Q306">
        <v>0</v>
      </c>
      <c r="R306">
        <v>0</v>
      </c>
      <c r="S306">
        <v>0</v>
      </c>
    </row>
    <row r="307" spans="1:19" x14ac:dyDescent="0.2">
      <c r="A307" t="s">
        <v>300</v>
      </c>
      <c r="B307" s="90"/>
      <c r="C307" s="90"/>
      <c r="D307" s="88"/>
      <c r="E307" s="88"/>
      <c r="F307" s="88"/>
      <c r="G307" s="88"/>
      <c r="H307" s="89"/>
      <c r="I307" s="89"/>
      <c r="J307" s="89"/>
      <c r="K307" s="89"/>
      <c r="L307" s="90"/>
      <c r="M307" s="91"/>
      <c r="N307" s="92"/>
      <c r="O307" s="92"/>
      <c r="P307">
        <v>0</v>
      </c>
      <c r="Q307">
        <v>0</v>
      </c>
      <c r="R307">
        <v>7</v>
      </c>
      <c r="S307">
        <v>3573</v>
      </c>
    </row>
    <row r="308" spans="1:19" x14ac:dyDescent="0.2">
      <c r="A308" t="s">
        <v>300</v>
      </c>
      <c r="B308" s="90"/>
      <c r="C308" s="90"/>
      <c r="D308" s="88"/>
      <c r="E308" s="88"/>
      <c r="F308" s="88"/>
      <c r="G308" s="88"/>
      <c r="H308" s="89"/>
      <c r="I308" s="89"/>
      <c r="J308" s="89"/>
      <c r="K308" s="89"/>
      <c r="L308" s="90"/>
      <c r="M308" s="91"/>
      <c r="N308" s="92"/>
      <c r="O308" s="92"/>
      <c r="P308">
        <v>2</v>
      </c>
      <c r="Q308">
        <v>630</v>
      </c>
      <c r="R308">
        <v>9</v>
      </c>
      <c r="S308">
        <v>4203</v>
      </c>
    </row>
    <row r="309" spans="1:19" x14ac:dyDescent="0.2">
      <c r="A309" t="s">
        <v>300</v>
      </c>
      <c r="B309" s="90"/>
      <c r="C309" s="90"/>
      <c r="D309" s="88"/>
      <c r="E309" s="88"/>
      <c r="F309" s="88"/>
      <c r="G309" s="88"/>
      <c r="H309" s="89"/>
      <c r="I309" s="89"/>
      <c r="J309" s="89"/>
      <c r="K309" s="89"/>
      <c r="L309" s="90"/>
      <c r="M309" s="91"/>
      <c r="N309" s="92"/>
      <c r="O309" s="92"/>
      <c r="P309">
        <v>0</v>
      </c>
      <c r="Q309">
        <v>0</v>
      </c>
      <c r="R309">
        <v>9</v>
      </c>
      <c r="S309">
        <v>4203</v>
      </c>
    </row>
    <row r="310" spans="1:19" x14ac:dyDescent="0.2">
      <c r="A310" t="s">
        <v>300</v>
      </c>
      <c r="B310" s="90"/>
      <c r="C310" s="90"/>
      <c r="D310" s="88"/>
      <c r="E310" s="88"/>
      <c r="F310" s="88"/>
      <c r="G310" s="88"/>
      <c r="H310" s="89"/>
      <c r="I310" s="89"/>
      <c r="J310" s="89"/>
      <c r="K310" s="89"/>
      <c r="L310" s="90"/>
      <c r="M310" s="91"/>
      <c r="N310" s="92"/>
      <c r="O310" s="92"/>
      <c r="P310">
        <v>3</v>
      </c>
      <c r="Q310">
        <v>3200</v>
      </c>
      <c r="R310">
        <v>12</v>
      </c>
      <c r="S310">
        <v>7403</v>
      </c>
    </row>
    <row r="311" spans="1:19" x14ac:dyDescent="0.2">
      <c r="A311" t="s">
        <v>300</v>
      </c>
      <c r="B311" s="90"/>
      <c r="C311" s="90"/>
      <c r="D311" s="88"/>
      <c r="E311" s="88"/>
      <c r="F311" s="88"/>
      <c r="G311" s="88"/>
      <c r="H311" s="89"/>
      <c r="I311" s="89"/>
      <c r="J311" s="89"/>
      <c r="K311" s="89"/>
      <c r="L311" s="90"/>
      <c r="M311" s="91"/>
      <c r="N311" s="92"/>
      <c r="O311" s="92"/>
      <c r="P311">
        <v>0</v>
      </c>
      <c r="Q311">
        <v>0</v>
      </c>
      <c r="R311">
        <v>12</v>
      </c>
      <c r="S311">
        <v>7403</v>
      </c>
    </row>
    <row r="312" spans="1:19" x14ac:dyDescent="0.2">
      <c r="A312" t="s">
        <v>300</v>
      </c>
      <c r="B312" s="90"/>
      <c r="C312" s="90"/>
      <c r="D312" s="88"/>
      <c r="E312" s="88"/>
      <c r="F312" s="88"/>
      <c r="G312" s="88"/>
      <c r="H312" s="89"/>
      <c r="I312" s="89"/>
      <c r="J312" s="89"/>
      <c r="K312" s="89"/>
      <c r="L312" s="90"/>
      <c r="M312" s="91"/>
      <c r="N312" s="92"/>
      <c r="O312" s="92"/>
      <c r="P312" s="86"/>
      <c r="Q312" s="86"/>
    </row>
    <row r="313" spans="1:19" x14ac:dyDescent="0.2">
      <c r="A313" t="s">
        <v>300</v>
      </c>
      <c r="B313" s="90"/>
      <c r="C313" s="90"/>
      <c r="D313" s="88"/>
      <c r="E313" s="88"/>
      <c r="F313" s="88"/>
      <c r="G313" s="88"/>
      <c r="H313" s="89"/>
      <c r="I313" s="89"/>
      <c r="J313" s="89"/>
      <c r="K313" s="89"/>
      <c r="L313" s="90"/>
      <c r="M313" s="91"/>
      <c r="N313" s="92"/>
      <c r="O313" s="92"/>
      <c r="P313" s="86"/>
      <c r="Q313" s="86"/>
    </row>
    <row r="314" spans="1:19" x14ac:dyDescent="0.2">
      <c r="A314" s="6" t="s">
        <v>147</v>
      </c>
      <c r="B314" s="90" t="s">
        <v>151</v>
      </c>
      <c r="C314" s="90">
        <v>1</v>
      </c>
      <c r="D314" s="93">
        <v>0</v>
      </c>
      <c r="E314" s="93">
        <v>0</v>
      </c>
      <c r="F314" s="88">
        <f>D314</f>
        <v>0</v>
      </c>
      <c r="G314" s="88">
        <f>E314</f>
        <v>0</v>
      </c>
      <c r="H314" s="88">
        <v>0</v>
      </c>
      <c r="I314" s="88">
        <v>0</v>
      </c>
      <c r="J314" s="88">
        <f>H314</f>
        <v>0</v>
      </c>
      <c r="K314" s="88">
        <f>I314</f>
        <v>0</v>
      </c>
      <c r="L314" s="90">
        <v>0</v>
      </c>
      <c r="M314" s="91">
        <v>0</v>
      </c>
      <c r="N314" s="92">
        <f>L314</f>
        <v>0</v>
      </c>
      <c r="O314" s="92">
        <f>M314</f>
        <v>0</v>
      </c>
      <c r="P314">
        <v>0</v>
      </c>
      <c r="Q314">
        <v>0</v>
      </c>
      <c r="R314">
        <v>0</v>
      </c>
      <c r="S314">
        <v>0</v>
      </c>
    </row>
    <row r="315" spans="1:19" x14ac:dyDescent="0.2">
      <c r="A315" s="6" t="s">
        <v>147</v>
      </c>
      <c r="B315" s="90" t="s">
        <v>152</v>
      </c>
      <c r="C315" s="90">
        <v>2</v>
      </c>
      <c r="D315" s="93">
        <v>0</v>
      </c>
      <c r="E315" s="93">
        <v>0</v>
      </c>
      <c r="F315" s="88">
        <f t="shared" ref="F315:F325" si="97">F314+D315</f>
        <v>0</v>
      </c>
      <c r="G315" s="88">
        <f t="shared" ref="G315:G325" si="98">G314+E315</f>
        <v>0</v>
      </c>
      <c r="H315" s="88">
        <v>0</v>
      </c>
      <c r="I315" s="88">
        <v>0</v>
      </c>
      <c r="J315" s="88">
        <f t="shared" ref="J315:J325" si="99">J314+H315</f>
        <v>0</v>
      </c>
      <c r="K315" s="88">
        <f t="shared" ref="K315:K325" si="100">K314+I315</f>
        <v>0</v>
      </c>
      <c r="L315" s="90">
        <v>0</v>
      </c>
      <c r="M315" s="91">
        <v>0</v>
      </c>
      <c r="N315" s="92">
        <f t="shared" ref="N315:N325" si="101">N314+L315</f>
        <v>0</v>
      </c>
      <c r="O315" s="92">
        <f t="shared" ref="O315:O325" si="102">O314+M315</f>
        <v>0</v>
      </c>
      <c r="P315">
        <v>0</v>
      </c>
      <c r="Q315">
        <v>0</v>
      </c>
      <c r="R315">
        <v>0</v>
      </c>
      <c r="S315">
        <v>0</v>
      </c>
    </row>
    <row r="316" spans="1:19" x14ac:dyDescent="0.2">
      <c r="A316" s="6" t="s">
        <v>147</v>
      </c>
      <c r="B316" s="90" t="s">
        <v>153</v>
      </c>
      <c r="C316" s="90">
        <v>3</v>
      </c>
      <c r="D316" s="93">
        <v>0</v>
      </c>
      <c r="E316" s="93">
        <v>0</v>
      </c>
      <c r="F316" s="88">
        <f t="shared" si="97"/>
        <v>0</v>
      </c>
      <c r="G316" s="88">
        <f t="shared" si="98"/>
        <v>0</v>
      </c>
      <c r="H316" s="88">
        <v>0</v>
      </c>
      <c r="I316" s="88">
        <v>0</v>
      </c>
      <c r="J316" s="88">
        <f t="shared" si="99"/>
        <v>0</v>
      </c>
      <c r="K316" s="88">
        <f t="shared" si="100"/>
        <v>0</v>
      </c>
      <c r="L316" s="90">
        <v>0</v>
      </c>
      <c r="M316" s="91">
        <v>0</v>
      </c>
      <c r="N316" s="92">
        <f t="shared" si="101"/>
        <v>0</v>
      </c>
      <c r="O316" s="92">
        <f t="shared" si="102"/>
        <v>0</v>
      </c>
      <c r="P316">
        <v>0</v>
      </c>
      <c r="Q316">
        <v>0</v>
      </c>
      <c r="R316">
        <v>0</v>
      </c>
      <c r="S316">
        <v>0</v>
      </c>
    </row>
    <row r="317" spans="1:19" x14ac:dyDescent="0.2">
      <c r="A317" s="6" t="s">
        <v>147</v>
      </c>
      <c r="B317" s="90" t="s">
        <v>154</v>
      </c>
      <c r="C317" s="90">
        <v>4</v>
      </c>
      <c r="D317" s="93">
        <v>0</v>
      </c>
      <c r="E317" s="93">
        <v>0</v>
      </c>
      <c r="F317" s="88">
        <f t="shared" si="97"/>
        <v>0</v>
      </c>
      <c r="G317" s="88">
        <f t="shared" si="98"/>
        <v>0</v>
      </c>
      <c r="H317" s="88">
        <v>0</v>
      </c>
      <c r="I317" s="88">
        <v>0</v>
      </c>
      <c r="J317" s="88">
        <f t="shared" si="99"/>
        <v>0</v>
      </c>
      <c r="K317" s="88">
        <f t="shared" si="100"/>
        <v>0</v>
      </c>
      <c r="L317" s="90">
        <v>0</v>
      </c>
      <c r="M317" s="91">
        <v>0</v>
      </c>
      <c r="N317" s="92">
        <f t="shared" si="101"/>
        <v>0</v>
      </c>
      <c r="O317" s="92">
        <f t="shared" si="102"/>
        <v>0</v>
      </c>
      <c r="P317">
        <v>0</v>
      </c>
      <c r="Q317">
        <v>0</v>
      </c>
      <c r="R317">
        <v>0</v>
      </c>
      <c r="S317">
        <v>0</v>
      </c>
    </row>
    <row r="318" spans="1:19" x14ac:dyDescent="0.2">
      <c r="A318" s="6" t="s">
        <v>147</v>
      </c>
      <c r="B318" s="90" t="s">
        <v>155</v>
      </c>
      <c r="C318" s="90">
        <v>5</v>
      </c>
      <c r="D318" s="93">
        <v>0</v>
      </c>
      <c r="E318" s="93">
        <v>0</v>
      </c>
      <c r="F318" s="88">
        <f t="shared" si="97"/>
        <v>0</v>
      </c>
      <c r="G318" s="88">
        <f t="shared" si="98"/>
        <v>0</v>
      </c>
      <c r="H318" s="88">
        <v>0</v>
      </c>
      <c r="I318" s="88">
        <v>0</v>
      </c>
      <c r="J318" s="88">
        <f t="shared" si="99"/>
        <v>0</v>
      </c>
      <c r="K318" s="88">
        <f t="shared" si="100"/>
        <v>0</v>
      </c>
      <c r="L318" s="90">
        <v>0</v>
      </c>
      <c r="M318" s="91">
        <v>0</v>
      </c>
      <c r="N318" s="92">
        <f t="shared" si="101"/>
        <v>0</v>
      </c>
      <c r="O318" s="92">
        <f t="shared" si="102"/>
        <v>0</v>
      </c>
      <c r="P318">
        <v>0</v>
      </c>
      <c r="Q318">
        <v>0</v>
      </c>
      <c r="R318">
        <v>0</v>
      </c>
      <c r="S318">
        <v>0</v>
      </c>
    </row>
    <row r="319" spans="1:19" x14ac:dyDescent="0.2">
      <c r="A319" s="6" t="s">
        <v>147</v>
      </c>
      <c r="B319" s="90" t="s">
        <v>156</v>
      </c>
      <c r="C319" s="90">
        <v>6</v>
      </c>
      <c r="D319" s="93">
        <v>0</v>
      </c>
      <c r="E319" s="93">
        <v>0</v>
      </c>
      <c r="F319" s="88">
        <f t="shared" si="97"/>
        <v>0</v>
      </c>
      <c r="G319" s="88">
        <f t="shared" si="98"/>
        <v>0</v>
      </c>
      <c r="H319" s="88">
        <v>0</v>
      </c>
      <c r="I319" s="88">
        <v>0</v>
      </c>
      <c r="J319" s="88">
        <f t="shared" si="99"/>
        <v>0</v>
      </c>
      <c r="K319" s="88">
        <f t="shared" si="100"/>
        <v>0</v>
      </c>
      <c r="L319" s="90">
        <v>0</v>
      </c>
      <c r="M319" s="91">
        <v>0</v>
      </c>
      <c r="N319" s="92">
        <f t="shared" si="101"/>
        <v>0</v>
      </c>
      <c r="O319" s="92">
        <f t="shared" si="102"/>
        <v>0</v>
      </c>
      <c r="P319">
        <v>0</v>
      </c>
      <c r="Q319">
        <v>0</v>
      </c>
      <c r="R319">
        <v>0</v>
      </c>
      <c r="S319">
        <v>0</v>
      </c>
    </row>
    <row r="320" spans="1:19" x14ac:dyDescent="0.2">
      <c r="A320" s="6" t="s">
        <v>147</v>
      </c>
      <c r="B320" s="90" t="s">
        <v>157</v>
      </c>
      <c r="C320" s="90">
        <v>7</v>
      </c>
      <c r="D320" s="93">
        <v>0</v>
      </c>
      <c r="E320" s="93">
        <v>0</v>
      </c>
      <c r="F320" s="88">
        <f t="shared" si="97"/>
        <v>0</v>
      </c>
      <c r="G320" s="88">
        <f t="shared" si="98"/>
        <v>0</v>
      </c>
      <c r="H320" s="88">
        <v>0</v>
      </c>
      <c r="I320" s="88">
        <v>0</v>
      </c>
      <c r="J320" s="88">
        <f t="shared" si="99"/>
        <v>0</v>
      </c>
      <c r="K320" s="88">
        <f t="shared" si="100"/>
        <v>0</v>
      </c>
      <c r="L320" s="90">
        <v>0</v>
      </c>
      <c r="M320" s="91">
        <v>0</v>
      </c>
      <c r="N320" s="92">
        <f t="shared" si="101"/>
        <v>0</v>
      </c>
      <c r="O320" s="92">
        <f t="shared" si="102"/>
        <v>0</v>
      </c>
      <c r="P320">
        <v>0</v>
      </c>
      <c r="Q320">
        <v>0</v>
      </c>
      <c r="R320">
        <v>0</v>
      </c>
      <c r="S320">
        <v>0</v>
      </c>
    </row>
    <row r="321" spans="1:19" x14ac:dyDescent="0.2">
      <c r="A321" s="6" t="s">
        <v>147</v>
      </c>
      <c r="B321" s="90" t="s">
        <v>158</v>
      </c>
      <c r="C321" s="90">
        <v>8</v>
      </c>
      <c r="D321" s="93">
        <v>0</v>
      </c>
      <c r="E321" s="93">
        <v>0</v>
      </c>
      <c r="F321" s="88">
        <f t="shared" si="97"/>
        <v>0</v>
      </c>
      <c r="G321" s="88">
        <f t="shared" si="98"/>
        <v>0</v>
      </c>
      <c r="H321" s="88">
        <v>0</v>
      </c>
      <c r="I321" s="88">
        <v>0</v>
      </c>
      <c r="J321" s="88">
        <f t="shared" si="99"/>
        <v>0</v>
      </c>
      <c r="K321" s="88">
        <f t="shared" si="100"/>
        <v>0</v>
      </c>
      <c r="L321" s="90">
        <v>0</v>
      </c>
      <c r="M321" s="91">
        <v>0</v>
      </c>
      <c r="N321" s="92">
        <f t="shared" si="101"/>
        <v>0</v>
      </c>
      <c r="O321" s="92">
        <f t="shared" si="102"/>
        <v>0</v>
      </c>
      <c r="P321">
        <v>0</v>
      </c>
      <c r="Q321">
        <v>0</v>
      </c>
      <c r="R321">
        <v>0</v>
      </c>
      <c r="S321">
        <v>0</v>
      </c>
    </row>
    <row r="322" spans="1:19" x14ac:dyDescent="0.2">
      <c r="A322" s="6" t="s">
        <v>147</v>
      </c>
      <c r="B322" s="90" t="s">
        <v>159</v>
      </c>
      <c r="C322" s="90">
        <v>9</v>
      </c>
      <c r="D322" s="93">
        <v>0</v>
      </c>
      <c r="E322" s="93">
        <v>0</v>
      </c>
      <c r="F322" s="88">
        <f t="shared" si="97"/>
        <v>0</v>
      </c>
      <c r="G322" s="88">
        <f t="shared" si="98"/>
        <v>0</v>
      </c>
      <c r="H322" s="88">
        <v>0</v>
      </c>
      <c r="I322" s="88">
        <v>0</v>
      </c>
      <c r="J322" s="88">
        <f t="shared" si="99"/>
        <v>0</v>
      </c>
      <c r="K322" s="88">
        <f t="shared" si="100"/>
        <v>0</v>
      </c>
      <c r="L322" s="90">
        <v>0</v>
      </c>
      <c r="M322" s="91">
        <v>0</v>
      </c>
      <c r="N322" s="92">
        <f t="shared" si="101"/>
        <v>0</v>
      </c>
      <c r="O322" s="92">
        <f t="shared" si="102"/>
        <v>0</v>
      </c>
      <c r="P322">
        <v>0</v>
      </c>
      <c r="Q322">
        <v>0</v>
      </c>
      <c r="R322">
        <v>0</v>
      </c>
      <c r="S322">
        <v>0</v>
      </c>
    </row>
    <row r="323" spans="1:19" x14ac:dyDescent="0.2">
      <c r="A323" s="6" t="s">
        <v>147</v>
      </c>
      <c r="B323" s="90" t="s">
        <v>160</v>
      </c>
      <c r="C323" s="90">
        <v>10</v>
      </c>
      <c r="D323" s="93">
        <v>0</v>
      </c>
      <c r="E323" s="93">
        <v>0</v>
      </c>
      <c r="F323" s="88">
        <f t="shared" si="97"/>
        <v>0</v>
      </c>
      <c r="G323" s="88">
        <f t="shared" si="98"/>
        <v>0</v>
      </c>
      <c r="H323" s="88">
        <v>0</v>
      </c>
      <c r="I323" s="88">
        <v>0</v>
      </c>
      <c r="J323" s="88">
        <f t="shared" si="99"/>
        <v>0</v>
      </c>
      <c r="K323" s="88">
        <f t="shared" si="100"/>
        <v>0</v>
      </c>
      <c r="L323" s="90">
        <v>0</v>
      </c>
      <c r="M323" s="91">
        <v>0</v>
      </c>
      <c r="N323" s="92">
        <f t="shared" si="101"/>
        <v>0</v>
      </c>
      <c r="O323" s="92">
        <f t="shared" si="102"/>
        <v>0</v>
      </c>
      <c r="P323">
        <v>0</v>
      </c>
      <c r="Q323">
        <v>0</v>
      </c>
      <c r="R323">
        <v>0</v>
      </c>
      <c r="S323">
        <v>0</v>
      </c>
    </row>
    <row r="324" spans="1:19" x14ac:dyDescent="0.2">
      <c r="A324" s="6" t="s">
        <v>147</v>
      </c>
      <c r="B324" s="90" t="s">
        <v>161</v>
      </c>
      <c r="C324" s="90">
        <v>11</v>
      </c>
      <c r="D324" s="93">
        <v>0</v>
      </c>
      <c r="E324" s="93">
        <v>0</v>
      </c>
      <c r="F324" s="88">
        <f t="shared" si="97"/>
        <v>0</v>
      </c>
      <c r="G324" s="88">
        <f t="shared" si="98"/>
        <v>0</v>
      </c>
      <c r="H324" s="88">
        <v>0</v>
      </c>
      <c r="I324" s="88">
        <v>0</v>
      </c>
      <c r="J324" s="88">
        <f t="shared" si="99"/>
        <v>0</v>
      </c>
      <c r="K324" s="88">
        <f t="shared" si="100"/>
        <v>0</v>
      </c>
      <c r="L324" s="90">
        <v>0</v>
      </c>
      <c r="M324" s="91">
        <v>0</v>
      </c>
      <c r="N324" s="92">
        <f t="shared" si="101"/>
        <v>0</v>
      </c>
      <c r="O324" s="92">
        <f t="shared" si="102"/>
        <v>0</v>
      </c>
      <c r="P324" s="86"/>
      <c r="Q324" s="86">
        <v>0</v>
      </c>
    </row>
    <row r="325" spans="1:19" x14ac:dyDescent="0.2">
      <c r="A325" s="6" t="s">
        <v>147</v>
      </c>
      <c r="B325" s="90" t="s">
        <v>162</v>
      </c>
      <c r="C325" s="90">
        <v>12</v>
      </c>
      <c r="D325" s="93">
        <v>0</v>
      </c>
      <c r="E325" s="93">
        <v>0</v>
      </c>
      <c r="F325" s="88">
        <f t="shared" si="97"/>
        <v>0</v>
      </c>
      <c r="G325" s="88">
        <f t="shared" si="98"/>
        <v>0</v>
      </c>
      <c r="H325" s="88">
        <v>0</v>
      </c>
      <c r="I325" s="88">
        <v>0</v>
      </c>
      <c r="J325" s="88">
        <f t="shared" si="99"/>
        <v>0</v>
      </c>
      <c r="K325" s="88">
        <f t="shared" si="100"/>
        <v>0</v>
      </c>
      <c r="L325" s="90">
        <v>0</v>
      </c>
      <c r="M325" s="91">
        <v>0</v>
      </c>
      <c r="N325" s="92">
        <f t="shared" si="101"/>
        <v>0</v>
      </c>
      <c r="O325" s="92">
        <f t="shared" si="102"/>
        <v>0</v>
      </c>
      <c r="P325" s="86"/>
      <c r="Q325" s="86">
        <v>0</v>
      </c>
    </row>
    <row r="326" spans="1:19" x14ac:dyDescent="0.2">
      <c r="A326" s="6" t="s">
        <v>71</v>
      </c>
      <c r="B326" s="90" t="s">
        <v>151</v>
      </c>
      <c r="C326" s="90">
        <v>1</v>
      </c>
      <c r="D326" s="93">
        <v>0</v>
      </c>
      <c r="E326" s="93">
        <v>0</v>
      </c>
      <c r="F326" s="88">
        <f>D326</f>
        <v>0</v>
      </c>
      <c r="G326" s="88">
        <f>E326</f>
        <v>0</v>
      </c>
      <c r="H326" s="89">
        <v>0</v>
      </c>
      <c r="I326" s="89">
        <v>0</v>
      </c>
      <c r="J326" s="89">
        <f>H326</f>
        <v>0</v>
      </c>
      <c r="K326" s="89">
        <f>I326</f>
        <v>0</v>
      </c>
      <c r="L326" s="90">
        <v>0</v>
      </c>
      <c r="M326" s="91">
        <v>0</v>
      </c>
      <c r="N326" s="92">
        <f>L326</f>
        <v>0</v>
      </c>
      <c r="O326" s="92">
        <f>M326</f>
        <v>0</v>
      </c>
      <c r="P326">
        <v>0</v>
      </c>
      <c r="Q326">
        <v>0</v>
      </c>
      <c r="R326">
        <v>0</v>
      </c>
      <c r="S326">
        <v>0</v>
      </c>
    </row>
    <row r="327" spans="1:19" x14ac:dyDescent="0.2">
      <c r="A327" s="6" t="s">
        <v>71</v>
      </c>
      <c r="B327" s="90" t="s">
        <v>152</v>
      </c>
      <c r="C327" s="90">
        <v>2</v>
      </c>
      <c r="D327" s="93">
        <v>0</v>
      </c>
      <c r="E327" s="93">
        <v>0</v>
      </c>
      <c r="F327" s="88">
        <f t="shared" ref="F327:G337" si="103">F326+D327</f>
        <v>0</v>
      </c>
      <c r="G327" s="88">
        <f t="shared" si="103"/>
        <v>0</v>
      </c>
      <c r="H327" s="89">
        <v>0</v>
      </c>
      <c r="I327" s="89">
        <v>0</v>
      </c>
      <c r="J327" s="89">
        <f t="shared" ref="J327:K337" si="104">J326+H327</f>
        <v>0</v>
      </c>
      <c r="K327" s="89">
        <f t="shared" si="104"/>
        <v>0</v>
      </c>
      <c r="L327" s="90">
        <v>0</v>
      </c>
      <c r="M327" s="91">
        <v>0</v>
      </c>
      <c r="N327" s="92">
        <f t="shared" ref="N327:N337" si="105">N326+L327</f>
        <v>0</v>
      </c>
      <c r="O327" s="92">
        <f t="shared" ref="O327:O337" si="106">O326+M327</f>
        <v>0</v>
      </c>
      <c r="P327">
        <v>0</v>
      </c>
      <c r="Q327">
        <v>0</v>
      </c>
      <c r="R327">
        <v>0</v>
      </c>
      <c r="S327">
        <v>0</v>
      </c>
    </row>
    <row r="328" spans="1:19" x14ac:dyDescent="0.2">
      <c r="A328" s="6" t="s">
        <v>71</v>
      </c>
      <c r="B328" s="90" t="s">
        <v>153</v>
      </c>
      <c r="C328" s="90">
        <v>3</v>
      </c>
      <c r="D328" s="93">
        <v>0</v>
      </c>
      <c r="E328" s="93">
        <v>0</v>
      </c>
      <c r="F328" s="88">
        <f t="shared" si="103"/>
        <v>0</v>
      </c>
      <c r="G328" s="88">
        <f t="shared" si="103"/>
        <v>0</v>
      </c>
      <c r="H328" s="89">
        <v>0</v>
      </c>
      <c r="I328" s="89">
        <v>0</v>
      </c>
      <c r="J328" s="89">
        <f t="shared" si="104"/>
        <v>0</v>
      </c>
      <c r="K328" s="89">
        <f t="shared" si="104"/>
        <v>0</v>
      </c>
      <c r="L328" s="90">
        <v>0</v>
      </c>
      <c r="M328" s="91">
        <v>0</v>
      </c>
      <c r="N328" s="92">
        <f t="shared" si="105"/>
        <v>0</v>
      </c>
      <c r="O328" s="92">
        <f t="shared" si="106"/>
        <v>0</v>
      </c>
      <c r="P328">
        <v>1</v>
      </c>
      <c r="Q328">
        <v>1855</v>
      </c>
      <c r="R328">
        <v>1</v>
      </c>
      <c r="S328">
        <v>1855</v>
      </c>
    </row>
    <row r="329" spans="1:19" x14ac:dyDescent="0.2">
      <c r="A329" s="6" t="s">
        <v>71</v>
      </c>
      <c r="B329" s="90" t="s">
        <v>154</v>
      </c>
      <c r="C329" s="90">
        <v>4</v>
      </c>
      <c r="D329" s="93">
        <v>0</v>
      </c>
      <c r="E329" s="93">
        <v>0</v>
      </c>
      <c r="F329" s="88">
        <f t="shared" si="103"/>
        <v>0</v>
      </c>
      <c r="G329" s="88">
        <f t="shared" si="103"/>
        <v>0</v>
      </c>
      <c r="H329" s="89">
        <v>0</v>
      </c>
      <c r="I329" s="89">
        <v>0</v>
      </c>
      <c r="J329" s="89">
        <f t="shared" si="104"/>
        <v>0</v>
      </c>
      <c r="K329" s="89">
        <f t="shared" si="104"/>
        <v>0</v>
      </c>
      <c r="L329" s="90">
        <v>3</v>
      </c>
      <c r="M329" s="91">
        <v>960</v>
      </c>
      <c r="N329" s="92">
        <f t="shared" si="105"/>
        <v>3</v>
      </c>
      <c r="O329" s="92">
        <f t="shared" si="106"/>
        <v>960</v>
      </c>
      <c r="P329">
        <v>1</v>
      </c>
      <c r="Q329">
        <v>2655</v>
      </c>
      <c r="R329">
        <v>2</v>
      </c>
      <c r="S329">
        <v>4510</v>
      </c>
    </row>
    <row r="330" spans="1:19" x14ac:dyDescent="0.2">
      <c r="A330" s="6" t="s">
        <v>71</v>
      </c>
      <c r="B330" s="90" t="s">
        <v>155</v>
      </c>
      <c r="C330" s="90">
        <v>5</v>
      </c>
      <c r="D330" s="93">
        <v>0</v>
      </c>
      <c r="E330" s="93">
        <v>0</v>
      </c>
      <c r="F330" s="88">
        <f t="shared" si="103"/>
        <v>0</v>
      </c>
      <c r="G330" s="88">
        <f t="shared" si="103"/>
        <v>0</v>
      </c>
      <c r="H330" s="89">
        <v>3</v>
      </c>
      <c r="I330" s="89">
        <v>4871</v>
      </c>
      <c r="J330" s="89">
        <f t="shared" si="104"/>
        <v>3</v>
      </c>
      <c r="K330" s="89">
        <f t="shared" si="104"/>
        <v>4871</v>
      </c>
      <c r="L330" s="90">
        <v>0</v>
      </c>
      <c r="M330" s="91">
        <v>0</v>
      </c>
      <c r="N330" s="92">
        <f t="shared" si="105"/>
        <v>3</v>
      </c>
      <c r="O330" s="92">
        <f t="shared" si="106"/>
        <v>960</v>
      </c>
      <c r="P330">
        <v>3</v>
      </c>
      <c r="Q330">
        <v>1</v>
      </c>
      <c r="R330">
        <v>5</v>
      </c>
      <c r="S330">
        <v>4511</v>
      </c>
    </row>
    <row r="331" spans="1:19" x14ac:dyDescent="0.2">
      <c r="A331" s="6" t="s">
        <v>71</v>
      </c>
      <c r="B331" s="90" t="s">
        <v>156</v>
      </c>
      <c r="C331" s="90">
        <v>6</v>
      </c>
      <c r="D331" s="93">
        <v>0</v>
      </c>
      <c r="E331" s="93">
        <v>0</v>
      </c>
      <c r="F331" s="88">
        <f t="shared" si="103"/>
        <v>0</v>
      </c>
      <c r="G331" s="88">
        <f t="shared" si="103"/>
        <v>0</v>
      </c>
      <c r="H331" s="89">
        <v>0</v>
      </c>
      <c r="I331" s="89">
        <v>0</v>
      </c>
      <c r="J331" s="89">
        <f t="shared" si="104"/>
        <v>3</v>
      </c>
      <c r="K331" s="89">
        <f t="shared" si="104"/>
        <v>4871</v>
      </c>
      <c r="L331" s="90">
        <v>0</v>
      </c>
      <c r="M331" s="91">
        <v>0</v>
      </c>
      <c r="N331" s="92">
        <f t="shared" si="105"/>
        <v>3</v>
      </c>
      <c r="O331" s="92">
        <f t="shared" si="106"/>
        <v>960</v>
      </c>
      <c r="P331">
        <v>0</v>
      </c>
      <c r="Q331">
        <v>0</v>
      </c>
      <c r="R331">
        <v>5</v>
      </c>
      <c r="S331">
        <v>4511</v>
      </c>
    </row>
    <row r="332" spans="1:19" x14ac:dyDescent="0.2">
      <c r="A332" s="6" t="s">
        <v>71</v>
      </c>
      <c r="B332" s="90" t="s">
        <v>157</v>
      </c>
      <c r="C332" s="90">
        <v>7</v>
      </c>
      <c r="D332" s="93">
        <v>0</v>
      </c>
      <c r="E332" s="93">
        <v>0</v>
      </c>
      <c r="F332" s="88">
        <f t="shared" si="103"/>
        <v>0</v>
      </c>
      <c r="G332" s="88">
        <f t="shared" si="103"/>
        <v>0</v>
      </c>
      <c r="H332" s="89">
        <v>0</v>
      </c>
      <c r="I332" s="89">
        <v>0</v>
      </c>
      <c r="J332" s="89">
        <f t="shared" si="104"/>
        <v>3</v>
      </c>
      <c r="K332" s="89">
        <f t="shared" si="104"/>
        <v>4871</v>
      </c>
      <c r="L332" s="90">
        <v>0</v>
      </c>
      <c r="M332" s="91">
        <v>0</v>
      </c>
      <c r="N332" s="92">
        <f t="shared" si="105"/>
        <v>3</v>
      </c>
      <c r="O332" s="92">
        <f t="shared" si="106"/>
        <v>960</v>
      </c>
      <c r="P332">
        <v>0</v>
      </c>
      <c r="Q332">
        <v>0</v>
      </c>
      <c r="R332">
        <v>5</v>
      </c>
      <c r="S332">
        <v>4511</v>
      </c>
    </row>
    <row r="333" spans="1:19" x14ac:dyDescent="0.2">
      <c r="A333" s="6" t="s">
        <v>71</v>
      </c>
      <c r="B333" s="90" t="s">
        <v>158</v>
      </c>
      <c r="C333" s="90">
        <v>8</v>
      </c>
      <c r="D333" s="93">
        <v>0</v>
      </c>
      <c r="E333" s="93">
        <v>0</v>
      </c>
      <c r="F333" s="88">
        <f t="shared" si="103"/>
        <v>0</v>
      </c>
      <c r="G333" s="88">
        <f t="shared" si="103"/>
        <v>0</v>
      </c>
      <c r="H333" s="89">
        <v>0</v>
      </c>
      <c r="I333" s="89">
        <v>0</v>
      </c>
      <c r="J333" s="89">
        <f t="shared" si="104"/>
        <v>3</v>
      </c>
      <c r="K333" s="89">
        <f t="shared" si="104"/>
        <v>4871</v>
      </c>
      <c r="L333" s="90">
        <v>2</v>
      </c>
      <c r="M333" s="91">
        <v>1290</v>
      </c>
      <c r="N333" s="92">
        <f t="shared" si="105"/>
        <v>5</v>
      </c>
      <c r="O333" s="92">
        <f t="shared" si="106"/>
        <v>2250</v>
      </c>
      <c r="P333">
        <v>0</v>
      </c>
      <c r="Q333">
        <v>0</v>
      </c>
      <c r="R333">
        <v>5</v>
      </c>
      <c r="S333">
        <v>4511</v>
      </c>
    </row>
    <row r="334" spans="1:19" x14ac:dyDescent="0.2">
      <c r="A334" s="6" t="s">
        <v>71</v>
      </c>
      <c r="B334" s="90" t="s">
        <v>159</v>
      </c>
      <c r="C334" s="90">
        <v>9</v>
      </c>
      <c r="D334" s="93">
        <v>0</v>
      </c>
      <c r="E334" s="93">
        <v>0</v>
      </c>
      <c r="F334" s="88">
        <f t="shared" si="103"/>
        <v>0</v>
      </c>
      <c r="G334" s="88">
        <f t="shared" si="103"/>
        <v>0</v>
      </c>
      <c r="H334" s="89">
        <v>0</v>
      </c>
      <c r="I334" s="89">
        <v>0</v>
      </c>
      <c r="J334" s="89">
        <f t="shared" si="104"/>
        <v>3</v>
      </c>
      <c r="K334" s="89">
        <f t="shared" si="104"/>
        <v>4871</v>
      </c>
      <c r="L334" s="90">
        <v>0</v>
      </c>
      <c r="M334" s="91">
        <v>0</v>
      </c>
      <c r="N334" s="92">
        <f t="shared" si="105"/>
        <v>5</v>
      </c>
      <c r="O334" s="92">
        <f t="shared" si="106"/>
        <v>2250</v>
      </c>
      <c r="P334">
        <v>0</v>
      </c>
      <c r="Q334">
        <v>0</v>
      </c>
      <c r="R334">
        <v>5</v>
      </c>
      <c r="S334">
        <v>4511</v>
      </c>
    </row>
    <row r="335" spans="1:19" x14ac:dyDescent="0.2">
      <c r="A335" s="6" t="s">
        <v>71</v>
      </c>
      <c r="B335" s="90" t="s">
        <v>160</v>
      </c>
      <c r="C335" s="90">
        <v>10</v>
      </c>
      <c r="D335" s="93">
        <v>0</v>
      </c>
      <c r="E335" s="93">
        <v>0</v>
      </c>
      <c r="F335" s="88">
        <f t="shared" si="103"/>
        <v>0</v>
      </c>
      <c r="G335" s="88">
        <f t="shared" si="103"/>
        <v>0</v>
      </c>
      <c r="H335" s="89">
        <v>1</v>
      </c>
      <c r="I335" s="89">
        <v>50</v>
      </c>
      <c r="J335" s="89">
        <f t="shared" si="104"/>
        <v>4</v>
      </c>
      <c r="K335" s="89">
        <f t="shared" si="104"/>
        <v>4921</v>
      </c>
      <c r="L335" s="90">
        <v>0</v>
      </c>
      <c r="M335" s="91">
        <v>0</v>
      </c>
      <c r="N335" s="92">
        <f t="shared" si="105"/>
        <v>5</v>
      </c>
      <c r="O335" s="92">
        <f t="shared" si="106"/>
        <v>2250</v>
      </c>
      <c r="P335">
        <v>0</v>
      </c>
      <c r="Q335">
        <v>0</v>
      </c>
      <c r="R335">
        <v>5</v>
      </c>
      <c r="S335">
        <v>4511</v>
      </c>
    </row>
    <row r="336" spans="1:19" x14ac:dyDescent="0.2">
      <c r="A336" s="6" t="s">
        <v>71</v>
      </c>
      <c r="B336" s="90" t="s">
        <v>161</v>
      </c>
      <c r="C336" s="90">
        <v>11</v>
      </c>
      <c r="D336" s="93">
        <v>0</v>
      </c>
      <c r="E336" s="93">
        <v>0</v>
      </c>
      <c r="F336" s="88">
        <f t="shared" si="103"/>
        <v>0</v>
      </c>
      <c r="G336" s="88">
        <f t="shared" si="103"/>
        <v>0</v>
      </c>
      <c r="H336" s="89">
        <v>0</v>
      </c>
      <c r="I336" s="89">
        <v>0</v>
      </c>
      <c r="J336" s="89">
        <f t="shared" si="104"/>
        <v>4</v>
      </c>
      <c r="K336" s="89">
        <f t="shared" si="104"/>
        <v>4921</v>
      </c>
      <c r="L336" s="90">
        <v>0</v>
      </c>
      <c r="M336" s="91">
        <v>0</v>
      </c>
      <c r="N336" s="92">
        <f t="shared" si="105"/>
        <v>5</v>
      </c>
      <c r="O336" s="92">
        <f t="shared" si="106"/>
        <v>2250</v>
      </c>
      <c r="P336" s="86"/>
      <c r="Q336" s="86">
        <v>0</v>
      </c>
    </row>
    <row r="337" spans="1:19" x14ac:dyDescent="0.2">
      <c r="A337" s="6" t="s">
        <v>71</v>
      </c>
      <c r="B337" s="90" t="s">
        <v>162</v>
      </c>
      <c r="C337" s="90">
        <v>12</v>
      </c>
      <c r="D337" s="93">
        <v>0</v>
      </c>
      <c r="E337" s="93">
        <v>0</v>
      </c>
      <c r="F337" s="88">
        <f t="shared" si="103"/>
        <v>0</v>
      </c>
      <c r="G337" s="88">
        <f t="shared" si="103"/>
        <v>0</v>
      </c>
      <c r="H337" s="89">
        <v>0</v>
      </c>
      <c r="I337" s="89">
        <v>0</v>
      </c>
      <c r="J337" s="89">
        <f t="shared" si="104"/>
        <v>4</v>
      </c>
      <c r="K337" s="89">
        <f t="shared" si="104"/>
        <v>4921</v>
      </c>
      <c r="L337" s="90">
        <v>0</v>
      </c>
      <c r="M337" s="91">
        <v>0</v>
      </c>
      <c r="N337" s="92">
        <f t="shared" si="105"/>
        <v>5</v>
      </c>
      <c r="O337" s="92">
        <f t="shared" si="106"/>
        <v>2250</v>
      </c>
      <c r="P337" s="86"/>
      <c r="Q337" s="86">
        <v>0</v>
      </c>
    </row>
    <row r="338" spans="1:19" x14ac:dyDescent="0.2">
      <c r="A338" s="6" t="s">
        <v>75</v>
      </c>
      <c r="B338" s="90" t="s">
        <v>151</v>
      </c>
      <c r="C338" s="90">
        <v>1</v>
      </c>
      <c r="D338" s="93">
        <v>2</v>
      </c>
      <c r="E338" s="93">
        <v>1340</v>
      </c>
      <c r="F338" s="88">
        <f>D338</f>
        <v>2</v>
      </c>
      <c r="G338" s="88">
        <f>E338</f>
        <v>1340</v>
      </c>
      <c r="H338" s="89">
        <v>1</v>
      </c>
      <c r="I338" s="89">
        <v>1050</v>
      </c>
      <c r="J338" s="89">
        <f>H338</f>
        <v>1</v>
      </c>
      <c r="K338" s="89">
        <f>I338</f>
        <v>1050</v>
      </c>
      <c r="L338" s="90">
        <v>5</v>
      </c>
      <c r="M338" s="91">
        <v>6410.18</v>
      </c>
      <c r="N338" s="92">
        <f>L338</f>
        <v>5</v>
      </c>
      <c r="O338" s="92">
        <f>M338</f>
        <v>6410.18</v>
      </c>
      <c r="P338">
        <v>3</v>
      </c>
      <c r="Q338">
        <v>541</v>
      </c>
      <c r="R338">
        <v>3</v>
      </c>
      <c r="S338">
        <v>541</v>
      </c>
    </row>
    <row r="339" spans="1:19" x14ac:dyDescent="0.2">
      <c r="A339" s="6" t="s">
        <v>75</v>
      </c>
      <c r="B339" s="90" t="s">
        <v>152</v>
      </c>
      <c r="C339" s="90">
        <v>2</v>
      </c>
      <c r="D339" s="93">
        <v>0</v>
      </c>
      <c r="E339" s="93">
        <v>0</v>
      </c>
      <c r="F339" s="88">
        <f t="shared" ref="F339:G349" si="107">F338+D339</f>
        <v>2</v>
      </c>
      <c r="G339" s="88">
        <f t="shared" si="107"/>
        <v>1340</v>
      </c>
      <c r="H339" s="89">
        <v>1</v>
      </c>
      <c r="I339" s="89">
        <v>700</v>
      </c>
      <c r="J339" s="89">
        <f t="shared" ref="J339:K349" si="108">J338+H339</f>
        <v>2</v>
      </c>
      <c r="K339" s="89">
        <f t="shared" si="108"/>
        <v>1750</v>
      </c>
      <c r="L339" s="90">
        <v>3</v>
      </c>
      <c r="M339" s="91">
        <v>1200</v>
      </c>
      <c r="N339" s="92">
        <f t="shared" ref="N339:N349" si="109">N338+L339</f>
        <v>8</v>
      </c>
      <c r="O339" s="92">
        <f t="shared" ref="O339:O349" si="110">O338+M339</f>
        <v>7610.18</v>
      </c>
      <c r="P339">
        <v>3</v>
      </c>
      <c r="Q339">
        <v>3499.8</v>
      </c>
      <c r="R339">
        <v>6</v>
      </c>
      <c r="S339">
        <v>4040.8</v>
      </c>
    </row>
    <row r="340" spans="1:19" x14ac:dyDescent="0.2">
      <c r="A340" s="6" t="s">
        <v>75</v>
      </c>
      <c r="B340" s="90" t="s">
        <v>153</v>
      </c>
      <c r="C340" s="90">
        <v>3</v>
      </c>
      <c r="D340" s="93">
        <v>0</v>
      </c>
      <c r="E340" s="93">
        <v>0</v>
      </c>
      <c r="F340" s="88">
        <f t="shared" si="107"/>
        <v>2</v>
      </c>
      <c r="G340" s="88">
        <f t="shared" si="107"/>
        <v>1340</v>
      </c>
      <c r="H340" s="89">
        <v>0</v>
      </c>
      <c r="I340" s="89">
        <v>0</v>
      </c>
      <c r="J340" s="89">
        <f t="shared" si="108"/>
        <v>2</v>
      </c>
      <c r="K340" s="89">
        <f t="shared" si="108"/>
        <v>1750</v>
      </c>
      <c r="L340" s="90">
        <v>2</v>
      </c>
      <c r="M340" s="91">
        <v>1530</v>
      </c>
      <c r="N340" s="92">
        <f t="shared" si="109"/>
        <v>10</v>
      </c>
      <c r="O340" s="92">
        <f t="shared" si="110"/>
        <v>9140.18</v>
      </c>
      <c r="P340">
        <v>2</v>
      </c>
      <c r="Q340">
        <v>2744</v>
      </c>
      <c r="R340">
        <v>8</v>
      </c>
      <c r="S340">
        <v>6784.8</v>
      </c>
    </row>
    <row r="341" spans="1:19" x14ac:dyDescent="0.2">
      <c r="A341" s="6" t="s">
        <v>75</v>
      </c>
      <c r="B341" s="90" t="s">
        <v>154</v>
      </c>
      <c r="C341" s="90">
        <v>4</v>
      </c>
      <c r="D341" s="93">
        <v>1</v>
      </c>
      <c r="E341" s="93">
        <v>750</v>
      </c>
      <c r="F341" s="88">
        <f t="shared" si="107"/>
        <v>3</v>
      </c>
      <c r="G341" s="88">
        <f t="shared" si="107"/>
        <v>2090</v>
      </c>
      <c r="H341" s="89">
        <v>5</v>
      </c>
      <c r="I341" s="89">
        <v>5050</v>
      </c>
      <c r="J341" s="89">
        <f t="shared" si="108"/>
        <v>7</v>
      </c>
      <c r="K341" s="89">
        <f t="shared" si="108"/>
        <v>6800</v>
      </c>
      <c r="L341" s="90">
        <v>4</v>
      </c>
      <c r="M341" s="91">
        <v>4</v>
      </c>
      <c r="N341" s="92">
        <f t="shared" si="109"/>
        <v>14</v>
      </c>
      <c r="O341" s="92">
        <f t="shared" si="110"/>
        <v>9144.18</v>
      </c>
      <c r="P341">
        <v>5</v>
      </c>
      <c r="Q341">
        <v>4745</v>
      </c>
      <c r="R341">
        <v>13</v>
      </c>
      <c r="S341">
        <v>11529.8</v>
      </c>
    </row>
    <row r="342" spans="1:19" x14ac:dyDescent="0.2">
      <c r="A342" s="6" t="s">
        <v>75</v>
      </c>
      <c r="B342" s="90" t="s">
        <v>155</v>
      </c>
      <c r="C342" s="90">
        <v>5</v>
      </c>
      <c r="D342" s="93">
        <v>1</v>
      </c>
      <c r="E342" s="93">
        <v>900</v>
      </c>
      <c r="F342" s="88">
        <f t="shared" si="107"/>
        <v>4</v>
      </c>
      <c r="G342" s="88">
        <f t="shared" si="107"/>
        <v>2990</v>
      </c>
      <c r="H342" s="89">
        <v>2</v>
      </c>
      <c r="I342" s="89">
        <v>900</v>
      </c>
      <c r="J342" s="89">
        <f t="shared" si="108"/>
        <v>9</v>
      </c>
      <c r="K342" s="89">
        <f t="shared" si="108"/>
        <v>7700</v>
      </c>
      <c r="L342" s="90">
        <v>2</v>
      </c>
      <c r="M342" s="91">
        <v>2628</v>
      </c>
      <c r="N342" s="92">
        <f t="shared" si="109"/>
        <v>16</v>
      </c>
      <c r="O342" s="92">
        <f t="shared" si="110"/>
        <v>11772.18</v>
      </c>
      <c r="P342">
        <v>4</v>
      </c>
      <c r="Q342">
        <v>4251</v>
      </c>
      <c r="R342">
        <v>17</v>
      </c>
      <c r="S342">
        <v>15780.8</v>
      </c>
    </row>
    <row r="343" spans="1:19" x14ac:dyDescent="0.2">
      <c r="A343" s="6" t="s">
        <v>75</v>
      </c>
      <c r="B343" s="90" t="s">
        <v>156</v>
      </c>
      <c r="C343" s="90">
        <v>6</v>
      </c>
      <c r="D343" s="93">
        <v>0</v>
      </c>
      <c r="E343" s="93">
        <v>0</v>
      </c>
      <c r="F343" s="88">
        <f t="shared" si="107"/>
        <v>4</v>
      </c>
      <c r="G343" s="88">
        <f t="shared" si="107"/>
        <v>2990</v>
      </c>
      <c r="H343" s="89">
        <v>5</v>
      </c>
      <c r="I343" s="89">
        <v>5385</v>
      </c>
      <c r="J343" s="89">
        <f t="shared" si="108"/>
        <v>14</v>
      </c>
      <c r="K343" s="89">
        <f t="shared" si="108"/>
        <v>13085</v>
      </c>
      <c r="L343" s="90">
        <v>1</v>
      </c>
      <c r="M343" s="91">
        <v>710</v>
      </c>
      <c r="N343" s="92">
        <f t="shared" si="109"/>
        <v>17</v>
      </c>
      <c r="O343" s="92">
        <f t="shared" si="110"/>
        <v>12482.18</v>
      </c>
      <c r="P343">
        <v>3</v>
      </c>
      <c r="Q343">
        <v>1501</v>
      </c>
      <c r="R343">
        <v>20</v>
      </c>
      <c r="S343">
        <v>17281.8</v>
      </c>
    </row>
    <row r="344" spans="1:19" x14ac:dyDescent="0.2">
      <c r="A344" s="6" t="s">
        <v>75</v>
      </c>
      <c r="B344" s="90" t="s">
        <v>157</v>
      </c>
      <c r="C344" s="90">
        <v>7</v>
      </c>
      <c r="D344" s="93">
        <v>0</v>
      </c>
      <c r="E344" s="93">
        <v>0</v>
      </c>
      <c r="F344" s="88">
        <f t="shared" si="107"/>
        <v>4</v>
      </c>
      <c r="G344" s="88">
        <f t="shared" si="107"/>
        <v>2990</v>
      </c>
      <c r="H344" s="89">
        <v>1</v>
      </c>
      <c r="I344" s="89">
        <v>1620</v>
      </c>
      <c r="J344" s="89">
        <f t="shared" si="108"/>
        <v>15</v>
      </c>
      <c r="K344" s="89">
        <f t="shared" si="108"/>
        <v>14705</v>
      </c>
      <c r="L344" s="90">
        <v>2</v>
      </c>
      <c r="M344" s="91">
        <v>3306</v>
      </c>
      <c r="N344" s="92">
        <f t="shared" si="109"/>
        <v>19</v>
      </c>
      <c r="O344" s="92">
        <f t="shared" si="110"/>
        <v>15788.18</v>
      </c>
      <c r="P344">
        <v>7</v>
      </c>
      <c r="Q344">
        <v>9204.7999999999993</v>
      </c>
      <c r="R344">
        <v>27</v>
      </c>
      <c r="S344">
        <v>26486.6</v>
      </c>
    </row>
    <row r="345" spans="1:19" x14ac:dyDescent="0.2">
      <c r="A345" s="6" t="s">
        <v>75</v>
      </c>
      <c r="B345" s="90" t="s">
        <v>158</v>
      </c>
      <c r="C345" s="90">
        <v>8</v>
      </c>
      <c r="D345" s="88">
        <v>3</v>
      </c>
      <c r="E345" s="88">
        <v>4350</v>
      </c>
      <c r="F345" s="88">
        <f t="shared" si="107"/>
        <v>7</v>
      </c>
      <c r="G345" s="88">
        <f t="shared" si="107"/>
        <v>7340</v>
      </c>
      <c r="H345" s="89">
        <v>3</v>
      </c>
      <c r="I345" s="89">
        <v>4044</v>
      </c>
      <c r="J345" s="89">
        <f t="shared" si="108"/>
        <v>18</v>
      </c>
      <c r="K345" s="89">
        <f t="shared" si="108"/>
        <v>18749</v>
      </c>
      <c r="L345" s="90">
        <v>3</v>
      </c>
      <c r="M345" s="91">
        <v>3300</v>
      </c>
      <c r="N345" s="92">
        <f t="shared" si="109"/>
        <v>22</v>
      </c>
      <c r="O345" s="92">
        <f t="shared" si="110"/>
        <v>19088.18</v>
      </c>
      <c r="P345">
        <v>8</v>
      </c>
      <c r="Q345">
        <v>4353</v>
      </c>
      <c r="R345">
        <v>35</v>
      </c>
      <c r="S345">
        <v>30839.599999999999</v>
      </c>
    </row>
    <row r="346" spans="1:19" x14ac:dyDescent="0.2">
      <c r="A346" s="6" t="s">
        <v>75</v>
      </c>
      <c r="B346" s="90" t="s">
        <v>159</v>
      </c>
      <c r="C346" s="90">
        <v>9</v>
      </c>
      <c r="D346" s="93">
        <v>2</v>
      </c>
      <c r="E346" s="93">
        <v>1350</v>
      </c>
      <c r="F346" s="88">
        <f t="shared" si="107"/>
        <v>9</v>
      </c>
      <c r="G346" s="88">
        <f t="shared" si="107"/>
        <v>8690</v>
      </c>
      <c r="H346" s="89">
        <v>4</v>
      </c>
      <c r="I346" s="89">
        <v>3960.1</v>
      </c>
      <c r="J346" s="89">
        <f t="shared" si="108"/>
        <v>22</v>
      </c>
      <c r="K346" s="89">
        <f t="shared" si="108"/>
        <v>22709.1</v>
      </c>
      <c r="L346" s="90">
        <v>1</v>
      </c>
      <c r="M346" s="91">
        <v>1</v>
      </c>
      <c r="N346" s="92">
        <f t="shared" si="109"/>
        <v>23</v>
      </c>
      <c r="O346" s="92">
        <f t="shared" si="110"/>
        <v>19089.18</v>
      </c>
      <c r="P346">
        <v>10</v>
      </c>
      <c r="Q346">
        <v>17300</v>
      </c>
      <c r="R346">
        <v>45</v>
      </c>
      <c r="S346">
        <v>48139.6</v>
      </c>
    </row>
    <row r="347" spans="1:19" x14ac:dyDescent="0.2">
      <c r="A347" s="6" t="s">
        <v>75</v>
      </c>
      <c r="B347" s="90" t="s">
        <v>160</v>
      </c>
      <c r="C347" s="90">
        <v>10</v>
      </c>
      <c r="D347" s="93">
        <v>4</v>
      </c>
      <c r="E347" s="93">
        <v>6813.19</v>
      </c>
      <c r="F347" s="88">
        <f t="shared" si="107"/>
        <v>13</v>
      </c>
      <c r="G347" s="88">
        <f t="shared" si="107"/>
        <v>15503.189999999999</v>
      </c>
      <c r="H347" s="89">
        <v>1</v>
      </c>
      <c r="I347" s="89">
        <v>403.2</v>
      </c>
      <c r="J347" s="89">
        <f t="shared" si="108"/>
        <v>23</v>
      </c>
      <c r="K347" s="89">
        <f t="shared" si="108"/>
        <v>23112.3</v>
      </c>
      <c r="L347" s="90">
        <v>4</v>
      </c>
      <c r="M347" s="91">
        <v>1847</v>
      </c>
      <c r="N347" s="92">
        <f t="shared" si="109"/>
        <v>27</v>
      </c>
      <c r="O347" s="92">
        <f t="shared" si="110"/>
        <v>20936.18</v>
      </c>
      <c r="P347">
        <v>0</v>
      </c>
      <c r="Q347">
        <v>0</v>
      </c>
      <c r="R347">
        <v>45</v>
      </c>
      <c r="S347">
        <v>48139.6</v>
      </c>
    </row>
    <row r="348" spans="1:19" x14ac:dyDescent="0.2">
      <c r="A348" s="6" t="s">
        <v>75</v>
      </c>
      <c r="B348" s="90" t="s">
        <v>161</v>
      </c>
      <c r="C348" s="90">
        <v>11</v>
      </c>
      <c r="D348" s="93">
        <v>1</v>
      </c>
      <c r="E348" s="93">
        <v>860</v>
      </c>
      <c r="F348" s="88">
        <f t="shared" si="107"/>
        <v>14</v>
      </c>
      <c r="G348" s="88">
        <f t="shared" si="107"/>
        <v>16363.189999999999</v>
      </c>
      <c r="H348" s="89">
        <v>4</v>
      </c>
      <c r="I348" s="89">
        <v>6217</v>
      </c>
      <c r="J348" s="89">
        <f t="shared" si="108"/>
        <v>27</v>
      </c>
      <c r="K348" s="89">
        <f t="shared" si="108"/>
        <v>29329.3</v>
      </c>
      <c r="L348" s="90">
        <v>10</v>
      </c>
      <c r="M348" s="91">
        <v>14197.19</v>
      </c>
      <c r="N348" s="92">
        <f t="shared" si="109"/>
        <v>37</v>
      </c>
      <c r="O348" s="92">
        <f t="shared" si="110"/>
        <v>35133.370000000003</v>
      </c>
      <c r="P348" s="86"/>
      <c r="Q348" s="86">
        <v>0</v>
      </c>
    </row>
    <row r="349" spans="1:19" x14ac:dyDescent="0.2">
      <c r="A349" s="6" t="s">
        <v>75</v>
      </c>
      <c r="B349" s="90" t="s">
        <v>162</v>
      </c>
      <c r="C349" s="90">
        <v>12</v>
      </c>
      <c r="D349" s="93">
        <v>0</v>
      </c>
      <c r="E349" s="93">
        <v>0</v>
      </c>
      <c r="F349" s="88">
        <f t="shared" si="107"/>
        <v>14</v>
      </c>
      <c r="G349" s="88">
        <f t="shared" si="107"/>
        <v>16363.189999999999</v>
      </c>
      <c r="H349" s="89">
        <v>0</v>
      </c>
      <c r="I349" s="89">
        <v>0</v>
      </c>
      <c r="J349" s="89">
        <f t="shared" si="108"/>
        <v>27</v>
      </c>
      <c r="K349" s="89">
        <f t="shared" si="108"/>
        <v>29329.3</v>
      </c>
      <c r="L349" s="90">
        <v>4</v>
      </c>
      <c r="M349" s="91">
        <v>11000</v>
      </c>
      <c r="N349" s="92">
        <f t="shared" si="109"/>
        <v>41</v>
      </c>
      <c r="O349" s="92">
        <f t="shared" si="110"/>
        <v>46133.37</v>
      </c>
      <c r="P349" s="86"/>
      <c r="Q349" s="86">
        <v>0</v>
      </c>
    </row>
    <row r="350" spans="1:19" x14ac:dyDescent="0.2">
      <c r="A350" s="6" t="s">
        <v>46</v>
      </c>
      <c r="B350" s="90" t="s">
        <v>151</v>
      </c>
      <c r="C350" s="90">
        <v>1</v>
      </c>
      <c r="D350" s="93">
        <v>0</v>
      </c>
      <c r="E350" s="93">
        <v>0</v>
      </c>
      <c r="F350" s="88">
        <f>D350</f>
        <v>0</v>
      </c>
      <c r="G350" s="88">
        <f>E350</f>
        <v>0</v>
      </c>
      <c r="H350" s="89">
        <v>0</v>
      </c>
      <c r="I350" s="89">
        <v>0</v>
      </c>
      <c r="J350" s="89">
        <f>H350</f>
        <v>0</v>
      </c>
      <c r="K350" s="89">
        <f>I350</f>
        <v>0</v>
      </c>
      <c r="L350" s="90">
        <v>0</v>
      </c>
      <c r="M350" s="91">
        <v>0</v>
      </c>
      <c r="N350" s="92">
        <f>L350</f>
        <v>0</v>
      </c>
      <c r="O350" s="92">
        <f>M350</f>
        <v>0</v>
      </c>
      <c r="P350">
        <v>0</v>
      </c>
      <c r="Q350">
        <v>0</v>
      </c>
      <c r="R350">
        <v>0</v>
      </c>
      <c r="S350">
        <v>0</v>
      </c>
    </row>
    <row r="351" spans="1:19" x14ac:dyDescent="0.2">
      <c r="A351" s="6" t="s">
        <v>46</v>
      </c>
      <c r="B351" s="90" t="s">
        <v>152</v>
      </c>
      <c r="C351" s="90">
        <v>2</v>
      </c>
      <c r="D351" s="93">
        <v>0</v>
      </c>
      <c r="E351" s="93">
        <v>0</v>
      </c>
      <c r="F351" s="88">
        <f t="shared" ref="F351:G361" si="111">F350+D351</f>
        <v>0</v>
      </c>
      <c r="G351" s="88">
        <f t="shared" si="111"/>
        <v>0</v>
      </c>
      <c r="H351" s="89">
        <v>0</v>
      </c>
      <c r="I351" s="89">
        <v>0</v>
      </c>
      <c r="J351" s="89">
        <f t="shared" ref="J351:K361" si="112">J350+H351</f>
        <v>0</v>
      </c>
      <c r="K351" s="89">
        <f t="shared" si="112"/>
        <v>0</v>
      </c>
      <c r="L351" s="90">
        <v>0</v>
      </c>
      <c r="M351" s="91">
        <v>0</v>
      </c>
      <c r="N351" s="92">
        <f t="shared" ref="N351:N361" si="113">N350+L351</f>
        <v>0</v>
      </c>
      <c r="O351" s="92">
        <f t="shared" ref="O351:O361" si="114">O350+M351</f>
        <v>0</v>
      </c>
      <c r="P351">
        <v>0</v>
      </c>
      <c r="Q351">
        <v>0</v>
      </c>
      <c r="R351">
        <v>0</v>
      </c>
      <c r="S351">
        <v>0</v>
      </c>
    </row>
    <row r="352" spans="1:19" x14ac:dyDescent="0.2">
      <c r="A352" s="6" t="s">
        <v>46</v>
      </c>
      <c r="B352" s="90" t="s">
        <v>153</v>
      </c>
      <c r="C352" s="90">
        <v>3</v>
      </c>
      <c r="D352" s="93">
        <v>0</v>
      </c>
      <c r="E352" s="93">
        <v>0</v>
      </c>
      <c r="F352" s="88">
        <f t="shared" si="111"/>
        <v>0</v>
      </c>
      <c r="G352" s="88">
        <f t="shared" si="111"/>
        <v>0</v>
      </c>
      <c r="H352" s="89">
        <v>2</v>
      </c>
      <c r="I352" s="89">
        <v>700.94</v>
      </c>
      <c r="J352" s="89">
        <f t="shared" si="112"/>
        <v>2</v>
      </c>
      <c r="K352" s="89">
        <f t="shared" si="112"/>
        <v>700.94</v>
      </c>
      <c r="L352" s="90">
        <v>3</v>
      </c>
      <c r="M352" s="91">
        <v>1813.63</v>
      </c>
      <c r="N352" s="92">
        <f t="shared" si="113"/>
        <v>3</v>
      </c>
      <c r="O352" s="92">
        <f t="shared" si="114"/>
        <v>1813.63</v>
      </c>
      <c r="P352">
        <v>0</v>
      </c>
      <c r="Q352">
        <v>0</v>
      </c>
      <c r="R352">
        <v>0</v>
      </c>
      <c r="S352">
        <v>0</v>
      </c>
    </row>
    <row r="353" spans="1:19" x14ac:dyDescent="0.2">
      <c r="A353" s="6" t="s">
        <v>46</v>
      </c>
      <c r="B353" s="90" t="s">
        <v>154</v>
      </c>
      <c r="C353" s="90">
        <v>4</v>
      </c>
      <c r="D353" s="93">
        <v>0</v>
      </c>
      <c r="E353" s="93">
        <v>0</v>
      </c>
      <c r="F353" s="88">
        <f t="shared" si="111"/>
        <v>0</v>
      </c>
      <c r="G353" s="88">
        <f t="shared" si="111"/>
        <v>0</v>
      </c>
      <c r="H353" s="89">
        <v>0</v>
      </c>
      <c r="I353" s="89">
        <v>0</v>
      </c>
      <c r="J353" s="89">
        <f t="shared" si="112"/>
        <v>2</v>
      </c>
      <c r="K353" s="89">
        <f t="shared" si="112"/>
        <v>700.94</v>
      </c>
      <c r="L353" s="90">
        <v>0</v>
      </c>
      <c r="M353" s="91">
        <v>0</v>
      </c>
      <c r="N353" s="92">
        <f t="shared" si="113"/>
        <v>3</v>
      </c>
      <c r="O353" s="92">
        <f t="shared" si="114"/>
        <v>1813.63</v>
      </c>
      <c r="P353">
        <v>0</v>
      </c>
      <c r="Q353">
        <v>0</v>
      </c>
      <c r="R353">
        <v>0</v>
      </c>
      <c r="S353">
        <v>0</v>
      </c>
    </row>
    <row r="354" spans="1:19" x14ac:dyDescent="0.2">
      <c r="A354" s="6" t="s">
        <v>46</v>
      </c>
      <c r="B354" s="90" t="s">
        <v>155</v>
      </c>
      <c r="C354" s="90">
        <v>5</v>
      </c>
      <c r="D354" s="93">
        <v>0</v>
      </c>
      <c r="E354" s="93">
        <v>0</v>
      </c>
      <c r="F354" s="88">
        <f t="shared" si="111"/>
        <v>0</v>
      </c>
      <c r="G354" s="88">
        <f t="shared" si="111"/>
        <v>0</v>
      </c>
      <c r="H354" s="89">
        <v>11</v>
      </c>
      <c r="I354" s="89">
        <v>1721.75</v>
      </c>
      <c r="J354" s="89">
        <f t="shared" si="112"/>
        <v>13</v>
      </c>
      <c r="K354" s="89">
        <f t="shared" si="112"/>
        <v>2422.69</v>
      </c>
      <c r="L354" s="90">
        <v>0</v>
      </c>
      <c r="M354" s="91">
        <v>0</v>
      </c>
      <c r="N354" s="92">
        <f t="shared" si="113"/>
        <v>3</v>
      </c>
      <c r="O354" s="92">
        <f t="shared" si="114"/>
        <v>1813.63</v>
      </c>
      <c r="P354">
        <v>0</v>
      </c>
      <c r="Q354">
        <v>0</v>
      </c>
      <c r="R354">
        <v>0</v>
      </c>
      <c r="S354">
        <v>0</v>
      </c>
    </row>
    <row r="355" spans="1:19" x14ac:dyDescent="0.2">
      <c r="A355" s="6" t="s">
        <v>46</v>
      </c>
      <c r="B355" s="90" t="s">
        <v>156</v>
      </c>
      <c r="C355" s="90">
        <v>6</v>
      </c>
      <c r="D355" s="93">
        <v>0</v>
      </c>
      <c r="E355" s="93">
        <v>0</v>
      </c>
      <c r="F355" s="88">
        <f t="shared" si="111"/>
        <v>0</v>
      </c>
      <c r="G355" s="88">
        <f t="shared" si="111"/>
        <v>0</v>
      </c>
      <c r="H355" s="89">
        <v>2</v>
      </c>
      <c r="I355" s="89">
        <v>58.989999999999995</v>
      </c>
      <c r="J355" s="89">
        <f t="shared" si="112"/>
        <v>15</v>
      </c>
      <c r="K355" s="89">
        <f t="shared" si="112"/>
        <v>2481.6799999999998</v>
      </c>
      <c r="L355" s="90">
        <v>0</v>
      </c>
      <c r="M355" s="91">
        <v>0</v>
      </c>
      <c r="N355" s="92">
        <f t="shared" si="113"/>
        <v>3</v>
      </c>
      <c r="O355" s="92">
        <f t="shared" si="114"/>
        <v>1813.63</v>
      </c>
      <c r="P355">
        <v>0</v>
      </c>
      <c r="Q355">
        <v>0</v>
      </c>
      <c r="R355">
        <v>0</v>
      </c>
      <c r="S355">
        <v>0</v>
      </c>
    </row>
    <row r="356" spans="1:19" x14ac:dyDescent="0.2">
      <c r="A356" s="6" t="s">
        <v>46</v>
      </c>
      <c r="B356" s="90" t="s">
        <v>157</v>
      </c>
      <c r="C356" s="90">
        <v>7</v>
      </c>
      <c r="D356" s="93">
        <v>0</v>
      </c>
      <c r="E356" s="93">
        <v>0</v>
      </c>
      <c r="F356" s="88">
        <f t="shared" si="111"/>
        <v>0</v>
      </c>
      <c r="G356" s="88">
        <f t="shared" si="111"/>
        <v>0</v>
      </c>
      <c r="H356" s="89">
        <v>1</v>
      </c>
      <c r="I356" s="89">
        <v>3998.12</v>
      </c>
      <c r="J356" s="89">
        <f t="shared" si="112"/>
        <v>16</v>
      </c>
      <c r="K356" s="89">
        <f t="shared" si="112"/>
        <v>6479.7999999999993</v>
      </c>
      <c r="L356" s="90">
        <v>3</v>
      </c>
      <c r="M356" s="91">
        <v>515</v>
      </c>
      <c r="N356" s="92">
        <f t="shared" si="113"/>
        <v>6</v>
      </c>
      <c r="O356" s="92">
        <f t="shared" si="114"/>
        <v>2328.63</v>
      </c>
      <c r="P356">
        <v>0</v>
      </c>
      <c r="Q356">
        <v>0</v>
      </c>
      <c r="R356">
        <v>0</v>
      </c>
      <c r="S356">
        <v>0</v>
      </c>
    </row>
    <row r="357" spans="1:19" x14ac:dyDescent="0.2">
      <c r="A357" s="6" t="s">
        <v>46</v>
      </c>
      <c r="B357" s="90" t="s">
        <v>158</v>
      </c>
      <c r="C357" s="90">
        <v>8</v>
      </c>
      <c r="D357" s="93">
        <v>0</v>
      </c>
      <c r="E357" s="93">
        <v>0</v>
      </c>
      <c r="F357" s="88">
        <f t="shared" si="111"/>
        <v>0</v>
      </c>
      <c r="G357" s="88">
        <f t="shared" si="111"/>
        <v>0</v>
      </c>
      <c r="H357" s="89">
        <v>1</v>
      </c>
      <c r="I357" s="89">
        <v>799.4</v>
      </c>
      <c r="J357" s="89">
        <f t="shared" si="112"/>
        <v>17</v>
      </c>
      <c r="K357" s="89">
        <f t="shared" si="112"/>
        <v>7279.1999999999989</v>
      </c>
      <c r="L357" s="90">
        <v>5</v>
      </c>
      <c r="M357" s="91">
        <v>2097</v>
      </c>
      <c r="N357" s="92">
        <f t="shared" si="113"/>
        <v>11</v>
      </c>
      <c r="O357" s="92">
        <f t="shared" si="114"/>
        <v>4425.63</v>
      </c>
      <c r="P357">
        <v>0</v>
      </c>
      <c r="Q357">
        <v>0</v>
      </c>
      <c r="R357">
        <v>0</v>
      </c>
      <c r="S357">
        <v>0</v>
      </c>
    </row>
    <row r="358" spans="1:19" x14ac:dyDescent="0.2">
      <c r="A358" s="6" t="s">
        <v>46</v>
      </c>
      <c r="B358" s="90" t="s">
        <v>159</v>
      </c>
      <c r="C358" s="90">
        <v>9</v>
      </c>
      <c r="D358" s="93">
        <v>0</v>
      </c>
      <c r="E358" s="93">
        <v>0</v>
      </c>
      <c r="F358" s="88">
        <f t="shared" si="111"/>
        <v>0</v>
      </c>
      <c r="G358" s="88">
        <f t="shared" si="111"/>
        <v>0</v>
      </c>
      <c r="H358" s="89">
        <v>0</v>
      </c>
      <c r="I358" s="89">
        <v>0</v>
      </c>
      <c r="J358" s="89">
        <f t="shared" si="112"/>
        <v>17</v>
      </c>
      <c r="K358" s="89">
        <f t="shared" si="112"/>
        <v>7279.1999999999989</v>
      </c>
      <c r="L358" s="90">
        <v>0</v>
      </c>
      <c r="M358" s="91">
        <v>0</v>
      </c>
      <c r="N358" s="92">
        <f t="shared" si="113"/>
        <v>11</v>
      </c>
      <c r="O358" s="92">
        <f t="shared" si="114"/>
        <v>4425.63</v>
      </c>
      <c r="P358">
        <v>0</v>
      </c>
      <c r="Q358">
        <v>0</v>
      </c>
      <c r="R358">
        <v>0</v>
      </c>
      <c r="S358">
        <v>0</v>
      </c>
    </row>
    <row r="359" spans="1:19" x14ac:dyDescent="0.2">
      <c r="A359" s="6" t="s">
        <v>46</v>
      </c>
      <c r="B359" s="90" t="s">
        <v>160</v>
      </c>
      <c r="C359" s="90">
        <v>10</v>
      </c>
      <c r="D359" s="93">
        <v>0</v>
      </c>
      <c r="E359" s="93">
        <v>0</v>
      </c>
      <c r="F359" s="88">
        <f t="shared" si="111"/>
        <v>0</v>
      </c>
      <c r="G359" s="88">
        <f t="shared" si="111"/>
        <v>0</v>
      </c>
      <c r="H359" s="89">
        <v>0</v>
      </c>
      <c r="I359" s="89">
        <v>0</v>
      </c>
      <c r="J359" s="89">
        <f t="shared" si="112"/>
        <v>17</v>
      </c>
      <c r="K359" s="89">
        <f t="shared" si="112"/>
        <v>7279.1999999999989</v>
      </c>
      <c r="L359" s="90">
        <v>0</v>
      </c>
      <c r="M359" s="91">
        <v>0</v>
      </c>
      <c r="N359" s="92">
        <f t="shared" si="113"/>
        <v>11</v>
      </c>
      <c r="O359" s="92">
        <f t="shared" si="114"/>
        <v>4425.63</v>
      </c>
      <c r="P359">
        <v>0</v>
      </c>
      <c r="Q359">
        <v>0</v>
      </c>
      <c r="R359">
        <v>0</v>
      </c>
      <c r="S359">
        <v>0</v>
      </c>
    </row>
    <row r="360" spans="1:19" x14ac:dyDescent="0.2">
      <c r="A360" s="6" t="s">
        <v>46</v>
      </c>
      <c r="B360" s="90" t="s">
        <v>161</v>
      </c>
      <c r="C360" s="90">
        <v>11</v>
      </c>
      <c r="D360" s="93">
        <v>0</v>
      </c>
      <c r="E360" s="93">
        <v>0</v>
      </c>
      <c r="F360" s="88">
        <f t="shared" si="111"/>
        <v>0</v>
      </c>
      <c r="G360" s="88">
        <f t="shared" si="111"/>
        <v>0</v>
      </c>
      <c r="H360" s="89">
        <v>1</v>
      </c>
      <c r="I360" s="89">
        <v>376</v>
      </c>
      <c r="J360" s="89">
        <f t="shared" si="112"/>
        <v>18</v>
      </c>
      <c r="K360" s="89">
        <f t="shared" si="112"/>
        <v>7655.1999999999989</v>
      </c>
      <c r="L360" s="90">
        <v>3</v>
      </c>
      <c r="M360" s="91">
        <v>4330</v>
      </c>
      <c r="N360" s="92">
        <f t="shared" si="113"/>
        <v>14</v>
      </c>
      <c r="O360" s="92">
        <f t="shared" si="114"/>
        <v>8755.630000000001</v>
      </c>
      <c r="P360" s="86"/>
      <c r="Q360" s="86">
        <v>0</v>
      </c>
    </row>
    <row r="361" spans="1:19" x14ac:dyDescent="0.2">
      <c r="A361" s="6" t="s">
        <v>46</v>
      </c>
      <c r="B361" s="90" t="s">
        <v>162</v>
      </c>
      <c r="C361" s="90">
        <v>12</v>
      </c>
      <c r="D361" s="93">
        <v>0</v>
      </c>
      <c r="E361" s="93">
        <v>0</v>
      </c>
      <c r="F361" s="88">
        <f t="shared" si="111"/>
        <v>0</v>
      </c>
      <c r="G361" s="88">
        <f t="shared" si="111"/>
        <v>0</v>
      </c>
      <c r="H361" s="89">
        <v>1</v>
      </c>
      <c r="I361" s="89">
        <v>962.44</v>
      </c>
      <c r="J361" s="89">
        <f t="shared" si="112"/>
        <v>19</v>
      </c>
      <c r="K361" s="89">
        <f t="shared" si="112"/>
        <v>8617.64</v>
      </c>
      <c r="L361" s="90">
        <v>2</v>
      </c>
      <c r="M361" s="91">
        <v>3450.15</v>
      </c>
      <c r="N361" s="92">
        <f t="shared" si="113"/>
        <v>16</v>
      </c>
      <c r="O361" s="92">
        <f t="shared" si="114"/>
        <v>12205.78</v>
      </c>
      <c r="P361" s="86"/>
      <c r="Q361" s="86">
        <v>0</v>
      </c>
    </row>
    <row r="362" spans="1:19" x14ac:dyDescent="0.2">
      <c r="A362" s="6" t="s">
        <v>36</v>
      </c>
      <c r="B362" s="90" t="s">
        <v>151</v>
      </c>
      <c r="C362" s="90">
        <v>1</v>
      </c>
      <c r="D362" s="93">
        <v>1</v>
      </c>
      <c r="E362" s="93">
        <v>6300</v>
      </c>
      <c r="F362" s="88">
        <f>D362</f>
        <v>1</v>
      </c>
      <c r="G362" s="88">
        <f>E362</f>
        <v>6300</v>
      </c>
      <c r="H362" s="89">
        <v>3</v>
      </c>
      <c r="I362" s="89">
        <v>11240</v>
      </c>
      <c r="J362" s="89">
        <f>H362</f>
        <v>3</v>
      </c>
      <c r="K362" s="89">
        <f>I362</f>
        <v>11240</v>
      </c>
      <c r="L362" s="90">
        <v>1</v>
      </c>
      <c r="M362" s="91">
        <v>7000</v>
      </c>
      <c r="N362" s="92">
        <f>L362</f>
        <v>1</v>
      </c>
      <c r="O362" s="92">
        <f>M362</f>
        <v>7000</v>
      </c>
      <c r="P362">
        <v>0</v>
      </c>
      <c r="Q362" s="86">
        <v>0</v>
      </c>
      <c r="R362">
        <v>0</v>
      </c>
      <c r="S362">
        <v>0</v>
      </c>
    </row>
    <row r="363" spans="1:19" x14ac:dyDescent="0.2">
      <c r="A363" s="6" t="s">
        <v>36</v>
      </c>
      <c r="B363" s="90" t="s">
        <v>152</v>
      </c>
      <c r="C363" s="90">
        <v>2</v>
      </c>
      <c r="D363" s="93">
        <v>0</v>
      </c>
      <c r="E363" s="93">
        <v>0</v>
      </c>
      <c r="F363" s="88">
        <f t="shared" ref="F363:G373" si="115">F362+D363</f>
        <v>1</v>
      </c>
      <c r="G363" s="88">
        <f t="shared" si="115"/>
        <v>6300</v>
      </c>
      <c r="H363" s="89">
        <v>0</v>
      </c>
      <c r="I363" s="89">
        <v>0</v>
      </c>
      <c r="J363" s="89">
        <f t="shared" ref="J363:K373" si="116">J362+H363</f>
        <v>3</v>
      </c>
      <c r="K363" s="89">
        <f t="shared" si="116"/>
        <v>11240</v>
      </c>
      <c r="L363" s="90">
        <v>0</v>
      </c>
      <c r="M363" s="91">
        <v>0</v>
      </c>
      <c r="N363" s="92">
        <f t="shared" ref="N363:N373" si="117">N362+L363</f>
        <v>1</v>
      </c>
      <c r="O363" s="92">
        <f t="shared" ref="O363:O373" si="118">O362+M363</f>
        <v>7000</v>
      </c>
      <c r="P363">
        <v>0</v>
      </c>
      <c r="Q363" s="86">
        <v>0</v>
      </c>
      <c r="R363">
        <v>0</v>
      </c>
      <c r="S363">
        <v>0</v>
      </c>
    </row>
    <row r="364" spans="1:19" x14ac:dyDescent="0.2">
      <c r="A364" s="6" t="s">
        <v>36</v>
      </c>
      <c r="B364" s="90" t="s">
        <v>153</v>
      </c>
      <c r="C364" s="90">
        <v>3</v>
      </c>
      <c r="D364" s="93">
        <v>0</v>
      </c>
      <c r="E364" s="93">
        <v>0</v>
      </c>
      <c r="F364" s="88">
        <f t="shared" si="115"/>
        <v>1</v>
      </c>
      <c r="G364" s="88">
        <f t="shared" si="115"/>
        <v>6300</v>
      </c>
      <c r="H364" s="89">
        <v>0</v>
      </c>
      <c r="I364" s="89">
        <v>0</v>
      </c>
      <c r="J364" s="89">
        <f t="shared" si="116"/>
        <v>3</v>
      </c>
      <c r="K364" s="89">
        <f t="shared" si="116"/>
        <v>11240</v>
      </c>
      <c r="L364" s="90">
        <v>0</v>
      </c>
      <c r="M364" s="91">
        <v>0</v>
      </c>
      <c r="N364" s="92">
        <f t="shared" si="117"/>
        <v>1</v>
      </c>
      <c r="O364" s="92">
        <f t="shared" si="118"/>
        <v>7000</v>
      </c>
      <c r="P364">
        <v>0</v>
      </c>
      <c r="Q364" s="86">
        <v>0</v>
      </c>
      <c r="R364">
        <v>0</v>
      </c>
      <c r="S364">
        <v>0</v>
      </c>
    </row>
    <row r="365" spans="1:19" x14ac:dyDescent="0.2">
      <c r="A365" s="6" t="s">
        <v>36</v>
      </c>
      <c r="B365" s="90" t="s">
        <v>154</v>
      </c>
      <c r="C365" s="90">
        <v>4</v>
      </c>
      <c r="D365" s="93">
        <v>0</v>
      </c>
      <c r="E365" s="93">
        <v>0</v>
      </c>
      <c r="F365" s="88">
        <f t="shared" si="115"/>
        <v>1</v>
      </c>
      <c r="G365" s="88">
        <f t="shared" si="115"/>
        <v>6300</v>
      </c>
      <c r="H365" s="89">
        <v>0</v>
      </c>
      <c r="I365" s="89">
        <v>0</v>
      </c>
      <c r="J365" s="89">
        <f t="shared" si="116"/>
        <v>3</v>
      </c>
      <c r="K365" s="89">
        <f t="shared" si="116"/>
        <v>11240</v>
      </c>
      <c r="L365" s="90">
        <v>0</v>
      </c>
      <c r="M365" s="91">
        <v>0</v>
      </c>
      <c r="N365" s="92">
        <f t="shared" si="117"/>
        <v>1</v>
      </c>
      <c r="O365" s="92">
        <f t="shared" si="118"/>
        <v>7000</v>
      </c>
      <c r="P365">
        <v>0</v>
      </c>
      <c r="Q365" s="86">
        <v>0</v>
      </c>
      <c r="R365">
        <v>0</v>
      </c>
      <c r="S365">
        <v>0</v>
      </c>
    </row>
    <row r="366" spans="1:19" x14ac:dyDescent="0.2">
      <c r="A366" s="6" t="s">
        <v>36</v>
      </c>
      <c r="B366" s="90" t="s">
        <v>155</v>
      </c>
      <c r="C366" s="90">
        <v>5</v>
      </c>
      <c r="D366" s="93">
        <v>0</v>
      </c>
      <c r="E366" s="93">
        <v>0</v>
      </c>
      <c r="F366" s="88">
        <f t="shared" si="115"/>
        <v>1</v>
      </c>
      <c r="G366" s="88">
        <f t="shared" si="115"/>
        <v>6300</v>
      </c>
      <c r="H366" s="89">
        <v>0</v>
      </c>
      <c r="I366" s="89">
        <v>0</v>
      </c>
      <c r="J366" s="89">
        <f t="shared" si="116"/>
        <v>3</v>
      </c>
      <c r="K366" s="89">
        <f t="shared" si="116"/>
        <v>11240</v>
      </c>
      <c r="L366" s="90">
        <v>0</v>
      </c>
      <c r="M366" s="91">
        <v>0</v>
      </c>
      <c r="N366" s="92">
        <f t="shared" si="117"/>
        <v>1</v>
      </c>
      <c r="O366" s="92">
        <f t="shared" si="118"/>
        <v>7000</v>
      </c>
      <c r="P366">
        <v>0</v>
      </c>
      <c r="Q366" s="86">
        <v>0</v>
      </c>
      <c r="R366">
        <v>0</v>
      </c>
      <c r="S366">
        <v>0</v>
      </c>
    </row>
    <row r="367" spans="1:19" x14ac:dyDescent="0.2">
      <c r="A367" s="6" t="s">
        <v>36</v>
      </c>
      <c r="B367" s="90" t="s">
        <v>156</v>
      </c>
      <c r="C367" s="90">
        <v>6</v>
      </c>
      <c r="D367" s="93">
        <v>0</v>
      </c>
      <c r="E367" s="93">
        <v>0</v>
      </c>
      <c r="F367" s="88">
        <f t="shared" si="115"/>
        <v>1</v>
      </c>
      <c r="G367" s="88">
        <f t="shared" si="115"/>
        <v>6300</v>
      </c>
      <c r="H367" s="89">
        <v>0</v>
      </c>
      <c r="I367" s="89">
        <v>0</v>
      </c>
      <c r="J367" s="89">
        <f t="shared" si="116"/>
        <v>3</v>
      </c>
      <c r="K367" s="89">
        <f t="shared" si="116"/>
        <v>11240</v>
      </c>
      <c r="L367" s="90">
        <v>1</v>
      </c>
      <c r="M367" s="91">
        <v>4800</v>
      </c>
      <c r="N367" s="92">
        <f t="shared" si="117"/>
        <v>2</v>
      </c>
      <c r="O367" s="92">
        <f t="shared" si="118"/>
        <v>11800</v>
      </c>
      <c r="P367">
        <v>0</v>
      </c>
      <c r="Q367" s="86">
        <v>0</v>
      </c>
      <c r="R367">
        <v>0</v>
      </c>
      <c r="S367">
        <v>0</v>
      </c>
    </row>
    <row r="368" spans="1:19" x14ac:dyDescent="0.2">
      <c r="A368" s="6" t="s">
        <v>36</v>
      </c>
      <c r="B368" s="90" t="s">
        <v>157</v>
      </c>
      <c r="C368" s="90">
        <v>7</v>
      </c>
      <c r="D368" s="93">
        <v>0</v>
      </c>
      <c r="E368" s="93">
        <v>0</v>
      </c>
      <c r="F368" s="88">
        <f t="shared" si="115"/>
        <v>1</v>
      </c>
      <c r="G368" s="88">
        <f t="shared" si="115"/>
        <v>6300</v>
      </c>
      <c r="H368" s="89">
        <v>1</v>
      </c>
      <c r="I368" s="89">
        <v>5100</v>
      </c>
      <c r="J368" s="89">
        <f t="shared" si="116"/>
        <v>4</v>
      </c>
      <c r="K368" s="89">
        <f t="shared" si="116"/>
        <v>16340</v>
      </c>
      <c r="L368" s="90">
        <v>0</v>
      </c>
      <c r="M368" s="91">
        <v>0</v>
      </c>
      <c r="N368" s="92">
        <f t="shared" si="117"/>
        <v>2</v>
      </c>
      <c r="O368" s="92">
        <f t="shared" si="118"/>
        <v>11800</v>
      </c>
      <c r="P368">
        <v>0</v>
      </c>
      <c r="Q368" s="86">
        <v>0</v>
      </c>
      <c r="R368">
        <v>0</v>
      </c>
      <c r="S368">
        <v>0</v>
      </c>
    </row>
    <row r="369" spans="1:19" x14ac:dyDescent="0.2">
      <c r="A369" s="6" t="s">
        <v>36</v>
      </c>
      <c r="B369" s="90" t="s">
        <v>158</v>
      </c>
      <c r="C369" s="90">
        <v>8</v>
      </c>
      <c r="D369" s="93">
        <v>0</v>
      </c>
      <c r="E369" s="93">
        <v>0</v>
      </c>
      <c r="F369" s="88">
        <f t="shared" si="115"/>
        <v>1</v>
      </c>
      <c r="G369" s="88">
        <f t="shared" si="115"/>
        <v>6300</v>
      </c>
      <c r="H369" s="89">
        <v>0</v>
      </c>
      <c r="I369" s="89">
        <v>0</v>
      </c>
      <c r="J369" s="89">
        <f t="shared" si="116"/>
        <v>4</v>
      </c>
      <c r="K369" s="89">
        <f t="shared" si="116"/>
        <v>16340</v>
      </c>
      <c r="L369" s="90">
        <v>1</v>
      </c>
      <c r="M369" s="91">
        <v>479.16</v>
      </c>
      <c r="N369" s="92">
        <f t="shared" si="117"/>
        <v>3</v>
      </c>
      <c r="O369" s="92">
        <f t="shared" si="118"/>
        <v>12279.16</v>
      </c>
      <c r="P369">
        <v>0</v>
      </c>
      <c r="Q369" s="86">
        <v>0</v>
      </c>
      <c r="R369">
        <v>0</v>
      </c>
      <c r="S369">
        <v>0</v>
      </c>
    </row>
    <row r="370" spans="1:19" x14ac:dyDescent="0.2">
      <c r="A370" s="6" t="s">
        <v>36</v>
      </c>
      <c r="B370" s="90" t="s">
        <v>159</v>
      </c>
      <c r="C370" s="90">
        <v>9</v>
      </c>
      <c r="D370" s="93">
        <v>1</v>
      </c>
      <c r="E370" s="93">
        <v>2160</v>
      </c>
      <c r="F370" s="88">
        <f t="shared" si="115"/>
        <v>2</v>
      </c>
      <c r="G370" s="88">
        <f t="shared" si="115"/>
        <v>8460</v>
      </c>
      <c r="H370" s="89">
        <v>0</v>
      </c>
      <c r="I370" s="89">
        <v>0</v>
      </c>
      <c r="J370" s="89">
        <f t="shared" si="116"/>
        <v>4</v>
      </c>
      <c r="K370" s="89">
        <f t="shared" si="116"/>
        <v>16340</v>
      </c>
      <c r="L370" s="90">
        <v>0</v>
      </c>
      <c r="M370" s="91">
        <v>0</v>
      </c>
      <c r="N370" s="92">
        <f t="shared" si="117"/>
        <v>3</v>
      </c>
      <c r="O370" s="92">
        <f t="shared" si="118"/>
        <v>12279.16</v>
      </c>
      <c r="P370">
        <v>0</v>
      </c>
      <c r="Q370" s="86">
        <v>0</v>
      </c>
      <c r="R370">
        <v>0</v>
      </c>
      <c r="S370">
        <v>0</v>
      </c>
    </row>
    <row r="371" spans="1:19" x14ac:dyDescent="0.2">
      <c r="A371" s="6" t="s">
        <v>36</v>
      </c>
      <c r="B371" s="90" t="s">
        <v>160</v>
      </c>
      <c r="C371" s="90">
        <v>10</v>
      </c>
      <c r="D371" s="93">
        <v>0</v>
      </c>
      <c r="E371" s="93">
        <v>0</v>
      </c>
      <c r="F371" s="88">
        <f t="shared" si="115"/>
        <v>2</v>
      </c>
      <c r="G371" s="88">
        <f t="shared" si="115"/>
        <v>8460</v>
      </c>
      <c r="H371" s="89">
        <v>2</v>
      </c>
      <c r="I371" s="89">
        <v>13000</v>
      </c>
      <c r="J371" s="89">
        <f t="shared" si="116"/>
        <v>6</v>
      </c>
      <c r="K371" s="89">
        <f t="shared" si="116"/>
        <v>29340</v>
      </c>
      <c r="L371" s="90">
        <v>0</v>
      </c>
      <c r="M371" s="91">
        <v>0</v>
      </c>
      <c r="N371" s="92">
        <f t="shared" si="117"/>
        <v>3</v>
      </c>
      <c r="O371" s="92">
        <f t="shared" si="118"/>
        <v>12279.16</v>
      </c>
      <c r="P371">
        <v>0</v>
      </c>
      <c r="Q371" s="86">
        <v>0</v>
      </c>
      <c r="R371">
        <v>0</v>
      </c>
      <c r="S371">
        <v>0</v>
      </c>
    </row>
    <row r="372" spans="1:19" x14ac:dyDescent="0.2">
      <c r="A372" s="6" t="s">
        <v>36</v>
      </c>
      <c r="B372" s="90" t="s">
        <v>161</v>
      </c>
      <c r="C372" s="90">
        <v>11</v>
      </c>
      <c r="D372" s="93">
        <v>0</v>
      </c>
      <c r="E372" s="93">
        <v>0</v>
      </c>
      <c r="F372" s="88">
        <f t="shared" si="115"/>
        <v>2</v>
      </c>
      <c r="G372" s="88">
        <f t="shared" si="115"/>
        <v>8460</v>
      </c>
      <c r="H372" s="89">
        <v>1</v>
      </c>
      <c r="I372" s="89">
        <v>2306</v>
      </c>
      <c r="J372" s="89">
        <f t="shared" si="116"/>
        <v>7</v>
      </c>
      <c r="K372" s="89">
        <f t="shared" si="116"/>
        <v>31646</v>
      </c>
      <c r="L372" s="90">
        <v>0</v>
      </c>
      <c r="M372" s="91">
        <v>0</v>
      </c>
      <c r="N372" s="92">
        <f t="shared" si="117"/>
        <v>3</v>
      </c>
      <c r="O372" s="92">
        <f t="shared" si="118"/>
        <v>12279.16</v>
      </c>
      <c r="P372" s="86"/>
      <c r="Q372" s="86">
        <v>0</v>
      </c>
    </row>
    <row r="373" spans="1:19" x14ac:dyDescent="0.2">
      <c r="A373" s="6" t="s">
        <v>36</v>
      </c>
      <c r="B373" s="90" t="s">
        <v>162</v>
      </c>
      <c r="C373" s="90">
        <v>12</v>
      </c>
      <c r="D373" s="93">
        <v>0</v>
      </c>
      <c r="E373" s="93">
        <v>0</v>
      </c>
      <c r="F373" s="88">
        <f t="shared" si="115"/>
        <v>2</v>
      </c>
      <c r="G373" s="88">
        <f t="shared" si="115"/>
        <v>8460</v>
      </c>
      <c r="H373" s="89">
        <v>1</v>
      </c>
      <c r="I373" s="89">
        <v>4762</v>
      </c>
      <c r="J373" s="89">
        <f t="shared" si="116"/>
        <v>8</v>
      </c>
      <c r="K373" s="89">
        <f t="shared" si="116"/>
        <v>36408</v>
      </c>
      <c r="L373" s="90">
        <v>0</v>
      </c>
      <c r="M373" s="91">
        <v>0</v>
      </c>
      <c r="N373" s="92">
        <f t="shared" si="117"/>
        <v>3</v>
      </c>
      <c r="O373" s="92">
        <f t="shared" si="118"/>
        <v>12279.16</v>
      </c>
      <c r="P373" s="86"/>
      <c r="Q373" s="86">
        <v>0</v>
      </c>
    </row>
    <row r="374" spans="1:19" x14ac:dyDescent="0.2">
      <c r="A374" s="6" t="s">
        <v>82</v>
      </c>
      <c r="B374" s="90" t="s">
        <v>151</v>
      </c>
      <c r="C374" s="90">
        <v>1</v>
      </c>
      <c r="D374" s="93">
        <v>0</v>
      </c>
      <c r="E374" s="93">
        <v>0</v>
      </c>
      <c r="F374" s="88">
        <f>D374</f>
        <v>0</v>
      </c>
      <c r="G374" s="88">
        <f>E374</f>
        <v>0</v>
      </c>
      <c r="H374" s="88">
        <v>0</v>
      </c>
      <c r="I374" s="88">
        <v>0</v>
      </c>
      <c r="J374" s="88">
        <f>H374</f>
        <v>0</v>
      </c>
      <c r="K374" s="88">
        <f>I374</f>
        <v>0</v>
      </c>
      <c r="L374" s="90">
        <v>0</v>
      </c>
      <c r="M374" s="91">
        <v>0</v>
      </c>
      <c r="N374" s="92">
        <f>L374</f>
        <v>0</v>
      </c>
      <c r="O374" s="92">
        <f>M374</f>
        <v>0</v>
      </c>
      <c r="P374">
        <v>0</v>
      </c>
      <c r="Q374">
        <v>0</v>
      </c>
      <c r="R374">
        <v>0</v>
      </c>
      <c r="S374">
        <v>0</v>
      </c>
    </row>
    <row r="375" spans="1:19" x14ac:dyDescent="0.2">
      <c r="A375" s="6" t="s">
        <v>82</v>
      </c>
      <c r="B375" s="90" t="s">
        <v>152</v>
      </c>
      <c r="C375" s="90">
        <v>2</v>
      </c>
      <c r="D375" s="93">
        <v>0</v>
      </c>
      <c r="E375" s="93">
        <v>0</v>
      </c>
      <c r="F375" s="88">
        <f t="shared" ref="F375:G385" si="119">F374+D375</f>
        <v>0</v>
      </c>
      <c r="G375" s="88">
        <f t="shared" si="119"/>
        <v>0</v>
      </c>
      <c r="H375" s="88">
        <v>0</v>
      </c>
      <c r="I375" s="88">
        <v>0</v>
      </c>
      <c r="J375" s="88">
        <f t="shared" ref="J375:J385" si="120">J374+H375</f>
        <v>0</v>
      </c>
      <c r="K375" s="88">
        <f t="shared" ref="K375:K385" si="121">K374+I375</f>
        <v>0</v>
      </c>
      <c r="L375" s="90">
        <v>0</v>
      </c>
      <c r="M375" s="91">
        <v>0</v>
      </c>
      <c r="N375" s="92">
        <f t="shared" ref="N375:N385" si="122">N374+L375</f>
        <v>0</v>
      </c>
      <c r="O375" s="92">
        <f t="shared" ref="O375:O385" si="123">O374+M375</f>
        <v>0</v>
      </c>
      <c r="P375">
        <v>0</v>
      </c>
      <c r="Q375">
        <v>0</v>
      </c>
      <c r="R375">
        <v>0</v>
      </c>
      <c r="S375">
        <v>0</v>
      </c>
    </row>
    <row r="376" spans="1:19" x14ac:dyDescent="0.2">
      <c r="A376" s="6" t="s">
        <v>82</v>
      </c>
      <c r="B376" s="90" t="s">
        <v>153</v>
      </c>
      <c r="C376" s="90">
        <v>3</v>
      </c>
      <c r="D376" s="93">
        <v>0</v>
      </c>
      <c r="E376" s="93">
        <v>0</v>
      </c>
      <c r="F376" s="88">
        <f t="shared" si="119"/>
        <v>0</v>
      </c>
      <c r="G376" s="88">
        <f t="shared" si="119"/>
        <v>0</v>
      </c>
      <c r="H376" s="88">
        <v>0</v>
      </c>
      <c r="I376" s="88">
        <v>0</v>
      </c>
      <c r="J376" s="88">
        <f t="shared" si="120"/>
        <v>0</v>
      </c>
      <c r="K376" s="88">
        <f t="shared" si="121"/>
        <v>0</v>
      </c>
      <c r="L376" s="90">
        <v>0</v>
      </c>
      <c r="M376" s="91">
        <v>0</v>
      </c>
      <c r="N376" s="92">
        <f t="shared" si="122"/>
        <v>0</v>
      </c>
      <c r="O376" s="92">
        <f t="shared" si="123"/>
        <v>0</v>
      </c>
      <c r="P376">
        <v>3</v>
      </c>
      <c r="Q376">
        <v>1800</v>
      </c>
      <c r="R376">
        <v>3</v>
      </c>
      <c r="S376">
        <v>1800</v>
      </c>
    </row>
    <row r="377" spans="1:19" x14ac:dyDescent="0.2">
      <c r="A377" s="6" t="s">
        <v>82</v>
      </c>
      <c r="B377" s="90" t="s">
        <v>154</v>
      </c>
      <c r="C377" s="90">
        <v>4</v>
      </c>
      <c r="D377" s="93">
        <v>0</v>
      </c>
      <c r="E377" s="93">
        <v>0</v>
      </c>
      <c r="F377" s="88">
        <f t="shared" si="119"/>
        <v>0</v>
      </c>
      <c r="G377" s="88">
        <f t="shared" si="119"/>
        <v>0</v>
      </c>
      <c r="H377" s="88">
        <v>0</v>
      </c>
      <c r="I377" s="88">
        <v>0</v>
      </c>
      <c r="J377" s="88">
        <f t="shared" si="120"/>
        <v>0</v>
      </c>
      <c r="K377" s="88">
        <f t="shared" si="121"/>
        <v>0</v>
      </c>
      <c r="L377" s="90">
        <v>1</v>
      </c>
      <c r="M377" s="91">
        <v>800</v>
      </c>
      <c r="N377" s="92">
        <f t="shared" si="122"/>
        <v>1</v>
      </c>
      <c r="O377" s="92">
        <f t="shared" si="123"/>
        <v>800</v>
      </c>
      <c r="P377">
        <v>0</v>
      </c>
      <c r="Q377">
        <v>0</v>
      </c>
      <c r="R377">
        <v>3</v>
      </c>
      <c r="S377">
        <v>1800</v>
      </c>
    </row>
    <row r="378" spans="1:19" x14ac:dyDescent="0.2">
      <c r="A378" s="6" t="s">
        <v>82</v>
      </c>
      <c r="B378" s="90" t="s">
        <v>155</v>
      </c>
      <c r="C378" s="90">
        <v>5</v>
      </c>
      <c r="D378" s="93">
        <v>0</v>
      </c>
      <c r="E378" s="93">
        <v>0</v>
      </c>
      <c r="F378" s="88">
        <f t="shared" si="119"/>
        <v>0</v>
      </c>
      <c r="G378" s="88">
        <f t="shared" si="119"/>
        <v>0</v>
      </c>
      <c r="H378" s="88">
        <v>0</v>
      </c>
      <c r="I378" s="88">
        <v>0</v>
      </c>
      <c r="J378" s="88">
        <f t="shared" si="120"/>
        <v>0</v>
      </c>
      <c r="K378" s="88">
        <f t="shared" si="121"/>
        <v>0</v>
      </c>
      <c r="L378" s="90">
        <v>0</v>
      </c>
      <c r="M378" s="91">
        <v>0</v>
      </c>
      <c r="N378" s="92">
        <f t="shared" si="122"/>
        <v>1</v>
      </c>
      <c r="O378" s="92">
        <f t="shared" si="123"/>
        <v>800</v>
      </c>
      <c r="P378">
        <v>0</v>
      </c>
      <c r="Q378">
        <v>0</v>
      </c>
      <c r="R378">
        <v>3</v>
      </c>
      <c r="S378">
        <v>1800</v>
      </c>
    </row>
    <row r="379" spans="1:19" x14ac:dyDescent="0.2">
      <c r="A379" s="6" t="s">
        <v>82</v>
      </c>
      <c r="B379" s="90" t="s">
        <v>156</v>
      </c>
      <c r="C379" s="90">
        <v>6</v>
      </c>
      <c r="D379" s="93">
        <v>0</v>
      </c>
      <c r="E379" s="93">
        <v>0</v>
      </c>
      <c r="F379" s="88">
        <f t="shared" si="119"/>
        <v>0</v>
      </c>
      <c r="G379" s="88">
        <f t="shared" si="119"/>
        <v>0</v>
      </c>
      <c r="H379" s="88">
        <v>0</v>
      </c>
      <c r="I379" s="88">
        <v>0</v>
      </c>
      <c r="J379" s="88">
        <f t="shared" si="120"/>
        <v>0</v>
      </c>
      <c r="K379" s="88">
        <f t="shared" si="121"/>
        <v>0</v>
      </c>
      <c r="L379" s="90">
        <v>1</v>
      </c>
      <c r="M379" s="91">
        <v>600</v>
      </c>
      <c r="N379" s="92">
        <f t="shared" si="122"/>
        <v>2</v>
      </c>
      <c r="O379" s="92">
        <f t="shared" si="123"/>
        <v>1400</v>
      </c>
      <c r="P379">
        <v>2</v>
      </c>
      <c r="Q379">
        <v>5320</v>
      </c>
      <c r="R379">
        <v>5</v>
      </c>
      <c r="S379">
        <v>7120</v>
      </c>
    </row>
    <row r="380" spans="1:19" x14ac:dyDescent="0.2">
      <c r="A380" s="6" t="s">
        <v>82</v>
      </c>
      <c r="B380" s="90" t="s">
        <v>157</v>
      </c>
      <c r="C380" s="90">
        <v>7</v>
      </c>
      <c r="D380" s="93">
        <v>0</v>
      </c>
      <c r="E380" s="93">
        <v>0</v>
      </c>
      <c r="F380" s="88">
        <f t="shared" si="119"/>
        <v>0</v>
      </c>
      <c r="G380" s="88">
        <f t="shared" si="119"/>
        <v>0</v>
      </c>
      <c r="H380" s="88">
        <v>0</v>
      </c>
      <c r="I380" s="88">
        <v>0</v>
      </c>
      <c r="J380" s="88">
        <f t="shared" si="120"/>
        <v>0</v>
      </c>
      <c r="K380" s="88">
        <f t="shared" si="121"/>
        <v>0</v>
      </c>
      <c r="L380" s="90">
        <v>2</v>
      </c>
      <c r="M380" s="91">
        <v>5800</v>
      </c>
      <c r="N380" s="92">
        <f t="shared" si="122"/>
        <v>4</v>
      </c>
      <c r="O380" s="92">
        <f t="shared" si="123"/>
        <v>7200</v>
      </c>
      <c r="P380">
        <v>1</v>
      </c>
      <c r="Q380">
        <v>34618.230000000003</v>
      </c>
      <c r="R380">
        <v>6</v>
      </c>
      <c r="S380">
        <v>41738.230000000003</v>
      </c>
    </row>
    <row r="381" spans="1:19" x14ac:dyDescent="0.2">
      <c r="A381" s="6" t="s">
        <v>82</v>
      </c>
      <c r="B381" s="90" t="s">
        <v>158</v>
      </c>
      <c r="C381" s="90">
        <v>8</v>
      </c>
      <c r="D381" s="93">
        <v>0</v>
      </c>
      <c r="E381" s="93">
        <v>0</v>
      </c>
      <c r="F381" s="88">
        <f t="shared" si="119"/>
        <v>0</v>
      </c>
      <c r="G381" s="88">
        <f t="shared" si="119"/>
        <v>0</v>
      </c>
      <c r="H381" s="88">
        <v>0</v>
      </c>
      <c r="I381" s="88">
        <v>0</v>
      </c>
      <c r="J381" s="88">
        <f t="shared" si="120"/>
        <v>0</v>
      </c>
      <c r="K381" s="88">
        <f t="shared" si="121"/>
        <v>0</v>
      </c>
      <c r="L381" s="90">
        <v>0</v>
      </c>
      <c r="M381" s="91">
        <v>0</v>
      </c>
      <c r="N381" s="92">
        <f t="shared" si="122"/>
        <v>4</v>
      </c>
      <c r="O381" s="92">
        <f t="shared" si="123"/>
        <v>7200</v>
      </c>
      <c r="P381">
        <v>0</v>
      </c>
      <c r="Q381">
        <v>0</v>
      </c>
      <c r="R381">
        <v>6</v>
      </c>
      <c r="S381">
        <v>41738.230000000003</v>
      </c>
    </row>
    <row r="382" spans="1:19" x14ac:dyDescent="0.2">
      <c r="A382" s="6" t="s">
        <v>82</v>
      </c>
      <c r="B382" s="90" t="s">
        <v>159</v>
      </c>
      <c r="C382" s="90">
        <v>9</v>
      </c>
      <c r="D382" s="93">
        <v>0</v>
      </c>
      <c r="E382" s="93">
        <v>0</v>
      </c>
      <c r="F382" s="88">
        <f t="shared" si="119"/>
        <v>0</v>
      </c>
      <c r="G382" s="88">
        <f t="shared" si="119"/>
        <v>0</v>
      </c>
      <c r="H382" s="88">
        <v>0</v>
      </c>
      <c r="I382" s="88">
        <v>0</v>
      </c>
      <c r="J382" s="88">
        <f t="shared" si="120"/>
        <v>0</v>
      </c>
      <c r="K382" s="88">
        <f t="shared" si="121"/>
        <v>0</v>
      </c>
      <c r="L382" s="90">
        <v>0</v>
      </c>
      <c r="M382" s="91">
        <v>0</v>
      </c>
      <c r="N382" s="92">
        <f t="shared" si="122"/>
        <v>4</v>
      </c>
      <c r="O382" s="92">
        <f t="shared" si="123"/>
        <v>7200</v>
      </c>
      <c r="P382">
        <v>0</v>
      </c>
      <c r="Q382">
        <v>0</v>
      </c>
      <c r="R382">
        <v>6</v>
      </c>
      <c r="S382">
        <v>41738.230000000003</v>
      </c>
    </row>
    <row r="383" spans="1:19" x14ac:dyDescent="0.2">
      <c r="A383" s="6" t="s">
        <v>82</v>
      </c>
      <c r="B383" s="90" t="s">
        <v>160</v>
      </c>
      <c r="C383" s="90">
        <v>10</v>
      </c>
      <c r="D383" s="93">
        <v>0</v>
      </c>
      <c r="E383" s="93">
        <v>0</v>
      </c>
      <c r="F383" s="88">
        <f t="shared" si="119"/>
        <v>0</v>
      </c>
      <c r="G383" s="88">
        <f t="shared" si="119"/>
        <v>0</v>
      </c>
      <c r="H383" s="88">
        <v>0</v>
      </c>
      <c r="I383" s="88">
        <v>0</v>
      </c>
      <c r="J383" s="88">
        <f t="shared" si="120"/>
        <v>0</v>
      </c>
      <c r="K383" s="88">
        <f t="shared" si="121"/>
        <v>0</v>
      </c>
      <c r="L383" s="90">
        <v>4</v>
      </c>
      <c r="M383" s="91">
        <v>3300</v>
      </c>
      <c r="N383" s="92">
        <f t="shared" si="122"/>
        <v>8</v>
      </c>
      <c r="O383" s="92">
        <f t="shared" si="123"/>
        <v>10500</v>
      </c>
      <c r="P383">
        <v>0</v>
      </c>
      <c r="Q383">
        <v>0</v>
      </c>
      <c r="R383">
        <v>6</v>
      </c>
      <c r="S383">
        <v>41738.230000000003</v>
      </c>
    </row>
    <row r="384" spans="1:19" x14ac:dyDescent="0.2">
      <c r="A384" s="6" t="s">
        <v>82</v>
      </c>
      <c r="B384" s="90" t="s">
        <v>161</v>
      </c>
      <c r="C384" s="90">
        <v>11</v>
      </c>
      <c r="D384" s="93">
        <v>0</v>
      </c>
      <c r="E384" s="93">
        <v>0</v>
      </c>
      <c r="F384" s="88">
        <f t="shared" si="119"/>
        <v>0</v>
      </c>
      <c r="G384" s="88">
        <f t="shared" si="119"/>
        <v>0</v>
      </c>
      <c r="H384" s="88">
        <v>0</v>
      </c>
      <c r="I384" s="88">
        <v>0</v>
      </c>
      <c r="J384" s="88">
        <f t="shared" si="120"/>
        <v>0</v>
      </c>
      <c r="K384" s="88">
        <f t="shared" si="121"/>
        <v>0</v>
      </c>
      <c r="L384" s="90">
        <v>0</v>
      </c>
      <c r="M384" s="91">
        <v>0</v>
      </c>
      <c r="N384" s="92">
        <f t="shared" si="122"/>
        <v>8</v>
      </c>
      <c r="O384" s="92">
        <f t="shared" si="123"/>
        <v>10500</v>
      </c>
      <c r="P384" s="86"/>
      <c r="Q384" s="86">
        <v>0</v>
      </c>
    </row>
    <row r="385" spans="1:19" x14ac:dyDescent="0.2">
      <c r="A385" s="6" t="s">
        <v>82</v>
      </c>
      <c r="B385" s="90" t="s">
        <v>162</v>
      </c>
      <c r="C385" s="90">
        <v>12</v>
      </c>
      <c r="D385" s="93">
        <v>0</v>
      </c>
      <c r="E385" s="93">
        <v>0</v>
      </c>
      <c r="F385" s="88">
        <f t="shared" si="119"/>
        <v>0</v>
      </c>
      <c r="G385" s="88">
        <f t="shared" si="119"/>
        <v>0</v>
      </c>
      <c r="H385" s="88">
        <v>0</v>
      </c>
      <c r="I385" s="88">
        <v>0</v>
      </c>
      <c r="J385" s="88">
        <f t="shared" si="120"/>
        <v>0</v>
      </c>
      <c r="K385" s="88">
        <f t="shared" si="121"/>
        <v>0</v>
      </c>
      <c r="L385" s="90">
        <v>2</v>
      </c>
      <c r="M385" s="91">
        <v>14842</v>
      </c>
      <c r="N385" s="92">
        <f t="shared" si="122"/>
        <v>10</v>
      </c>
      <c r="O385" s="92">
        <f t="shared" si="123"/>
        <v>25342</v>
      </c>
      <c r="P385" s="86"/>
      <c r="Q385" s="86">
        <v>0</v>
      </c>
    </row>
    <row r="386" spans="1:19" x14ac:dyDescent="0.2">
      <c r="A386" s="6" t="s">
        <v>64</v>
      </c>
      <c r="B386" s="90" t="s">
        <v>151</v>
      </c>
      <c r="C386" s="90">
        <v>1</v>
      </c>
      <c r="D386" s="93">
        <v>0</v>
      </c>
      <c r="E386" s="93">
        <v>0</v>
      </c>
      <c r="F386" s="88">
        <f>D386</f>
        <v>0</v>
      </c>
      <c r="G386" s="88">
        <f>E386</f>
        <v>0</v>
      </c>
      <c r="H386" s="89">
        <v>0</v>
      </c>
      <c r="I386" s="89">
        <v>0</v>
      </c>
      <c r="J386" s="89">
        <f>H386</f>
        <v>0</v>
      </c>
      <c r="K386" s="89">
        <f>I386</f>
        <v>0</v>
      </c>
      <c r="L386" s="90">
        <v>0</v>
      </c>
      <c r="M386" s="91">
        <v>0</v>
      </c>
      <c r="N386" s="92">
        <f>L386</f>
        <v>0</v>
      </c>
      <c r="O386" s="92">
        <f>M386</f>
        <v>0</v>
      </c>
      <c r="P386">
        <v>0</v>
      </c>
      <c r="Q386" s="86">
        <v>0</v>
      </c>
      <c r="R386">
        <v>0</v>
      </c>
      <c r="S386">
        <v>0</v>
      </c>
    </row>
    <row r="387" spans="1:19" x14ac:dyDescent="0.2">
      <c r="A387" s="6" t="s">
        <v>64</v>
      </c>
      <c r="B387" s="90" t="s">
        <v>152</v>
      </c>
      <c r="C387" s="90">
        <v>2</v>
      </c>
      <c r="D387" s="93">
        <v>0</v>
      </c>
      <c r="E387" s="93">
        <v>0</v>
      </c>
      <c r="F387" s="88">
        <f t="shared" ref="F387:F397" si="124">F386+D387</f>
        <v>0</v>
      </c>
      <c r="G387" s="88">
        <f t="shared" ref="G387:G397" si="125">G386+E387</f>
        <v>0</v>
      </c>
      <c r="H387" s="89">
        <v>0</v>
      </c>
      <c r="I387" s="89">
        <v>0</v>
      </c>
      <c r="J387" s="89">
        <f t="shared" ref="J387:K397" si="126">J386+H387</f>
        <v>0</v>
      </c>
      <c r="K387" s="89">
        <f t="shared" si="126"/>
        <v>0</v>
      </c>
      <c r="L387" s="90">
        <v>0</v>
      </c>
      <c r="M387" s="91">
        <v>0</v>
      </c>
      <c r="N387" s="92">
        <f t="shared" ref="N387:N397" si="127">N386+L387</f>
        <v>0</v>
      </c>
      <c r="O387" s="92">
        <f t="shared" ref="O387:O397" si="128">O386+M387</f>
        <v>0</v>
      </c>
      <c r="P387">
        <v>0</v>
      </c>
      <c r="Q387" s="86">
        <v>0</v>
      </c>
      <c r="R387">
        <v>0</v>
      </c>
      <c r="S387">
        <v>0</v>
      </c>
    </row>
    <row r="388" spans="1:19" x14ac:dyDescent="0.2">
      <c r="A388" s="6" t="s">
        <v>64</v>
      </c>
      <c r="B388" s="90" t="s">
        <v>153</v>
      </c>
      <c r="C388" s="90">
        <v>3</v>
      </c>
      <c r="D388" s="93">
        <v>0</v>
      </c>
      <c r="E388" s="93">
        <v>0</v>
      </c>
      <c r="F388" s="88">
        <f t="shared" si="124"/>
        <v>0</v>
      </c>
      <c r="G388" s="88">
        <f t="shared" si="125"/>
        <v>0</v>
      </c>
      <c r="H388" s="89">
        <v>0</v>
      </c>
      <c r="I388" s="89">
        <v>0</v>
      </c>
      <c r="J388" s="89">
        <f t="shared" si="126"/>
        <v>0</v>
      </c>
      <c r="K388" s="89">
        <f t="shared" si="126"/>
        <v>0</v>
      </c>
      <c r="L388" s="90">
        <v>0</v>
      </c>
      <c r="M388" s="91">
        <v>0</v>
      </c>
      <c r="N388" s="92">
        <f t="shared" si="127"/>
        <v>0</v>
      </c>
      <c r="O388" s="92">
        <f t="shared" si="128"/>
        <v>0</v>
      </c>
      <c r="P388">
        <v>0</v>
      </c>
      <c r="Q388" s="86">
        <v>0</v>
      </c>
      <c r="R388">
        <v>0</v>
      </c>
      <c r="S388">
        <v>0</v>
      </c>
    </row>
    <row r="389" spans="1:19" x14ac:dyDescent="0.2">
      <c r="A389" s="6" t="s">
        <v>64</v>
      </c>
      <c r="B389" s="90" t="s">
        <v>154</v>
      </c>
      <c r="C389" s="90">
        <v>4</v>
      </c>
      <c r="D389" s="93">
        <v>0</v>
      </c>
      <c r="E389" s="93">
        <v>0</v>
      </c>
      <c r="F389" s="88">
        <f t="shared" si="124"/>
        <v>0</v>
      </c>
      <c r="G389" s="88">
        <f t="shared" si="125"/>
        <v>0</v>
      </c>
      <c r="H389" s="89">
        <v>0</v>
      </c>
      <c r="I389" s="89">
        <v>0</v>
      </c>
      <c r="J389" s="89">
        <f t="shared" si="126"/>
        <v>0</v>
      </c>
      <c r="K389" s="89">
        <f t="shared" si="126"/>
        <v>0</v>
      </c>
      <c r="L389" s="90">
        <v>0</v>
      </c>
      <c r="M389" s="91">
        <v>0</v>
      </c>
      <c r="N389" s="92">
        <f t="shared" si="127"/>
        <v>0</v>
      </c>
      <c r="O389" s="92">
        <f t="shared" si="128"/>
        <v>0</v>
      </c>
      <c r="P389">
        <v>0</v>
      </c>
      <c r="Q389" s="86">
        <v>0</v>
      </c>
      <c r="R389">
        <v>0</v>
      </c>
      <c r="S389">
        <v>0</v>
      </c>
    </row>
    <row r="390" spans="1:19" x14ac:dyDescent="0.2">
      <c r="A390" s="6" t="s">
        <v>64</v>
      </c>
      <c r="B390" s="90" t="s">
        <v>155</v>
      </c>
      <c r="C390" s="90">
        <v>5</v>
      </c>
      <c r="D390" s="93">
        <v>0</v>
      </c>
      <c r="E390" s="93">
        <v>0</v>
      </c>
      <c r="F390" s="88">
        <f t="shared" si="124"/>
        <v>0</v>
      </c>
      <c r="G390" s="88">
        <f t="shared" si="125"/>
        <v>0</v>
      </c>
      <c r="H390" s="89">
        <v>0</v>
      </c>
      <c r="I390" s="89">
        <v>0</v>
      </c>
      <c r="J390" s="89">
        <f t="shared" si="126"/>
        <v>0</v>
      </c>
      <c r="K390" s="89">
        <f t="shared" si="126"/>
        <v>0</v>
      </c>
      <c r="L390" s="90">
        <v>0</v>
      </c>
      <c r="M390" s="91">
        <v>0</v>
      </c>
      <c r="N390" s="92">
        <f t="shared" si="127"/>
        <v>0</v>
      </c>
      <c r="O390" s="92">
        <f t="shared" si="128"/>
        <v>0</v>
      </c>
      <c r="P390">
        <v>0</v>
      </c>
      <c r="Q390" s="86">
        <v>0</v>
      </c>
      <c r="R390">
        <v>0</v>
      </c>
      <c r="S390">
        <v>0</v>
      </c>
    </row>
    <row r="391" spans="1:19" x14ac:dyDescent="0.2">
      <c r="A391" s="6" t="s">
        <v>64</v>
      </c>
      <c r="B391" s="90" t="s">
        <v>156</v>
      </c>
      <c r="C391" s="90">
        <v>6</v>
      </c>
      <c r="D391" s="93">
        <v>0</v>
      </c>
      <c r="E391" s="93">
        <v>0</v>
      </c>
      <c r="F391" s="88">
        <f t="shared" si="124"/>
        <v>0</v>
      </c>
      <c r="G391" s="88">
        <f t="shared" si="125"/>
        <v>0</v>
      </c>
      <c r="H391" s="89">
        <v>4</v>
      </c>
      <c r="I391" s="89">
        <v>22468.400000000001</v>
      </c>
      <c r="J391" s="89">
        <f t="shared" si="126"/>
        <v>4</v>
      </c>
      <c r="K391" s="89">
        <f t="shared" si="126"/>
        <v>22468.400000000001</v>
      </c>
      <c r="L391" s="90">
        <v>0</v>
      </c>
      <c r="M391" s="91">
        <v>0</v>
      </c>
      <c r="N391" s="92">
        <f t="shared" si="127"/>
        <v>0</v>
      </c>
      <c r="O391" s="92">
        <f t="shared" si="128"/>
        <v>0</v>
      </c>
      <c r="P391">
        <v>0</v>
      </c>
      <c r="Q391" s="86">
        <v>0</v>
      </c>
      <c r="R391">
        <v>0</v>
      </c>
      <c r="S391">
        <v>0</v>
      </c>
    </row>
    <row r="392" spans="1:19" x14ac:dyDescent="0.2">
      <c r="A392" s="6" t="s">
        <v>64</v>
      </c>
      <c r="B392" s="90" t="s">
        <v>157</v>
      </c>
      <c r="C392" s="90">
        <v>7</v>
      </c>
      <c r="D392" s="93">
        <v>0</v>
      </c>
      <c r="E392" s="93">
        <v>0</v>
      </c>
      <c r="F392" s="88">
        <f t="shared" si="124"/>
        <v>0</v>
      </c>
      <c r="G392" s="88">
        <f t="shared" si="125"/>
        <v>0</v>
      </c>
      <c r="H392" s="89">
        <v>0</v>
      </c>
      <c r="I392" s="89">
        <v>0</v>
      </c>
      <c r="J392" s="89">
        <f t="shared" si="126"/>
        <v>4</v>
      </c>
      <c r="K392" s="89">
        <f t="shared" si="126"/>
        <v>22468.400000000001</v>
      </c>
      <c r="L392" s="90">
        <v>2</v>
      </c>
      <c r="M392" s="91">
        <v>1500</v>
      </c>
      <c r="N392" s="92">
        <f t="shared" si="127"/>
        <v>2</v>
      </c>
      <c r="O392" s="92">
        <f t="shared" si="128"/>
        <v>1500</v>
      </c>
      <c r="P392">
        <v>0</v>
      </c>
      <c r="Q392" s="86">
        <v>0</v>
      </c>
      <c r="R392">
        <v>0</v>
      </c>
      <c r="S392">
        <v>0</v>
      </c>
    </row>
    <row r="393" spans="1:19" x14ac:dyDescent="0.2">
      <c r="A393" s="6" t="s">
        <v>64</v>
      </c>
      <c r="B393" s="90" t="s">
        <v>158</v>
      </c>
      <c r="C393" s="90">
        <v>8</v>
      </c>
      <c r="D393" s="93">
        <v>0</v>
      </c>
      <c r="E393" s="93">
        <v>0</v>
      </c>
      <c r="F393" s="88">
        <f t="shared" si="124"/>
        <v>0</v>
      </c>
      <c r="G393" s="88">
        <f t="shared" si="125"/>
        <v>0</v>
      </c>
      <c r="H393" s="89">
        <v>0</v>
      </c>
      <c r="I393" s="89">
        <v>0</v>
      </c>
      <c r="J393" s="89">
        <f t="shared" si="126"/>
        <v>4</v>
      </c>
      <c r="K393" s="89">
        <f t="shared" si="126"/>
        <v>22468.400000000001</v>
      </c>
      <c r="L393" s="90">
        <v>0</v>
      </c>
      <c r="M393" s="91">
        <v>0</v>
      </c>
      <c r="N393" s="92">
        <f t="shared" si="127"/>
        <v>2</v>
      </c>
      <c r="O393" s="92">
        <f t="shared" si="128"/>
        <v>1500</v>
      </c>
      <c r="P393">
        <v>0</v>
      </c>
      <c r="Q393" s="86">
        <v>0</v>
      </c>
      <c r="R393">
        <v>0</v>
      </c>
      <c r="S393">
        <v>0</v>
      </c>
    </row>
    <row r="394" spans="1:19" x14ac:dyDescent="0.2">
      <c r="A394" s="6" t="s">
        <v>64</v>
      </c>
      <c r="B394" s="90" t="s">
        <v>159</v>
      </c>
      <c r="C394" s="90">
        <v>9</v>
      </c>
      <c r="D394" s="93">
        <v>0</v>
      </c>
      <c r="E394" s="93">
        <v>0</v>
      </c>
      <c r="F394" s="88">
        <f t="shared" si="124"/>
        <v>0</v>
      </c>
      <c r="G394" s="88">
        <f t="shared" si="125"/>
        <v>0</v>
      </c>
      <c r="H394" s="89">
        <v>0</v>
      </c>
      <c r="I394" s="89">
        <v>0</v>
      </c>
      <c r="J394" s="89">
        <f t="shared" si="126"/>
        <v>4</v>
      </c>
      <c r="K394" s="89">
        <f t="shared" si="126"/>
        <v>22468.400000000001</v>
      </c>
      <c r="L394" s="90">
        <v>2</v>
      </c>
      <c r="M394" s="91">
        <v>16850</v>
      </c>
      <c r="N394" s="92">
        <f t="shared" si="127"/>
        <v>4</v>
      </c>
      <c r="O394" s="92">
        <f t="shared" si="128"/>
        <v>18350</v>
      </c>
      <c r="P394">
        <v>0</v>
      </c>
      <c r="Q394" s="86">
        <v>0</v>
      </c>
      <c r="R394">
        <v>0</v>
      </c>
      <c r="S394">
        <v>0</v>
      </c>
    </row>
    <row r="395" spans="1:19" x14ac:dyDescent="0.2">
      <c r="A395" s="6" t="s">
        <v>64</v>
      </c>
      <c r="B395" s="90" t="s">
        <v>160</v>
      </c>
      <c r="C395" s="90">
        <v>10</v>
      </c>
      <c r="D395" s="93">
        <v>0</v>
      </c>
      <c r="E395" s="93">
        <v>0</v>
      </c>
      <c r="F395" s="88">
        <f t="shared" si="124"/>
        <v>0</v>
      </c>
      <c r="G395" s="88">
        <f t="shared" si="125"/>
        <v>0</v>
      </c>
      <c r="H395" s="89">
        <v>0</v>
      </c>
      <c r="I395" s="89">
        <v>0</v>
      </c>
      <c r="J395" s="89">
        <f t="shared" si="126"/>
        <v>4</v>
      </c>
      <c r="K395" s="89">
        <f t="shared" si="126"/>
        <v>22468.400000000001</v>
      </c>
      <c r="L395" s="90">
        <v>0</v>
      </c>
      <c r="M395" s="91">
        <v>0</v>
      </c>
      <c r="N395" s="92">
        <f t="shared" si="127"/>
        <v>4</v>
      </c>
      <c r="O395" s="92">
        <f t="shared" si="128"/>
        <v>18350</v>
      </c>
      <c r="P395">
        <v>0</v>
      </c>
      <c r="Q395" s="86">
        <v>0</v>
      </c>
      <c r="R395">
        <v>0</v>
      </c>
      <c r="S395">
        <v>0</v>
      </c>
    </row>
    <row r="396" spans="1:19" x14ac:dyDescent="0.2">
      <c r="A396" s="6" t="s">
        <v>64</v>
      </c>
      <c r="B396" s="90" t="s">
        <v>161</v>
      </c>
      <c r="C396" s="90">
        <v>11</v>
      </c>
      <c r="D396" s="93">
        <v>0</v>
      </c>
      <c r="E396" s="93">
        <v>0</v>
      </c>
      <c r="F396" s="88">
        <f t="shared" si="124"/>
        <v>0</v>
      </c>
      <c r="G396" s="88">
        <f t="shared" si="125"/>
        <v>0</v>
      </c>
      <c r="H396" s="89">
        <v>0</v>
      </c>
      <c r="I396" s="89">
        <v>0</v>
      </c>
      <c r="J396" s="89">
        <f t="shared" si="126"/>
        <v>4</v>
      </c>
      <c r="K396" s="89">
        <f t="shared" si="126"/>
        <v>22468.400000000001</v>
      </c>
      <c r="L396" s="90">
        <v>3</v>
      </c>
      <c r="M396" s="91">
        <v>3025</v>
      </c>
      <c r="N396" s="92">
        <f t="shared" si="127"/>
        <v>7</v>
      </c>
      <c r="O396" s="92">
        <f t="shared" si="128"/>
        <v>21375</v>
      </c>
      <c r="P396" s="86"/>
      <c r="Q396" s="86">
        <v>0</v>
      </c>
    </row>
    <row r="397" spans="1:19" x14ac:dyDescent="0.2">
      <c r="A397" s="6" t="s">
        <v>64</v>
      </c>
      <c r="B397" s="90" t="s">
        <v>162</v>
      </c>
      <c r="C397" s="90">
        <v>12</v>
      </c>
      <c r="D397" s="93">
        <v>0</v>
      </c>
      <c r="E397" s="93">
        <v>0</v>
      </c>
      <c r="F397" s="88">
        <f t="shared" si="124"/>
        <v>0</v>
      </c>
      <c r="G397" s="88">
        <f t="shared" si="125"/>
        <v>0</v>
      </c>
      <c r="H397" s="89">
        <v>0</v>
      </c>
      <c r="I397" s="89">
        <v>0</v>
      </c>
      <c r="J397" s="89">
        <f t="shared" si="126"/>
        <v>4</v>
      </c>
      <c r="K397" s="89">
        <f t="shared" si="126"/>
        <v>22468.400000000001</v>
      </c>
      <c r="L397" s="90">
        <v>6</v>
      </c>
      <c r="M397" s="91">
        <v>23751.64</v>
      </c>
      <c r="N397" s="92">
        <f t="shared" si="127"/>
        <v>13</v>
      </c>
      <c r="O397" s="92">
        <f t="shared" si="128"/>
        <v>45126.64</v>
      </c>
      <c r="P397" s="86"/>
      <c r="Q397" s="86">
        <v>0</v>
      </c>
    </row>
    <row r="398" spans="1:19" x14ac:dyDescent="0.2">
      <c r="A398" s="6" t="s">
        <v>135</v>
      </c>
      <c r="B398" s="90" t="s">
        <v>151</v>
      </c>
      <c r="C398" s="90">
        <v>1</v>
      </c>
      <c r="D398" s="93">
        <v>0</v>
      </c>
      <c r="E398" s="93">
        <v>0</v>
      </c>
      <c r="F398" s="88">
        <f>D398</f>
        <v>0</v>
      </c>
      <c r="G398" s="88">
        <f>E398</f>
        <v>0</v>
      </c>
      <c r="H398" s="88">
        <v>0</v>
      </c>
      <c r="I398" s="88">
        <v>0</v>
      </c>
      <c r="J398" s="88">
        <f>H398</f>
        <v>0</v>
      </c>
      <c r="K398" s="88">
        <f>I398</f>
        <v>0</v>
      </c>
      <c r="L398" s="90">
        <v>0</v>
      </c>
      <c r="M398" s="91">
        <v>0</v>
      </c>
      <c r="N398" s="92">
        <f>L398</f>
        <v>0</v>
      </c>
      <c r="O398" s="92">
        <f>M398</f>
        <v>0</v>
      </c>
      <c r="P398">
        <v>0</v>
      </c>
      <c r="Q398">
        <v>0</v>
      </c>
      <c r="R398">
        <v>0</v>
      </c>
      <c r="S398">
        <v>0</v>
      </c>
    </row>
    <row r="399" spans="1:19" x14ac:dyDescent="0.2">
      <c r="A399" s="6" t="s">
        <v>135</v>
      </c>
      <c r="B399" s="90" t="s">
        <v>152</v>
      </c>
      <c r="C399" s="90">
        <v>2</v>
      </c>
      <c r="D399" s="93">
        <v>0</v>
      </c>
      <c r="E399" s="93">
        <v>0</v>
      </c>
      <c r="F399" s="88">
        <f t="shared" ref="F399:F409" si="129">F398+D399</f>
        <v>0</v>
      </c>
      <c r="G399" s="88">
        <f t="shared" ref="G399:G409" si="130">G398+E399</f>
        <v>0</v>
      </c>
      <c r="H399" s="88">
        <v>0</v>
      </c>
      <c r="I399" s="88">
        <v>0</v>
      </c>
      <c r="J399" s="88">
        <f t="shared" ref="J399:J409" si="131">J398+H399</f>
        <v>0</v>
      </c>
      <c r="K399" s="88">
        <f t="shared" ref="K399:K409" si="132">K398+I399</f>
        <v>0</v>
      </c>
      <c r="L399" s="90">
        <v>0</v>
      </c>
      <c r="M399" s="91">
        <v>0</v>
      </c>
      <c r="N399" s="92">
        <f t="shared" ref="N399:N409" si="133">N398+L399</f>
        <v>0</v>
      </c>
      <c r="O399" s="92">
        <f t="shared" ref="O399:O409" si="134">O398+M399</f>
        <v>0</v>
      </c>
      <c r="P399">
        <v>0</v>
      </c>
      <c r="Q399">
        <v>0</v>
      </c>
      <c r="R399">
        <v>0</v>
      </c>
      <c r="S399">
        <v>0</v>
      </c>
    </row>
    <row r="400" spans="1:19" x14ac:dyDescent="0.2">
      <c r="A400" s="6" t="s">
        <v>135</v>
      </c>
      <c r="B400" s="90" t="s">
        <v>153</v>
      </c>
      <c r="C400" s="90">
        <v>3</v>
      </c>
      <c r="D400" s="93">
        <v>0</v>
      </c>
      <c r="E400" s="93">
        <v>0</v>
      </c>
      <c r="F400" s="88">
        <f t="shared" si="129"/>
        <v>0</v>
      </c>
      <c r="G400" s="88">
        <f t="shared" si="130"/>
        <v>0</v>
      </c>
      <c r="H400" s="88">
        <v>0</v>
      </c>
      <c r="I400" s="88">
        <v>0</v>
      </c>
      <c r="J400" s="88">
        <f t="shared" si="131"/>
        <v>0</v>
      </c>
      <c r="K400" s="88">
        <f t="shared" si="132"/>
        <v>0</v>
      </c>
      <c r="L400" s="90">
        <v>0</v>
      </c>
      <c r="M400" s="91">
        <v>0</v>
      </c>
      <c r="N400" s="92">
        <f t="shared" si="133"/>
        <v>0</v>
      </c>
      <c r="O400" s="92">
        <f t="shared" si="134"/>
        <v>0</v>
      </c>
      <c r="P400">
        <v>0</v>
      </c>
      <c r="Q400">
        <v>0</v>
      </c>
      <c r="R400">
        <v>0</v>
      </c>
      <c r="S400">
        <v>0</v>
      </c>
    </row>
    <row r="401" spans="1:19" x14ac:dyDescent="0.2">
      <c r="A401" s="6" t="s">
        <v>135</v>
      </c>
      <c r="B401" s="90" t="s">
        <v>154</v>
      </c>
      <c r="C401" s="90">
        <v>4</v>
      </c>
      <c r="D401" s="93">
        <v>0</v>
      </c>
      <c r="E401" s="93">
        <v>0</v>
      </c>
      <c r="F401" s="88">
        <f t="shared" si="129"/>
        <v>0</v>
      </c>
      <c r="G401" s="88">
        <f t="shared" si="130"/>
        <v>0</v>
      </c>
      <c r="H401" s="88">
        <v>0</v>
      </c>
      <c r="I401" s="88">
        <v>0</v>
      </c>
      <c r="J401" s="88">
        <f t="shared" si="131"/>
        <v>0</v>
      </c>
      <c r="K401" s="88">
        <f t="shared" si="132"/>
        <v>0</v>
      </c>
      <c r="L401" s="90">
        <v>0</v>
      </c>
      <c r="M401" s="91">
        <v>0</v>
      </c>
      <c r="N401" s="92">
        <f t="shared" si="133"/>
        <v>0</v>
      </c>
      <c r="O401" s="92">
        <f t="shared" si="134"/>
        <v>0</v>
      </c>
      <c r="P401">
        <v>0</v>
      </c>
      <c r="Q401">
        <v>0</v>
      </c>
      <c r="R401">
        <v>0</v>
      </c>
      <c r="S401">
        <v>0</v>
      </c>
    </row>
    <row r="402" spans="1:19" x14ac:dyDescent="0.2">
      <c r="A402" s="6" t="s">
        <v>135</v>
      </c>
      <c r="B402" s="90" t="s">
        <v>155</v>
      </c>
      <c r="C402" s="90">
        <v>5</v>
      </c>
      <c r="D402" s="93">
        <v>0</v>
      </c>
      <c r="E402" s="93">
        <v>0</v>
      </c>
      <c r="F402" s="88">
        <f t="shared" si="129"/>
        <v>0</v>
      </c>
      <c r="G402" s="88">
        <f t="shared" si="130"/>
        <v>0</v>
      </c>
      <c r="H402" s="88">
        <v>0</v>
      </c>
      <c r="I402" s="88">
        <v>0</v>
      </c>
      <c r="J402" s="88">
        <f t="shared" si="131"/>
        <v>0</v>
      </c>
      <c r="K402" s="88">
        <f t="shared" si="132"/>
        <v>0</v>
      </c>
      <c r="L402" s="90">
        <v>0</v>
      </c>
      <c r="M402" s="91">
        <v>0</v>
      </c>
      <c r="N402" s="92">
        <f t="shared" si="133"/>
        <v>0</v>
      </c>
      <c r="O402" s="92">
        <f t="shared" si="134"/>
        <v>0</v>
      </c>
      <c r="P402">
        <v>1</v>
      </c>
      <c r="Q402">
        <v>1400</v>
      </c>
      <c r="R402">
        <v>1</v>
      </c>
      <c r="S402">
        <v>1400</v>
      </c>
    </row>
    <row r="403" spans="1:19" x14ac:dyDescent="0.2">
      <c r="A403" s="6" t="s">
        <v>135</v>
      </c>
      <c r="B403" s="90" t="s">
        <v>156</v>
      </c>
      <c r="C403" s="90">
        <v>6</v>
      </c>
      <c r="D403" s="93">
        <v>0</v>
      </c>
      <c r="E403" s="93">
        <v>0</v>
      </c>
      <c r="F403" s="88">
        <f t="shared" si="129"/>
        <v>0</v>
      </c>
      <c r="G403" s="88">
        <f t="shared" si="130"/>
        <v>0</v>
      </c>
      <c r="H403" s="88">
        <v>0</v>
      </c>
      <c r="I403" s="88">
        <v>0</v>
      </c>
      <c r="J403" s="88">
        <f t="shared" si="131"/>
        <v>0</v>
      </c>
      <c r="K403" s="88">
        <f t="shared" si="132"/>
        <v>0</v>
      </c>
      <c r="L403" s="90">
        <v>0</v>
      </c>
      <c r="M403" s="91">
        <v>0</v>
      </c>
      <c r="N403" s="92">
        <f t="shared" si="133"/>
        <v>0</v>
      </c>
      <c r="O403" s="92">
        <f t="shared" si="134"/>
        <v>0</v>
      </c>
      <c r="P403">
        <v>1</v>
      </c>
      <c r="Q403">
        <v>1400</v>
      </c>
      <c r="R403">
        <v>2</v>
      </c>
      <c r="S403">
        <v>2800</v>
      </c>
    </row>
    <row r="404" spans="1:19" x14ac:dyDescent="0.2">
      <c r="A404" s="6" t="s">
        <v>135</v>
      </c>
      <c r="B404" s="90" t="s">
        <v>157</v>
      </c>
      <c r="C404" s="90">
        <v>7</v>
      </c>
      <c r="D404" s="93">
        <v>0</v>
      </c>
      <c r="E404" s="93">
        <v>0</v>
      </c>
      <c r="F404" s="88">
        <f t="shared" si="129"/>
        <v>0</v>
      </c>
      <c r="G404" s="88">
        <f t="shared" si="130"/>
        <v>0</v>
      </c>
      <c r="H404" s="88">
        <v>0</v>
      </c>
      <c r="I404" s="88">
        <v>0</v>
      </c>
      <c r="J404" s="88">
        <f t="shared" si="131"/>
        <v>0</v>
      </c>
      <c r="K404" s="88">
        <f t="shared" si="132"/>
        <v>0</v>
      </c>
      <c r="L404" s="90">
        <v>0</v>
      </c>
      <c r="M404" s="91">
        <v>0</v>
      </c>
      <c r="N404" s="92">
        <f t="shared" si="133"/>
        <v>0</v>
      </c>
      <c r="O404" s="92">
        <f t="shared" si="134"/>
        <v>0</v>
      </c>
      <c r="P404">
        <v>1</v>
      </c>
      <c r="Q404">
        <v>1200</v>
      </c>
      <c r="R404">
        <v>3</v>
      </c>
      <c r="S404">
        <v>4000</v>
      </c>
    </row>
    <row r="405" spans="1:19" x14ac:dyDescent="0.2">
      <c r="A405" s="6" t="s">
        <v>135</v>
      </c>
      <c r="B405" s="90" t="s">
        <v>158</v>
      </c>
      <c r="C405" s="90">
        <v>8</v>
      </c>
      <c r="D405" s="93">
        <v>0</v>
      </c>
      <c r="E405" s="93">
        <v>0</v>
      </c>
      <c r="F405" s="88">
        <f t="shared" si="129"/>
        <v>0</v>
      </c>
      <c r="G405" s="88">
        <f t="shared" si="130"/>
        <v>0</v>
      </c>
      <c r="H405" s="88">
        <v>0</v>
      </c>
      <c r="I405" s="88">
        <v>0</v>
      </c>
      <c r="J405" s="88">
        <f t="shared" si="131"/>
        <v>0</v>
      </c>
      <c r="K405" s="88">
        <f t="shared" si="132"/>
        <v>0</v>
      </c>
      <c r="L405" s="90">
        <v>0</v>
      </c>
      <c r="M405" s="91">
        <v>0</v>
      </c>
      <c r="N405" s="92">
        <f t="shared" si="133"/>
        <v>0</v>
      </c>
      <c r="O405" s="92">
        <f t="shared" si="134"/>
        <v>0</v>
      </c>
      <c r="P405">
        <v>1</v>
      </c>
      <c r="Q405">
        <v>1500</v>
      </c>
      <c r="R405">
        <v>4</v>
      </c>
      <c r="S405">
        <v>5500</v>
      </c>
    </row>
    <row r="406" spans="1:19" x14ac:dyDescent="0.2">
      <c r="A406" s="6" t="s">
        <v>135</v>
      </c>
      <c r="B406" s="90" t="s">
        <v>159</v>
      </c>
      <c r="C406" s="90">
        <v>9</v>
      </c>
      <c r="D406" s="93">
        <v>0</v>
      </c>
      <c r="E406" s="93">
        <v>0</v>
      </c>
      <c r="F406" s="88">
        <f t="shared" si="129"/>
        <v>0</v>
      </c>
      <c r="G406" s="88">
        <f t="shared" si="130"/>
        <v>0</v>
      </c>
      <c r="H406" s="88">
        <v>0</v>
      </c>
      <c r="I406" s="88">
        <v>0</v>
      </c>
      <c r="J406" s="88">
        <f t="shared" si="131"/>
        <v>0</v>
      </c>
      <c r="K406" s="88">
        <f t="shared" si="132"/>
        <v>0</v>
      </c>
      <c r="L406" s="90">
        <v>0</v>
      </c>
      <c r="M406" s="91">
        <v>0</v>
      </c>
      <c r="N406" s="92">
        <f t="shared" si="133"/>
        <v>0</v>
      </c>
      <c r="O406" s="92">
        <f t="shared" si="134"/>
        <v>0</v>
      </c>
      <c r="P406">
        <v>1</v>
      </c>
      <c r="Q406">
        <v>50</v>
      </c>
      <c r="R406">
        <v>5</v>
      </c>
      <c r="S406">
        <v>5550</v>
      </c>
    </row>
    <row r="407" spans="1:19" x14ac:dyDescent="0.2">
      <c r="A407" s="6" t="s">
        <v>135</v>
      </c>
      <c r="B407" s="90" t="s">
        <v>160</v>
      </c>
      <c r="C407" s="90">
        <v>10</v>
      </c>
      <c r="D407" s="93">
        <v>0</v>
      </c>
      <c r="E407" s="93">
        <v>0</v>
      </c>
      <c r="F407" s="88">
        <f t="shared" si="129"/>
        <v>0</v>
      </c>
      <c r="G407" s="88">
        <f t="shared" si="130"/>
        <v>0</v>
      </c>
      <c r="H407" s="88">
        <v>0</v>
      </c>
      <c r="I407" s="88">
        <v>0</v>
      </c>
      <c r="J407" s="88">
        <f t="shared" si="131"/>
        <v>0</v>
      </c>
      <c r="K407" s="88">
        <f t="shared" si="132"/>
        <v>0</v>
      </c>
      <c r="L407" s="90">
        <v>0</v>
      </c>
      <c r="M407" s="91">
        <v>0</v>
      </c>
      <c r="N407" s="92">
        <f t="shared" si="133"/>
        <v>0</v>
      </c>
      <c r="O407" s="92">
        <f t="shared" si="134"/>
        <v>0</v>
      </c>
      <c r="P407">
        <v>0</v>
      </c>
      <c r="Q407">
        <v>0</v>
      </c>
      <c r="R407">
        <v>5</v>
      </c>
      <c r="S407">
        <v>5550</v>
      </c>
    </row>
    <row r="408" spans="1:19" x14ac:dyDescent="0.2">
      <c r="A408" s="6" t="s">
        <v>135</v>
      </c>
      <c r="B408" s="90" t="s">
        <v>161</v>
      </c>
      <c r="C408" s="90">
        <v>11</v>
      </c>
      <c r="D408" s="93">
        <v>0</v>
      </c>
      <c r="E408" s="93">
        <v>0</v>
      </c>
      <c r="F408" s="88">
        <f t="shared" si="129"/>
        <v>0</v>
      </c>
      <c r="G408" s="88">
        <f t="shared" si="130"/>
        <v>0</v>
      </c>
      <c r="H408" s="88">
        <v>0</v>
      </c>
      <c r="I408" s="88">
        <v>0</v>
      </c>
      <c r="J408" s="88">
        <f t="shared" si="131"/>
        <v>0</v>
      </c>
      <c r="K408" s="88">
        <f t="shared" si="132"/>
        <v>0</v>
      </c>
      <c r="L408" s="90">
        <v>0</v>
      </c>
      <c r="M408" s="91">
        <v>0</v>
      </c>
      <c r="N408" s="92">
        <f t="shared" si="133"/>
        <v>0</v>
      </c>
      <c r="O408" s="92">
        <f t="shared" si="134"/>
        <v>0</v>
      </c>
      <c r="P408" s="86"/>
      <c r="Q408" s="86">
        <v>0</v>
      </c>
    </row>
    <row r="409" spans="1:19" x14ac:dyDescent="0.2">
      <c r="A409" s="6" t="s">
        <v>135</v>
      </c>
      <c r="B409" s="90" t="s">
        <v>162</v>
      </c>
      <c r="C409" s="90">
        <v>12</v>
      </c>
      <c r="D409" s="93">
        <v>0</v>
      </c>
      <c r="E409" s="93">
        <v>0</v>
      </c>
      <c r="F409" s="88">
        <f t="shared" si="129"/>
        <v>0</v>
      </c>
      <c r="G409" s="88">
        <f t="shared" si="130"/>
        <v>0</v>
      </c>
      <c r="H409" s="88">
        <v>0</v>
      </c>
      <c r="I409" s="88">
        <v>0</v>
      </c>
      <c r="J409" s="88">
        <f t="shared" si="131"/>
        <v>0</v>
      </c>
      <c r="K409" s="88">
        <f t="shared" si="132"/>
        <v>0</v>
      </c>
      <c r="L409" s="90">
        <v>0</v>
      </c>
      <c r="M409" s="91">
        <v>0</v>
      </c>
      <c r="N409" s="92">
        <f t="shared" si="133"/>
        <v>0</v>
      </c>
      <c r="O409" s="92">
        <f t="shared" si="134"/>
        <v>0</v>
      </c>
      <c r="P409" s="86"/>
      <c r="Q409" s="86">
        <v>0</v>
      </c>
    </row>
    <row r="410" spans="1:19" x14ac:dyDescent="0.2">
      <c r="A410" s="6" t="s">
        <v>103</v>
      </c>
      <c r="B410" s="90" t="s">
        <v>151</v>
      </c>
      <c r="C410" s="90">
        <v>1</v>
      </c>
      <c r="D410" s="93">
        <v>0</v>
      </c>
      <c r="E410" s="93">
        <v>0</v>
      </c>
      <c r="F410" s="88">
        <f>D410</f>
        <v>0</v>
      </c>
      <c r="G410" s="88">
        <f>E410</f>
        <v>0</v>
      </c>
      <c r="H410" s="89">
        <v>0</v>
      </c>
      <c r="I410" s="89">
        <v>0</v>
      </c>
      <c r="J410" s="89">
        <f>H410</f>
        <v>0</v>
      </c>
      <c r="K410" s="89">
        <f>I410</f>
        <v>0</v>
      </c>
      <c r="L410" s="90">
        <v>4</v>
      </c>
      <c r="M410" s="91">
        <v>11396.38</v>
      </c>
      <c r="N410" s="92">
        <f>L410</f>
        <v>4</v>
      </c>
      <c r="O410" s="92">
        <f>M410</f>
        <v>11396.38</v>
      </c>
      <c r="P410">
        <v>0</v>
      </c>
      <c r="Q410">
        <v>0</v>
      </c>
      <c r="R410">
        <v>0</v>
      </c>
      <c r="S410">
        <v>0</v>
      </c>
    </row>
    <row r="411" spans="1:19" x14ac:dyDescent="0.2">
      <c r="A411" s="6" t="s">
        <v>103</v>
      </c>
      <c r="B411" s="90" t="s">
        <v>152</v>
      </c>
      <c r="C411" s="90">
        <v>2</v>
      </c>
      <c r="D411" s="93">
        <v>0</v>
      </c>
      <c r="E411" s="93">
        <v>0</v>
      </c>
      <c r="F411" s="88">
        <f t="shared" ref="F411:G421" si="135">F410+D411</f>
        <v>0</v>
      </c>
      <c r="G411" s="88">
        <f t="shared" si="135"/>
        <v>0</v>
      </c>
      <c r="H411" s="89">
        <v>0</v>
      </c>
      <c r="I411" s="89">
        <v>0</v>
      </c>
      <c r="J411" s="89">
        <f t="shared" ref="J411:K421" si="136">J410+H411</f>
        <v>0</v>
      </c>
      <c r="K411" s="89">
        <f t="shared" si="136"/>
        <v>0</v>
      </c>
      <c r="L411" s="90">
        <v>0</v>
      </c>
      <c r="M411" s="91">
        <v>0</v>
      </c>
      <c r="N411" s="92">
        <f t="shared" ref="N411:N421" si="137">N410+L411</f>
        <v>4</v>
      </c>
      <c r="O411" s="92">
        <f t="shared" ref="O411:O421" si="138">O410+M411</f>
        <v>11396.38</v>
      </c>
      <c r="P411">
        <v>2</v>
      </c>
      <c r="Q411">
        <v>3900</v>
      </c>
      <c r="R411">
        <v>2</v>
      </c>
      <c r="S411">
        <v>3900</v>
      </c>
    </row>
    <row r="412" spans="1:19" x14ac:dyDescent="0.2">
      <c r="A412" s="6" t="s">
        <v>103</v>
      </c>
      <c r="B412" s="90" t="s">
        <v>153</v>
      </c>
      <c r="C412" s="90">
        <v>3</v>
      </c>
      <c r="D412" s="93">
        <v>0</v>
      </c>
      <c r="E412" s="93">
        <v>0</v>
      </c>
      <c r="F412" s="88">
        <f t="shared" si="135"/>
        <v>0</v>
      </c>
      <c r="G412" s="88">
        <f t="shared" si="135"/>
        <v>0</v>
      </c>
      <c r="H412" s="89">
        <v>0</v>
      </c>
      <c r="I412" s="89">
        <v>0</v>
      </c>
      <c r="J412" s="89">
        <f t="shared" si="136"/>
        <v>0</v>
      </c>
      <c r="K412" s="89">
        <f t="shared" si="136"/>
        <v>0</v>
      </c>
      <c r="L412" s="90">
        <v>0</v>
      </c>
      <c r="M412" s="91">
        <v>0</v>
      </c>
      <c r="N412" s="92">
        <f t="shared" si="137"/>
        <v>4</v>
      </c>
      <c r="O412" s="92">
        <f t="shared" si="138"/>
        <v>11396.38</v>
      </c>
      <c r="P412">
        <v>3</v>
      </c>
      <c r="Q412">
        <v>8000</v>
      </c>
      <c r="R412">
        <v>5</v>
      </c>
      <c r="S412">
        <v>11900</v>
      </c>
    </row>
    <row r="413" spans="1:19" x14ac:dyDescent="0.2">
      <c r="A413" s="6" t="s">
        <v>103</v>
      </c>
      <c r="B413" s="90" t="s">
        <v>154</v>
      </c>
      <c r="C413" s="90">
        <v>4</v>
      </c>
      <c r="D413" s="88">
        <v>2</v>
      </c>
      <c r="E413" s="88">
        <v>7697.41</v>
      </c>
      <c r="F413" s="88">
        <f t="shared" si="135"/>
        <v>2</v>
      </c>
      <c r="G413" s="88">
        <f t="shared" si="135"/>
        <v>7697.41</v>
      </c>
      <c r="H413" s="89">
        <v>2</v>
      </c>
      <c r="I413" s="89">
        <v>2565.35</v>
      </c>
      <c r="J413" s="89">
        <f t="shared" si="136"/>
        <v>2</v>
      </c>
      <c r="K413" s="89">
        <f t="shared" si="136"/>
        <v>2565.35</v>
      </c>
      <c r="L413" s="90">
        <v>4</v>
      </c>
      <c r="M413" s="91">
        <v>8500</v>
      </c>
      <c r="N413" s="92">
        <f t="shared" si="137"/>
        <v>8</v>
      </c>
      <c r="O413" s="92">
        <f t="shared" si="138"/>
        <v>19896.379999999997</v>
      </c>
      <c r="P413">
        <v>0</v>
      </c>
      <c r="Q413">
        <v>0</v>
      </c>
      <c r="R413">
        <v>5</v>
      </c>
      <c r="S413">
        <v>11900</v>
      </c>
    </row>
    <row r="414" spans="1:19" x14ac:dyDescent="0.2">
      <c r="A414" s="6" t="s">
        <v>103</v>
      </c>
      <c r="B414" s="90" t="s">
        <v>155</v>
      </c>
      <c r="C414" s="90">
        <v>5</v>
      </c>
      <c r="D414" s="93">
        <v>0</v>
      </c>
      <c r="E414" s="93">
        <v>0</v>
      </c>
      <c r="F414" s="88">
        <f t="shared" si="135"/>
        <v>2</v>
      </c>
      <c r="G414" s="88">
        <f t="shared" si="135"/>
        <v>7697.41</v>
      </c>
      <c r="H414" s="89">
        <v>5</v>
      </c>
      <c r="I414" s="89">
        <v>6787</v>
      </c>
      <c r="J414" s="89">
        <f t="shared" si="136"/>
        <v>7</v>
      </c>
      <c r="K414" s="89">
        <f t="shared" si="136"/>
        <v>9352.35</v>
      </c>
      <c r="L414" s="90">
        <v>2</v>
      </c>
      <c r="M414" s="91">
        <v>5100</v>
      </c>
      <c r="N414" s="92">
        <f t="shared" si="137"/>
        <v>10</v>
      </c>
      <c r="O414" s="92">
        <f t="shared" si="138"/>
        <v>24996.379999999997</v>
      </c>
      <c r="P414">
        <v>0</v>
      </c>
      <c r="Q414">
        <v>0</v>
      </c>
      <c r="R414">
        <v>5</v>
      </c>
      <c r="S414">
        <v>11900</v>
      </c>
    </row>
    <row r="415" spans="1:19" x14ac:dyDescent="0.2">
      <c r="A415" s="6" t="s">
        <v>103</v>
      </c>
      <c r="B415" s="90" t="s">
        <v>156</v>
      </c>
      <c r="C415" s="90">
        <v>6</v>
      </c>
      <c r="D415" s="93">
        <v>2</v>
      </c>
      <c r="E415" s="93">
        <v>5060</v>
      </c>
      <c r="F415" s="88">
        <f t="shared" si="135"/>
        <v>4</v>
      </c>
      <c r="G415" s="88">
        <f t="shared" si="135"/>
        <v>12757.41</v>
      </c>
      <c r="H415" s="89">
        <v>9</v>
      </c>
      <c r="I415" s="89">
        <v>21575.68</v>
      </c>
      <c r="J415" s="89">
        <f t="shared" si="136"/>
        <v>16</v>
      </c>
      <c r="K415" s="89">
        <f t="shared" si="136"/>
        <v>30928.03</v>
      </c>
      <c r="L415" s="90">
        <v>5</v>
      </c>
      <c r="M415" s="91">
        <v>20137.439999999999</v>
      </c>
      <c r="N415" s="92">
        <f t="shared" si="137"/>
        <v>15</v>
      </c>
      <c r="O415" s="92">
        <f t="shared" si="138"/>
        <v>45133.819999999992</v>
      </c>
      <c r="P415">
        <v>0</v>
      </c>
      <c r="Q415">
        <v>0</v>
      </c>
      <c r="R415">
        <v>5</v>
      </c>
      <c r="S415">
        <v>11900</v>
      </c>
    </row>
    <row r="416" spans="1:19" x14ac:dyDescent="0.2">
      <c r="A416" s="6" t="s">
        <v>103</v>
      </c>
      <c r="B416" s="90" t="s">
        <v>157</v>
      </c>
      <c r="C416" s="90">
        <v>7</v>
      </c>
      <c r="D416" s="93">
        <v>1</v>
      </c>
      <c r="E416" s="93">
        <v>3960</v>
      </c>
      <c r="F416" s="88">
        <f t="shared" si="135"/>
        <v>5</v>
      </c>
      <c r="G416" s="88">
        <f t="shared" si="135"/>
        <v>16717.41</v>
      </c>
      <c r="H416" s="89">
        <v>3</v>
      </c>
      <c r="I416" s="89">
        <v>6140.8</v>
      </c>
      <c r="J416" s="89">
        <f t="shared" si="136"/>
        <v>19</v>
      </c>
      <c r="K416" s="89">
        <f t="shared" si="136"/>
        <v>37068.83</v>
      </c>
      <c r="L416" s="90">
        <v>2</v>
      </c>
      <c r="M416" s="91">
        <v>5050.2</v>
      </c>
      <c r="N416" s="92">
        <f t="shared" si="137"/>
        <v>17</v>
      </c>
      <c r="O416" s="92">
        <f t="shared" si="138"/>
        <v>50184.01999999999</v>
      </c>
      <c r="P416">
        <v>0</v>
      </c>
      <c r="Q416">
        <v>0</v>
      </c>
      <c r="R416">
        <v>5</v>
      </c>
      <c r="S416">
        <v>11900</v>
      </c>
    </row>
    <row r="417" spans="1:19" x14ac:dyDescent="0.2">
      <c r="A417" s="6" t="s">
        <v>103</v>
      </c>
      <c r="B417" s="90" t="s">
        <v>158</v>
      </c>
      <c r="C417" s="90">
        <v>8</v>
      </c>
      <c r="D417" s="93">
        <v>11</v>
      </c>
      <c r="E417" s="88">
        <v>59111.839999999997</v>
      </c>
      <c r="F417" s="88">
        <f t="shared" si="135"/>
        <v>16</v>
      </c>
      <c r="G417" s="88">
        <f t="shared" si="135"/>
        <v>75829.25</v>
      </c>
      <c r="H417" s="89">
        <v>1</v>
      </c>
      <c r="I417" s="89">
        <v>4919.3</v>
      </c>
      <c r="J417" s="89">
        <f t="shared" si="136"/>
        <v>20</v>
      </c>
      <c r="K417" s="89">
        <f t="shared" si="136"/>
        <v>41988.130000000005</v>
      </c>
      <c r="L417" s="90">
        <v>4</v>
      </c>
      <c r="M417" s="91">
        <v>14475</v>
      </c>
      <c r="N417" s="92">
        <f t="shared" si="137"/>
        <v>21</v>
      </c>
      <c r="O417" s="92">
        <f t="shared" si="138"/>
        <v>64659.01999999999</v>
      </c>
      <c r="P417">
        <v>9</v>
      </c>
      <c r="Q417">
        <v>22784.5</v>
      </c>
      <c r="R417">
        <v>14</v>
      </c>
      <c r="S417">
        <v>34684.5</v>
      </c>
    </row>
    <row r="418" spans="1:19" x14ac:dyDescent="0.2">
      <c r="A418" s="6" t="s">
        <v>103</v>
      </c>
      <c r="B418" s="90" t="s">
        <v>159</v>
      </c>
      <c r="C418" s="90">
        <v>9</v>
      </c>
      <c r="D418" s="93">
        <v>0</v>
      </c>
      <c r="E418" s="93">
        <v>0</v>
      </c>
      <c r="F418" s="88">
        <f t="shared" si="135"/>
        <v>16</v>
      </c>
      <c r="G418" s="88">
        <f t="shared" si="135"/>
        <v>75829.25</v>
      </c>
      <c r="H418" s="89">
        <v>3</v>
      </c>
      <c r="I418" s="89">
        <v>10323.4</v>
      </c>
      <c r="J418" s="89">
        <f t="shared" si="136"/>
        <v>23</v>
      </c>
      <c r="K418" s="89">
        <f t="shared" si="136"/>
        <v>52311.530000000006</v>
      </c>
      <c r="L418" s="90">
        <v>3</v>
      </c>
      <c r="M418" s="91">
        <v>5000.57</v>
      </c>
      <c r="N418" s="92">
        <f t="shared" si="137"/>
        <v>24</v>
      </c>
      <c r="O418" s="92">
        <f t="shared" si="138"/>
        <v>69659.59</v>
      </c>
      <c r="P418">
        <v>0</v>
      </c>
      <c r="Q418">
        <v>0</v>
      </c>
      <c r="R418">
        <v>14</v>
      </c>
      <c r="S418">
        <v>34684.5</v>
      </c>
    </row>
    <row r="419" spans="1:19" x14ac:dyDescent="0.2">
      <c r="A419" s="6" t="s">
        <v>103</v>
      </c>
      <c r="B419" s="90" t="s">
        <v>160</v>
      </c>
      <c r="C419" s="90">
        <v>10</v>
      </c>
      <c r="D419" s="93">
        <v>0</v>
      </c>
      <c r="E419" s="93">
        <v>0</v>
      </c>
      <c r="F419" s="88">
        <f t="shared" si="135"/>
        <v>16</v>
      </c>
      <c r="G419" s="88">
        <f t="shared" si="135"/>
        <v>75829.25</v>
      </c>
      <c r="H419" s="89">
        <v>4</v>
      </c>
      <c r="I419" s="89">
        <v>10000.049999999999</v>
      </c>
      <c r="J419" s="89">
        <f t="shared" si="136"/>
        <v>27</v>
      </c>
      <c r="K419" s="89">
        <f t="shared" si="136"/>
        <v>62311.58</v>
      </c>
      <c r="L419" s="90">
        <v>5</v>
      </c>
      <c r="M419" s="91">
        <v>14000.57</v>
      </c>
      <c r="N419" s="92">
        <f t="shared" si="137"/>
        <v>29</v>
      </c>
      <c r="O419" s="92">
        <f t="shared" si="138"/>
        <v>83660.160000000003</v>
      </c>
      <c r="P419">
        <v>0</v>
      </c>
      <c r="Q419">
        <v>0</v>
      </c>
      <c r="R419">
        <v>14</v>
      </c>
      <c r="S419">
        <v>34684.5</v>
      </c>
    </row>
    <row r="420" spans="1:19" x14ac:dyDescent="0.2">
      <c r="A420" s="6" t="s">
        <v>103</v>
      </c>
      <c r="B420" s="90" t="s">
        <v>161</v>
      </c>
      <c r="C420" s="90">
        <v>11</v>
      </c>
      <c r="D420" s="93">
        <v>5</v>
      </c>
      <c r="E420" s="93">
        <v>6000</v>
      </c>
      <c r="F420" s="88">
        <f t="shared" si="135"/>
        <v>21</v>
      </c>
      <c r="G420" s="88">
        <f t="shared" si="135"/>
        <v>81829.25</v>
      </c>
      <c r="H420" s="89">
        <v>11</v>
      </c>
      <c r="I420" s="89">
        <v>40978.28</v>
      </c>
      <c r="J420" s="89">
        <f t="shared" si="136"/>
        <v>38</v>
      </c>
      <c r="K420" s="89">
        <f t="shared" si="136"/>
        <v>103289.86</v>
      </c>
      <c r="L420" s="90">
        <v>8</v>
      </c>
      <c r="M420" s="91">
        <v>20041.2</v>
      </c>
      <c r="N420" s="92">
        <f t="shared" si="137"/>
        <v>37</v>
      </c>
      <c r="O420" s="92">
        <f t="shared" si="138"/>
        <v>103701.36</v>
      </c>
      <c r="P420" s="86"/>
      <c r="Q420" s="86">
        <v>0</v>
      </c>
    </row>
    <row r="421" spans="1:19" x14ac:dyDescent="0.2">
      <c r="A421" s="6" t="s">
        <v>103</v>
      </c>
      <c r="B421" s="90" t="s">
        <v>162</v>
      </c>
      <c r="C421" s="90">
        <v>12</v>
      </c>
      <c r="D421" s="93">
        <v>6</v>
      </c>
      <c r="E421" s="88">
        <v>13179.539999999999</v>
      </c>
      <c r="F421" s="88">
        <f t="shared" si="135"/>
        <v>27</v>
      </c>
      <c r="G421" s="88">
        <f t="shared" si="135"/>
        <v>95008.79</v>
      </c>
      <c r="H421" s="89">
        <v>6</v>
      </c>
      <c r="I421" s="89">
        <v>12050.25</v>
      </c>
      <c r="J421" s="89">
        <f t="shared" si="136"/>
        <v>44</v>
      </c>
      <c r="K421" s="89">
        <f t="shared" si="136"/>
        <v>115340.11</v>
      </c>
      <c r="L421" s="90">
        <v>15</v>
      </c>
      <c r="M421" s="91">
        <v>34227.21</v>
      </c>
      <c r="N421" s="92">
        <f t="shared" si="137"/>
        <v>52</v>
      </c>
      <c r="O421" s="92">
        <f t="shared" si="138"/>
        <v>137928.57</v>
      </c>
      <c r="P421" s="86"/>
      <c r="Q421" s="86">
        <v>0</v>
      </c>
    </row>
    <row r="422" spans="1:19" x14ac:dyDescent="0.2">
      <c r="A422" s="6" t="s">
        <v>85</v>
      </c>
      <c r="B422" s="90" t="s">
        <v>151</v>
      </c>
      <c r="C422" s="90">
        <v>1</v>
      </c>
      <c r="D422" s="93">
        <v>0</v>
      </c>
      <c r="E422" s="93">
        <v>0</v>
      </c>
      <c r="F422" s="88">
        <f>D422</f>
        <v>0</v>
      </c>
      <c r="G422" s="88">
        <f>E422</f>
        <v>0</v>
      </c>
      <c r="H422" s="88">
        <v>0</v>
      </c>
      <c r="I422" s="88">
        <v>0</v>
      </c>
      <c r="J422" s="88">
        <f>H422</f>
        <v>0</v>
      </c>
      <c r="K422" s="88">
        <f>I422</f>
        <v>0</v>
      </c>
      <c r="L422" s="90">
        <v>0</v>
      </c>
      <c r="M422" s="91">
        <v>0</v>
      </c>
      <c r="N422" s="92">
        <f>L422</f>
        <v>0</v>
      </c>
      <c r="O422" s="92">
        <f>M422</f>
        <v>0</v>
      </c>
      <c r="P422">
        <v>0</v>
      </c>
      <c r="Q422">
        <v>0</v>
      </c>
      <c r="R422">
        <v>0</v>
      </c>
      <c r="S422">
        <v>0</v>
      </c>
    </row>
    <row r="423" spans="1:19" x14ac:dyDescent="0.2">
      <c r="A423" s="6" t="s">
        <v>85</v>
      </c>
      <c r="B423" s="90" t="s">
        <v>152</v>
      </c>
      <c r="C423" s="90">
        <v>2</v>
      </c>
      <c r="D423" s="93">
        <v>0</v>
      </c>
      <c r="E423" s="93">
        <v>0</v>
      </c>
      <c r="F423" s="88">
        <f t="shared" ref="F423:F433" si="139">F422+D423</f>
        <v>0</v>
      </c>
      <c r="G423" s="88">
        <f t="shared" ref="G423:G433" si="140">G422+E423</f>
        <v>0</v>
      </c>
      <c r="H423" s="88">
        <v>0</v>
      </c>
      <c r="I423" s="88">
        <v>0</v>
      </c>
      <c r="J423" s="88">
        <f t="shared" ref="J423:J433" si="141">J422+H423</f>
        <v>0</v>
      </c>
      <c r="K423" s="88">
        <f t="shared" ref="K423:K433" si="142">K422+I423</f>
        <v>0</v>
      </c>
      <c r="L423" s="90">
        <v>0</v>
      </c>
      <c r="M423" s="91">
        <v>0</v>
      </c>
      <c r="N423" s="92">
        <f t="shared" ref="N423:N433" si="143">N422+L423</f>
        <v>0</v>
      </c>
      <c r="O423" s="92">
        <f t="shared" ref="O423:O433" si="144">O422+M423</f>
        <v>0</v>
      </c>
      <c r="P423">
        <v>0</v>
      </c>
      <c r="Q423">
        <v>0</v>
      </c>
      <c r="R423">
        <v>0</v>
      </c>
      <c r="S423">
        <v>0</v>
      </c>
    </row>
    <row r="424" spans="1:19" x14ac:dyDescent="0.2">
      <c r="A424" s="6" t="s">
        <v>85</v>
      </c>
      <c r="B424" s="90" t="s">
        <v>153</v>
      </c>
      <c r="C424" s="90">
        <v>3</v>
      </c>
      <c r="D424" s="93">
        <v>0</v>
      </c>
      <c r="E424" s="93">
        <v>0</v>
      </c>
      <c r="F424" s="88">
        <f t="shared" si="139"/>
        <v>0</v>
      </c>
      <c r="G424" s="88">
        <f t="shared" si="140"/>
        <v>0</v>
      </c>
      <c r="H424" s="88">
        <v>0</v>
      </c>
      <c r="I424" s="88">
        <v>0</v>
      </c>
      <c r="J424" s="88">
        <f t="shared" si="141"/>
        <v>0</v>
      </c>
      <c r="K424" s="88">
        <f t="shared" si="142"/>
        <v>0</v>
      </c>
      <c r="L424" s="90">
        <v>0</v>
      </c>
      <c r="M424" s="91">
        <v>0</v>
      </c>
      <c r="N424" s="92">
        <f t="shared" si="143"/>
        <v>0</v>
      </c>
      <c r="O424" s="92">
        <f t="shared" si="144"/>
        <v>0</v>
      </c>
      <c r="P424">
        <v>0</v>
      </c>
      <c r="Q424">
        <v>0</v>
      </c>
      <c r="R424">
        <v>0</v>
      </c>
      <c r="S424">
        <v>0</v>
      </c>
    </row>
    <row r="425" spans="1:19" x14ac:dyDescent="0.2">
      <c r="A425" s="6" t="s">
        <v>85</v>
      </c>
      <c r="B425" s="90" t="s">
        <v>154</v>
      </c>
      <c r="C425" s="90">
        <v>4</v>
      </c>
      <c r="D425" s="93">
        <v>0</v>
      </c>
      <c r="E425" s="93">
        <v>0</v>
      </c>
      <c r="F425" s="88">
        <f t="shared" si="139"/>
        <v>0</v>
      </c>
      <c r="G425" s="88">
        <f t="shared" si="140"/>
        <v>0</v>
      </c>
      <c r="H425" s="88">
        <v>0</v>
      </c>
      <c r="I425" s="88">
        <v>0</v>
      </c>
      <c r="J425" s="88">
        <f t="shared" si="141"/>
        <v>0</v>
      </c>
      <c r="K425" s="88">
        <f t="shared" si="142"/>
        <v>0</v>
      </c>
      <c r="L425" s="90">
        <v>0</v>
      </c>
      <c r="M425" s="91">
        <v>0</v>
      </c>
      <c r="N425" s="92">
        <f t="shared" si="143"/>
        <v>0</v>
      </c>
      <c r="O425" s="92">
        <f t="shared" si="144"/>
        <v>0</v>
      </c>
      <c r="P425">
        <v>0</v>
      </c>
      <c r="Q425">
        <v>0</v>
      </c>
      <c r="R425">
        <v>0</v>
      </c>
      <c r="S425">
        <v>0</v>
      </c>
    </row>
    <row r="426" spans="1:19" x14ac:dyDescent="0.2">
      <c r="A426" s="6" t="s">
        <v>85</v>
      </c>
      <c r="B426" s="90" t="s">
        <v>155</v>
      </c>
      <c r="C426" s="90">
        <v>5</v>
      </c>
      <c r="D426" s="93">
        <v>0</v>
      </c>
      <c r="E426" s="93">
        <v>0</v>
      </c>
      <c r="F426" s="88">
        <f t="shared" si="139"/>
        <v>0</v>
      </c>
      <c r="G426" s="88">
        <f t="shared" si="140"/>
        <v>0</v>
      </c>
      <c r="H426" s="88">
        <v>0</v>
      </c>
      <c r="I426" s="88">
        <v>0</v>
      </c>
      <c r="J426" s="88">
        <f t="shared" si="141"/>
        <v>0</v>
      </c>
      <c r="K426" s="88">
        <f t="shared" si="142"/>
        <v>0</v>
      </c>
      <c r="L426" s="90">
        <v>0</v>
      </c>
      <c r="M426" s="91">
        <v>0</v>
      </c>
      <c r="N426" s="92">
        <f t="shared" si="143"/>
        <v>0</v>
      </c>
      <c r="O426" s="92">
        <f t="shared" si="144"/>
        <v>0</v>
      </c>
      <c r="P426">
        <v>1</v>
      </c>
      <c r="Q426">
        <v>300</v>
      </c>
      <c r="R426">
        <v>1</v>
      </c>
      <c r="S426">
        <v>300</v>
      </c>
    </row>
    <row r="427" spans="1:19" x14ac:dyDescent="0.2">
      <c r="A427" s="6" t="s">
        <v>85</v>
      </c>
      <c r="B427" s="90" t="s">
        <v>156</v>
      </c>
      <c r="C427" s="90">
        <v>6</v>
      </c>
      <c r="D427" s="93">
        <v>0</v>
      </c>
      <c r="E427" s="93">
        <v>0</v>
      </c>
      <c r="F427" s="88">
        <f t="shared" si="139"/>
        <v>0</v>
      </c>
      <c r="G427" s="88">
        <f t="shared" si="140"/>
        <v>0</v>
      </c>
      <c r="H427" s="88">
        <v>0</v>
      </c>
      <c r="I427" s="88">
        <v>0</v>
      </c>
      <c r="J427" s="88">
        <f t="shared" si="141"/>
        <v>0</v>
      </c>
      <c r="K427" s="88">
        <f t="shared" si="142"/>
        <v>0</v>
      </c>
      <c r="L427" s="90">
        <v>0</v>
      </c>
      <c r="M427" s="91">
        <v>0</v>
      </c>
      <c r="N427" s="92">
        <f t="shared" si="143"/>
        <v>0</v>
      </c>
      <c r="O427" s="92">
        <f t="shared" si="144"/>
        <v>0</v>
      </c>
      <c r="P427">
        <v>3</v>
      </c>
      <c r="Q427">
        <v>550</v>
      </c>
      <c r="R427">
        <v>4</v>
      </c>
      <c r="S427">
        <v>850</v>
      </c>
    </row>
    <row r="428" spans="1:19" x14ac:dyDescent="0.2">
      <c r="A428" s="6" t="s">
        <v>85</v>
      </c>
      <c r="B428" s="90" t="s">
        <v>157</v>
      </c>
      <c r="C428" s="90">
        <v>7</v>
      </c>
      <c r="D428" s="93">
        <v>0</v>
      </c>
      <c r="E428" s="93">
        <v>0</v>
      </c>
      <c r="F428" s="88">
        <f t="shared" si="139"/>
        <v>0</v>
      </c>
      <c r="G428" s="88">
        <f t="shared" si="140"/>
        <v>0</v>
      </c>
      <c r="H428" s="88">
        <v>0</v>
      </c>
      <c r="I428" s="88">
        <v>0</v>
      </c>
      <c r="J428" s="88">
        <f t="shared" si="141"/>
        <v>0</v>
      </c>
      <c r="K428" s="88">
        <f t="shared" si="142"/>
        <v>0</v>
      </c>
      <c r="L428" s="90">
        <v>0</v>
      </c>
      <c r="M428" s="91">
        <v>0</v>
      </c>
      <c r="N428" s="92">
        <f t="shared" si="143"/>
        <v>0</v>
      </c>
      <c r="O428" s="92">
        <f t="shared" si="144"/>
        <v>0</v>
      </c>
      <c r="P428">
        <v>10</v>
      </c>
      <c r="Q428">
        <v>3100</v>
      </c>
      <c r="R428">
        <v>14</v>
      </c>
      <c r="S428">
        <v>3950</v>
      </c>
    </row>
    <row r="429" spans="1:19" x14ac:dyDescent="0.2">
      <c r="A429" s="6" t="s">
        <v>85</v>
      </c>
      <c r="B429" s="90" t="s">
        <v>158</v>
      </c>
      <c r="C429" s="90">
        <v>8</v>
      </c>
      <c r="D429" s="93">
        <v>0</v>
      </c>
      <c r="E429" s="93">
        <v>0</v>
      </c>
      <c r="F429" s="88">
        <f t="shared" si="139"/>
        <v>0</v>
      </c>
      <c r="G429" s="88">
        <f t="shared" si="140"/>
        <v>0</v>
      </c>
      <c r="H429" s="88">
        <v>0</v>
      </c>
      <c r="I429" s="88">
        <v>0</v>
      </c>
      <c r="J429" s="88">
        <f t="shared" si="141"/>
        <v>0</v>
      </c>
      <c r="K429" s="88">
        <f t="shared" si="142"/>
        <v>0</v>
      </c>
      <c r="L429" s="90">
        <v>0</v>
      </c>
      <c r="M429" s="91">
        <v>0</v>
      </c>
      <c r="N429" s="92">
        <f t="shared" si="143"/>
        <v>0</v>
      </c>
      <c r="O429" s="92">
        <f t="shared" si="144"/>
        <v>0</v>
      </c>
      <c r="P429">
        <v>7</v>
      </c>
      <c r="Q429">
        <v>1850</v>
      </c>
      <c r="R429">
        <v>21</v>
      </c>
      <c r="S429">
        <v>5800</v>
      </c>
    </row>
    <row r="430" spans="1:19" x14ac:dyDescent="0.2">
      <c r="A430" s="6" t="s">
        <v>85</v>
      </c>
      <c r="B430" s="90" t="s">
        <v>159</v>
      </c>
      <c r="C430" s="90">
        <v>9</v>
      </c>
      <c r="D430" s="93">
        <v>0</v>
      </c>
      <c r="E430" s="93">
        <v>0</v>
      </c>
      <c r="F430" s="88">
        <f t="shared" si="139"/>
        <v>0</v>
      </c>
      <c r="G430" s="88">
        <f t="shared" si="140"/>
        <v>0</v>
      </c>
      <c r="H430" s="88">
        <v>0</v>
      </c>
      <c r="I430" s="88">
        <v>0</v>
      </c>
      <c r="J430" s="88">
        <f t="shared" si="141"/>
        <v>0</v>
      </c>
      <c r="K430" s="88">
        <f t="shared" si="142"/>
        <v>0</v>
      </c>
      <c r="L430" s="90">
        <v>3</v>
      </c>
      <c r="M430" s="91">
        <v>355</v>
      </c>
      <c r="N430" s="92">
        <f t="shared" si="143"/>
        <v>3</v>
      </c>
      <c r="O430" s="92">
        <f t="shared" si="144"/>
        <v>355</v>
      </c>
      <c r="P430">
        <v>5</v>
      </c>
      <c r="Q430">
        <v>890</v>
      </c>
      <c r="R430">
        <v>26</v>
      </c>
      <c r="S430">
        <v>6690</v>
      </c>
    </row>
    <row r="431" spans="1:19" x14ac:dyDescent="0.2">
      <c r="A431" s="6" t="s">
        <v>85</v>
      </c>
      <c r="B431" s="90" t="s">
        <v>160</v>
      </c>
      <c r="C431" s="90">
        <v>10</v>
      </c>
      <c r="D431" s="93">
        <v>0</v>
      </c>
      <c r="E431" s="93">
        <v>0</v>
      </c>
      <c r="F431" s="88">
        <f t="shared" si="139"/>
        <v>0</v>
      </c>
      <c r="G431" s="88">
        <f t="shared" si="140"/>
        <v>0</v>
      </c>
      <c r="H431" s="88">
        <v>0</v>
      </c>
      <c r="I431" s="88">
        <v>0</v>
      </c>
      <c r="J431" s="88">
        <f t="shared" si="141"/>
        <v>0</v>
      </c>
      <c r="K431" s="88">
        <f t="shared" si="142"/>
        <v>0</v>
      </c>
      <c r="L431" s="90">
        <v>1</v>
      </c>
      <c r="M431" s="91">
        <v>200</v>
      </c>
      <c r="N431" s="92">
        <f t="shared" si="143"/>
        <v>4</v>
      </c>
      <c r="O431" s="92">
        <f t="shared" si="144"/>
        <v>555</v>
      </c>
      <c r="P431">
        <v>0</v>
      </c>
      <c r="Q431">
        <v>0</v>
      </c>
      <c r="R431">
        <v>26</v>
      </c>
      <c r="S431">
        <v>6690</v>
      </c>
    </row>
    <row r="432" spans="1:19" x14ac:dyDescent="0.2">
      <c r="A432" s="6" t="s">
        <v>85</v>
      </c>
      <c r="B432" s="90" t="s">
        <v>161</v>
      </c>
      <c r="C432" s="90">
        <v>11</v>
      </c>
      <c r="D432" s="93">
        <v>0</v>
      </c>
      <c r="E432" s="93">
        <v>0</v>
      </c>
      <c r="F432" s="88">
        <f t="shared" si="139"/>
        <v>0</v>
      </c>
      <c r="G432" s="88">
        <f t="shared" si="140"/>
        <v>0</v>
      </c>
      <c r="H432" s="88">
        <v>0</v>
      </c>
      <c r="I432" s="88">
        <v>0</v>
      </c>
      <c r="J432" s="88">
        <f t="shared" si="141"/>
        <v>0</v>
      </c>
      <c r="K432" s="88">
        <f t="shared" si="142"/>
        <v>0</v>
      </c>
      <c r="L432" s="90">
        <v>7</v>
      </c>
      <c r="M432" s="91">
        <v>3240</v>
      </c>
      <c r="N432" s="92">
        <f t="shared" si="143"/>
        <v>11</v>
      </c>
      <c r="O432" s="92">
        <f t="shared" si="144"/>
        <v>3795</v>
      </c>
      <c r="P432" s="86"/>
      <c r="Q432" s="86">
        <v>0</v>
      </c>
    </row>
    <row r="433" spans="1:19" x14ac:dyDescent="0.2">
      <c r="A433" s="6" t="s">
        <v>85</v>
      </c>
      <c r="B433" s="90" t="s">
        <v>162</v>
      </c>
      <c r="C433" s="90">
        <v>12</v>
      </c>
      <c r="D433" s="93">
        <v>0</v>
      </c>
      <c r="E433" s="93">
        <v>0</v>
      </c>
      <c r="F433" s="88">
        <f t="shared" si="139"/>
        <v>0</v>
      </c>
      <c r="G433" s="88">
        <f t="shared" si="140"/>
        <v>0</v>
      </c>
      <c r="H433" s="88">
        <v>0</v>
      </c>
      <c r="I433" s="88">
        <v>0</v>
      </c>
      <c r="J433" s="88">
        <f t="shared" si="141"/>
        <v>0</v>
      </c>
      <c r="K433" s="88">
        <f t="shared" si="142"/>
        <v>0</v>
      </c>
      <c r="L433" s="90">
        <v>2</v>
      </c>
      <c r="M433" s="91">
        <v>200</v>
      </c>
      <c r="N433" s="92">
        <f t="shared" si="143"/>
        <v>13</v>
      </c>
      <c r="O433" s="92">
        <f t="shared" si="144"/>
        <v>3995</v>
      </c>
      <c r="P433" s="86"/>
      <c r="Q433" s="86">
        <v>0</v>
      </c>
    </row>
    <row r="434" spans="1:19" x14ac:dyDescent="0.2">
      <c r="A434" s="6" t="s">
        <v>121</v>
      </c>
      <c r="B434" s="90" t="s">
        <v>151</v>
      </c>
      <c r="C434" s="90">
        <v>1</v>
      </c>
      <c r="D434" s="93">
        <v>2</v>
      </c>
      <c r="E434" s="88">
        <v>10506.67</v>
      </c>
      <c r="F434" s="88">
        <f>D434</f>
        <v>2</v>
      </c>
      <c r="G434" s="88">
        <f>E434</f>
        <v>10506.67</v>
      </c>
      <c r="H434" s="89">
        <v>0</v>
      </c>
      <c r="I434" s="89">
        <v>0</v>
      </c>
      <c r="J434" s="89">
        <f>H434</f>
        <v>0</v>
      </c>
      <c r="K434" s="89">
        <f>I434</f>
        <v>0</v>
      </c>
      <c r="L434" s="90">
        <v>5</v>
      </c>
      <c r="M434" s="91">
        <v>135500</v>
      </c>
      <c r="N434" s="92">
        <f>L434</f>
        <v>5</v>
      </c>
      <c r="O434" s="92">
        <f>M434</f>
        <v>135500</v>
      </c>
      <c r="P434">
        <v>1</v>
      </c>
      <c r="Q434">
        <v>9000</v>
      </c>
      <c r="R434">
        <v>1</v>
      </c>
      <c r="S434">
        <v>9000</v>
      </c>
    </row>
    <row r="435" spans="1:19" x14ac:dyDescent="0.2">
      <c r="A435" s="6" t="s">
        <v>121</v>
      </c>
      <c r="B435" s="90" t="s">
        <v>152</v>
      </c>
      <c r="C435" s="90">
        <v>2</v>
      </c>
      <c r="D435" s="93">
        <v>13</v>
      </c>
      <c r="E435" s="88">
        <v>3685</v>
      </c>
      <c r="F435" s="88">
        <f t="shared" ref="F435:G445" si="145">F434+D435</f>
        <v>15</v>
      </c>
      <c r="G435" s="88">
        <f t="shared" si="145"/>
        <v>14191.67</v>
      </c>
      <c r="H435" s="89">
        <v>1</v>
      </c>
      <c r="I435" s="89">
        <v>3000</v>
      </c>
      <c r="J435" s="89">
        <f t="shared" ref="J435:K445" si="146">J434+H435</f>
        <v>1</v>
      </c>
      <c r="K435" s="89">
        <f t="shared" si="146"/>
        <v>3000</v>
      </c>
      <c r="L435" s="90">
        <v>0</v>
      </c>
      <c r="M435" s="91">
        <v>0</v>
      </c>
      <c r="N435" s="92">
        <f t="shared" ref="N435:N445" si="147">N434+L435</f>
        <v>5</v>
      </c>
      <c r="O435" s="92">
        <f t="shared" ref="O435:O445" si="148">O434+M435</f>
        <v>135500</v>
      </c>
      <c r="P435">
        <v>1</v>
      </c>
      <c r="Q435">
        <v>4600</v>
      </c>
      <c r="R435">
        <v>2</v>
      </c>
      <c r="S435">
        <v>13600</v>
      </c>
    </row>
    <row r="436" spans="1:19" x14ac:dyDescent="0.2">
      <c r="A436" s="6" t="s">
        <v>121</v>
      </c>
      <c r="B436" s="90" t="s">
        <v>153</v>
      </c>
      <c r="C436" s="90">
        <v>3</v>
      </c>
      <c r="D436" s="93">
        <v>0</v>
      </c>
      <c r="E436" s="93">
        <v>0</v>
      </c>
      <c r="F436" s="88">
        <f t="shared" si="145"/>
        <v>15</v>
      </c>
      <c r="G436" s="88">
        <f t="shared" si="145"/>
        <v>14191.67</v>
      </c>
      <c r="H436" s="89">
        <v>0</v>
      </c>
      <c r="I436" s="89">
        <v>0</v>
      </c>
      <c r="J436" s="89">
        <f t="shared" si="146"/>
        <v>1</v>
      </c>
      <c r="K436" s="89">
        <f t="shared" si="146"/>
        <v>3000</v>
      </c>
      <c r="L436" s="90">
        <v>0</v>
      </c>
      <c r="M436" s="91">
        <v>0</v>
      </c>
      <c r="N436" s="92">
        <f t="shared" si="147"/>
        <v>5</v>
      </c>
      <c r="O436" s="92">
        <f t="shared" si="148"/>
        <v>135500</v>
      </c>
      <c r="P436">
        <v>1</v>
      </c>
      <c r="Q436">
        <v>19880</v>
      </c>
      <c r="R436">
        <v>3</v>
      </c>
      <c r="S436">
        <v>33480</v>
      </c>
    </row>
    <row r="437" spans="1:19" x14ac:dyDescent="0.2">
      <c r="A437" s="6" t="s">
        <v>121</v>
      </c>
      <c r="B437" s="90" t="s">
        <v>154</v>
      </c>
      <c r="C437" s="90">
        <v>4</v>
      </c>
      <c r="D437" s="93">
        <v>0</v>
      </c>
      <c r="E437" s="93">
        <v>0</v>
      </c>
      <c r="F437" s="88">
        <f t="shared" si="145"/>
        <v>15</v>
      </c>
      <c r="G437" s="88">
        <f t="shared" si="145"/>
        <v>14191.67</v>
      </c>
      <c r="H437" s="89">
        <v>0</v>
      </c>
      <c r="I437" s="89">
        <v>0</v>
      </c>
      <c r="J437" s="89">
        <f t="shared" si="146"/>
        <v>1</v>
      </c>
      <c r="K437" s="89">
        <f t="shared" si="146"/>
        <v>3000</v>
      </c>
      <c r="L437" s="90">
        <v>4</v>
      </c>
      <c r="M437" s="91">
        <v>17500</v>
      </c>
      <c r="N437" s="92">
        <f t="shared" si="147"/>
        <v>9</v>
      </c>
      <c r="O437" s="92">
        <f t="shared" si="148"/>
        <v>153000</v>
      </c>
      <c r="P437">
        <v>1</v>
      </c>
      <c r="Q437">
        <v>12880</v>
      </c>
      <c r="R437">
        <v>4</v>
      </c>
      <c r="S437">
        <v>46360</v>
      </c>
    </row>
    <row r="438" spans="1:19" x14ac:dyDescent="0.2">
      <c r="A438" s="6" t="s">
        <v>121</v>
      </c>
      <c r="B438" s="90" t="s">
        <v>155</v>
      </c>
      <c r="C438" s="90">
        <v>5</v>
      </c>
      <c r="D438" s="93">
        <v>0</v>
      </c>
      <c r="E438" s="93">
        <v>0</v>
      </c>
      <c r="F438" s="88">
        <f t="shared" si="145"/>
        <v>15</v>
      </c>
      <c r="G438" s="88">
        <f t="shared" si="145"/>
        <v>14191.67</v>
      </c>
      <c r="H438" s="89">
        <v>1</v>
      </c>
      <c r="I438" s="89">
        <v>400</v>
      </c>
      <c r="J438" s="89">
        <f t="shared" si="146"/>
        <v>2</v>
      </c>
      <c r="K438" s="89">
        <f t="shared" si="146"/>
        <v>3400</v>
      </c>
      <c r="L438" s="90">
        <v>0</v>
      </c>
      <c r="M438" s="91">
        <v>0</v>
      </c>
      <c r="N438" s="92">
        <f t="shared" si="147"/>
        <v>9</v>
      </c>
      <c r="O438" s="92">
        <f t="shared" si="148"/>
        <v>153000</v>
      </c>
      <c r="P438">
        <v>0</v>
      </c>
      <c r="Q438">
        <v>0</v>
      </c>
      <c r="R438">
        <v>4</v>
      </c>
      <c r="S438">
        <v>46360</v>
      </c>
    </row>
    <row r="439" spans="1:19" x14ac:dyDescent="0.2">
      <c r="A439" s="6" t="s">
        <v>121</v>
      </c>
      <c r="B439" s="90" t="s">
        <v>156</v>
      </c>
      <c r="C439" s="90">
        <v>6</v>
      </c>
      <c r="D439" s="93">
        <v>1</v>
      </c>
      <c r="E439" s="93">
        <v>1200</v>
      </c>
      <c r="F439" s="88">
        <f t="shared" si="145"/>
        <v>16</v>
      </c>
      <c r="G439" s="88">
        <f t="shared" si="145"/>
        <v>15391.67</v>
      </c>
      <c r="H439" s="89">
        <v>0</v>
      </c>
      <c r="I439" s="89">
        <v>0</v>
      </c>
      <c r="J439" s="89">
        <f t="shared" si="146"/>
        <v>2</v>
      </c>
      <c r="K439" s="89">
        <f t="shared" si="146"/>
        <v>3400</v>
      </c>
      <c r="L439" s="90">
        <v>1</v>
      </c>
      <c r="M439" s="91">
        <v>1100</v>
      </c>
      <c r="N439" s="92">
        <f t="shared" si="147"/>
        <v>10</v>
      </c>
      <c r="O439" s="92">
        <f t="shared" si="148"/>
        <v>154100</v>
      </c>
      <c r="P439">
        <v>1</v>
      </c>
      <c r="Q439">
        <v>296.39999999999998</v>
      </c>
      <c r="R439">
        <v>5</v>
      </c>
      <c r="S439">
        <v>46656.4</v>
      </c>
    </row>
    <row r="440" spans="1:19" x14ac:dyDescent="0.2">
      <c r="A440" s="6" t="s">
        <v>121</v>
      </c>
      <c r="B440" s="90" t="s">
        <v>157</v>
      </c>
      <c r="C440" s="90">
        <v>7</v>
      </c>
      <c r="D440" s="93">
        <v>0</v>
      </c>
      <c r="E440" s="93">
        <v>0</v>
      </c>
      <c r="F440" s="88">
        <f t="shared" si="145"/>
        <v>16</v>
      </c>
      <c r="G440" s="88">
        <f t="shared" si="145"/>
        <v>15391.67</v>
      </c>
      <c r="H440" s="89">
        <v>1</v>
      </c>
      <c r="I440" s="89">
        <v>5600</v>
      </c>
      <c r="J440" s="89">
        <f t="shared" si="146"/>
        <v>3</v>
      </c>
      <c r="K440" s="89">
        <f t="shared" si="146"/>
        <v>9000</v>
      </c>
      <c r="L440" s="90">
        <v>0</v>
      </c>
      <c r="M440" s="91">
        <v>0</v>
      </c>
      <c r="N440" s="92">
        <f t="shared" si="147"/>
        <v>10</v>
      </c>
      <c r="O440" s="92">
        <f t="shared" si="148"/>
        <v>154100</v>
      </c>
      <c r="P440">
        <v>1</v>
      </c>
      <c r="Q440">
        <v>34618.230000000003</v>
      </c>
      <c r="R440">
        <v>6</v>
      </c>
      <c r="S440">
        <v>81274.63</v>
      </c>
    </row>
    <row r="441" spans="1:19" x14ac:dyDescent="0.2">
      <c r="A441" s="6" t="s">
        <v>121</v>
      </c>
      <c r="B441" s="90" t="s">
        <v>158</v>
      </c>
      <c r="C441" s="90">
        <v>8</v>
      </c>
      <c r="D441" s="93">
        <v>0</v>
      </c>
      <c r="E441" s="93">
        <v>0</v>
      </c>
      <c r="F441" s="88">
        <f t="shared" si="145"/>
        <v>16</v>
      </c>
      <c r="G441" s="88">
        <f t="shared" si="145"/>
        <v>15391.67</v>
      </c>
      <c r="H441" s="89">
        <v>0</v>
      </c>
      <c r="I441" s="89">
        <v>0</v>
      </c>
      <c r="J441" s="89">
        <f t="shared" si="146"/>
        <v>3</v>
      </c>
      <c r="K441" s="89">
        <f t="shared" si="146"/>
        <v>9000</v>
      </c>
      <c r="L441" s="90">
        <v>1</v>
      </c>
      <c r="M441" s="91">
        <v>2800</v>
      </c>
      <c r="N441" s="92">
        <f t="shared" si="147"/>
        <v>11</v>
      </c>
      <c r="O441" s="92">
        <f t="shared" si="148"/>
        <v>156900</v>
      </c>
      <c r="P441">
        <v>2</v>
      </c>
      <c r="Q441">
        <v>1035.5999999999999</v>
      </c>
      <c r="R441">
        <v>8</v>
      </c>
      <c r="S441">
        <v>82310.23</v>
      </c>
    </row>
    <row r="442" spans="1:19" x14ac:dyDescent="0.2">
      <c r="A442" s="6" t="s">
        <v>121</v>
      </c>
      <c r="B442" s="90" t="s">
        <v>159</v>
      </c>
      <c r="C442" s="90">
        <v>9</v>
      </c>
      <c r="D442" s="93">
        <v>0</v>
      </c>
      <c r="E442" s="93">
        <v>0</v>
      </c>
      <c r="F442" s="88">
        <f t="shared" si="145"/>
        <v>16</v>
      </c>
      <c r="G442" s="88">
        <f t="shared" si="145"/>
        <v>15391.67</v>
      </c>
      <c r="H442" s="89">
        <v>0</v>
      </c>
      <c r="I442" s="89">
        <v>0</v>
      </c>
      <c r="J442" s="89">
        <f t="shared" si="146"/>
        <v>3</v>
      </c>
      <c r="K442" s="89">
        <f t="shared" si="146"/>
        <v>9000</v>
      </c>
      <c r="L442" s="90">
        <v>0</v>
      </c>
      <c r="M442" s="91">
        <v>0</v>
      </c>
      <c r="N442" s="92">
        <f t="shared" si="147"/>
        <v>11</v>
      </c>
      <c r="O442" s="92">
        <f t="shared" si="148"/>
        <v>156900</v>
      </c>
      <c r="P442">
        <v>1</v>
      </c>
      <c r="Q442">
        <v>296.39999999999998</v>
      </c>
      <c r="R442">
        <v>9</v>
      </c>
      <c r="S442">
        <v>82606.63</v>
      </c>
    </row>
    <row r="443" spans="1:19" x14ac:dyDescent="0.2">
      <c r="A443" s="6" t="s">
        <v>121</v>
      </c>
      <c r="B443" s="90" t="s">
        <v>160</v>
      </c>
      <c r="C443" s="90">
        <v>10</v>
      </c>
      <c r="D443" s="93">
        <v>0</v>
      </c>
      <c r="E443" s="93">
        <v>0</v>
      </c>
      <c r="F443" s="88">
        <f t="shared" si="145"/>
        <v>16</v>
      </c>
      <c r="G443" s="88">
        <f t="shared" si="145"/>
        <v>15391.67</v>
      </c>
      <c r="H443" s="89">
        <v>1</v>
      </c>
      <c r="I443" s="89">
        <v>2750</v>
      </c>
      <c r="J443" s="89">
        <f t="shared" si="146"/>
        <v>4</v>
      </c>
      <c r="K443" s="89">
        <f t="shared" si="146"/>
        <v>11750</v>
      </c>
      <c r="L443" s="90">
        <v>0</v>
      </c>
      <c r="M443" s="91">
        <v>0</v>
      </c>
      <c r="N443" s="92">
        <f t="shared" si="147"/>
        <v>11</v>
      </c>
      <c r="O443" s="92">
        <f t="shared" si="148"/>
        <v>156900</v>
      </c>
      <c r="P443">
        <v>0</v>
      </c>
      <c r="Q443">
        <v>0</v>
      </c>
      <c r="R443">
        <v>9</v>
      </c>
      <c r="S443">
        <v>82606.63</v>
      </c>
    </row>
    <row r="444" spans="1:19" x14ac:dyDescent="0.2">
      <c r="A444" s="6" t="s">
        <v>121</v>
      </c>
      <c r="B444" s="90" t="s">
        <v>161</v>
      </c>
      <c r="C444" s="90">
        <v>11</v>
      </c>
      <c r="D444" s="93">
        <v>3</v>
      </c>
      <c r="E444" s="88">
        <v>4800</v>
      </c>
      <c r="F444" s="88">
        <f t="shared" si="145"/>
        <v>19</v>
      </c>
      <c r="G444" s="88">
        <f t="shared" si="145"/>
        <v>20191.669999999998</v>
      </c>
      <c r="H444" s="89">
        <v>0</v>
      </c>
      <c r="I444" s="89">
        <v>0</v>
      </c>
      <c r="J444" s="89">
        <f t="shared" si="146"/>
        <v>4</v>
      </c>
      <c r="K444" s="89">
        <f t="shared" si="146"/>
        <v>11750</v>
      </c>
      <c r="L444" s="90">
        <v>0</v>
      </c>
      <c r="M444" s="91">
        <v>0</v>
      </c>
      <c r="N444" s="92">
        <f t="shared" si="147"/>
        <v>11</v>
      </c>
      <c r="O444" s="92">
        <f t="shared" si="148"/>
        <v>156900</v>
      </c>
      <c r="P444" s="86"/>
      <c r="Q444" s="86">
        <v>0</v>
      </c>
    </row>
    <row r="445" spans="1:19" x14ac:dyDescent="0.2">
      <c r="A445" s="6" t="s">
        <v>121</v>
      </c>
      <c r="B445" s="90" t="s">
        <v>162</v>
      </c>
      <c r="C445" s="90">
        <v>12</v>
      </c>
      <c r="D445" s="93">
        <v>3</v>
      </c>
      <c r="E445" s="88">
        <v>7900</v>
      </c>
      <c r="F445" s="88">
        <f t="shared" si="145"/>
        <v>22</v>
      </c>
      <c r="G445" s="88">
        <f t="shared" si="145"/>
        <v>28091.67</v>
      </c>
      <c r="H445" s="89">
        <v>3</v>
      </c>
      <c r="I445" s="89">
        <v>5665</v>
      </c>
      <c r="J445" s="89">
        <f t="shared" si="146"/>
        <v>7</v>
      </c>
      <c r="K445" s="89">
        <f t="shared" si="146"/>
        <v>17415</v>
      </c>
      <c r="L445" s="90">
        <v>2</v>
      </c>
      <c r="M445" s="91">
        <v>4149.95</v>
      </c>
      <c r="N445" s="92">
        <f t="shared" si="147"/>
        <v>13</v>
      </c>
      <c r="O445" s="92">
        <f t="shared" si="148"/>
        <v>161049.95000000001</v>
      </c>
      <c r="P445" s="86"/>
      <c r="Q445" s="86">
        <v>0</v>
      </c>
    </row>
    <row r="446" spans="1:19" x14ac:dyDescent="0.2">
      <c r="A446" t="s">
        <v>314</v>
      </c>
      <c r="B446" s="90"/>
      <c r="C446" s="90"/>
      <c r="D446" s="93"/>
      <c r="E446" s="88"/>
      <c r="F446" s="88"/>
      <c r="G446" s="88"/>
      <c r="H446" s="89"/>
      <c r="I446" s="89"/>
      <c r="J446" s="89"/>
      <c r="K446" s="89"/>
      <c r="L446" s="90"/>
      <c r="M446" s="91"/>
      <c r="N446" s="92"/>
      <c r="O446" s="92"/>
      <c r="P446">
        <v>0</v>
      </c>
      <c r="Q446">
        <v>0</v>
      </c>
      <c r="R446">
        <v>0</v>
      </c>
      <c r="S446">
        <v>0</v>
      </c>
    </row>
    <row r="447" spans="1:19" x14ac:dyDescent="0.2">
      <c r="A447" t="s">
        <v>314</v>
      </c>
      <c r="B447" s="90"/>
      <c r="C447" s="90"/>
      <c r="D447" s="93"/>
      <c r="E447" s="88"/>
      <c r="F447" s="88"/>
      <c r="G447" s="88"/>
      <c r="H447" s="89"/>
      <c r="I447" s="89"/>
      <c r="J447" s="89"/>
      <c r="K447" s="89"/>
      <c r="L447" s="90"/>
      <c r="M447" s="91"/>
      <c r="N447" s="92"/>
      <c r="O447" s="92"/>
      <c r="P447">
        <v>0</v>
      </c>
      <c r="Q447">
        <v>0</v>
      </c>
      <c r="R447">
        <v>0</v>
      </c>
      <c r="S447">
        <v>0</v>
      </c>
    </row>
    <row r="448" spans="1:19" x14ac:dyDescent="0.2">
      <c r="A448" t="s">
        <v>314</v>
      </c>
      <c r="B448" s="90"/>
      <c r="C448" s="90"/>
      <c r="D448" s="93"/>
      <c r="E448" s="88"/>
      <c r="F448" s="88"/>
      <c r="G448" s="88"/>
      <c r="H448" s="89"/>
      <c r="I448" s="89"/>
      <c r="J448" s="89"/>
      <c r="K448" s="89"/>
      <c r="L448" s="90"/>
      <c r="M448" s="91"/>
      <c r="N448" s="92"/>
      <c r="O448" s="92"/>
      <c r="P448">
        <v>0</v>
      </c>
      <c r="Q448">
        <v>0</v>
      </c>
      <c r="R448">
        <v>0</v>
      </c>
      <c r="S448">
        <v>0</v>
      </c>
    </row>
    <row r="449" spans="1:19" x14ac:dyDescent="0.2">
      <c r="A449" t="s">
        <v>314</v>
      </c>
      <c r="B449" s="90"/>
      <c r="C449" s="90"/>
      <c r="D449" s="93"/>
      <c r="E449" s="88"/>
      <c r="F449" s="88"/>
      <c r="G449" s="88"/>
      <c r="H449" s="89"/>
      <c r="I449" s="89"/>
      <c r="J449" s="89"/>
      <c r="K449" s="89"/>
      <c r="L449" s="90"/>
      <c r="M449" s="91"/>
      <c r="N449" s="92"/>
      <c r="O449" s="92"/>
      <c r="P449">
        <v>0</v>
      </c>
      <c r="Q449">
        <v>0</v>
      </c>
      <c r="R449">
        <v>0</v>
      </c>
      <c r="S449">
        <v>0</v>
      </c>
    </row>
    <row r="450" spans="1:19" x14ac:dyDescent="0.2">
      <c r="A450" t="s">
        <v>314</v>
      </c>
      <c r="B450" s="90"/>
      <c r="C450" s="90"/>
      <c r="D450" s="93"/>
      <c r="E450" s="88"/>
      <c r="F450" s="88"/>
      <c r="G450" s="88"/>
      <c r="H450" s="89"/>
      <c r="I450" s="89"/>
      <c r="J450" s="89"/>
      <c r="K450" s="89"/>
      <c r="L450" s="90"/>
      <c r="M450" s="91"/>
      <c r="N450" s="92"/>
      <c r="O450" s="92"/>
      <c r="P450">
        <v>0</v>
      </c>
      <c r="Q450">
        <v>0</v>
      </c>
      <c r="R450">
        <v>0</v>
      </c>
      <c r="S450">
        <v>0</v>
      </c>
    </row>
    <row r="451" spans="1:19" x14ac:dyDescent="0.2">
      <c r="A451" t="s">
        <v>314</v>
      </c>
      <c r="B451" s="90"/>
      <c r="C451" s="90"/>
      <c r="D451" s="93"/>
      <c r="E451" s="88"/>
      <c r="F451" s="88"/>
      <c r="G451" s="88"/>
      <c r="H451" s="89"/>
      <c r="I451" s="89"/>
      <c r="J451" s="89"/>
      <c r="K451" s="89"/>
      <c r="L451" s="90"/>
      <c r="M451" s="91"/>
      <c r="N451" s="92"/>
      <c r="O451" s="92"/>
      <c r="P451">
        <v>0</v>
      </c>
      <c r="Q451">
        <v>0</v>
      </c>
      <c r="R451">
        <v>0</v>
      </c>
      <c r="S451">
        <v>0</v>
      </c>
    </row>
    <row r="452" spans="1:19" x14ac:dyDescent="0.2">
      <c r="A452" t="s">
        <v>314</v>
      </c>
      <c r="B452" s="90"/>
      <c r="C452" s="90"/>
      <c r="D452" s="93"/>
      <c r="E452" s="88"/>
      <c r="F452" s="88"/>
      <c r="G452" s="88"/>
      <c r="H452" s="89"/>
      <c r="I452" s="89"/>
      <c r="J452" s="89"/>
      <c r="K452" s="89"/>
      <c r="L452" s="90"/>
      <c r="M452" s="91"/>
      <c r="N452" s="92"/>
      <c r="O452" s="92"/>
      <c r="P452">
        <v>0</v>
      </c>
      <c r="Q452">
        <v>0</v>
      </c>
      <c r="R452">
        <v>0</v>
      </c>
      <c r="S452">
        <v>0</v>
      </c>
    </row>
    <row r="453" spans="1:19" x14ac:dyDescent="0.2">
      <c r="A453" t="s">
        <v>314</v>
      </c>
      <c r="B453" s="90"/>
      <c r="C453" s="90"/>
      <c r="D453" s="93"/>
      <c r="E453" s="88"/>
      <c r="F453" s="88"/>
      <c r="G453" s="88"/>
      <c r="H453" s="89"/>
      <c r="I453" s="89"/>
      <c r="J453" s="89"/>
      <c r="K453" s="89"/>
      <c r="L453" s="90"/>
      <c r="M453" s="91"/>
      <c r="N453" s="92"/>
      <c r="O453" s="92"/>
      <c r="P453">
        <v>0</v>
      </c>
      <c r="Q453">
        <v>0</v>
      </c>
      <c r="R453">
        <v>0</v>
      </c>
      <c r="S453">
        <v>0</v>
      </c>
    </row>
    <row r="454" spans="1:19" x14ac:dyDescent="0.2">
      <c r="A454" t="s">
        <v>314</v>
      </c>
      <c r="B454" s="90"/>
      <c r="C454" s="90"/>
      <c r="D454" s="93"/>
      <c r="E454" s="88"/>
      <c r="F454" s="88"/>
      <c r="G454" s="88"/>
      <c r="H454" s="89"/>
      <c r="I454" s="89"/>
      <c r="J454" s="89"/>
      <c r="K454" s="89"/>
      <c r="L454" s="90"/>
      <c r="M454" s="91"/>
      <c r="N454" s="92"/>
      <c r="O454" s="92"/>
      <c r="P454">
        <v>0</v>
      </c>
      <c r="Q454">
        <v>0</v>
      </c>
      <c r="R454">
        <v>0</v>
      </c>
      <c r="S454">
        <v>0</v>
      </c>
    </row>
    <row r="455" spans="1:19" x14ac:dyDescent="0.2">
      <c r="A455" t="s">
        <v>314</v>
      </c>
      <c r="B455" s="90"/>
      <c r="C455" s="90"/>
      <c r="D455" s="93"/>
      <c r="E455" s="88"/>
      <c r="F455" s="88"/>
      <c r="G455" s="88"/>
      <c r="H455" s="89"/>
      <c r="I455" s="89"/>
      <c r="J455" s="89"/>
      <c r="K455" s="89"/>
      <c r="L455" s="90"/>
      <c r="M455" s="91"/>
      <c r="N455" s="92"/>
      <c r="O455" s="92"/>
      <c r="P455">
        <v>0</v>
      </c>
      <c r="Q455">
        <v>0</v>
      </c>
      <c r="R455">
        <v>0</v>
      </c>
      <c r="S455">
        <v>0</v>
      </c>
    </row>
    <row r="456" spans="1:19" x14ac:dyDescent="0.2">
      <c r="A456" t="s">
        <v>314</v>
      </c>
      <c r="B456" s="90"/>
      <c r="C456" s="90"/>
      <c r="D456" s="93"/>
      <c r="E456" s="88"/>
      <c r="F456" s="88"/>
      <c r="G456" s="88"/>
      <c r="H456" s="89"/>
      <c r="I456" s="89"/>
      <c r="J456" s="89"/>
      <c r="K456" s="89"/>
      <c r="L456" s="90"/>
      <c r="M456" s="91"/>
      <c r="N456" s="92"/>
      <c r="O456" s="92"/>
      <c r="P456" s="86"/>
      <c r="Q456" s="86"/>
    </row>
    <row r="457" spans="1:19" x14ac:dyDescent="0.2">
      <c r="A457" t="s">
        <v>314</v>
      </c>
      <c r="B457" s="90"/>
      <c r="C457" s="90"/>
      <c r="D457" s="93"/>
      <c r="E457" s="88"/>
      <c r="F457" s="88"/>
      <c r="G457" s="88"/>
      <c r="H457" s="89"/>
      <c r="I457" s="89"/>
      <c r="J457" s="89"/>
      <c r="K457" s="89"/>
      <c r="L457" s="90"/>
      <c r="M457" s="91"/>
      <c r="N457" s="92"/>
      <c r="O457" s="92"/>
      <c r="P457" s="86"/>
      <c r="Q457" s="86"/>
    </row>
    <row r="458" spans="1:19" x14ac:dyDescent="0.2">
      <c r="A458" t="s">
        <v>315</v>
      </c>
      <c r="B458" s="90"/>
      <c r="C458" s="90"/>
      <c r="D458" s="93"/>
      <c r="E458" s="88"/>
      <c r="F458" s="88"/>
      <c r="G458" s="88"/>
      <c r="H458" s="89"/>
      <c r="I458" s="89"/>
      <c r="J458" s="89"/>
      <c r="K458" s="89"/>
      <c r="L458" s="90"/>
      <c r="M458" s="91"/>
      <c r="N458" s="92"/>
      <c r="O458" s="92"/>
      <c r="P458">
        <v>0</v>
      </c>
      <c r="Q458">
        <v>0</v>
      </c>
      <c r="R458">
        <v>0</v>
      </c>
      <c r="S458">
        <v>0</v>
      </c>
    </row>
    <row r="459" spans="1:19" x14ac:dyDescent="0.2">
      <c r="A459" t="s">
        <v>315</v>
      </c>
      <c r="B459" s="90"/>
      <c r="C459" s="90"/>
      <c r="D459" s="93"/>
      <c r="E459" s="88"/>
      <c r="F459" s="88"/>
      <c r="G459" s="88"/>
      <c r="H459" s="89"/>
      <c r="I459" s="89"/>
      <c r="J459" s="89"/>
      <c r="K459" s="89"/>
      <c r="L459" s="90"/>
      <c r="M459" s="91"/>
      <c r="N459" s="92"/>
      <c r="O459" s="92"/>
      <c r="P459">
        <v>0</v>
      </c>
      <c r="Q459">
        <v>0</v>
      </c>
      <c r="R459">
        <v>0</v>
      </c>
      <c r="S459">
        <v>0</v>
      </c>
    </row>
    <row r="460" spans="1:19" x14ac:dyDescent="0.2">
      <c r="A460" t="s">
        <v>315</v>
      </c>
      <c r="B460" s="90"/>
      <c r="C460" s="90"/>
      <c r="D460" s="93"/>
      <c r="E460" s="88"/>
      <c r="F460" s="88"/>
      <c r="G460" s="88"/>
      <c r="H460" s="89"/>
      <c r="I460" s="89"/>
      <c r="J460" s="89"/>
      <c r="K460" s="89"/>
      <c r="L460" s="90"/>
      <c r="M460" s="91"/>
      <c r="N460" s="92"/>
      <c r="O460" s="92"/>
      <c r="P460">
        <v>0</v>
      </c>
      <c r="Q460">
        <v>0</v>
      </c>
      <c r="R460">
        <v>0</v>
      </c>
      <c r="S460">
        <v>0</v>
      </c>
    </row>
    <row r="461" spans="1:19" x14ac:dyDescent="0.2">
      <c r="A461" t="s">
        <v>315</v>
      </c>
      <c r="B461" s="90"/>
      <c r="C461" s="90"/>
      <c r="D461" s="93"/>
      <c r="E461" s="88"/>
      <c r="F461" s="88"/>
      <c r="G461" s="88"/>
      <c r="H461" s="89"/>
      <c r="I461" s="89"/>
      <c r="J461" s="89"/>
      <c r="K461" s="89"/>
      <c r="L461" s="90"/>
      <c r="M461" s="91"/>
      <c r="N461" s="92"/>
      <c r="O461" s="92"/>
      <c r="P461">
        <v>0</v>
      </c>
      <c r="Q461">
        <v>0</v>
      </c>
      <c r="R461">
        <v>0</v>
      </c>
      <c r="S461">
        <v>0</v>
      </c>
    </row>
    <row r="462" spans="1:19" x14ac:dyDescent="0.2">
      <c r="A462" t="s">
        <v>315</v>
      </c>
      <c r="B462" s="90"/>
      <c r="C462" s="90"/>
      <c r="D462" s="93"/>
      <c r="E462" s="88"/>
      <c r="F462" s="88"/>
      <c r="G462" s="88"/>
      <c r="H462" s="89"/>
      <c r="I462" s="89"/>
      <c r="J462" s="89"/>
      <c r="K462" s="89"/>
      <c r="L462" s="90"/>
      <c r="M462" s="91"/>
      <c r="N462" s="92"/>
      <c r="O462" s="92"/>
      <c r="P462">
        <v>0</v>
      </c>
      <c r="Q462">
        <v>0</v>
      </c>
      <c r="R462">
        <v>0</v>
      </c>
      <c r="S462">
        <v>0</v>
      </c>
    </row>
    <row r="463" spans="1:19" x14ac:dyDescent="0.2">
      <c r="A463" t="s">
        <v>315</v>
      </c>
      <c r="B463" s="90"/>
      <c r="C463" s="90"/>
      <c r="D463" s="93"/>
      <c r="E463" s="88"/>
      <c r="F463" s="88"/>
      <c r="G463" s="88"/>
      <c r="H463" s="89"/>
      <c r="I463" s="89"/>
      <c r="J463" s="89"/>
      <c r="K463" s="89"/>
      <c r="L463" s="90"/>
      <c r="M463" s="91"/>
      <c r="N463" s="92"/>
      <c r="O463" s="92"/>
      <c r="P463">
        <v>0</v>
      </c>
      <c r="Q463">
        <v>0</v>
      </c>
      <c r="R463">
        <v>0</v>
      </c>
      <c r="S463">
        <v>0</v>
      </c>
    </row>
    <row r="464" spans="1:19" x14ac:dyDescent="0.2">
      <c r="A464" t="s">
        <v>315</v>
      </c>
      <c r="B464" s="90"/>
      <c r="C464" s="90"/>
      <c r="D464" s="93"/>
      <c r="E464" s="88"/>
      <c r="F464" s="88"/>
      <c r="G464" s="88"/>
      <c r="H464" s="89"/>
      <c r="I464" s="89"/>
      <c r="J464" s="89"/>
      <c r="K464" s="89"/>
      <c r="L464" s="90"/>
      <c r="M464" s="91"/>
      <c r="N464" s="92"/>
      <c r="O464" s="92"/>
      <c r="P464">
        <v>0</v>
      </c>
      <c r="Q464">
        <v>0</v>
      </c>
      <c r="R464">
        <v>1</v>
      </c>
      <c r="S464">
        <v>684.31</v>
      </c>
    </row>
    <row r="465" spans="1:19" x14ac:dyDescent="0.2">
      <c r="A465" t="s">
        <v>315</v>
      </c>
      <c r="B465" s="90"/>
      <c r="C465" s="90"/>
      <c r="D465" s="93"/>
      <c r="E465" s="88"/>
      <c r="F465" s="88"/>
      <c r="G465" s="88"/>
      <c r="H465" s="89"/>
      <c r="I465" s="89"/>
      <c r="J465" s="89"/>
      <c r="K465" s="89"/>
      <c r="L465" s="90"/>
      <c r="M465" s="91"/>
      <c r="N465" s="92"/>
      <c r="O465" s="92"/>
      <c r="P465">
        <v>0</v>
      </c>
      <c r="Q465">
        <v>0</v>
      </c>
      <c r="R465">
        <v>1</v>
      </c>
      <c r="S465">
        <v>684.31</v>
      </c>
    </row>
    <row r="466" spans="1:19" x14ac:dyDescent="0.2">
      <c r="A466" t="s">
        <v>315</v>
      </c>
      <c r="B466" s="90"/>
      <c r="C466" s="90"/>
      <c r="D466" s="93"/>
      <c r="E466" s="88"/>
      <c r="F466" s="88"/>
      <c r="G466" s="88"/>
      <c r="H466" s="89"/>
      <c r="I466" s="89"/>
      <c r="J466" s="89"/>
      <c r="K466" s="89"/>
      <c r="L466" s="90"/>
      <c r="M466" s="91"/>
      <c r="N466" s="92"/>
      <c r="O466" s="92"/>
      <c r="P466">
        <v>1</v>
      </c>
      <c r="Q466">
        <v>559.17999999999995</v>
      </c>
      <c r="R466">
        <v>2</v>
      </c>
      <c r="S466">
        <v>1243.49</v>
      </c>
    </row>
    <row r="467" spans="1:19" x14ac:dyDescent="0.2">
      <c r="A467" t="s">
        <v>315</v>
      </c>
      <c r="B467" s="90"/>
      <c r="C467" s="90"/>
      <c r="D467" s="93"/>
      <c r="E467" s="88"/>
      <c r="F467" s="88"/>
      <c r="G467" s="88"/>
      <c r="H467" s="89"/>
      <c r="I467" s="89"/>
      <c r="J467" s="89"/>
      <c r="K467" s="89"/>
      <c r="L467" s="90"/>
      <c r="M467" s="91"/>
      <c r="N467" s="92"/>
      <c r="O467" s="92"/>
      <c r="P467">
        <v>0</v>
      </c>
      <c r="Q467">
        <v>0</v>
      </c>
      <c r="R467">
        <v>2</v>
      </c>
      <c r="S467">
        <v>1243.49</v>
      </c>
    </row>
    <row r="468" spans="1:19" x14ac:dyDescent="0.2">
      <c r="A468" t="s">
        <v>315</v>
      </c>
      <c r="B468" s="90"/>
      <c r="C468" s="90"/>
      <c r="D468" s="93"/>
      <c r="E468" s="88"/>
      <c r="F468" s="88"/>
      <c r="G468" s="88"/>
      <c r="H468" s="89"/>
      <c r="I468" s="89"/>
      <c r="J468" s="89"/>
      <c r="K468" s="89"/>
      <c r="L468" s="90"/>
      <c r="M468" s="91"/>
      <c r="N468" s="92"/>
      <c r="O468" s="92"/>
      <c r="P468" s="86"/>
      <c r="Q468" s="86"/>
    </row>
    <row r="469" spans="1:19" x14ac:dyDescent="0.2">
      <c r="A469" t="s">
        <v>315</v>
      </c>
      <c r="B469" s="90"/>
      <c r="C469" s="90"/>
      <c r="D469" s="93"/>
      <c r="E469" s="88"/>
      <c r="F469" s="88"/>
      <c r="G469" s="88"/>
      <c r="H469" s="89"/>
      <c r="I469" s="89"/>
      <c r="J469" s="89"/>
      <c r="K469" s="89"/>
      <c r="L469" s="90"/>
      <c r="M469" s="91"/>
      <c r="N469" s="92"/>
      <c r="O469" s="92"/>
      <c r="P469" s="86"/>
      <c r="Q469" s="86"/>
    </row>
    <row r="470" spans="1:19" x14ac:dyDescent="0.2">
      <c r="A470" s="6" t="s">
        <v>116</v>
      </c>
      <c r="B470" s="90" t="s">
        <v>151</v>
      </c>
      <c r="C470" s="90">
        <v>1</v>
      </c>
      <c r="D470" s="93">
        <v>0</v>
      </c>
      <c r="E470" s="93">
        <v>0</v>
      </c>
      <c r="F470" s="88">
        <f>D470</f>
        <v>0</v>
      </c>
      <c r="G470" s="88">
        <f>E470</f>
        <v>0</v>
      </c>
      <c r="H470" s="89">
        <v>0</v>
      </c>
      <c r="I470" s="89">
        <v>0</v>
      </c>
      <c r="J470" s="89">
        <f>H470</f>
        <v>0</v>
      </c>
      <c r="K470" s="89">
        <f>I470</f>
        <v>0</v>
      </c>
      <c r="L470" s="90">
        <v>0</v>
      </c>
      <c r="M470" s="91">
        <v>0</v>
      </c>
      <c r="N470" s="92">
        <f>L470</f>
        <v>0</v>
      </c>
      <c r="O470" s="92">
        <f>M470</f>
        <v>0</v>
      </c>
      <c r="P470">
        <v>1</v>
      </c>
      <c r="Q470">
        <v>10</v>
      </c>
      <c r="R470">
        <v>1</v>
      </c>
      <c r="S470">
        <v>10</v>
      </c>
    </row>
    <row r="471" spans="1:19" x14ac:dyDescent="0.2">
      <c r="A471" s="6" t="s">
        <v>116</v>
      </c>
      <c r="B471" s="90" t="s">
        <v>152</v>
      </c>
      <c r="C471" s="90">
        <v>2</v>
      </c>
      <c r="D471" s="93">
        <v>0</v>
      </c>
      <c r="E471" s="93">
        <v>0</v>
      </c>
      <c r="F471" s="88">
        <f t="shared" ref="F471:G481" si="149">F470+D471</f>
        <v>0</v>
      </c>
      <c r="G471" s="88">
        <f t="shared" si="149"/>
        <v>0</v>
      </c>
      <c r="H471" s="89">
        <v>0</v>
      </c>
      <c r="I471" s="89">
        <v>0</v>
      </c>
      <c r="J471" s="89">
        <f t="shared" ref="J471:K481" si="150">J470+H471</f>
        <v>0</v>
      </c>
      <c r="K471" s="89">
        <f t="shared" si="150"/>
        <v>0</v>
      </c>
      <c r="L471" s="90">
        <v>0</v>
      </c>
      <c r="M471" s="91">
        <v>0</v>
      </c>
      <c r="N471" s="92">
        <f t="shared" ref="N471:N481" si="151">N470+L471</f>
        <v>0</v>
      </c>
      <c r="O471" s="92">
        <f t="shared" ref="O471:O481" si="152">O470+M471</f>
        <v>0</v>
      </c>
      <c r="P471">
        <v>0</v>
      </c>
      <c r="Q471">
        <v>0</v>
      </c>
      <c r="R471">
        <v>1</v>
      </c>
      <c r="S471">
        <v>10</v>
      </c>
    </row>
    <row r="472" spans="1:19" x14ac:dyDescent="0.2">
      <c r="A472" s="6" t="s">
        <v>116</v>
      </c>
      <c r="B472" s="90" t="s">
        <v>153</v>
      </c>
      <c r="C472" s="90">
        <v>3</v>
      </c>
      <c r="D472" s="93">
        <v>0</v>
      </c>
      <c r="E472" s="93">
        <v>0</v>
      </c>
      <c r="F472" s="88">
        <f t="shared" si="149"/>
        <v>0</v>
      </c>
      <c r="G472" s="88">
        <f t="shared" si="149"/>
        <v>0</v>
      </c>
      <c r="H472" s="89">
        <v>0</v>
      </c>
      <c r="I472" s="89">
        <v>0</v>
      </c>
      <c r="J472" s="89">
        <f t="shared" si="150"/>
        <v>0</v>
      </c>
      <c r="K472" s="89">
        <f t="shared" si="150"/>
        <v>0</v>
      </c>
      <c r="L472" s="90">
        <v>0</v>
      </c>
      <c r="M472" s="91">
        <v>0</v>
      </c>
      <c r="N472" s="92">
        <f t="shared" si="151"/>
        <v>0</v>
      </c>
      <c r="O472" s="92">
        <f t="shared" si="152"/>
        <v>0</v>
      </c>
      <c r="P472">
        <v>0</v>
      </c>
      <c r="Q472">
        <v>0</v>
      </c>
      <c r="R472">
        <v>1</v>
      </c>
      <c r="S472">
        <v>10</v>
      </c>
    </row>
    <row r="473" spans="1:19" x14ac:dyDescent="0.2">
      <c r="A473" s="6" t="s">
        <v>116</v>
      </c>
      <c r="B473" s="90" t="s">
        <v>154</v>
      </c>
      <c r="C473" s="90">
        <v>4</v>
      </c>
      <c r="D473" s="93">
        <v>0</v>
      </c>
      <c r="E473" s="93">
        <v>0</v>
      </c>
      <c r="F473" s="88">
        <f t="shared" si="149"/>
        <v>0</v>
      </c>
      <c r="G473" s="88">
        <f t="shared" si="149"/>
        <v>0</v>
      </c>
      <c r="H473" s="89">
        <v>1</v>
      </c>
      <c r="I473" s="89">
        <v>3500</v>
      </c>
      <c r="J473" s="89">
        <f t="shared" si="150"/>
        <v>1</v>
      </c>
      <c r="K473" s="89">
        <f t="shared" si="150"/>
        <v>3500</v>
      </c>
      <c r="L473" s="90">
        <v>3</v>
      </c>
      <c r="M473" s="91">
        <v>9032</v>
      </c>
      <c r="N473" s="92">
        <f t="shared" si="151"/>
        <v>3</v>
      </c>
      <c r="O473" s="92">
        <f t="shared" si="152"/>
        <v>9032</v>
      </c>
      <c r="P473">
        <v>0</v>
      </c>
      <c r="Q473">
        <v>0</v>
      </c>
      <c r="R473">
        <v>1</v>
      </c>
      <c r="S473">
        <v>10</v>
      </c>
    </row>
    <row r="474" spans="1:19" x14ac:dyDescent="0.2">
      <c r="A474" s="6" t="s">
        <v>116</v>
      </c>
      <c r="B474" s="90" t="s">
        <v>155</v>
      </c>
      <c r="C474" s="90">
        <v>5</v>
      </c>
      <c r="D474" s="93">
        <v>0</v>
      </c>
      <c r="E474" s="93">
        <v>0</v>
      </c>
      <c r="F474" s="88">
        <f t="shared" si="149"/>
        <v>0</v>
      </c>
      <c r="G474" s="88">
        <f t="shared" si="149"/>
        <v>0</v>
      </c>
      <c r="H474" s="89">
        <v>1</v>
      </c>
      <c r="I474" s="89">
        <v>354</v>
      </c>
      <c r="J474" s="89">
        <f t="shared" si="150"/>
        <v>2</v>
      </c>
      <c r="K474" s="89">
        <f t="shared" si="150"/>
        <v>3854</v>
      </c>
      <c r="L474" s="90">
        <v>0</v>
      </c>
      <c r="M474" s="91">
        <v>0</v>
      </c>
      <c r="N474" s="92">
        <f t="shared" si="151"/>
        <v>3</v>
      </c>
      <c r="O474" s="92">
        <f t="shared" si="152"/>
        <v>9032</v>
      </c>
      <c r="P474">
        <v>1</v>
      </c>
      <c r="Q474">
        <v>144</v>
      </c>
      <c r="R474">
        <v>2</v>
      </c>
      <c r="S474">
        <v>154</v>
      </c>
    </row>
    <row r="475" spans="1:19" x14ac:dyDescent="0.2">
      <c r="A475" s="6" t="s">
        <v>116</v>
      </c>
      <c r="B475" s="90" t="s">
        <v>156</v>
      </c>
      <c r="C475" s="90">
        <v>6</v>
      </c>
      <c r="D475" s="93">
        <v>0</v>
      </c>
      <c r="E475" s="93">
        <v>0</v>
      </c>
      <c r="F475" s="88">
        <f t="shared" si="149"/>
        <v>0</v>
      </c>
      <c r="G475" s="88">
        <f t="shared" si="149"/>
        <v>0</v>
      </c>
      <c r="H475" s="89">
        <v>0</v>
      </c>
      <c r="I475" s="89">
        <v>0</v>
      </c>
      <c r="J475" s="89">
        <f t="shared" si="150"/>
        <v>2</v>
      </c>
      <c r="K475" s="89">
        <f t="shared" si="150"/>
        <v>3854</v>
      </c>
      <c r="L475" s="90">
        <v>0</v>
      </c>
      <c r="M475" s="91">
        <v>0</v>
      </c>
      <c r="N475" s="92">
        <f t="shared" si="151"/>
        <v>3</v>
      </c>
      <c r="O475" s="92">
        <f t="shared" si="152"/>
        <v>9032</v>
      </c>
      <c r="P475">
        <v>1</v>
      </c>
      <c r="Q475">
        <v>60</v>
      </c>
      <c r="R475">
        <v>3</v>
      </c>
      <c r="S475">
        <v>214</v>
      </c>
    </row>
    <row r="476" spans="1:19" x14ac:dyDescent="0.2">
      <c r="A476" s="6" t="s">
        <v>116</v>
      </c>
      <c r="B476" s="90" t="s">
        <v>157</v>
      </c>
      <c r="C476" s="90">
        <v>7</v>
      </c>
      <c r="D476" s="93">
        <v>0</v>
      </c>
      <c r="E476" s="93">
        <v>0</v>
      </c>
      <c r="F476" s="88">
        <f t="shared" si="149"/>
        <v>0</v>
      </c>
      <c r="G476" s="88">
        <f t="shared" si="149"/>
        <v>0</v>
      </c>
      <c r="H476" s="89">
        <v>0</v>
      </c>
      <c r="I476" s="89">
        <v>0</v>
      </c>
      <c r="J476" s="89">
        <f t="shared" si="150"/>
        <v>2</v>
      </c>
      <c r="K476" s="89">
        <f t="shared" si="150"/>
        <v>3854</v>
      </c>
      <c r="L476" s="90">
        <v>0</v>
      </c>
      <c r="M476" s="91">
        <v>0</v>
      </c>
      <c r="N476" s="92">
        <f t="shared" si="151"/>
        <v>3</v>
      </c>
      <c r="O476" s="92">
        <f t="shared" si="152"/>
        <v>9032</v>
      </c>
      <c r="P476">
        <v>0</v>
      </c>
      <c r="Q476">
        <v>0</v>
      </c>
      <c r="R476">
        <v>3</v>
      </c>
      <c r="S476">
        <v>214</v>
      </c>
    </row>
    <row r="477" spans="1:19" x14ac:dyDescent="0.2">
      <c r="A477" s="6" t="s">
        <v>116</v>
      </c>
      <c r="B477" s="90" t="s">
        <v>158</v>
      </c>
      <c r="C477" s="90">
        <v>8</v>
      </c>
      <c r="D477" s="93">
        <v>0</v>
      </c>
      <c r="E477" s="93">
        <v>0</v>
      </c>
      <c r="F477" s="88">
        <f t="shared" si="149"/>
        <v>0</v>
      </c>
      <c r="G477" s="88">
        <f t="shared" si="149"/>
        <v>0</v>
      </c>
      <c r="H477" s="89">
        <v>0</v>
      </c>
      <c r="I477" s="89">
        <v>0</v>
      </c>
      <c r="J477" s="89">
        <f t="shared" si="150"/>
        <v>2</v>
      </c>
      <c r="K477" s="89">
        <f t="shared" si="150"/>
        <v>3854</v>
      </c>
      <c r="L477" s="90">
        <v>0</v>
      </c>
      <c r="M477" s="91">
        <v>0</v>
      </c>
      <c r="N477" s="92">
        <f t="shared" si="151"/>
        <v>3</v>
      </c>
      <c r="O477" s="92">
        <f t="shared" si="152"/>
        <v>9032</v>
      </c>
      <c r="P477">
        <v>0</v>
      </c>
      <c r="Q477">
        <v>0</v>
      </c>
      <c r="R477">
        <v>3</v>
      </c>
      <c r="S477">
        <v>214</v>
      </c>
    </row>
    <row r="478" spans="1:19" x14ac:dyDescent="0.2">
      <c r="A478" s="6" t="s">
        <v>116</v>
      </c>
      <c r="B478" s="90" t="s">
        <v>159</v>
      </c>
      <c r="C478" s="90">
        <v>9</v>
      </c>
      <c r="D478" s="93">
        <v>0</v>
      </c>
      <c r="E478" s="93">
        <v>0</v>
      </c>
      <c r="F478" s="88">
        <f t="shared" si="149"/>
        <v>0</v>
      </c>
      <c r="G478" s="88">
        <f t="shared" si="149"/>
        <v>0</v>
      </c>
      <c r="H478" s="89">
        <v>2</v>
      </c>
      <c r="I478" s="89">
        <v>400</v>
      </c>
      <c r="J478" s="89">
        <f t="shared" si="150"/>
        <v>4</v>
      </c>
      <c r="K478" s="89">
        <f t="shared" si="150"/>
        <v>4254</v>
      </c>
      <c r="L478" s="90">
        <v>0</v>
      </c>
      <c r="M478" s="91">
        <v>0</v>
      </c>
      <c r="N478" s="92">
        <f t="shared" si="151"/>
        <v>3</v>
      </c>
      <c r="O478" s="92">
        <f t="shared" si="152"/>
        <v>9032</v>
      </c>
      <c r="P478">
        <v>0</v>
      </c>
      <c r="Q478">
        <v>0</v>
      </c>
      <c r="R478">
        <v>3</v>
      </c>
      <c r="S478">
        <v>214</v>
      </c>
    </row>
    <row r="479" spans="1:19" x14ac:dyDescent="0.2">
      <c r="A479" s="6" t="s">
        <v>116</v>
      </c>
      <c r="B479" s="90" t="s">
        <v>160</v>
      </c>
      <c r="C479" s="90">
        <v>10</v>
      </c>
      <c r="D479" s="93">
        <v>0</v>
      </c>
      <c r="E479" s="93">
        <v>0</v>
      </c>
      <c r="F479" s="88">
        <f t="shared" si="149"/>
        <v>0</v>
      </c>
      <c r="G479" s="88">
        <f t="shared" si="149"/>
        <v>0</v>
      </c>
      <c r="H479" s="89">
        <v>0</v>
      </c>
      <c r="I479" s="89">
        <v>0</v>
      </c>
      <c r="J479" s="89">
        <f t="shared" si="150"/>
        <v>4</v>
      </c>
      <c r="K479" s="89">
        <f t="shared" si="150"/>
        <v>4254</v>
      </c>
      <c r="L479" s="90">
        <v>0</v>
      </c>
      <c r="M479" s="91">
        <v>0</v>
      </c>
      <c r="N479" s="92">
        <f t="shared" si="151"/>
        <v>3</v>
      </c>
      <c r="O479" s="92">
        <f t="shared" si="152"/>
        <v>9032</v>
      </c>
      <c r="P479">
        <v>0</v>
      </c>
      <c r="Q479">
        <v>0</v>
      </c>
      <c r="R479">
        <v>3</v>
      </c>
      <c r="S479">
        <v>214</v>
      </c>
    </row>
    <row r="480" spans="1:19" x14ac:dyDescent="0.2">
      <c r="A480" s="6" t="s">
        <v>116</v>
      </c>
      <c r="B480" s="90" t="s">
        <v>161</v>
      </c>
      <c r="C480" s="90">
        <v>11</v>
      </c>
      <c r="D480" s="93">
        <v>0</v>
      </c>
      <c r="E480" s="93">
        <v>0</v>
      </c>
      <c r="F480" s="88">
        <f t="shared" si="149"/>
        <v>0</v>
      </c>
      <c r="G480" s="88">
        <f t="shared" si="149"/>
        <v>0</v>
      </c>
      <c r="H480" s="89">
        <v>0</v>
      </c>
      <c r="I480" s="89">
        <v>0</v>
      </c>
      <c r="J480" s="89">
        <f t="shared" si="150"/>
        <v>4</v>
      </c>
      <c r="K480" s="89">
        <f t="shared" si="150"/>
        <v>4254</v>
      </c>
      <c r="L480" s="90">
        <v>1</v>
      </c>
      <c r="M480" s="91">
        <v>800</v>
      </c>
      <c r="N480" s="92">
        <f t="shared" si="151"/>
        <v>4</v>
      </c>
      <c r="O480" s="92">
        <f t="shared" si="152"/>
        <v>9832</v>
      </c>
      <c r="P480" s="86"/>
      <c r="Q480" s="86">
        <v>0</v>
      </c>
    </row>
    <row r="481" spans="1:19" x14ac:dyDescent="0.2">
      <c r="A481" s="6" t="s">
        <v>116</v>
      </c>
      <c r="B481" s="90" t="s">
        <v>162</v>
      </c>
      <c r="C481" s="90">
        <v>12</v>
      </c>
      <c r="D481" s="93">
        <v>0</v>
      </c>
      <c r="E481" s="93">
        <v>0</v>
      </c>
      <c r="F481" s="88">
        <f t="shared" si="149"/>
        <v>0</v>
      </c>
      <c r="G481" s="88">
        <f t="shared" si="149"/>
        <v>0</v>
      </c>
      <c r="H481" s="89">
        <v>0</v>
      </c>
      <c r="I481" s="89">
        <v>0</v>
      </c>
      <c r="J481" s="89">
        <f t="shared" si="150"/>
        <v>4</v>
      </c>
      <c r="K481" s="89">
        <f t="shared" si="150"/>
        <v>4254</v>
      </c>
      <c r="L481" s="90">
        <v>1</v>
      </c>
      <c r="M481" s="91">
        <v>3500</v>
      </c>
      <c r="N481" s="92">
        <f t="shared" si="151"/>
        <v>5</v>
      </c>
      <c r="O481" s="92">
        <f t="shared" si="152"/>
        <v>13332</v>
      </c>
      <c r="P481" s="86"/>
      <c r="Q481" s="86">
        <v>0</v>
      </c>
    </row>
    <row r="482" spans="1:19" x14ac:dyDescent="0.2">
      <c r="A482" s="6" t="s">
        <v>86</v>
      </c>
      <c r="B482" s="90" t="s">
        <v>151</v>
      </c>
      <c r="C482" s="90">
        <v>1</v>
      </c>
      <c r="D482" s="93">
        <v>0</v>
      </c>
      <c r="E482" s="93">
        <v>0</v>
      </c>
      <c r="F482" s="88">
        <f>D482</f>
        <v>0</v>
      </c>
      <c r="G482" s="88">
        <f>E482</f>
        <v>0</v>
      </c>
      <c r="H482" s="88">
        <v>0</v>
      </c>
      <c r="I482" s="88">
        <v>0</v>
      </c>
      <c r="J482" s="88">
        <f>H482</f>
        <v>0</v>
      </c>
      <c r="K482" s="88">
        <f>I482</f>
        <v>0</v>
      </c>
      <c r="L482" s="90">
        <v>0</v>
      </c>
      <c r="M482" s="91">
        <v>0</v>
      </c>
      <c r="N482" s="92">
        <f>L482</f>
        <v>0</v>
      </c>
      <c r="O482" s="92">
        <f>M482</f>
        <v>0</v>
      </c>
      <c r="P482">
        <v>0</v>
      </c>
      <c r="Q482">
        <v>0</v>
      </c>
      <c r="R482">
        <v>0</v>
      </c>
      <c r="S482">
        <v>0</v>
      </c>
    </row>
    <row r="483" spans="1:19" x14ac:dyDescent="0.2">
      <c r="A483" s="6" t="s">
        <v>86</v>
      </c>
      <c r="B483" s="90" t="s">
        <v>152</v>
      </c>
      <c r="C483" s="90">
        <v>2</v>
      </c>
      <c r="D483" s="93">
        <v>0</v>
      </c>
      <c r="E483" s="93">
        <v>0</v>
      </c>
      <c r="F483" s="88">
        <f t="shared" ref="F483:F493" si="153">F482+D483</f>
        <v>0</v>
      </c>
      <c r="G483" s="88">
        <f t="shared" ref="G483:G493" si="154">G482+E483</f>
        <v>0</v>
      </c>
      <c r="H483" s="88">
        <v>0</v>
      </c>
      <c r="I483" s="88">
        <v>0</v>
      </c>
      <c r="J483" s="88">
        <f t="shared" ref="J483:J493" si="155">J482+H483</f>
        <v>0</v>
      </c>
      <c r="K483" s="88">
        <f t="shared" ref="K483:K493" si="156">K482+I483</f>
        <v>0</v>
      </c>
      <c r="L483" s="90">
        <v>0</v>
      </c>
      <c r="M483" s="91">
        <v>0</v>
      </c>
      <c r="N483" s="92">
        <f t="shared" ref="N483:N493" si="157">N482+L483</f>
        <v>0</v>
      </c>
      <c r="O483" s="92">
        <f t="shared" ref="O483:O493" si="158">O482+M483</f>
        <v>0</v>
      </c>
      <c r="P483">
        <v>0</v>
      </c>
      <c r="Q483">
        <v>0</v>
      </c>
      <c r="R483">
        <v>0</v>
      </c>
      <c r="S483">
        <v>0</v>
      </c>
    </row>
    <row r="484" spans="1:19" x14ac:dyDescent="0.2">
      <c r="A484" s="6" t="s">
        <v>86</v>
      </c>
      <c r="B484" s="90" t="s">
        <v>153</v>
      </c>
      <c r="C484" s="90">
        <v>3</v>
      </c>
      <c r="D484" s="93">
        <v>0</v>
      </c>
      <c r="E484" s="93">
        <v>0</v>
      </c>
      <c r="F484" s="88">
        <f t="shared" si="153"/>
        <v>0</v>
      </c>
      <c r="G484" s="88">
        <f t="shared" si="154"/>
        <v>0</v>
      </c>
      <c r="H484" s="88">
        <v>0</v>
      </c>
      <c r="I484" s="88">
        <v>0</v>
      </c>
      <c r="J484" s="88">
        <f t="shared" si="155"/>
        <v>0</v>
      </c>
      <c r="K484" s="88">
        <f t="shared" si="156"/>
        <v>0</v>
      </c>
      <c r="L484" s="90">
        <v>0</v>
      </c>
      <c r="M484" s="91">
        <v>0</v>
      </c>
      <c r="N484" s="92">
        <f t="shared" si="157"/>
        <v>0</v>
      </c>
      <c r="O484" s="92">
        <f t="shared" si="158"/>
        <v>0</v>
      </c>
      <c r="P484">
        <v>0</v>
      </c>
      <c r="Q484">
        <v>0</v>
      </c>
      <c r="R484">
        <v>0</v>
      </c>
      <c r="S484">
        <v>0</v>
      </c>
    </row>
    <row r="485" spans="1:19" x14ac:dyDescent="0.2">
      <c r="A485" s="6" t="s">
        <v>86</v>
      </c>
      <c r="B485" s="90" t="s">
        <v>154</v>
      </c>
      <c r="C485" s="90">
        <v>4</v>
      </c>
      <c r="D485" s="93">
        <v>0</v>
      </c>
      <c r="E485" s="93">
        <v>0</v>
      </c>
      <c r="F485" s="88">
        <f t="shared" si="153"/>
        <v>0</v>
      </c>
      <c r="G485" s="88">
        <f t="shared" si="154"/>
        <v>0</v>
      </c>
      <c r="H485" s="88">
        <v>0</v>
      </c>
      <c r="I485" s="88">
        <v>0</v>
      </c>
      <c r="J485" s="88">
        <f t="shared" si="155"/>
        <v>0</v>
      </c>
      <c r="K485" s="88">
        <f t="shared" si="156"/>
        <v>0</v>
      </c>
      <c r="L485" s="90">
        <v>0</v>
      </c>
      <c r="M485" s="91">
        <v>0</v>
      </c>
      <c r="N485" s="92">
        <f t="shared" si="157"/>
        <v>0</v>
      </c>
      <c r="O485" s="92">
        <f t="shared" si="158"/>
        <v>0</v>
      </c>
      <c r="P485">
        <v>0</v>
      </c>
      <c r="Q485">
        <v>0</v>
      </c>
      <c r="R485">
        <v>0</v>
      </c>
      <c r="S485">
        <v>0</v>
      </c>
    </row>
    <row r="486" spans="1:19" x14ac:dyDescent="0.2">
      <c r="A486" s="6" t="s">
        <v>86</v>
      </c>
      <c r="B486" s="90" t="s">
        <v>155</v>
      </c>
      <c r="C486" s="90">
        <v>5</v>
      </c>
      <c r="D486" s="93">
        <v>0</v>
      </c>
      <c r="E486" s="93">
        <v>0</v>
      </c>
      <c r="F486" s="88">
        <f t="shared" si="153"/>
        <v>0</v>
      </c>
      <c r="G486" s="88">
        <f t="shared" si="154"/>
        <v>0</v>
      </c>
      <c r="H486" s="88">
        <v>0</v>
      </c>
      <c r="I486" s="88">
        <v>0</v>
      </c>
      <c r="J486" s="88">
        <f t="shared" si="155"/>
        <v>0</v>
      </c>
      <c r="K486" s="88">
        <f t="shared" si="156"/>
        <v>0</v>
      </c>
      <c r="L486" s="90">
        <v>0</v>
      </c>
      <c r="M486" s="91">
        <v>0</v>
      </c>
      <c r="N486" s="92">
        <f t="shared" si="157"/>
        <v>0</v>
      </c>
      <c r="O486" s="92">
        <f t="shared" si="158"/>
        <v>0</v>
      </c>
      <c r="P486">
        <v>0</v>
      </c>
      <c r="Q486">
        <v>0</v>
      </c>
      <c r="R486">
        <v>0</v>
      </c>
      <c r="S486">
        <v>0</v>
      </c>
    </row>
    <row r="487" spans="1:19" x14ac:dyDescent="0.2">
      <c r="A487" s="6" t="s">
        <v>86</v>
      </c>
      <c r="B487" s="90" t="s">
        <v>156</v>
      </c>
      <c r="C487" s="90">
        <v>6</v>
      </c>
      <c r="D487" s="93">
        <v>0</v>
      </c>
      <c r="E487" s="93">
        <v>0</v>
      </c>
      <c r="F487" s="88">
        <f t="shared" si="153"/>
        <v>0</v>
      </c>
      <c r="G487" s="88">
        <f t="shared" si="154"/>
        <v>0</v>
      </c>
      <c r="H487" s="88">
        <v>0</v>
      </c>
      <c r="I487" s="88">
        <v>0</v>
      </c>
      <c r="J487" s="88">
        <f t="shared" si="155"/>
        <v>0</v>
      </c>
      <c r="K487" s="88">
        <f t="shared" si="156"/>
        <v>0</v>
      </c>
      <c r="L487" s="90">
        <v>0</v>
      </c>
      <c r="M487" s="91">
        <v>0</v>
      </c>
      <c r="N487" s="92">
        <f t="shared" si="157"/>
        <v>0</v>
      </c>
      <c r="O487" s="92">
        <f t="shared" si="158"/>
        <v>0</v>
      </c>
      <c r="P487">
        <v>0</v>
      </c>
      <c r="Q487">
        <v>0</v>
      </c>
      <c r="R487">
        <v>0</v>
      </c>
      <c r="S487">
        <v>0</v>
      </c>
    </row>
    <row r="488" spans="1:19" x14ac:dyDescent="0.2">
      <c r="A488" s="6" t="s">
        <v>86</v>
      </c>
      <c r="B488" s="90" t="s">
        <v>157</v>
      </c>
      <c r="C488" s="90">
        <v>7</v>
      </c>
      <c r="D488" s="93">
        <v>0</v>
      </c>
      <c r="E488" s="93">
        <v>0</v>
      </c>
      <c r="F488" s="88">
        <f t="shared" si="153"/>
        <v>0</v>
      </c>
      <c r="G488" s="88">
        <f t="shared" si="154"/>
        <v>0</v>
      </c>
      <c r="H488" s="88">
        <v>0</v>
      </c>
      <c r="I488" s="88">
        <v>0</v>
      </c>
      <c r="J488" s="88">
        <f t="shared" si="155"/>
        <v>0</v>
      </c>
      <c r="K488" s="88">
        <f t="shared" si="156"/>
        <v>0</v>
      </c>
      <c r="L488" s="90">
        <v>0</v>
      </c>
      <c r="M488" s="91">
        <v>0</v>
      </c>
      <c r="N488" s="92">
        <f t="shared" si="157"/>
        <v>0</v>
      </c>
      <c r="O488" s="92">
        <f t="shared" si="158"/>
        <v>0</v>
      </c>
      <c r="P488">
        <v>0</v>
      </c>
      <c r="Q488">
        <v>0</v>
      </c>
      <c r="R488">
        <v>0</v>
      </c>
      <c r="S488">
        <v>0</v>
      </c>
    </row>
    <row r="489" spans="1:19" x14ac:dyDescent="0.2">
      <c r="A489" s="6" t="s">
        <v>86</v>
      </c>
      <c r="B489" s="90" t="s">
        <v>158</v>
      </c>
      <c r="C489" s="90">
        <v>8</v>
      </c>
      <c r="D489" s="93">
        <v>0</v>
      </c>
      <c r="E489" s="93">
        <v>0</v>
      </c>
      <c r="F489" s="88">
        <f t="shared" si="153"/>
        <v>0</v>
      </c>
      <c r="G489" s="88">
        <f t="shared" si="154"/>
        <v>0</v>
      </c>
      <c r="H489" s="88">
        <v>0</v>
      </c>
      <c r="I489" s="88">
        <v>0</v>
      </c>
      <c r="J489" s="88">
        <f t="shared" si="155"/>
        <v>0</v>
      </c>
      <c r="K489" s="88">
        <f t="shared" si="156"/>
        <v>0</v>
      </c>
      <c r="L489" s="90">
        <v>0</v>
      </c>
      <c r="M489" s="91">
        <v>0</v>
      </c>
      <c r="N489" s="92">
        <f t="shared" si="157"/>
        <v>0</v>
      </c>
      <c r="O489" s="92">
        <f t="shared" si="158"/>
        <v>0</v>
      </c>
      <c r="P489">
        <v>2</v>
      </c>
      <c r="Q489">
        <v>111</v>
      </c>
      <c r="R489">
        <v>2</v>
      </c>
      <c r="S489">
        <v>111</v>
      </c>
    </row>
    <row r="490" spans="1:19" x14ac:dyDescent="0.2">
      <c r="A490" s="6" t="s">
        <v>86</v>
      </c>
      <c r="B490" s="90" t="s">
        <v>159</v>
      </c>
      <c r="C490" s="90">
        <v>9</v>
      </c>
      <c r="D490" s="93">
        <v>0</v>
      </c>
      <c r="E490" s="93">
        <v>0</v>
      </c>
      <c r="F490" s="88">
        <f t="shared" si="153"/>
        <v>0</v>
      </c>
      <c r="G490" s="88">
        <f t="shared" si="154"/>
        <v>0</v>
      </c>
      <c r="H490" s="88">
        <v>0</v>
      </c>
      <c r="I490" s="88">
        <v>0</v>
      </c>
      <c r="J490" s="88">
        <f t="shared" si="155"/>
        <v>0</v>
      </c>
      <c r="K490" s="88">
        <f t="shared" si="156"/>
        <v>0</v>
      </c>
      <c r="L490" s="90">
        <v>0</v>
      </c>
      <c r="M490" s="91">
        <v>0</v>
      </c>
      <c r="N490" s="92">
        <f t="shared" si="157"/>
        <v>0</v>
      </c>
      <c r="O490" s="92">
        <f t="shared" si="158"/>
        <v>0</v>
      </c>
      <c r="P490">
        <v>3</v>
      </c>
      <c r="Q490">
        <v>2294</v>
      </c>
      <c r="R490">
        <v>5</v>
      </c>
      <c r="S490">
        <v>2405</v>
      </c>
    </row>
    <row r="491" spans="1:19" x14ac:dyDescent="0.2">
      <c r="A491" s="6" t="s">
        <v>86</v>
      </c>
      <c r="B491" s="90" t="s">
        <v>160</v>
      </c>
      <c r="C491" s="90">
        <v>10</v>
      </c>
      <c r="D491" s="93">
        <v>0</v>
      </c>
      <c r="E491" s="93">
        <v>0</v>
      </c>
      <c r="F491" s="88">
        <f t="shared" si="153"/>
        <v>0</v>
      </c>
      <c r="G491" s="88">
        <f t="shared" si="154"/>
        <v>0</v>
      </c>
      <c r="H491" s="88">
        <v>0</v>
      </c>
      <c r="I491" s="88">
        <v>0</v>
      </c>
      <c r="J491" s="88">
        <f t="shared" si="155"/>
        <v>0</v>
      </c>
      <c r="K491" s="88">
        <f t="shared" si="156"/>
        <v>0</v>
      </c>
      <c r="L491" s="90">
        <v>0</v>
      </c>
      <c r="M491" s="91">
        <v>0</v>
      </c>
      <c r="N491" s="92">
        <f t="shared" si="157"/>
        <v>0</v>
      </c>
      <c r="O491" s="92">
        <f t="shared" si="158"/>
        <v>0</v>
      </c>
      <c r="P491">
        <v>0</v>
      </c>
      <c r="Q491">
        <v>0</v>
      </c>
      <c r="R491">
        <v>5</v>
      </c>
      <c r="S491">
        <v>2405</v>
      </c>
    </row>
    <row r="492" spans="1:19" x14ac:dyDescent="0.2">
      <c r="A492" s="6" t="s">
        <v>86</v>
      </c>
      <c r="B492" s="90" t="s">
        <v>161</v>
      </c>
      <c r="C492" s="90">
        <v>11</v>
      </c>
      <c r="D492" s="93">
        <v>0</v>
      </c>
      <c r="E492" s="93">
        <v>0</v>
      </c>
      <c r="F492" s="88">
        <f t="shared" si="153"/>
        <v>0</v>
      </c>
      <c r="G492" s="88">
        <f t="shared" si="154"/>
        <v>0</v>
      </c>
      <c r="H492" s="88">
        <v>0</v>
      </c>
      <c r="I492" s="88">
        <v>0</v>
      </c>
      <c r="J492" s="88">
        <f t="shared" si="155"/>
        <v>0</v>
      </c>
      <c r="K492" s="88">
        <f t="shared" si="156"/>
        <v>0</v>
      </c>
      <c r="L492" s="90">
        <v>0</v>
      </c>
      <c r="M492" s="91">
        <v>0</v>
      </c>
      <c r="N492" s="92">
        <f t="shared" si="157"/>
        <v>0</v>
      </c>
      <c r="O492" s="92">
        <f t="shared" si="158"/>
        <v>0</v>
      </c>
      <c r="P492" s="86"/>
      <c r="Q492" s="86">
        <v>0</v>
      </c>
    </row>
    <row r="493" spans="1:19" x14ac:dyDescent="0.2">
      <c r="A493" s="6" t="s">
        <v>86</v>
      </c>
      <c r="B493" s="90" t="s">
        <v>162</v>
      </c>
      <c r="C493" s="90">
        <v>12</v>
      </c>
      <c r="D493" s="93">
        <v>0</v>
      </c>
      <c r="E493" s="93">
        <v>0</v>
      </c>
      <c r="F493" s="88">
        <f t="shared" si="153"/>
        <v>0</v>
      </c>
      <c r="G493" s="88">
        <f t="shared" si="154"/>
        <v>0</v>
      </c>
      <c r="H493" s="88">
        <v>0</v>
      </c>
      <c r="I493" s="88">
        <v>0</v>
      </c>
      <c r="J493" s="88">
        <f t="shared" si="155"/>
        <v>0</v>
      </c>
      <c r="K493" s="88">
        <f t="shared" si="156"/>
        <v>0</v>
      </c>
      <c r="L493" s="90">
        <v>0</v>
      </c>
      <c r="M493" s="91">
        <v>0</v>
      </c>
      <c r="N493" s="92">
        <f t="shared" si="157"/>
        <v>0</v>
      </c>
      <c r="O493" s="92">
        <f t="shared" si="158"/>
        <v>0</v>
      </c>
      <c r="P493" s="86"/>
      <c r="Q493" s="86">
        <v>0</v>
      </c>
    </row>
    <row r="494" spans="1:19" x14ac:dyDescent="0.2">
      <c r="A494" s="6" t="s">
        <v>102</v>
      </c>
      <c r="B494" s="90" t="s">
        <v>151</v>
      </c>
      <c r="C494" s="90">
        <v>1</v>
      </c>
      <c r="D494" s="93">
        <v>0</v>
      </c>
      <c r="E494" s="93">
        <v>0</v>
      </c>
      <c r="F494" s="88">
        <f>D494</f>
        <v>0</v>
      </c>
      <c r="G494" s="88">
        <f>E494</f>
        <v>0</v>
      </c>
      <c r="H494" s="88">
        <v>0</v>
      </c>
      <c r="I494" s="88">
        <v>0</v>
      </c>
      <c r="J494" s="88">
        <f>H494</f>
        <v>0</v>
      </c>
      <c r="K494" s="88">
        <f>I494</f>
        <v>0</v>
      </c>
      <c r="L494" s="90">
        <v>0</v>
      </c>
      <c r="M494" s="91">
        <v>0</v>
      </c>
      <c r="N494" s="92">
        <f>L494</f>
        <v>0</v>
      </c>
      <c r="O494" s="92">
        <f>M494</f>
        <v>0</v>
      </c>
      <c r="P494">
        <v>0</v>
      </c>
      <c r="Q494">
        <v>0</v>
      </c>
      <c r="R494">
        <v>0</v>
      </c>
      <c r="S494">
        <v>0</v>
      </c>
    </row>
    <row r="495" spans="1:19" x14ac:dyDescent="0.2">
      <c r="A495" s="6" t="s">
        <v>102</v>
      </c>
      <c r="B495" s="90" t="s">
        <v>152</v>
      </c>
      <c r="C495" s="90">
        <v>2</v>
      </c>
      <c r="D495" s="93">
        <v>0</v>
      </c>
      <c r="E495" s="93">
        <v>0</v>
      </c>
      <c r="F495" s="88">
        <f t="shared" ref="F495:F505" si="159">F494+D495</f>
        <v>0</v>
      </c>
      <c r="G495" s="88">
        <f t="shared" ref="G495:G505" si="160">G494+E495</f>
        <v>0</v>
      </c>
      <c r="H495" s="88">
        <v>0</v>
      </c>
      <c r="I495" s="88">
        <v>0</v>
      </c>
      <c r="J495" s="88">
        <f t="shared" ref="J495:J505" si="161">J494+H495</f>
        <v>0</v>
      </c>
      <c r="K495" s="88">
        <f t="shared" ref="K495:K505" si="162">K494+I495</f>
        <v>0</v>
      </c>
      <c r="L495" s="90">
        <v>0</v>
      </c>
      <c r="M495" s="91">
        <v>0</v>
      </c>
      <c r="N495" s="92">
        <f t="shared" ref="N495:N505" si="163">N494+L495</f>
        <v>0</v>
      </c>
      <c r="O495" s="92">
        <f t="shared" ref="O495:O505" si="164">O494+M495</f>
        <v>0</v>
      </c>
      <c r="P495">
        <v>0</v>
      </c>
      <c r="Q495">
        <v>0</v>
      </c>
      <c r="R495">
        <v>0</v>
      </c>
      <c r="S495">
        <v>0</v>
      </c>
    </row>
    <row r="496" spans="1:19" x14ac:dyDescent="0.2">
      <c r="A496" s="6" t="s">
        <v>102</v>
      </c>
      <c r="B496" s="90" t="s">
        <v>153</v>
      </c>
      <c r="C496" s="90">
        <v>3</v>
      </c>
      <c r="D496" s="93">
        <v>0</v>
      </c>
      <c r="E496" s="93">
        <v>0</v>
      </c>
      <c r="F496" s="88">
        <f t="shared" si="159"/>
        <v>0</v>
      </c>
      <c r="G496" s="88">
        <f t="shared" si="160"/>
        <v>0</v>
      </c>
      <c r="H496" s="88">
        <v>0</v>
      </c>
      <c r="I496" s="88">
        <v>0</v>
      </c>
      <c r="J496" s="88">
        <f t="shared" si="161"/>
        <v>0</v>
      </c>
      <c r="K496" s="88">
        <f t="shared" si="162"/>
        <v>0</v>
      </c>
      <c r="L496" s="90">
        <v>0</v>
      </c>
      <c r="M496" s="91">
        <v>0</v>
      </c>
      <c r="N496" s="92">
        <f t="shared" si="163"/>
        <v>0</v>
      </c>
      <c r="O496" s="92">
        <f t="shared" si="164"/>
        <v>0</v>
      </c>
      <c r="P496">
        <v>0</v>
      </c>
      <c r="Q496">
        <v>0</v>
      </c>
      <c r="R496">
        <v>0</v>
      </c>
      <c r="S496">
        <v>0</v>
      </c>
    </row>
    <row r="497" spans="1:19" x14ac:dyDescent="0.2">
      <c r="A497" s="6" t="s">
        <v>102</v>
      </c>
      <c r="B497" s="90" t="s">
        <v>154</v>
      </c>
      <c r="C497" s="90">
        <v>4</v>
      </c>
      <c r="D497" s="93">
        <v>0</v>
      </c>
      <c r="E497" s="93">
        <v>0</v>
      </c>
      <c r="F497" s="88">
        <f t="shared" si="159"/>
        <v>0</v>
      </c>
      <c r="G497" s="88">
        <f t="shared" si="160"/>
        <v>0</v>
      </c>
      <c r="H497" s="88">
        <v>0</v>
      </c>
      <c r="I497" s="88">
        <v>0</v>
      </c>
      <c r="J497" s="88">
        <f t="shared" si="161"/>
        <v>0</v>
      </c>
      <c r="K497" s="88">
        <f t="shared" si="162"/>
        <v>0</v>
      </c>
      <c r="L497" s="90">
        <v>0</v>
      </c>
      <c r="M497" s="91">
        <v>0</v>
      </c>
      <c r="N497" s="92">
        <f t="shared" si="163"/>
        <v>0</v>
      </c>
      <c r="O497" s="92">
        <f t="shared" si="164"/>
        <v>0</v>
      </c>
      <c r="P497">
        <v>0</v>
      </c>
      <c r="Q497">
        <v>0</v>
      </c>
      <c r="R497">
        <v>0</v>
      </c>
      <c r="S497">
        <v>0</v>
      </c>
    </row>
    <row r="498" spans="1:19" x14ac:dyDescent="0.2">
      <c r="A498" s="6" t="s">
        <v>102</v>
      </c>
      <c r="B498" s="90" t="s">
        <v>155</v>
      </c>
      <c r="C498" s="90">
        <v>5</v>
      </c>
      <c r="D498" s="93">
        <v>0</v>
      </c>
      <c r="E498" s="93">
        <v>0</v>
      </c>
      <c r="F498" s="88">
        <f t="shared" si="159"/>
        <v>0</v>
      </c>
      <c r="G498" s="88">
        <f t="shared" si="160"/>
        <v>0</v>
      </c>
      <c r="H498" s="88">
        <v>0</v>
      </c>
      <c r="I498" s="88">
        <v>0</v>
      </c>
      <c r="J498" s="88">
        <f t="shared" si="161"/>
        <v>0</v>
      </c>
      <c r="K498" s="88">
        <f t="shared" si="162"/>
        <v>0</v>
      </c>
      <c r="L498" s="90">
        <v>0</v>
      </c>
      <c r="M498" s="91">
        <v>0</v>
      </c>
      <c r="N498" s="92">
        <f t="shared" si="163"/>
        <v>0</v>
      </c>
      <c r="O498" s="92">
        <f t="shared" si="164"/>
        <v>0</v>
      </c>
      <c r="P498">
        <v>0</v>
      </c>
      <c r="Q498">
        <v>0</v>
      </c>
      <c r="R498">
        <v>0</v>
      </c>
      <c r="S498">
        <v>0</v>
      </c>
    </row>
    <row r="499" spans="1:19" x14ac:dyDescent="0.2">
      <c r="A499" s="6" t="s">
        <v>102</v>
      </c>
      <c r="B499" s="90" t="s">
        <v>156</v>
      </c>
      <c r="C499" s="90">
        <v>6</v>
      </c>
      <c r="D499" s="93">
        <v>0</v>
      </c>
      <c r="E499" s="93">
        <v>0</v>
      </c>
      <c r="F499" s="88">
        <f t="shared" si="159"/>
        <v>0</v>
      </c>
      <c r="G499" s="88">
        <f t="shared" si="160"/>
        <v>0</v>
      </c>
      <c r="H499" s="88">
        <v>0</v>
      </c>
      <c r="I499" s="88">
        <v>0</v>
      </c>
      <c r="J499" s="88">
        <f t="shared" si="161"/>
        <v>0</v>
      </c>
      <c r="K499" s="88">
        <f t="shared" si="162"/>
        <v>0</v>
      </c>
      <c r="L499" s="90">
        <v>0</v>
      </c>
      <c r="M499" s="91">
        <v>0</v>
      </c>
      <c r="N499" s="92">
        <f t="shared" si="163"/>
        <v>0</v>
      </c>
      <c r="O499" s="92">
        <f t="shared" si="164"/>
        <v>0</v>
      </c>
      <c r="P499">
        <v>0</v>
      </c>
      <c r="Q499">
        <v>0</v>
      </c>
      <c r="R499">
        <v>0</v>
      </c>
      <c r="S499">
        <v>0</v>
      </c>
    </row>
    <row r="500" spans="1:19" x14ac:dyDescent="0.2">
      <c r="A500" s="6" t="s">
        <v>102</v>
      </c>
      <c r="B500" s="90" t="s">
        <v>157</v>
      </c>
      <c r="C500" s="90">
        <v>7</v>
      </c>
      <c r="D500" s="93">
        <v>0</v>
      </c>
      <c r="E500" s="93">
        <v>0</v>
      </c>
      <c r="F500" s="88">
        <f t="shared" si="159"/>
        <v>0</v>
      </c>
      <c r="G500" s="88">
        <f t="shared" si="160"/>
        <v>0</v>
      </c>
      <c r="H500" s="88">
        <v>0</v>
      </c>
      <c r="I500" s="88">
        <v>0</v>
      </c>
      <c r="J500" s="88">
        <f t="shared" si="161"/>
        <v>0</v>
      </c>
      <c r="K500" s="88">
        <f t="shared" si="162"/>
        <v>0</v>
      </c>
      <c r="L500" s="90">
        <v>0</v>
      </c>
      <c r="M500" s="91">
        <v>0</v>
      </c>
      <c r="N500" s="92">
        <f t="shared" si="163"/>
        <v>0</v>
      </c>
      <c r="O500" s="92">
        <f t="shared" si="164"/>
        <v>0</v>
      </c>
      <c r="P500">
        <v>0</v>
      </c>
      <c r="Q500">
        <v>0</v>
      </c>
      <c r="R500">
        <v>0</v>
      </c>
      <c r="S500">
        <v>0</v>
      </c>
    </row>
    <row r="501" spans="1:19" x14ac:dyDescent="0.2">
      <c r="A501" s="6" t="s">
        <v>102</v>
      </c>
      <c r="B501" s="90" t="s">
        <v>158</v>
      </c>
      <c r="C501" s="90">
        <v>8</v>
      </c>
      <c r="D501" s="93">
        <v>0</v>
      </c>
      <c r="E501" s="93">
        <v>0</v>
      </c>
      <c r="F501" s="88">
        <f t="shared" si="159"/>
        <v>0</v>
      </c>
      <c r="G501" s="88">
        <f t="shared" si="160"/>
        <v>0</v>
      </c>
      <c r="H501" s="88">
        <v>0</v>
      </c>
      <c r="I501" s="88">
        <v>0</v>
      </c>
      <c r="J501" s="88">
        <f t="shared" si="161"/>
        <v>0</v>
      </c>
      <c r="K501" s="88">
        <f t="shared" si="162"/>
        <v>0</v>
      </c>
      <c r="L501" s="90">
        <v>0</v>
      </c>
      <c r="M501" s="91">
        <v>0</v>
      </c>
      <c r="N501" s="92">
        <f t="shared" si="163"/>
        <v>0</v>
      </c>
      <c r="O501" s="92">
        <f t="shared" si="164"/>
        <v>0</v>
      </c>
      <c r="P501">
        <v>16</v>
      </c>
      <c r="Q501">
        <v>1764</v>
      </c>
      <c r="R501">
        <v>16</v>
      </c>
      <c r="S501">
        <v>1764</v>
      </c>
    </row>
    <row r="502" spans="1:19" x14ac:dyDescent="0.2">
      <c r="A502" s="6" t="s">
        <v>102</v>
      </c>
      <c r="B502" s="90" t="s">
        <v>159</v>
      </c>
      <c r="C502" s="90">
        <v>9</v>
      </c>
      <c r="D502" s="93">
        <v>0</v>
      </c>
      <c r="E502" s="93">
        <v>0</v>
      </c>
      <c r="F502" s="88">
        <f t="shared" si="159"/>
        <v>0</v>
      </c>
      <c r="G502" s="88">
        <f t="shared" si="160"/>
        <v>0</v>
      </c>
      <c r="H502" s="88">
        <v>0</v>
      </c>
      <c r="I502" s="88">
        <v>0</v>
      </c>
      <c r="J502" s="88">
        <f t="shared" si="161"/>
        <v>0</v>
      </c>
      <c r="K502" s="88">
        <f t="shared" si="162"/>
        <v>0</v>
      </c>
      <c r="L502" s="90">
        <v>0</v>
      </c>
      <c r="M502" s="91">
        <v>0</v>
      </c>
      <c r="N502" s="92">
        <f t="shared" si="163"/>
        <v>0</v>
      </c>
      <c r="O502" s="92">
        <f t="shared" si="164"/>
        <v>0</v>
      </c>
      <c r="P502">
        <v>14</v>
      </c>
      <c r="Q502">
        <v>957.5</v>
      </c>
      <c r="R502">
        <v>30</v>
      </c>
      <c r="S502">
        <v>2721.5</v>
      </c>
    </row>
    <row r="503" spans="1:19" x14ac:dyDescent="0.2">
      <c r="A503" s="6" t="s">
        <v>102</v>
      </c>
      <c r="B503" s="90" t="s">
        <v>160</v>
      </c>
      <c r="C503" s="90">
        <v>10</v>
      </c>
      <c r="D503" s="93">
        <v>0</v>
      </c>
      <c r="E503" s="93">
        <v>0</v>
      </c>
      <c r="F503" s="88">
        <f t="shared" si="159"/>
        <v>0</v>
      </c>
      <c r="G503" s="88">
        <f t="shared" si="160"/>
        <v>0</v>
      </c>
      <c r="H503" s="88">
        <v>0</v>
      </c>
      <c r="I503" s="88">
        <v>0</v>
      </c>
      <c r="J503" s="88">
        <f t="shared" si="161"/>
        <v>0</v>
      </c>
      <c r="K503" s="88">
        <f t="shared" si="162"/>
        <v>0</v>
      </c>
      <c r="L503" s="90">
        <v>4</v>
      </c>
      <c r="M503" s="91">
        <v>1539.76</v>
      </c>
      <c r="N503" s="92">
        <f t="shared" si="163"/>
        <v>4</v>
      </c>
      <c r="O503" s="92">
        <f t="shared" si="164"/>
        <v>1539.76</v>
      </c>
      <c r="P503">
        <v>0</v>
      </c>
      <c r="Q503">
        <v>0</v>
      </c>
      <c r="R503">
        <v>30</v>
      </c>
      <c r="S503">
        <v>2721.5</v>
      </c>
    </row>
    <row r="504" spans="1:19" x14ac:dyDescent="0.2">
      <c r="A504" s="6" t="s">
        <v>102</v>
      </c>
      <c r="B504" s="90" t="s">
        <v>161</v>
      </c>
      <c r="C504" s="90">
        <v>11</v>
      </c>
      <c r="D504" s="93">
        <v>0</v>
      </c>
      <c r="E504" s="93">
        <v>0</v>
      </c>
      <c r="F504" s="88">
        <f t="shared" si="159"/>
        <v>0</v>
      </c>
      <c r="G504" s="88">
        <f t="shared" si="160"/>
        <v>0</v>
      </c>
      <c r="H504" s="88">
        <v>0</v>
      </c>
      <c r="I504" s="88">
        <v>0</v>
      </c>
      <c r="J504" s="88">
        <f t="shared" si="161"/>
        <v>0</v>
      </c>
      <c r="K504" s="88">
        <f t="shared" si="162"/>
        <v>0</v>
      </c>
      <c r="L504" s="90">
        <v>4</v>
      </c>
      <c r="M504" s="91">
        <v>1861.1</v>
      </c>
      <c r="N504" s="92">
        <f t="shared" si="163"/>
        <v>8</v>
      </c>
      <c r="O504" s="92">
        <f t="shared" si="164"/>
        <v>3400.8599999999997</v>
      </c>
      <c r="P504" s="86"/>
      <c r="Q504" s="86">
        <v>0</v>
      </c>
    </row>
    <row r="505" spans="1:19" x14ac:dyDescent="0.2">
      <c r="A505" s="6" t="s">
        <v>102</v>
      </c>
      <c r="B505" s="90" t="s">
        <v>162</v>
      </c>
      <c r="C505" s="90">
        <v>12</v>
      </c>
      <c r="D505" s="93">
        <v>0</v>
      </c>
      <c r="E505" s="93">
        <v>0</v>
      </c>
      <c r="F505" s="88">
        <f t="shared" si="159"/>
        <v>0</v>
      </c>
      <c r="G505" s="88">
        <f t="shared" si="160"/>
        <v>0</v>
      </c>
      <c r="H505" s="88">
        <v>0</v>
      </c>
      <c r="I505" s="88">
        <v>0</v>
      </c>
      <c r="J505" s="88">
        <f t="shared" si="161"/>
        <v>0</v>
      </c>
      <c r="K505" s="88">
        <f t="shared" si="162"/>
        <v>0</v>
      </c>
      <c r="L505" s="90">
        <v>0</v>
      </c>
      <c r="M505" s="91">
        <v>0</v>
      </c>
      <c r="N505" s="92">
        <f t="shared" si="163"/>
        <v>8</v>
      </c>
      <c r="O505" s="92">
        <f t="shared" si="164"/>
        <v>3400.8599999999997</v>
      </c>
      <c r="P505" s="86"/>
      <c r="Q505" s="86">
        <v>0</v>
      </c>
    </row>
    <row r="506" spans="1:19" x14ac:dyDescent="0.2">
      <c r="A506" s="6" t="s">
        <v>106</v>
      </c>
      <c r="B506" s="90" t="s">
        <v>151</v>
      </c>
      <c r="C506" s="90">
        <v>1</v>
      </c>
      <c r="D506" s="93">
        <v>2</v>
      </c>
      <c r="E506" s="93">
        <v>11250</v>
      </c>
      <c r="F506" s="88">
        <f>D506</f>
        <v>2</v>
      </c>
      <c r="G506" s="88">
        <f>E506</f>
        <v>11250</v>
      </c>
      <c r="H506" s="89">
        <v>0</v>
      </c>
      <c r="I506" s="89">
        <v>0</v>
      </c>
      <c r="J506" s="89">
        <f>H506</f>
        <v>0</v>
      </c>
      <c r="K506" s="89">
        <f>I506</f>
        <v>0</v>
      </c>
      <c r="L506" s="90">
        <v>1</v>
      </c>
      <c r="M506" s="91">
        <v>5000</v>
      </c>
      <c r="N506" s="92">
        <f>L506</f>
        <v>1</v>
      </c>
      <c r="O506" s="92">
        <f>M506</f>
        <v>5000</v>
      </c>
      <c r="P506">
        <v>3</v>
      </c>
      <c r="Q506">
        <v>10515</v>
      </c>
      <c r="R506">
        <v>3</v>
      </c>
      <c r="S506">
        <v>10515</v>
      </c>
    </row>
    <row r="507" spans="1:19" x14ac:dyDescent="0.2">
      <c r="A507" s="6" t="s">
        <v>106</v>
      </c>
      <c r="B507" s="90" t="s">
        <v>152</v>
      </c>
      <c r="C507" s="90">
        <v>2</v>
      </c>
      <c r="D507" s="93">
        <v>3</v>
      </c>
      <c r="E507" s="93">
        <v>5605</v>
      </c>
      <c r="F507" s="88">
        <f t="shared" ref="F507:G517" si="165">F506+D507</f>
        <v>5</v>
      </c>
      <c r="G507" s="88">
        <f t="shared" si="165"/>
        <v>16855</v>
      </c>
      <c r="H507" s="89">
        <v>7</v>
      </c>
      <c r="I507" s="89">
        <v>10000</v>
      </c>
      <c r="J507" s="89">
        <f t="shared" ref="J507:K517" si="166">J506+H507</f>
        <v>7</v>
      </c>
      <c r="K507" s="89">
        <f t="shared" si="166"/>
        <v>10000</v>
      </c>
      <c r="L507" s="90">
        <v>0</v>
      </c>
      <c r="M507" s="91">
        <v>0</v>
      </c>
      <c r="N507" s="92">
        <f t="shared" ref="N507:N517" si="167">N506+L507</f>
        <v>1</v>
      </c>
      <c r="O507" s="92">
        <f t="shared" ref="O507:O517" si="168">O506+M507</f>
        <v>5000</v>
      </c>
      <c r="P507">
        <v>0</v>
      </c>
      <c r="Q507">
        <v>0</v>
      </c>
      <c r="R507">
        <v>3</v>
      </c>
      <c r="S507">
        <v>10515</v>
      </c>
    </row>
    <row r="508" spans="1:19" x14ac:dyDescent="0.2">
      <c r="A508" s="6" t="s">
        <v>106</v>
      </c>
      <c r="B508" s="90" t="s">
        <v>153</v>
      </c>
      <c r="C508" s="90">
        <v>3</v>
      </c>
      <c r="D508" s="93">
        <v>3</v>
      </c>
      <c r="E508" s="93">
        <v>8000</v>
      </c>
      <c r="F508" s="88">
        <f t="shared" si="165"/>
        <v>8</v>
      </c>
      <c r="G508" s="88">
        <f t="shared" si="165"/>
        <v>24855</v>
      </c>
      <c r="H508" s="89">
        <v>9</v>
      </c>
      <c r="I508" s="89">
        <v>11110</v>
      </c>
      <c r="J508" s="89">
        <f t="shared" si="166"/>
        <v>16</v>
      </c>
      <c r="K508" s="89">
        <f t="shared" si="166"/>
        <v>21110</v>
      </c>
      <c r="L508" s="90">
        <v>1</v>
      </c>
      <c r="M508" s="91">
        <v>4000</v>
      </c>
      <c r="N508" s="92">
        <f t="shared" si="167"/>
        <v>2</v>
      </c>
      <c r="O508" s="92">
        <f t="shared" si="168"/>
        <v>9000</v>
      </c>
      <c r="P508">
        <v>1</v>
      </c>
      <c r="Q508">
        <v>5810</v>
      </c>
      <c r="R508">
        <v>4</v>
      </c>
      <c r="S508">
        <v>16325</v>
      </c>
    </row>
    <row r="509" spans="1:19" x14ac:dyDescent="0.2">
      <c r="A509" s="6" t="s">
        <v>106</v>
      </c>
      <c r="B509" s="90" t="s">
        <v>154</v>
      </c>
      <c r="C509" s="90">
        <v>4</v>
      </c>
      <c r="D509" s="93">
        <v>0</v>
      </c>
      <c r="E509" s="93">
        <v>0</v>
      </c>
      <c r="F509" s="88">
        <f t="shared" si="165"/>
        <v>8</v>
      </c>
      <c r="G509" s="88">
        <f t="shared" si="165"/>
        <v>24855</v>
      </c>
      <c r="H509" s="89">
        <v>0</v>
      </c>
      <c r="I509" s="89">
        <v>0</v>
      </c>
      <c r="J509" s="89">
        <f t="shared" si="166"/>
        <v>16</v>
      </c>
      <c r="K509" s="89">
        <f t="shared" si="166"/>
        <v>21110</v>
      </c>
      <c r="L509" s="90">
        <v>2</v>
      </c>
      <c r="M509" s="91">
        <v>8820</v>
      </c>
      <c r="N509" s="92">
        <f t="shared" si="167"/>
        <v>4</v>
      </c>
      <c r="O509" s="92">
        <f t="shared" si="168"/>
        <v>17820</v>
      </c>
      <c r="P509">
        <v>1</v>
      </c>
      <c r="Q509">
        <v>5400</v>
      </c>
      <c r="R509">
        <v>5</v>
      </c>
      <c r="S509">
        <v>21725</v>
      </c>
    </row>
    <row r="510" spans="1:19" x14ac:dyDescent="0.2">
      <c r="A510" s="6" t="s">
        <v>106</v>
      </c>
      <c r="B510" s="90" t="s">
        <v>155</v>
      </c>
      <c r="C510" s="90">
        <v>5</v>
      </c>
      <c r="D510" s="93">
        <v>6</v>
      </c>
      <c r="E510" s="88">
        <v>16938</v>
      </c>
      <c r="F510" s="88">
        <f t="shared" si="165"/>
        <v>14</v>
      </c>
      <c r="G510" s="88">
        <f t="shared" si="165"/>
        <v>41793</v>
      </c>
      <c r="H510" s="89">
        <v>8</v>
      </c>
      <c r="I510" s="89">
        <v>12600</v>
      </c>
      <c r="J510" s="89">
        <f t="shared" si="166"/>
        <v>24</v>
      </c>
      <c r="K510" s="89">
        <f t="shared" si="166"/>
        <v>33710</v>
      </c>
      <c r="L510" s="90">
        <v>3</v>
      </c>
      <c r="M510" s="91">
        <v>7350</v>
      </c>
      <c r="N510" s="92">
        <f t="shared" si="167"/>
        <v>7</v>
      </c>
      <c r="O510" s="92">
        <f t="shared" si="168"/>
        <v>25170</v>
      </c>
      <c r="P510">
        <v>0</v>
      </c>
      <c r="Q510">
        <v>0</v>
      </c>
      <c r="R510">
        <v>5</v>
      </c>
      <c r="S510">
        <v>21725</v>
      </c>
    </row>
    <row r="511" spans="1:19" x14ac:dyDescent="0.2">
      <c r="A511" s="6" t="s">
        <v>106</v>
      </c>
      <c r="B511" s="90" t="s">
        <v>156</v>
      </c>
      <c r="C511" s="90">
        <v>6</v>
      </c>
      <c r="D511" s="93">
        <v>1</v>
      </c>
      <c r="E511" s="93">
        <v>8200</v>
      </c>
      <c r="F511" s="88">
        <f t="shared" si="165"/>
        <v>15</v>
      </c>
      <c r="G511" s="88">
        <f t="shared" si="165"/>
        <v>49993</v>
      </c>
      <c r="H511" s="89">
        <v>0</v>
      </c>
      <c r="I511" s="89">
        <v>0</v>
      </c>
      <c r="J511" s="89">
        <f t="shared" si="166"/>
        <v>24</v>
      </c>
      <c r="K511" s="89">
        <f t="shared" si="166"/>
        <v>33710</v>
      </c>
      <c r="L511" s="90">
        <v>6</v>
      </c>
      <c r="M511" s="91">
        <v>25884</v>
      </c>
      <c r="N511" s="92">
        <f t="shared" si="167"/>
        <v>13</v>
      </c>
      <c r="O511" s="92">
        <f t="shared" si="168"/>
        <v>51054</v>
      </c>
      <c r="P511">
        <v>1</v>
      </c>
      <c r="Q511">
        <v>3600</v>
      </c>
      <c r="R511">
        <v>6</v>
      </c>
      <c r="S511">
        <v>25325</v>
      </c>
    </row>
    <row r="512" spans="1:19" x14ac:dyDescent="0.2">
      <c r="A512" s="6" t="s">
        <v>106</v>
      </c>
      <c r="B512" s="90" t="s">
        <v>157</v>
      </c>
      <c r="C512" s="90">
        <v>7</v>
      </c>
      <c r="D512" s="93">
        <v>0</v>
      </c>
      <c r="E512" s="93">
        <v>0</v>
      </c>
      <c r="F512" s="88">
        <f t="shared" si="165"/>
        <v>15</v>
      </c>
      <c r="G512" s="88">
        <f t="shared" si="165"/>
        <v>49993</v>
      </c>
      <c r="H512" s="89">
        <v>1</v>
      </c>
      <c r="I512" s="89">
        <v>2820</v>
      </c>
      <c r="J512" s="89">
        <f t="shared" si="166"/>
        <v>25</v>
      </c>
      <c r="K512" s="89">
        <f t="shared" si="166"/>
        <v>36530</v>
      </c>
      <c r="L512" s="90">
        <v>2</v>
      </c>
      <c r="M512" s="91">
        <v>3500</v>
      </c>
      <c r="N512" s="92">
        <f t="shared" si="167"/>
        <v>15</v>
      </c>
      <c r="O512" s="92">
        <f t="shared" si="168"/>
        <v>54554</v>
      </c>
      <c r="P512">
        <v>2</v>
      </c>
      <c r="Q512">
        <v>8544</v>
      </c>
      <c r="R512">
        <v>8</v>
      </c>
      <c r="S512">
        <v>33869</v>
      </c>
    </row>
    <row r="513" spans="1:19" x14ac:dyDescent="0.2">
      <c r="A513" s="6" t="s">
        <v>106</v>
      </c>
      <c r="B513" s="90" t="s">
        <v>158</v>
      </c>
      <c r="C513" s="90">
        <v>8</v>
      </c>
      <c r="D513" s="93">
        <v>0</v>
      </c>
      <c r="E513" s="93">
        <v>0</v>
      </c>
      <c r="F513" s="88">
        <f t="shared" si="165"/>
        <v>15</v>
      </c>
      <c r="G513" s="88">
        <f t="shared" si="165"/>
        <v>49993</v>
      </c>
      <c r="H513" s="89">
        <v>0</v>
      </c>
      <c r="I513" s="89">
        <v>0</v>
      </c>
      <c r="J513" s="89">
        <f t="shared" si="166"/>
        <v>25</v>
      </c>
      <c r="K513" s="89">
        <f t="shared" si="166"/>
        <v>36530</v>
      </c>
      <c r="L513" s="90">
        <v>14</v>
      </c>
      <c r="M513" s="91">
        <v>71741</v>
      </c>
      <c r="N513" s="92">
        <f t="shared" si="167"/>
        <v>29</v>
      </c>
      <c r="O513" s="92">
        <f t="shared" si="168"/>
        <v>126295</v>
      </c>
      <c r="P513">
        <v>3</v>
      </c>
      <c r="Q513">
        <v>9320</v>
      </c>
      <c r="R513">
        <v>11</v>
      </c>
      <c r="S513">
        <v>43189</v>
      </c>
    </row>
    <row r="514" spans="1:19" x14ac:dyDescent="0.2">
      <c r="A514" s="6" t="s">
        <v>106</v>
      </c>
      <c r="B514" s="90" t="s">
        <v>159</v>
      </c>
      <c r="C514" s="90">
        <v>9</v>
      </c>
      <c r="D514" s="93">
        <v>9</v>
      </c>
      <c r="E514" s="88">
        <v>17830.75</v>
      </c>
      <c r="F514" s="88">
        <f t="shared" si="165"/>
        <v>24</v>
      </c>
      <c r="G514" s="88">
        <f t="shared" si="165"/>
        <v>67823.75</v>
      </c>
      <c r="H514" s="89">
        <v>1</v>
      </c>
      <c r="I514" s="89">
        <v>2500</v>
      </c>
      <c r="J514" s="89">
        <f t="shared" si="166"/>
        <v>26</v>
      </c>
      <c r="K514" s="89">
        <f t="shared" si="166"/>
        <v>39030</v>
      </c>
      <c r="L514" s="90">
        <v>1</v>
      </c>
      <c r="M514" s="91">
        <v>7000</v>
      </c>
      <c r="N514" s="92">
        <f t="shared" si="167"/>
        <v>30</v>
      </c>
      <c r="O514" s="92">
        <f t="shared" si="168"/>
        <v>133295</v>
      </c>
      <c r="P514">
        <v>2</v>
      </c>
      <c r="Q514">
        <v>6750</v>
      </c>
      <c r="R514">
        <v>13</v>
      </c>
      <c r="S514">
        <v>49939</v>
      </c>
    </row>
    <row r="515" spans="1:19" x14ac:dyDescent="0.2">
      <c r="A515" s="6" t="s">
        <v>106</v>
      </c>
      <c r="B515" s="90" t="s">
        <v>160</v>
      </c>
      <c r="C515" s="90">
        <v>10</v>
      </c>
      <c r="D515" s="93">
        <v>1</v>
      </c>
      <c r="E515" s="93">
        <v>2670</v>
      </c>
      <c r="F515" s="88">
        <f t="shared" si="165"/>
        <v>25</v>
      </c>
      <c r="G515" s="88">
        <f t="shared" si="165"/>
        <v>70493.75</v>
      </c>
      <c r="H515" s="89">
        <v>6</v>
      </c>
      <c r="I515" s="89">
        <v>17900</v>
      </c>
      <c r="J515" s="89">
        <f t="shared" si="166"/>
        <v>32</v>
      </c>
      <c r="K515" s="89">
        <f t="shared" si="166"/>
        <v>56930</v>
      </c>
      <c r="L515" s="90">
        <v>3</v>
      </c>
      <c r="M515" s="91">
        <v>8372</v>
      </c>
      <c r="N515" s="92">
        <f t="shared" si="167"/>
        <v>33</v>
      </c>
      <c r="O515" s="92">
        <f t="shared" si="168"/>
        <v>141667</v>
      </c>
      <c r="P515">
        <v>0</v>
      </c>
      <c r="Q515">
        <v>0</v>
      </c>
      <c r="R515">
        <v>13</v>
      </c>
      <c r="S515">
        <v>49939</v>
      </c>
    </row>
    <row r="516" spans="1:19" x14ac:dyDescent="0.2">
      <c r="A516" s="6" t="s">
        <v>106</v>
      </c>
      <c r="B516" s="90" t="s">
        <v>161</v>
      </c>
      <c r="C516" s="90">
        <v>11</v>
      </c>
      <c r="D516" s="93">
        <v>1</v>
      </c>
      <c r="E516" s="93">
        <v>1200</v>
      </c>
      <c r="F516" s="88">
        <f t="shared" si="165"/>
        <v>26</v>
      </c>
      <c r="G516" s="88">
        <f t="shared" si="165"/>
        <v>71693.75</v>
      </c>
      <c r="H516" s="89">
        <v>12</v>
      </c>
      <c r="I516" s="89">
        <v>46175</v>
      </c>
      <c r="J516" s="89">
        <f t="shared" si="166"/>
        <v>44</v>
      </c>
      <c r="K516" s="89">
        <f t="shared" si="166"/>
        <v>103105</v>
      </c>
      <c r="L516" s="90">
        <v>0</v>
      </c>
      <c r="M516" s="91">
        <v>0</v>
      </c>
      <c r="N516" s="92">
        <f t="shared" si="167"/>
        <v>33</v>
      </c>
      <c r="O516" s="92">
        <f t="shared" si="168"/>
        <v>141667</v>
      </c>
      <c r="P516" s="86"/>
      <c r="Q516" s="86">
        <v>0</v>
      </c>
    </row>
    <row r="517" spans="1:19" x14ac:dyDescent="0.2">
      <c r="A517" s="6" t="s">
        <v>106</v>
      </c>
      <c r="B517" s="90" t="s">
        <v>162</v>
      </c>
      <c r="C517" s="90">
        <v>12</v>
      </c>
      <c r="D517" s="93">
        <v>5</v>
      </c>
      <c r="E517" s="88">
        <v>11700</v>
      </c>
      <c r="F517" s="88">
        <f t="shared" si="165"/>
        <v>31</v>
      </c>
      <c r="G517" s="88">
        <f t="shared" si="165"/>
        <v>83393.75</v>
      </c>
      <c r="H517" s="89">
        <v>5</v>
      </c>
      <c r="I517" s="89">
        <v>12808</v>
      </c>
      <c r="J517" s="89">
        <f t="shared" si="166"/>
        <v>49</v>
      </c>
      <c r="K517" s="89">
        <f t="shared" si="166"/>
        <v>115913</v>
      </c>
      <c r="L517" s="90">
        <v>9</v>
      </c>
      <c r="M517" s="91">
        <v>28390.04</v>
      </c>
      <c r="N517" s="92">
        <f t="shared" si="167"/>
        <v>42</v>
      </c>
      <c r="O517" s="92">
        <f t="shared" si="168"/>
        <v>170057.04</v>
      </c>
      <c r="P517" s="86"/>
      <c r="Q517" s="86">
        <v>0</v>
      </c>
    </row>
    <row r="518" spans="1:19" x14ac:dyDescent="0.2">
      <c r="A518" s="6" t="s">
        <v>31</v>
      </c>
      <c r="B518" s="90" t="s">
        <v>151</v>
      </c>
      <c r="C518" s="90">
        <v>1</v>
      </c>
      <c r="D518" s="93">
        <v>0</v>
      </c>
      <c r="E518" s="93">
        <v>0</v>
      </c>
      <c r="F518" s="88">
        <f>D518</f>
        <v>0</v>
      </c>
      <c r="G518" s="88">
        <f>E518</f>
        <v>0</v>
      </c>
      <c r="H518" s="88">
        <v>0</v>
      </c>
      <c r="I518" s="88">
        <v>0</v>
      </c>
      <c r="J518" s="88">
        <f>H518</f>
        <v>0</v>
      </c>
      <c r="K518" s="88">
        <f>I518</f>
        <v>0</v>
      </c>
      <c r="L518" s="90">
        <v>0</v>
      </c>
      <c r="M518" s="91">
        <v>0</v>
      </c>
      <c r="N518" s="92">
        <f>L518</f>
        <v>0</v>
      </c>
      <c r="O518" s="92">
        <f>M518</f>
        <v>0</v>
      </c>
      <c r="P518">
        <v>0</v>
      </c>
      <c r="Q518">
        <v>0</v>
      </c>
      <c r="R518">
        <v>0</v>
      </c>
      <c r="S518">
        <v>0</v>
      </c>
    </row>
    <row r="519" spans="1:19" x14ac:dyDescent="0.2">
      <c r="A519" s="6" t="s">
        <v>31</v>
      </c>
      <c r="B519" s="90" t="s">
        <v>152</v>
      </c>
      <c r="C519" s="90">
        <v>2</v>
      </c>
      <c r="D519" s="93">
        <v>0</v>
      </c>
      <c r="E519" s="93">
        <v>0</v>
      </c>
      <c r="F519" s="88">
        <f t="shared" ref="F519:F529" si="169">F518+D519</f>
        <v>0</v>
      </c>
      <c r="G519" s="88">
        <f t="shared" ref="G519:G529" si="170">G518+E519</f>
        <v>0</v>
      </c>
      <c r="H519" s="88">
        <v>0</v>
      </c>
      <c r="I519" s="88">
        <v>0</v>
      </c>
      <c r="J519" s="88">
        <f t="shared" ref="J519:J529" si="171">J518+H519</f>
        <v>0</v>
      </c>
      <c r="K519" s="88">
        <f t="shared" ref="K519:K529" si="172">K518+I519</f>
        <v>0</v>
      </c>
      <c r="L519" s="90">
        <v>0</v>
      </c>
      <c r="M519" s="91">
        <v>0</v>
      </c>
      <c r="N519" s="92">
        <f t="shared" ref="N519:N529" si="173">N518+L519</f>
        <v>0</v>
      </c>
      <c r="O519" s="92">
        <f t="shared" ref="O519:O529" si="174">O518+M519</f>
        <v>0</v>
      </c>
      <c r="P519">
        <v>0</v>
      </c>
      <c r="Q519">
        <v>0</v>
      </c>
      <c r="R519">
        <v>0</v>
      </c>
      <c r="S519">
        <v>0</v>
      </c>
    </row>
    <row r="520" spans="1:19" x14ac:dyDescent="0.2">
      <c r="A520" s="6" t="s">
        <v>31</v>
      </c>
      <c r="B520" s="90" t="s">
        <v>153</v>
      </c>
      <c r="C520" s="90">
        <v>3</v>
      </c>
      <c r="D520" s="93">
        <v>0</v>
      </c>
      <c r="E520" s="93">
        <v>0</v>
      </c>
      <c r="F520" s="88">
        <f t="shared" si="169"/>
        <v>0</v>
      </c>
      <c r="G520" s="88">
        <f t="shared" si="170"/>
        <v>0</v>
      </c>
      <c r="H520" s="88">
        <v>0</v>
      </c>
      <c r="I520" s="88">
        <v>0</v>
      </c>
      <c r="J520" s="88">
        <f t="shared" si="171"/>
        <v>0</v>
      </c>
      <c r="K520" s="88">
        <f t="shared" si="172"/>
        <v>0</v>
      </c>
      <c r="L520" s="90">
        <v>0</v>
      </c>
      <c r="M520" s="91">
        <v>0</v>
      </c>
      <c r="N520" s="92">
        <f t="shared" si="173"/>
        <v>0</v>
      </c>
      <c r="O520" s="92">
        <f t="shared" si="174"/>
        <v>0</v>
      </c>
      <c r="P520">
        <v>0</v>
      </c>
      <c r="Q520">
        <v>0</v>
      </c>
      <c r="R520">
        <v>0</v>
      </c>
      <c r="S520">
        <v>0</v>
      </c>
    </row>
    <row r="521" spans="1:19" x14ac:dyDescent="0.2">
      <c r="A521" s="6" t="s">
        <v>31</v>
      </c>
      <c r="B521" s="90" t="s">
        <v>154</v>
      </c>
      <c r="C521" s="90">
        <v>4</v>
      </c>
      <c r="D521" s="93">
        <v>0</v>
      </c>
      <c r="E521" s="93">
        <v>0</v>
      </c>
      <c r="F521" s="88">
        <f t="shared" si="169"/>
        <v>0</v>
      </c>
      <c r="G521" s="88">
        <f t="shared" si="170"/>
        <v>0</v>
      </c>
      <c r="H521" s="88">
        <v>0</v>
      </c>
      <c r="I521" s="88">
        <v>0</v>
      </c>
      <c r="J521" s="88">
        <f t="shared" si="171"/>
        <v>0</v>
      </c>
      <c r="K521" s="88">
        <f t="shared" si="172"/>
        <v>0</v>
      </c>
      <c r="L521" s="90">
        <v>0</v>
      </c>
      <c r="M521" s="91">
        <v>0</v>
      </c>
      <c r="N521" s="92">
        <f t="shared" si="173"/>
        <v>0</v>
      </c>
      <c r="O521" s="92">
        <f t="shared" si="174"/>
        <v>0</v>
      </c>
      <c r="P521">
        <v>0</v>
      </c>
      <c r="Q521">
        <v>0</v>
      </c>
      <c r="R521">
        <v>0</v>
      </c>
      <c r="S521">
        <v>0</v>
      </c>
    </row>
    <row r="522" spans="1:19" x14ac:dyDescent="0.2">
      <c r="A522" s="6" t="s">
        <v>31</v>
      </c>
      <c r="B522" s="90" t="s">
        <v>155</v>
      </c>
      <c r="C522" s="90">
        <v>5</v>
      </c>
      <c r="D522" s="93">
        <v>0</v>
      </c>
      <c r="E522" s="93">
        <v>0</v>
      </c>
      <c r="F522" s="88">
        <f t="shared" si="169"/>
        <v>0</v>
      </c>
      <c r="G522" s="88">
        <f t="shared" si="170"/>
        <v>0</v>
      </c>
      <c r="H522" s="88">
        <v>0</v>
      </c>
      <c r="I522" s="88">
        <v>0</v>
      </c>
      <c r="J522" s="88">
        <f t="shared" si="171"/>
        <v>0</v>
      </c>
      <c r="K522" s="88">
        <f t="shared" si="172"/>
        <v>0</v>
      </c>
      <c r="L522" s="90">
        <v>0</v>
      </c>
      <c r="M522" s="91">
        <v>0</v>
      </c>
      <c r="N522" s="92">
        <f t="shared" si="173"/>
        <v>0</v>
      </c>
      <c r="O522" s="92">
        <f t="shared" si="174"/>
        <v>0</v>
      </c>
      <c r="P522">
        <v>0</v>
      </c>
      <c r="Q522">
        <v>0</v>
      </c>
      <c r="R522">
        <v>0</v>
      </c>
      <c r="S522">
        <v>0</v>
      </c>
    </row>
    <row r="523" spans="1:19" x14ac:dyDescent="0.2">
      <c r="A523" s="6" t="s">
        <v>31</v>
      </c>
      <c r="B523" s="90" t="s">
        <v>156</v>
      </c>
      <c r="C523" s="90">
        <v>6</v>
      </c>
      <c r="D523" s="93">
        <v>0</v>
      </c>
      <c r="E523" s="93">
        <v>0</v>
      </c>
      <c r="F523" s="88">
        <f t="shared" si="169"/>
        <v>0</v>
      </c>
      <c r="G523" s="88">
        <f t="shared" si="170"/>
        <v>0</v>
      </c>
      <c r="H523" s="88">
        <v>0</v>
      </c>
      <c r="I523" s="88">
        <v>0</v>
      </c>
      <c r="J523" s="88">
        <f t="shared" si="171"/>
        <v>0</v>
      </c>
      <c r="K523" s="88">
        <f t="shared" si="172"/>
        <v>0</v>
      </c>
      <c r="L523" s="90">
        <v>0</v>
      </c>
      <c r="M523" s="91">
        <v>0</v>
      </c>
      <c r="N523" s="92">
        <f t="shared" si="173"/>
        <v>0</v>
      </c>
      <c r="O523" s="92">
        <f t="shared" si="174"/>
        <v>0</v>
      </c>
      <c r="P523">
        <v>1</v>
      </c>
      <c r="Q523">
        <v>977.4</v>
      </c>
      <c r="R523">
        <v>1</v>
      </c>
      <c r="S523">
        <v>977.4</v>
      </c>
    </row>
    <row r="524" spans="1:19" x14ac:dyDescent="0.2">
      <c r="A524" s="6" t="s">
        <v>31</v>
      </c>
      <c r="B524" s="90" t="s">
        <v>157</v>
      </c>
      <c r="C524" s="90">
        <v>7</v>
      </c>
      <c r="D524" s="93">
        <v>0</v>
      </c>
      <c r="E524" s="93">
        <v>0</v>
      </c>
      <c r="F524" s="88">
        <f t="shared" si="169"/>
        <v>0</v>
      </c>
      <c r="G524" s="88">
        <f t="shared" si="170"/>
        <v>0</v>
      </c>
      <c r="H524" s="88">
        <v>0</v>
      </c>
      <c r="I524" s="88">
        <v>0</v>
      </c>
      <c r="J524" s="88">
        <f t="shared" si="171"/>
        <v>0</v>
      </c>
      <c r="K524" s="88">
        <f t="shared" si="172"/>
        <v>0</v>
      </c>
      <c r="L524" s="90">
        <v>0</v>
      </c>
      <c r="M524" s="91">
        <v>0</v>
      </c>
      <c r="N524" s="92">
        <f t="shared" si="173"/>
        <v>0</v>
      </c>
      <c r="O524" s="92">
        <f t="shared" si="174"/>
        <v>0</v>
      </c>
      <c r="P524">
        <v>1</v>
      </c>
      <c r="Q524">
        <v>488.7</v>
      </c>
      <c r="R524">
        <v>2</v>
      </c>
      <c r="S524">
        <v>1466.1</v>
      </c>
    </row>
    <row r="525" spans="1:19" x14ac:dyDescent="0.2">
      <c r="A525" s="6" t="s">
        <v>31</v>
      </c>
      <c r="B525" s="90" t="s">
        <v>158</v>
      </c>
      <c r="C525" s="90">
        <v>8</v>
      </c>
      <c r="D525" s="93">
        <v>0</v>
      </c>
      <c r="E525" s="93">
        <v>0</v>
      </c>
      <c r="F525" s="88">
        <f t="shared" si="169"/>
        <v>0</v>
      </c>
      <c r="G525" s="88">
        <f t="shared" si="170"/>
        <v>0</v>
      </c>
      <c r="H525" s="88">
        <v>0</v>
      </c>
      <c r="I525" s="88">
        <v>0</v>
      </c>
      <c r="J525" s="88">
        <f t="shared" si="171"/>
        <v>0</v>
      </c>
      <c r="K525" s="88">
        <f t="shared" si="172"/>
        <v>0</v>
      </c>
      <c r="L525" s="90">
        <v>0</v>
      </c>
      <c r="M525" s="91">
        <v>0</v>
      </c>
      <c r="N525" s="92">
        <f t="shared" si="173"/>
        <v>0</v>
      </c>
      <c r="O525" s="92">
        <f t="shared" si="174"/>
        <v>0</v>
      </c>
      <c r="P525">
        <v>4</v>
      </c>
      <c r="Q525">
        <v>2684.5</v>
      </c>
      <c r="R525">
        <v>6</v>
      </c>
      <c r="S525">
        <v>4150.6000000000004</v>
      </c>
    </row>
    <row r="526" spans="1:19" x14ac:dyDescent="0.2">
      <c r="A526" s="6" t="s">
        <v>31</v>
      </c>
      <c r="B526" s="90" t="s">
        <v>159</v>
      </c>
      <c r="C526" s="90">
        <v>9</v>
      </c>
      <c r="D526" s="93">
        <v>0</v>
      </c>
      <c r="E526" s="93">
        <v>0</v>
      </c>
      <c r="F526" s="88">
        <f t="shared" si="169"/>
        <v>0</v>
      </c>
      <c r="G526" s="88">
        <f t="shared" si="170"/>
        <v>0</v>
      </c>
      <c r="H526" s="88">
        <v>0</v>
      </c>
      <c r="I526" s="88">
        <v>0</v>
      </c>
      <c r="J526" s="88">
        <f t="shared" si="171"/>
        <v>0</v>
      </c>
      <c r="K526" s="88">
        <f t="shared" si="172"/>
        <v>0</v>
      </c>
      <c r="L526" s="90">
        <v>0</v>
      </c>
      <c r="M526" s="91">
        <v>0</v>
      </c>
      <c r="N526" s="92">
        <f t="shared" si="173"/>
        <v>0</v>
      </c>
      <c r="O526" s="92">
        <f t="shared" si="174"/>
        <v>0</v>
      </c>
      <c r="P526">
        <v>0</v>
      </c>
      <c r="Q526">
        <v>0</v>
      </c>
      <c r="R526">
        <v>6</v>
      </c>
      <c r="S526">
        <v>4150.6000000000004</v>
      </c>
    </row>
    <row r="527" spans="1:19" x14ac:dyDescent="0.2">
      <c r="A527" s="6" t="s">
        <v>31</v>
      </c>
      <c r="B527" s="90" t="s">
        <v>160</v>
      </c>
      <c r="C527" s="90">
        <v>10</v>
      </c>
      <c r="D527" s="93">
        <v>0</v>
      </c>
      <c r="E527" s="93">
        <v>0</v>
      </c>
      <c r="F527" s="88">
        <f t="shared" si="169"/>
        <v>0</v>
      </c>
      <c r="G527" s="88">
        <f t="shared" si="170"/>
        <v>0</v>
      </c>
      <c r="H527" s="88">
        <v>0</v>
      </c>
      <c r="I527" s="88">
        <v>0</v>
      </c>
      <c r="J527" s="88">
        <f t="shared" si="171"/>
        <v>0</v>
      </c>
      <c r="K527" s="88">
        <f t="shared" si="172"/>
        <v>0</v>
      </c>
      <c r="L527" s="90">
        <v>0</v>
      </c>
      <c r="M527" s="91">
        <v>0</v>
      </c>
      <c r="N527" s="92">
        <f t="shared" si="173"/>
        <v>0</v>
      </c>
      <c r="O527" s="92">
        <f t="shared" si="174"/>
        <v>0</v>
      </c>
      <c r="P527">
        <v>0</v>
      </c>
      <c r="Q527">
        <v>0</v>
      </c>
      <c r="R527">
        <v>6</v>
      </c>
      <c r="S527">
        <v>4150.6000000000004</v>
      </c>
    </row>
    <row r="528" spans="1:19" x14ac:dyDescent="0.2">
      <c r="A528" s="6" t="s">
        <v>31</v>
      </c>
      <c r="B528" s="90" t="s">
        <v>161</v>
      </c>
      <c r="C528" s="90">
        <v>11</v>
      </c>
      <c r="D528" s="93">
        <v>0</v>
      </c>
      <c r="E528" s="93">
        <v>0</v>
      </c>
      <c r="F528" s="88">
        <f t="shared" si="169"/>
        <v>0</v>
      </c>
      <c r="G528" s="88">
        <f t="shared" si="170"/>
        <v>0</v>
      </c>
      <c r="H528" s="88">
        <v>0</v>
      </c>
      <c r="I528" s="88">
        <v>0</v>
      </c>
      <c r="J528" s="88">
        <f t="shared" si="171"/>
        <v>0</v>
      </c>
      <c r="K528" s="88">
        <f t="shared" si="172"/>
        <v>0</v>
      </c>
      <c r="L528" s="90">
        <v>0</v>
      </c>
      <c r="M528" s="91">
        <v>0</v>
      </c>
      <c r="N528" s="92">
        <f t="shared" si="173"/>
        <v>0</v>
      </c>
      <c r="O528" s="92">
        <f t="shared" si="174"/>
        <v>0</v>
      </c>
      <c r="P528" s="86"/>
      <c r="Q528" s="86">
        <v>0</v>
      </c>
    </row>
    <row r="529" spans="1:19" x14ac:dyDescent="0.2">
      <c r="A529" s="6" t="s">
        <v>31</v>
      </c>
      <c r="B529" s="90" t="s">
        <v>162</v>
      </c>
      <c r="C529" s="90">
        <v>12</v>
      </c>
      <c r="D529" s="93">
        <v>0</v>
      </c>
      <c r="E529" s="93">
        <v>0</v>
      </c>
      <c r="F529" s="88">
        <f t="shared" si="169"/>
        <v>0</v>
      </c>
      <c r="G529" s="88">
        <f t="shared" si="170"/>
        <v>0</v>
      </c>
      <c r="H529" s="88">
        <v>0</v>
      </c>
      <c r="I529" s="88">
        <v>0</v>
      </c>
      <c r="J529" s="88">
        <f t="shared" si="171"/>
        <v>0</v>
      </c>
      <c r="K529" s="88">
        <f t="shared" si="172"/>
        <v>0</v>
      </c>
      <c r="L529" s="90">
        <v>2</v>
      </c>
      <c r="M529" s="91">
        <v>900</v>
      </c>
      <c r="N529" s="92">
        <f t="shared" si="173"/>
        <v>2</v>
      </c>
      <c r="O529" s="92">
        <f t="shared" si="174"/>
        <v>900</v>
      </c>
      <c r="P529" s="86"/>
      <c r="Q529" s="86">
        <v>0</v>
      </c>
    </row>
    <row r="530" spans="1:19" x14ac:dyDescent="0.2">
      <c r="A530" s="6" t="s">
        <v>143</v>
      </c>
      <c r="B530" s="90" t="s">
        <v>151</v>
      </c>
      <c r="C530" s="90">
        <v>1</v>
      </c>
      <c r="D530" s="93">
        <v>1</v>
      </c>
      <c r="E530" s="93">
        <v>4500</v>
      </c>
      <c r="F530" s="88">
        <f>D530</f>
        <v>1</v>
      </c>
      <c r="G530" s="88">
        <f>E530</f>
        <v>4500</v>
      </c>
      <c r="H530" s="89">
        <v>0</v>
      </c>
      <c r="I530" s="89">
        <v>0</v>
      </c>
      <c r="J530" s="89">
        <f>H530</f>
        <v>0</v>
      </c>
      <c r="K530" s="89">
        <f>I530</f>
        <v>0</v>
      </c>
      <c r="L530" s="90">
        <v>0</v>
      </c>
      <c r="M530" s="91">
        <v>0</v>
      </c>
      <c r="N530" s="92">
        <f>L530</f>
        <v>0</v>
      </c>
      <c r="O530" s="92">
        <f>M530</f>
        <v>0</v>
      </c>
      <c r="P530">
        <v>1</v>
      </c>
      <c r="Q530">
        <v>1800</v>
      </c>
      <c r="R530">
        <v>1</v>
      </c>
      <c r="S530">
        <v>1800</v>
      </c>
    </row>
    <row r="531" spans="1:19" x14ac:dyDescent="0.2">
      <c r="A531" s="6" t="s">
        <v>143</v>
      </c>
      <c r="B531" s="90" t="s">
        <v>152</v>
      </c>
      <c r="C531" s="90">
        <v>2</v>
      </c>
      <c r="D531" s="93">
        <v>0</v>
      </c>
      <c r="E531" s="93">
        <v>0</v>
      </c>
      <c r="F531" s="88">
        <f t="shared" ref="F531:G541" si="175">F530+D531</f>
        <v>1</v>
      </c>
      <c r="G531" s="88">
        <f t="shared" si="175"/>
        <v>4500</v>
      </c>
      <c r="H531" s="89">
        <v>0</v>
      </c>
      <c r="I531" s="89">
        <v>0</v>
      </c>
      <c r="J531" s="89">
        <f t="shared" ref="J531:K541" si="176">J530+H531</f>
        <v>0</v>
      </c>
      <c r="K531" s="89">
        <f t="shared" si="176"/>
        <v>0</v>
      </c>
      <c r="L531" s="90">
        <v>3</v>
      </c>
      <c r="M531" s="91">
        <v>3250</v>
      </c>
      <c r="N531" s="92">
        <f t="shared" ref="N531:N541" si="177">N530+L531</f>
        <v>3</v>
      </c>
      <c r="O531" s="92">
        <f t="shared" ref="O531:O541" si="178">O530+M531</f>
        <v>3250</v>
      </c>
      <c r="P531">
        <v>3</v>
      </c>
      <c r="Q531">
        <v>8300</v>
      </c>
      <c r="R531">
        <v>4</v>
      </c>
      <c r="S531">
        <v>10100</v>
      </c>
    </row>
    <row r="532" spans="1:19" x14ac:dyDescent="0.2">
      <c r="A532" s="6" t="s">
        <v>143</v>
      </c>
      <c r="B532" s="90" t="s">
        <v>153</v>
      </c>
      <c r="C532" s="90">
        <v>3</v>
      </c>
      <c r="D532" s="93">
        <v>0</v>
      </c>
      <c r="E532" s="93">
        <v>0</v>
      </c>
      <c r="F532" s="88">
        <f t="shared" si="175"/>
        <v>1</v>
      </c>
      <c r="G532" s="88">
        <f t="shared" si="175"/>
        <v>4500</v>
      </c>
      <c r="H532" s="89">
        <v>3</v>
      </c>
      <c r="I532" s="89">
        <v>10800</v>
      </c>
      <c r="J532" s="89">
        <f t="shared" si="176"/>
        <v>3</v>
      </c>
      <c r="K532" s="89">
        <f t="shared" si="176"/>
        <v>10800</v>
      </c>
      <c r="L532" s="90">
        <v>1</v>
      </c>
      <c r="M532" s="91">
        <v>300</v>
      </c>
      <c r="N532" s="92">
        <f t="shared" si="177"/>
        <v>4</v>
      </c>
      <c r="O532" s="92">
        <f t="shared" si="178"/>
        <v>3550</v>
      </c>
      <c r="P532">
        <v>2</v>
      </c>
      <c r="Q532">
        <v>6750</v>
      </c>
      <c r="R532">
        <v>6</v>
      </c>
      <c r="S532">
        <v>16850</v>
      </c>
    </row>
    <row r="533" spans="1:19" x14ac:dyDescent="0.2">
      <c r="A533" s="6" t="s">
        <v>143</v>
      </c>
      <c r="B533" s="90" t="s">
        <v>154</v>
      </c>
      <c r="C533" s="90">
        <v>4</v>
      </c>
      <c r="D533" s="93">
        <v>1</v>
      </c>
      <c r="E533" s="93">
        <v>8750</v>
      </c>
      <c r="F533" s="88">
        <f t="shared" si="175"/>
        <v>2</v>
      </c>
      <c r="G533" s="88">
        <f t="shared" si="175"/>
        <v>13250</v>
      </c>
      <c r="H533" s="89">
        <v>1</v>
      </c>
      <c r="I533" s="89">
        <v>5400</v>
      </c>
      <c r="J533" s="89">
        <f t="shared" si="176"/>
        <v>4</v>
      </c>
      <c r="K533" s="89">
        <f t="shared" si="176"/>
        <v>16200</v>
      </c>
      <c r="L533" s="90">
        <v>1</v>
      </c>
      <c r="M533" s="91">
        <v>200</v>
      </c>
      <c r="N533" s="92">
        <f t="shared" si="177"/>
        <v>5</v>
      </c>
      <c r="O533" s="92">
        <f t="shared" si="178"/>
        <v>3750</v>
      </c>
      <c r="P533">
        <v>1</v>
      </c>
      <c r="Q533">
        <v>2150</v>
      </c>
      <c r="R533">
        <v>7</v>
      </c>
      <c r="S533">
        <v>19000</v>
      </c>
    </row>
    <row r="534" spans="1:19" x14ac:dyDescent="0.2">
      <c r="A534" s="6" t="s">
        <v>143</v>
      </c>
      <c r="B534" s="90" t="s">
        <v>155</v>
      </c>
      <c r="C534" s="90">
        <v>5</v>
      </c>
      <c r="D534" s="93">
        <v>0</v>
      </c>
      <c r="E534" s="93">
        <v>0</v>
      </c>
      <c r="F534" s="88">
        <f t="shared" si="175"/>
        <v>2</v>
      </c>
      <c r="G534" s="88">
        <f t="shared" si="175"/>
        <v>13250</v>
      </c>
      <c r="H534" s="89">
        <v>0</v>
      </c>
      <c r="I534" s="89">
        <v>0</v>
      </c>
      <c r="J534" s="89">
        <f t="shared" si="176"/>
        <v>4</v>
      </c>
      <c r="K534" s="89">
        <f t="shared" si="176"/>
        <v>16200</v>
      </c>
      <c r="L534" s="90">
        <v>1</v>
      </c>
      <c r="M534" s="91">
        <v>1500</v>
      </c>
      <c r="N534" s="92">
        <f t="shared" si="177"/>
        <v>6</v>
      </c>
      <c r="O534" s="92">
        <f t="shared" si="178"/>
        <v>5250</v>
      </c>
      <c r="P534">
        <v>1</v>
      </c>
      <c r="Q534">
        <v>7400</v>
      </c>
      <c r="R534">
        <v>8</v>
      </c>
      <c r="S534">
        <v>26400</v>
      </c>
    </row>
    <row r="535" spans="1:19" x14ac:dyDescent="0.2">
      <c r="A535" s="6" t="s">
        <v>143</v>
      </c>
      <c r="B535" s="90" t="s">
        <v>156</v>
      </c>
      <c r="C535" s="90">
        <v>6</v>
      </c>
      <c r="D535" s="93">
        <v>2</v>
      </c>
      <c r="E535" s="93">
        <v>7500</v>
      </c>
      <c r="F535" s="88">
        <f t="shared" si="175"/>
        <v>4</v>
      </c>
      <c r="G535" s="88">
        <f t="shared" si="175"/>
        <v>20750</v>
      </c>
      <c r="H535" s="89">
        <v>0</v>
      </c>
      <c r="I535" s="89">
        <v>0</v>
      </c>
      <c r="J535" s="89">
        <f t="shared" si="176"/>
        <v>4</v>
      </c>
      <c r="K535" s="89">
        <f t="shared" si="176"/>
        <v>16200</v>
      </c>
      <c r="L535" s="90">
        <v>0</v>
      </c>
      <c r="M535" s="91">
        <v>0</v>
      </c>
      <c r="N535" s="92">
        <f t="shared" si="177"/>
        <v>6</v>
      </c>
      <c r="O535" s="92">
        <f t="shared" si="178"/>
        <v>5250</v>
      </c>
      <c r="P535">
        <v>2</v>
      </c>
      <c r="Q535">
        <v>3570</v>
      </c>
      <c r="R535">
        <v>10</v>
      </c>
      <c r="S535">
        <v>29970</v>
      </c>
    </row>
    <row r="536" spans="1:19" x14ac:dyDescent="0.2">
      <c r="A536" s="6" t="s">
        <v>143</v>
      </c>
      <c r="B536" s="90" t="s">
        <v>157</v>
      </c>
      <c r="C536" s="90">
        <v>7</v>
      </c>
      <c r="D536" s="93">
        <v>2</v>
      </c>
      <c r="E536" s="93">
        <v>25000</v>
      </c>
      <c r="F536" s="88">
        <f t="shared" si="175"/>
        <v>6</v>
      </c>
      <c r="G536" s="88">
        <f t="shared" si="175"/>
        <v>45750</v>
      </c>
      <c r="H536" s="89">
        <v>2</v>
      </c>
      <c r="I536" s="89">
        <v>3500</v>
      </c>
      <c r="J536" s="89">
        <f t="shared" si="176"/>
        <v>6</v>
      </c>
      <c r="K536" s="89">
        <f t="shared" si="176"/>
        <v>19700</v>
      </c>
      <c r="L536" s="90">
        <v>4</v>
      </c>
      <c r="M536" s="91">
        <v>6400</v>
      </c>
      <c r="N536" s="92">
        <f t="shared" si="177"/>
        <v>10</v>
      </c>
      <c r="O536" s="92">
        <f t="shared" si="178"/>
        <v>11650</v>
      </c>
      <c r="P536">
        <v>3</v>
      </c>
      <c r="Q536">
        <v>12980</v>
      </c>
      <c r="R536">
        <v>13</v>
      </c>
      <c r="S536">
        <v>42950</v>
      </c>
    </row>
    <row r="537" spans="1:19" x14ac:dyDescent="0.2">
      <c r="A537" s="6" t="s">
        <v>143</v>
      </c>
      <c r="B537" s="90" t="s">
        <v>158</v>
      </c>
      <c r="C537" s="90">
        <v>8</v>
      </c>
      <c r="D537" s="93">
        <v>3</v>
      </c>
      <c r="E537" s="88">
        <v>23000</v>
      </c>
      <c r="F537" s="88">
        <f t="shared" si="175"/>
        <v>9</v>
      </c>
      <c r="G537" s="88">
        <f t="shared" si="175"/>
        <v>68750</v>
      </c>
      <c r="H537" s="89">
        <v>1</v>
      </c>
      <c r="I537" s="89">
        <v>2000</v>
      </c>
      <c r="J537" s="89">
        <f t="shared" si="176"/>
        <v>7</v>
      </c>
      <c r="K537" s="89">
        <f t="shared" si="176"/>
        <v>21700</v>
      </c>
      <c r="L537" s="90">
        <v>2</v>
      </c>
      <c r="M537" s="91">
        <v>5100</v>
      </c>
      <c r="N537" s="92">
        <f t="shared" si="177"/>
        <v>12</v>
      </c>
      <c r="O537" s="92">
        <f t="shared" si="178"/>
        <v>16750</v>
      </c>
      <c r="P537">
        <v>1</v>
      </c>
      <c r="Q537">
        <v>200</v>
      </c>
      <c r="R537">
        <v>14</v>
      </c>
      <c r="S537">
        <v>43150</v>
      </c>
    </row>
    <row r="538" spans="1:19" x14ac:dyDescent="0.2">
      <c r="A538" s="6" t="s">
        <v>143</v>
      </c>
      <c r="B538" s="90" t="s">
        <v>159</v>
      </c>
      <c r="C538" s="90">
        <v>9</v>
      </c>
      <c r="D538" s="93">
        <v>1</v>
      </c>
      <c r="E538" s="93">
        <v>4286</v>
      </c>
      <c r="F538" s="88">
        <f t="shared" si="175"/>
        <v>10</v>
      </c>
      <c r="G538" s="88">
        <f t="shared" si="175"/>
        <v>73036</v>
      </c>
      <c r="H538" s="89">
        <v>3</v>
      </c>
      <c r="I538" s="89">
        <v>21000</v>
      </c>
      <c r="J538" s="89">
        <f t="shared" si="176"/>
        <v>10</v>
      </c>
      <c r="K538" s="89">
        <f t="shared" si="176"/>
        <v>42700</v>
      </c>
      <c r="L538" s="90">
        <v>0</v>
      </c>
      <c r="M538" s="91">
        <v>0</v>
      </c>
      <c r="N538" s="92">
        <f t="shared" si="177"/>
        <v>12</v>
      </c>
      <c r="O538" s="92">
        <f t="shared" si="178"/>
        <v>16750</v>
      </c>
      <c r="P538">
        <v>3</v>
      </c>
      <c r="Q538">
        <v>13650</v>
      </c>
      <c r="R538">
        <v>17</v>
      </c>
      <c r="S538">
        <v>56800</v>
      </c>
    </row>
    <row r="539" spans="1:19" x14ac:dyDescent="0.2">
      <c r="A539" s="6" t="s">
        <v>143</v>
      </c>
      <c r="B539" s="90" t="s">
        <v>160</v>
      </c>
      <c r="C539" s="90">
        <v>10</v>
      </c>
      <c r="D539" s="93">
        <v>1</v>
      </c>
      <c r="E539" s="93">
        <v>2600</v>
      </c>
      <c r="F539" s="88">
        <f t="shared" si="175"/>
        <v>11</v>
      </c>
      <c r="G539" s="88">
        <f t="shared" si="175"/>
        <v>75636</v>
      </c>
      <c r="H539" s="89">
        <v>2</v>
      </c>
      <c r="I539" s="89">
        <v>3900</v>
      </c>
      <c r="J539" s="89">
        <f t="shared" si="176"/>
        <v>12</v>
      </c>
      <c r="K539" s="89">
        <f t="shared" si="176"/>
        <v>46600</v>
      </c>
      <c r="L539" s="90">
        <v>1</v>
      </c>
      <c r="M539" s="91">
        <v>3300</v>
      </c>
      <c r="N539" s="92">
        <f t="shared" si="177"/>
        <v>13</v>
      </c>
      <c r="O539" s="92">
        <f t="shared" si="178"/>
        <v>20050</v>
      </c>
      <c r="P539">
        <v>0</v>
      </c>
      <c r="Q539">
        <v>0</v>
      </c>
      <c r="R539">
        <v>17</v>
      </c>
      <c r="S539">
        <v>56800</v>
      </c>
    </row>
    <row r="540" spans="1:19" x14ac:dyDescent="0.2">
      <c r="A540" s="6" t="s">
        <v>143</v>
      </c>
      <c r="B540" s="90" t="s">
        <v>161</v>
      </c>
      <c r="C540" s="90">
        <v>11</v>
      </c>
      <c r="D540" s="93">
        <v>2</v>
      </c>
      <c r="E540" s="93">
        <v>11800</v>
      </c>
      <c r="F540" s="88">
        <f t="shared" si="175"/>
        <v>13</v>
      </c>
      <c r="G540" s="88">
        <f t="shared" si="175"/>
        <v>87436</v>
      </c>
      <c r="H540" s="89">
        <v>2</v>
      </c>
      <c r="I540" s="89">
        <v>1100</v>
      </c>
      <c r="J540" s="89">
        <f t="shared" si="176"/>
        <v>14</v>
      </c>
      <c r="K540" s="89">
        <f t="shared" si="176"/>
        <v>47700</v>
      </c>
      <c r="L540" s="90">
        <v>1</v>
      </c>
      <c r="M540" s="91">
        <v>3850</v>
      </c>
      <c r="N540" s="92">
        <f t="shared" si="177"/>
        <v>14</v>
      </c>
      <c r="O540" s="92">
        <f t="shared" si="178"/>
        <v>23900</v>
      </c>
      <c r="P540" s="86"/>
      <c r="Q540" s="86">
        <v>0</v>
      </c>
    </row>
    <row r="541" spans="1:19" x14ac:dyDescent="0.2">
      <c r="A541" s="6" t="s">
        <v>143</v>
      </c>
      <c r="B541" s="90" t="s">
        <v>162</v>
      </c>
      <c r="C541" s="90">
        <v>12</v>
      </c>
      <c r="D541" s="93">
        <v>0</v>
      </c>
      <c r="E541" s="93">
        <v>0</v>
      </c>
      <c r="F541" s="88">
        <f t="shared" si="175"/>
        <v>13</v>
      </c>
      <c r="G541" s="88">
        <f t="shared" si="175"/>
        <v>87436</v>
      </c>
      <c r="H541" s="89">
        <v>1</v>
      </c>
      <c r="I541" s="89">
        <v>45000</v>
      </c>
      <c r="J541" s="89">
        <f t="shared" si="176"/>
        <v>15</v>
      </c>
      <c r="K541" s="89">
        <f t="shared" si="176"/>
        <v>92700</v>
      </c>
      <c r="L541" s="90">
        <v>1</v>
      </c>
      <c r="M541" s="91">
        <v>2700</v>
      </c>
      <c r="N541" s="92">
        <f t="shared" si="177"/>
        <v>15</v>
      </c>
      <c r="O541" s="92">
        <f t="shared" si="178"/>
        <v>26600</v>
      </c>
      <c r="P541" s="86"/>
      <c r="Q541" s="86">
        <v>0</v>
      </c>
    </row>
    <row r="542" spans="1:19" x14ac:dyDescent="0.2">
      <c r="A542" s="6" t="s">
        <v>70</v>
      </c>
      <c r="B542" s="90" t="s">
        <v>151</v>
      </c>
      <c r="C542" s="90">
        <v>1</v>
      </c>
      <c r="D542" s="93">
        <v>0</v>
      </c>
      <c r="E542" s="93">
        <v>0</v>
      </c>
      <c r="F542" s="88">
        <f>D542</f>
        <v>0</v>
      </c>
      <c r="G542" s="88">
        <f>E542</f>
        <v>0</v>
      </c>
      <c r="H542" s="88">
        <v>0</v>
      </c>
      <c r="I542" s="88">
        <v>0</v>
      </c>
      <c r="J542" s="88">
        <f>H542</f>
        <v>0</v>
      </c>
      <c r="K542" s="88">
        <f>I542</f>
        <v>0</v>
      </c>
      <c r="L542" s="90">
        <v>0</v>
      </c>
      <c r="M542" s="91">
        <v>0</v>
      </c>
      <c r="N542" s="92">
        <f>L542</f>
        <v>0</v>
      </c>
      <c r="O542" s="92">
        <f>M542</f>
        <v>0</v>
      </c>
      <c r="P542">
        <v>1</v>
      </c>
      <c r="Q542">
        <v>1400</v>
      </c>
      <c r="R542">
        <v>1</v>
      </c>
      <c r="S542">
        <v>1400</v>
      </c>
    </row>
    <row r="543" spans="1:19" x14ac:dyDescent="0.2">
      <c r="A543" s="6" t="s">
        <v>70</v>
      </c>
      <c r="B543" s="90" t="s">
        <v>152</v>
      </c>
      <c r="C543" s="90">
        <v>2</v>
      </c>
      <c r="D543" s="93">
        <v>0</v>
      </c>
      <c r="E543" s="93">
        <v>0</v>
      </c>
      <c r="F543" s="88">
        <f t="shared" ref="F543:F553" si="179">F542+D543</f>
        <v>0</v>
      </c>
      <c r="G543" s="88">
        <f t="shared" ref="G543:G553" si="180">G542+E543</f>
        <v>0</v>
      </c>
      <c r="H543" s="88">
        <v>0</v>
      </c>
      <c r="I543" s="88">
        <v>0</v>
      </c>
      <c r="J543" s="88">
        <f t="shared" ref="J543:J553" si="181">J542+H543</f>
        <v>0</v>
      </c>
      <c r="K543" s="88">
        <f t="shared" ref="K543:K553" si="182">K542+I543</f>
        <v>0</v>
      </c>
      <c r="L543" s="90">
        <v>0</v>
      </c>
      <c r="M543" s="91">
        <v>0</v>
      </c>
      <c r="N543" s="92">
        <f t="shared" ref="N543:N553" si="183">N542+L543</f>
        <v>0</v>
      </c>
      <c r="O543" s="92">
        <f t="shared" ref="O543:O553" si="184">O542+M543</f>
        <v>0</v>
      </c>
      <c r="P543">
        <v>0</v>
      </c>
      <c r="Q543">
        <v>0</v>
      </c>
      <c r="R543">
        <v>1</v>
      </c>
      <c r="S543">
        <v>1400</v>
      </c>
    </row>
    <row r="544" spans="1:19" x14ac:dyDescent="0.2">
      <c r="A544" s="6" t="s">
        <v>70</v>
      </c>
      <c r="B544" s="90" t="s">
        <v>153</v>
      </c>
      <c r="C544" s="90">
        <v>3</v>
      </c>
      <c r="D544" s="93">
        <v>0</v>
      </c>
      <c r="E544" s="93">
        <v>0</v>
      </c>
      <c r="F544" s="88">
        <f t="shared" si="179"/>
        <v>0</v>
      </c>
      <c r="G544" s="88">
        <f t="shared" si="180"/>
        <v>0</v>
      </c>
      <c r="H544" s="88">
        <v>0</v>
      </c>
      <c r="I544" s="88">
        <v>0</v>
      </c>
      <c r="J544" s="88">
        <f t="shared" si="181"/>
        <v>0</v>
      </c>
      <c r="K544" s="88">
        <f t="shared" si="182"/>
        <v>0</v>
      </c>
      <c r="L544" s="90">
        <v>0</v>
      </c>
      <c r="M544" s="91">
        <v>0</v>
      </c>
      <c r="N544" s="92">
        <f t="shared" si="183"/>
        <v>0</v>
      </c>
      <c r="O544" s="92">
        <f t="shared" si="184"/>
        <v>0</v>
      </c>
      <c r="P544">
        <v>0</v>
      </c>
      <c r="Q544">
        <v>0</v>
      </c>
      <c r="R544">
        <v>1</v>
      </c>
      <c r="S544">
        <v>1400</v>
      </c>
    </row>
    <row r="545" spans="1:19" x14ac:dyDescent="0.2">
      <c r="A545" s="6" t="s">
        <v>70</v>
      </c>
      <c r="B545" s="90" t="s">
        <v>154</v>
      </c>
      <c r="C545" s="90">
        <v>4</v>
      </c>
      <c r="D545" s="93">
        <v>0</v>
      </c>
      <c r="E545" s="93">
        <v>0</v>
      </c>
      <c r="F545" s="88">
        <f t="shared" si="179"/>
        <v>0</v>
      </c>
      <c r="G545" s="88">
        <f t="shared" si="180"/>
        <v>0</v>
      </c>
      <c r="H545" s="88">
        <v>0</v>
      </c>
      <c r="I545" s="88">
        <v>0</v>
      </c>
      <c r="J545" s="88">
        <f t="shared" si="181"/>
        <v>0</v>
      </c>
      <c r="K545" s="88">
        <f t="shared" si="182"/>
        <v>0</v>
      </c>
      <c r="L545" s="90">
        <v>0</v>
      </c>
      <c r="M545" s="91">
        <v>0</v>
      </c>
      <c r="N545" s="92">
        <f t="shared" si="183"/>
        <v>0</v>
      </c>
      <c r="O545" s="92">
        <f t="shared" si="184"/>
        <v>0</v>
      </c>
      <c r="P545">
        <v>0</v>
      </c>
      <c r="Q545">
        <v>0</v>
      </c>
      <c r="R545">
        <v>1</v>
      </c>
      <c r="S545">
        <v>1400</v>
      </c>
    </row>
    <row r="546" spans="1:19" x14ac:dyDescent="0.2">
      <c r="A546" s="6" t="s">
        <v>70</v>
      </c>
      <c r="B546" s="90" t="s">
        <v>155</v>
      </c>
      <c r="C546" s="90">
        <v>5</v>
      </c>
      <c r="D546" s="93">
        <v>0</v>
      </c>
      <c r="E546" s="93">
        <v>0</v>
      </c>
      <c r="F546" s="88">
        <f t="shared" si="179"/>
        <v>0</v>
      </c>
      <c r="G546" s="88">
        <f t="shared" si="180"/>
        <v>0</v>
      </c>
      <c r="H546" s="88">
        <v>0</v>
      </c>
      <c r="I546" s="88">
        <v>0</v>
      </c>
      <c r="J546" s="88">
        <f t="shared" si="181"/>
        <v>0</v>
      </c>
      <c r="K546" s="88">
        <f t="shared" si="182"/>
        <v>0</v>
      </c>
      <c r="L546" s="90">
        <v>0</v>
      </c>
      <c r="M546" s="91">
        <v>0</v>
      </c>
      <c r="N546" s="92">
        <f t="shared" si="183"/>
        <v>0</v>
      </c>
      <c r="O546" s="92">
        <f t="shared" si="184"/>
        <v>0</v>
      </c>
      <c r="P546">
        <v>2</v>
      </c>
      <c r="Q546">
        <v>4300</v>
      </c>
      <c r="R546">
        <v>3</v>
      </c>
      <c r="S546">
        <v>5700</v>
      </c>
    </row>
    <row r="547" spans="1:19" x14ac:dyDescent="0.2">
      <c r="A547" s="6" t="s">
        <v>70</v>
      </c>
      <c r="B547" s="90" t="s">
        <v>156</v>
      </c>
      <c r="C547" s="90">
        <v>6</v>
      </c>
      <c r="D547" s="93">
        <v>0</v>
      </c>
      <c r="E547" s="93">
        <v>0</v>
      </c>
      <c r="F547" s="88">
        <f t="shared" si="179"/>
        <v>0</v>
      </c>
      <c r="G547" s="88">
        <f t="shared" si="180"/>
        <v>0</v>
      </c>
      <c r="H547" s="88">
        <v>0</v>
      </c>
      <c r="I547" s="88">
        <v>0</v>
      </c>
      <c r="J547" s="88">
        <f t="shared" si="181"/>
        <v>0</v>
      </c>
      <c r="K547" s="88">
        <f t="shared" si="182"/>
        <v>0</v>
      </c>
      <c r="L547" s="90">
        <v>0</v>
      </c>
      <c r="M547" s="91">
        <v>0</v>
      </c>
      <c r="N547" s="92">
        <f t="shared" si="183"/>
        <v>0</v>
      </c>
      <c r="O547" s="92">
        <f t="shared" si="184"/>
        <v>0</v>
      </c>
      <c r="P547">
        <v>0</v>
      </c>
      <c r="Q547">
        <v>0</v>
      </c>
      <c r="R547">
        <v>3</v>
      </c>
      <c r="S547">
        <v>5700</v>
      </c>
    </row>
    <row r="548" spans="1:19" x14ac:dyDescent="0.2">
      <c r="A548" s="6" t="s">
        <v>70</v>
      </c>
      <c r="B548" s="90" t="s">
        <v>157</v>
      </c>
      <c r="C548" s="90">
        <v>7</v>
      </c>
      <c r="D548" s="93">
        <v>0</v>
      </c>
      <c r="E548" s="93">
        <v>0</v>
      </c>
      <c r="F548" s="88">
        <f t="shared" si="179"/>
        <v>0</v>
      </c>
      <c r="G548" s="88">
        <f t="shared" si="180"/>
        <v>0</v>
      </c>
      <c r="H548" s="88">
        <v>0</v>
      </c>
      <c r="I548" s="88">
        <v>0</v>
      </c>
      <c r="J548" s="88">
        <f t="shared" si="181"/>
        <v>0</v>
      </c>
      <c r="K548" s="88">
        <f t="shared" si="182"/>
        <v>0</v>
      </c>
      <c r="L548" s="90">
        <v>0</v>
      </c>
      <c r="M548" s="91">
        <v>0</v>
      </c>
      <c r="N548" s="92">
        <f t="shared" si="183"/>
        <v>0</v>
      </c>
      <c r="O548" s="92">
        <f t="shared" si="184"/>
        <v>0</v>
      </c>
      <c r="P548">
        <v>1</v>
      </c>
      <c r="Q548">
        <v>1500</v>
      </c>
      <c r="R548">
        <v>4</v>
      </c>
      <c r="S548">
        <v>7200</v>
      </c>
    </row>
    <row r="549" spans="1:19" x14ac:dyDescent="0.2">
      <c r="A549" s="6" t="s">
        <v>70</v>
      </c>
      <c r="B549" s="90" t="s">
        <v>158</v>
      </c>
      <c r="C549" s="90">
        <v>8</v>
      </c>
      <c r="D549" s="93">
        <v>0</v>
      </c>
      <c r="E549" s="93">
        <v>0</v>
      </c>
      <c r="F549" s="88">
        <f t="shared" si="179"/>
        <v>0</v>
      </c>
      <c r="G549" s="88">
        <f t="shared" si="180"/>
        <v>0</v>
      </c>
      <c r="H549" s="88">
        <v>0</v>
      </c>
      <c r="I549" s="88">
        <v>0</v>
      </c>
      <c r="J549" s="88">
        <f t="shared" si="181"/>
        <v>0</v>
      </c>
      <c r="K549" s="88">
        <f t="shared" si="182"/>
        <v>0</v>
      </c>
      <c r="L549" s="90">
        <v>0</v>
      </c>
      <c r="M549" s="91">
        <v>0</v>
      </c>
      <c r="N549" s="92">
        <f t="shared" si="183"/>
        <v>0</v>
      </c>
      <c r="O549" s="92">
        <f t="shared" si="184"/>
        <v>0</v>
      </c>
      <c r="P549">
        <v>0</v>
      </c>
      <c r="Q549">
        <v>0</v>
      </c>
      <c r="R549">
        <v>4</v>
      </c>
      <c r="S549">
        <v>7200</v>
      </c>
    </row>
    <row r="550" spans="1:19" x14ac:dyDescent="0.2">
      <c r="A550" s="6" t="s">
        <v>70</v>
      </c>
      <c r="B550" s="90" t="s">
        <v>159</v>
      </c>
      <c r="C550" s="90">
        <v>9</v>
      </c>
      <c r="D550" s="93">
        <v>0</v>
      </c>
      <c r="E550" s="93">
        <v>0</v>
      </c>
      <c r="F550" s="88">
        <f t="shared" si="179"/>
        <v>0</v>
      </c>
      <c r="G550" s="88">
        <f t="shared" si="180"/>
        <v>0</v>
      </c>
      <c r="H550" s="88">
        <v>0</v>
      </c>
      <c r="I550" s="88">
        <v>0</v>
      </c>
      <c r="J550" s="88">
        <f t="shared" si="181"/>
        <v>0</v>
      </c>
      <c r="K550" s="88">
        <f t="shared" si="182"/>
        <v>0</v>
      </c>
      <c r="L550" s="90">
        <v>0</v>
      </c>
      <c r="M550" s="91">
        <v>0</v>
      </c>
      <c r="N550" s="92">
        <f t="shared" si="183"/>
        <v>0</v>
      </c>
      <c r="O550" s="92">
        <f t="shared" si="184"/>
        <v>0</v>
      </c>
      <c r="P550">
        <v>0</v>
      </c>
      <c r="Q550">
        <v>0</v>
      </c>
      <c r="R550">
        <v>4</v>
      </c>
      <c r="S550">
        <v>7200</v>
      </c>
    </row>
    <row r="551" spans="1:19" x14ac:dyDescent="0.2">
      <c r="A551" s="6" t="s">
        <v>70</v>
      </c>
      <c r="B551" s="90" t="s">
        <v>160</v>
      </c>
      <c r="C551" s="90">
        <v>10</v>
      </c>
      <c r="D551" s="93">
        <v>0</v>
      </c>
      <c r="E551" s="93">
        <v>0</v>
      </c>
      <c r="F551" s="88">
        <f t="shared" si="179"/>
        <v>0</v>
      </c>
      <c r="G551" s="88">
        <f t="shared" si="180"/>
        <v>0</v>
      </c>
      <c r="H551" s="88">
        <v>0</v>
      </c>
      <c r="I551" s="88">
        <v>0</v>
      </c>
      <c r="J551" s="88">
        <f t="shared" si="181"/>
        <v>0</v>
      </c>
      <c r="K551" s="88">
        <f t="shared" si="182"/>
        <v>0</v>
      </c>
      <c r="L551" s="90">
        <v>0</v>
      </c>
      <c r="M551" s="91">
        <v>0</v>
      </c>
      <c r="N551" s="92">
        <f t="shared" si="183"/>
        <v>0</v>
      </c>
      <c r="O551" s="92">
        <f t="shared" si="184"/>
        <v>0</v>
      </c>
      <c r="P551">
        <v>0</v>
      </c>
      <c r="Q551">
        <v>0</v>
      </c>
      <c r="R551">
        <v>4</v>
      </c>
      <c r="S551">
        <v>7200</v>
      </c>
    </row>
    <row r="552" spans="1:19" x14ac:dyDescent="0.2">
      <c r="A552" s="6" t="s">
        <v>70</v>
      </c>
      <c r="B552" s="90" t="s">
        <v>161</v>
      </c>
      <c r="C552" s="90">
        <v>11</v>
      </c>
      <c r="D552" s="93">
        <v>0</v>
      </c>
      <c r="E552" s="93">
        <v>0</v>
      </c>
      <c r="F552" s="88">
        <f t="shared" si="179"/>
        <v>0</v>
      </c>
      <c r="G552" s="88">
        <f t="shared" si="180"/>
        <v>0</v>
      </c>
      <c r="H552" s="88">
        <v>0</v>
      </c>
      <c r="I552" s="88">
        <v>0</v>
      </c>
      <c r="J552" s="88">
        <f t="shared" si="181"/>
        <v>0</v>
      </c>
      <c r="K552" s="88">
        <f t="shared" si="182"/>
        <v>0</v>
      </c>
      <c r="L552" s="90">
        <v>0</v>
      </c>
      <c r="M552" s="91">
        <v>0</v>
      </c>
      <c r="N552" s="92">
        <f t="shared" si="183"/>
        <v>0</v>
      </c>
      <c r="O552" s="92">
        <f t="shared" si="184"/>
        <v>0</v>
      </c>
      <c r="P552" s="86"/>
      <c r="Q552" s="86">
        <v>0</v>
      </c>
    </row>
    <row r="553" spans="1:19" x14ac:dyDescent="0.2">
      <c r="A553" s="6" t="s">
        <v>70</v>
      </c>
      <c r="B553" s="90" t="s">
        <v>162</v>
      </c>
      <c r="C553" s="90">
        <v>12</v>
      </c>
      <c r="D553" s="93">
        <v>0</v>
      </c>
      <c r="E553" s="93">
        <v>0</v>
      </c>
      <c r="F553" s="88">
        <f t="shared" si="179"/>
        <v>0</v>
      </c>
      <c r="G553" s="88">
        <f t="shared" si="180"/>
        <v>0</v>
      </c>
      <c r="H553" s="88">
        <v>0</v>
      </c>
      <c r="I553" s="88">
        <v>0</v>
      </c>
      <c r="J553" s="88">
        <f t="shared" si="181"/>
        <v>0</v>
      </c>
      <c r="K553" s="88">
        <f t="shared" si="182"/>
        <v>0</v>
      </c>
      <c r="L553" s="90">
        <v>0</v>
      </c>
      <c r="M553" s="91">
        <v>0</v>
      </c>
      <c r="N553" s="92">
        <f t="shared" si="183"/>
        <v>0</v>
      </c>
      <c r="O553" s="92">
        <f t="shared" si="184"/>
        <v>0</v>
      </c>
      <c r="P553" s="86"/>
      <c r="Q553" s="86">
        <v>0</v>
      </c>
    </row>
    <row r="554" spans="1:19" x14ac:dyDescent="0.2">
      <c r="A554" s="6" t="s">
        <v>80</v>
      </c>
      <c r="B554" s="90" t="s">
        <v>151</v>
      </c>
      <c r="C554" s="90">
        <v>1</v>
      </c>
      <c r="D554" s="93">
        <v>0</v>
      </c>
      <c r="E554" s="93">
        <v>0</v>
      </c>
      <c r="F554" s="88">
        <f>D554</f>
        <v>0</v>
      </c>
      <c r="G554" s="88">
        <f>E554</f>
        <v>0</v>
      </c>
      <c r="H554" s="89">
        <v>0</v>
      </c>
      <c r="I554" s="89">
        <v>0</v>
      </c>
      <c r="J554" s="89">
        <f>H554</f>
        <v>0</v>
      </c>
      <c r="K554" s="89">
        <f>I554</f>
        <v>0</v>
      </c>
      <c r="L554" s="90">
        <v>0</v>
      </c>
      <c r="M554" s="91">
        <v>0</v>
      </c>
      <c r="N554" s="92">
        <f>L554</f>
        <v>0</v>
      </c>
      <c r="O554" s="92">
        <f>M554</f>
        <v>0</v>
      </c>
      <c r="P554">
        <v>0</v>
      </c>
      <c r="Q554">
        <v>0</v>
      </c>
      <c r="R554">
        <v>0</v>
      </c>
      <c r="S554">
        <v>0</v>
      </c>
    </row>
    <row r="555" spans="1:19" x14ac:dyDescent="0.2">
      <c r="A555" s="6" t="s">
        <v>80</v>
      </c>
      <c r="B555" s="90" t="s">
        <v>152</v>
      </c>
      <c r="C555" s="90">
        <v>2</v>
      </c>
      <c r="D555" s="93">
        <v>0</v>
      </c>
      <c r="E555" s="93">
        <v>0</v>
      </c>
      <c r="F555" s="88">
        <f t="shared" ref="F555:G565" si="185">F554+D555</f>
        <v>0</v>
      </c>
      <c r="G555" s="88">
        <f t="shared" si="185"/>
        <v>0</v>
      </c>
      <c r="H555" s="89">
        <v>1</v>
      </c>
      <c r="I555" s="89">
        <v>300</v>
      </c>
      <c r="J555" s="89">
        <f t="shared" ref="J555:K565" si="186">J554+H555</f>
        <v>1</v>
      </c>
      <c r="K555" s="89">
        <f t="shared" si="186"/>
        <v>300</v>
      </c>
      <c r="L555" s="90">
        <v>0</v>
      </c>
      <c r="M555" s="91">
        <v>0</v>
      </c>
      <c r="N555" s="92">
        <f t="shared" ref="N555:N565" si="187">N554+L555</f>
        <v>0</v>
      </c>
      <c r="O555" s="92">
        <f t="shared" ref="O555:O565" si="188">O554+M555</f>
        <v>0</v>
      </c>
      <c r="P555">
        <v>0</v>
      </c>
      <c r="Q555">
        <v>0</v>
      </c>
      <c r="R555">
        <v>0</v>
      </c>
      <c r="S555">
        <v>0</v>
      </c>
    </row>
    <row r="556" spans="1:19" x14ac:dyDescent="0.2">
      <c r="A556" s="6" t="s">
        <v>80</v>
      </c>
      <c r="B556" s="90" t="s">
        <v>153</v>
      </c>
      <c r="C556" s="90">
        <v>3</v>
      </c>
      <c r="D556" s="93">
        <v>0</v>
      </c>
      <c r="E556" s="93">
        <v>0</v>
      </c>
      <c r="F556" s="88">
        <f t="shared" si="185"/>
        <v>0</v>
      </c>
      <c r="G556" s="88">
        <f t="shared" si="185"/>
        <v>0</v>
      </c>
      <c r="H556" s="89">
        <v>1</v>
      </c>
      <c r="I556" s="89">
        <v>600</v>
      </c>
      <c r="J556" s="89">
        <f t="shared" si="186"/>
        <v>2</v>
      </c>
      <c r="K556" s="89">
        <f t="shared" si="186"/>
        <v>900</v>
      </c>
      <c r="L556" s="90">
        <v>1</v>
      </c>
      <c r="M556" s="91">
        <v>1112.4000000000001</v>
      </c>
      <c r="N556" s="92">
        <f t="shared" si="187"/>
        <v>1</v>
      </c>
      <c r="O556" s="92">
        <f t="shared" si="188"/>
        <v>1112.4000000000001</v>
      </c>
      <c r="P556">
        <v>0</v>
      </c>
      <c r="Q556">
        <v>0</v>
      </c>
      <c r="R556">
        <v>0</v>
      </c>
      <c r="S556">
        <v>0</v>
      </c>
    </row>
    <row r="557" spans="1:19" x14ac:dyDescent="0.2">
      <c r="A557" s="6" t="s">
        <v>80</v>
      </c>
      <c r="B557" s="90" t="s">
        <v>154</v>
      </c>
      <c r="C557" s="90">
        <v>4</v>
      </c>
      <c r="D557" s="93">
        <v>0</v>
      </c>
      <c r="E557" s="93">
        <v>0</v>
      </c>
      <c r="F557" s="88">
        <f t="shared" si="185"/>
        <v>0</v>
      </c>
      <c r="G557" s="88">
        <f t="shared" si="185"/>
        <v>0</v>
      </c>
      <c r="H557" s="89">
        <v>1</v>
      </c>
      <c r="I557" s="89">
        <v>2100</v>
      </c>
      <c r="J557" s="89">
        <f t="shared" si="186"/>
        <v>3</v>
      </c>
      <c r="K557" s="89">
        <f t="shared" si="186"/>
        <v>3000</v>
      </c>
      <c r="L557" s="90">
        <v>0</v>
      </c>
      <c r="M557" s="91">
        <v>0</v>
      </c>
      <c r="N557" s="92">
        <f t="shared" si="187"/>
        <v>1</v>
      </c>
      <c r="O557" s="92">
        <f t="shared" si="188"/>
        <v>1112.4000000000001</v>
      </c>
      <c r="P557">
        <v>0</v>
      </c>
      <c r="Q557">
        <v>0</v>
      </c>
      <c r="R557">
        <v>0</v>
      </c>
      <c r="S557">
        <v>0</v>
      </c>
    </row>
    <row r="558" spans="1:19" x14ac:dyDescent="0.2">
      <c r="A558" s="6" t="s">
        <v>80</v>
      </c>
      <c r="B558" s="90" t="s">
        <v>155</v>
      </c>
      <c r="C558" s="90">
        <v>5</v>
      </c>
      <c r="D558" s="93">
        <v>1</v>
      </c>
      <c r="E558" s="93">
        <v>2150</v>
      </c>
      <c r="F558" s="88">
        <f t="shared" si="185"/>
        <v>1</v>
      </c>
      <c r="G558" s="88">
        <f t="shared" si="185"/>
        <v>2150</v>
      </c>
      <c r="H558" s="89">
        <v>1</v>
      </c>
      <c r="I558" s="89">
        <v>200</v>
      </c>
      <c r="J558" s="89">
        <f t="shared" si="186"/>
        <v>4</v>
      </c>
      <c r="K558" s="89">
        <f t="shared" si="186"/>
        <v>3200</v>
      </c>
      <c r="L558" s="90">
        <v>0</v>
      </c>
      <c r="M558" s="91">
        <v>0</v>
      </c>
      <c r="N558" s="92">
        <f t="shared" si="187"/>
        <v>1</v>
      </c>
      <c r="O558" s="92">
        <f t="shared" si="188"/>
        <v>1112.4000000000001</v>
      </c>
      <c r="P558">
        <v>0</v>
      </c>
      <c r="Q558">
        <v>0</v>
      </c>
      <c r="R558">
        <v>0</v>
      </c>
      <c r="S558">
        <v>0</v>
      </c>
    </row>
    <row r="559" spans="1:19" x14ac:dyDescent="0.2">
      <c r="A559" s="6" t="s">
        <v>80</v>
      </c>
      <c r="B559" s="90" t="s">
        <v>156</v>
      </c>
      <c r="C559" s="90">
        <v>6</v>
      </c>
      <c r="D559" s="93">
        <v>0</v>
      </c>
      <c r="E559" s="93">
        <v>0</v>
      </c>
      <c r="F559" s="88">
        <f t="shared" si="185"/>
        <v>1</v>
      </c>
      <c r="G559" s="88">
        <f t="shared" si="185"/>
        <v>2150</v>
      </c>
      <c r="H559" s="89">
        <v>0</v>
      </c>
      <c r="I559" s="89">
        <v>0</v>
      </c>
      <c r="J559" s="89">
        <f t="shared" si="186"/>
        <v>4</v>
      </c>
      <c r="K559" s="89">
        <f t="shared" si="186"/>
        <v>3200</v>
      </c>
      <c r="L559" s="90">
        <v>0</v>
      </c>
      <c r="M559" s="91">
        <v>0</v>
      </c>
      <c r="N559" s="92">
        <f t="shared" si="187"/>
        <v>1</v>
      </c>
      <c r="O559" s="92">
        <f t="shared" si="188"/>
        <v>1112.4000000000001</v>
      </c>
      <c r="P559">
        <v>0</v>
      </c>
      <c r="Q559">
        <v>0</v>
      </c>
      <c r="R559">
        <v>0</v>
      </c>
      <c r="S559">
        <v>0</v>
      </c>
    </row>
    <row r="560" spans="1:19" x14ac:dyDescent="0.2">
      <c r="A560" s="6" t="s">
        <v>80</v>
      </c>
      <c r="B560" s="90" t="s">
        <v>157</v>
      </c>
      <c r="C560" s="90">
        <v>7</v>
      </c>
      <c r="D560" s="93">
        <v>1</v>
      </c>
      <c r="E560" s="93">
        <v>1050</v>
      </c>
      <c r="F560" s="88">
        <f t="shared" si="185"/>
        <v>2</v>
      </c>
      <c r="G560" s="88">
        <f t="shared" si="185"/>
        <v>3200</v>
      </c>
      <c r="H560" s="89">
        <v>1</v>
      </c>
      <c r="I560" s="89">
        <v>150</v>
      </c>
      <c r="J560" s="89">
        <f t="shared" si="186"/>
        <v>5</v>
      </c>
      <c r="K560" s="89">
        <f t="shared" si="186"/>
        <v>3350</v>
      </c>
      <c r="L560" s="90">
        <v>1</v>
      </c>
      <c r="M560" s="91">
        <v>800</v>
      </c>
      <c r="N560" s="92">
        <f t="shared" si="187"/>
        <v>2</v>
      </c>
      <c r="O560" s="92">
        <f t="shared" si="188"/>
        <v>1912.4</v>
      </c>
      <c r="P560">
        <v>2</v>
      </c>
      <c r="Q560">
        <v>860</v>
      </c>
      <c r="R560">
        <v>2</v>
      </c>
      <c r="S560">
        <v>860</v>
      </c>
    </row>
    <row r="561" spans="1:19" x14ac:dyDescent="0.2">
      <c r="A561" s="6" t="s">
        <v>80</v>
      </c>
      <c r="B561" s="90" t="s">
        <v>158</v>
      </c>
      <c r="C561" s="90">
        <v>8</v>
      </c>
      <c r="D561" s="93">
        <v>0</v>
      </c>
      <c r="E561" s="93">
        <v>0</v>
      </c>
      <c r="F561" s="88">
        <f t="shared" si="185"/>
        <v>2</v>
      </c>
      <c r="G561" s="88">
        <f t="shared" si="185"/>
        <v>3200</v>
      </c>
      <c r="H561" s="89">
        <v>2</v>
      </c>
      <c r="I561" s="89">
        <v>940</v>
      </c>
      <c r="J561" s="89">
        <f t="shared" si="186"/>
        <v>7</v>
      </c>
      <c r="K561" s="89">
        <f t="shared" si="186"/>
        <v>4290</v>
      </c>
      <c r="L561" s="90">
        <v>2</v>
      </c>
      <c r="M561" s="91">
        <v>2120</v>
      </c>
      <c r="N561" s="92">
        <f t="shared" si="187"/>
        <v>4</v>
      </c>
      <c r="O561" s="92">
        <f t="shared" si="188"/>
        <v>4032.4</v>
      </c>
      <c r="P561">
        <v>0</v>
      </c>
      <c r="Q561">
        <v>0</v>
      </c>
      <c r="R561">
        <v>2</v>
      </c>
      <c r="S561">
        <v>860</v>
      </c>
    </row>
    <row r="562" spans="1:19" x14ac:dyDescent="0.2">
      <c r="A562" s="6" t="s">
        <v>80</v>
      </c>
      <c r="B562" s="90" t="s">
        <v>159</v>
      </c>
      <c r="C562" s="90">
        <v>9</v>
      </c>
      <c r="D562" s="93">
        <v>0</v>
      </c>
      <c r="E562" s="93">
        <v>0</v>
      </c>
      <c r="F562" s="88">
        <f t="shared" si="185"/>
        <v>2</v>
      </c>
      <c r="G562" s="88">
        <f t="shared" si="185"/>
        <v>3200</v>
      </c>
      <c r="H562" s="89">
        <v>0</v>
      </c>
      <c r="I562" s="89">
        <v>0</v>
      </c>
      <c r="J562" s="89">
        <f t="shared" si="186"/>
        <v>7</v>
      </c>
      <c r="K562" s="89">
        <f t="shared" si="186"/>
        <v>4290</v>
      </c>
      <c r="L562" s="90">
        <v>0</v>
      </c>
      <c r="M562" s="91">
        <v>0</v>
      </c>
      <c r="N562" s="92">
        <f t="shared" si="187"/>
        <v>4</v>
      </c>
      <c r="O562" s="92">
        <f t="shared" si="188"/>
        <v>4032.4</v>
      </c>
      <c r="P562">
        <v>4</v>
      </c>
      <c r="Q562">
        <v>4560</v>
      </c>
      <c r="R562">
        <v>6</v>
      </c>
      <c r="S562">
        <v>5420</v>
      </c>
    </row>
    <row r="563" spans="1:19" x14ac:dyDescent="0.2">
      <c r="A563" s="6" t="s">
        <v>80</v>
      </c>
      <c r="B563" s="90" t="s">
        <v>160</v>
      </c>
      <c r="C563" s="90">
        <v>10</v>
      </c>
      <c r="D563" s="93">
        <v>1</v>
      </c>
      <c r="E563" s="93">
        <v>1000</v>
      </c>
      <c r="F563" s="88">
        <f t="shared" si="185"/>
        <v>3</v>
      </c>
      <c r="G563" s="88">
        <f t="shared" si="185"/>
        <v>4200</v>
      </c>
      <c r="H563" s="89">
        <v>0</v>
      </c>
      <c r="I563" s="89">
        <v>0</v>
      </c>
      <c r="J563" s="89">
        <f t="shared" si="186"/>
        <v>7</v>
      </c>
      <c r="K563" s="89">
        <f t="shared" si="186"/>
        <v>4290</v>
      </c>
      <c r="L563" s="90">
        <v>0</v>
      </c>
      <c r="M563" s="91">
        <v>0</v>
      </c>
      <c r="N563" s="92">
        <f t="shared" si="187"/>
        <v>4</v>
      </c>
      <c r="O563" s="92">
        <f t="shared" si="188"/>
        <v>4032.4</v>
      </c>
      <c r="P563">
        <v>0</v>
      </c>
      <c r="Q563">
        <v>0</v>
      </c>
      <c r="R563">
        <v>6</v>
      </c>
      <c r="S563">
        <v>5420</v>
      </c>
    </row>
    <row r="564" spans="1:19" x14ac:dyDescent="0.2">
      <c r="A564" s="6" t="s">
        <v>80</v>
      </c>
      <c r="B564" s="90" t="s">
        <v>161</v>
      </c>
      <c r="C564" s="90">
        <v>11</v>
      </c>
      <c r="D564" s="93">
        <v>0</v>
      </c>
      <c r="E564" s="93">
        <v>0</v>
      </c>
      <c r="F564" s="88">
        <f t="shared" si="185"/>
        <v>3</v>
      </c>
      <c r="G564" s="88">
        <f t="shared" si="185"/>
        <v>4200</v>
      </c>
      <c r="H564" s="89">
        <v>0</v>
      </c>
      <c r="I564" s="89">
        <v>0</v>
      </c>
      <c r="J564" s="89">
        <f t="shared" si="186"/>
        <v>7</v>
      </c>
      <c r="K564" s="89">
        <f t="shared" si="186"/>
        <v>4290</v>
      </c>
      <c r="L564" s="90">
        <v>2</v>
      </c>
      <c r="M564" s="91">
        <v>4645</v>
      </c>
      <c r="N564" s="92">
        <f t="shared" si="187"/>
        <v>6</v>
      </c>
      <c r="O564" s="92">
        <f t="shared" si="188"/>
        <v>8677.4</v>
      </c>
      <c r="P564" s="86"/>
      <c r="Q564" s="86">
        <v>0</v>
      </c>
    </row>
    <row r="565" spans="1:19" x14ac:dyDescent="0.2">
      <c r="A565" s="6" t="s">
        <v>80</v>
      </c>
      <c r="B565" s="90" t="s">
        <v>162</v>
      </c>
      <c r="C565" s="90">
        <v>12</v>
      </c>
      <c r="D565" s="93">
        <v>1</v>
      </c>
      <c r="E565" s="93">
        <v>720</v>
      </c>
      <c r="F565" s="88">
        <f t="shared" si="185"/>
        <v>4</v>
      </c>
      <c r="G565" s="88">
        <f t="shared" si="185"/>
        <v>4920</v>
      </c>
      <c r="H565" s="89">
        <v>1</v>
      </c>
      <c r="I565" s="89">
        <v>1900</v>
      </c>
      <c r="J565" s="89">
        <f t="shared" si="186"/>
        <v>8</v>
      </c>
      <c r="K565" s="89">
        <f t="shared" si="186"/>
        <v>6190</v>
      </c>
      <c r="L565" s="90">
        <v>0</v>
      </c>
      <c r="M565" s="91">
        <v>0</v>
      </c>
      <c r="N565" s="92">
        <f t="shared" si="187"/>
        <v>6</v>
      </c>
      <c r="O565" s="92">
        <f t="shared" si="188"/>
        <v>8677.4</v>
      </c>
      <c r="P565" s="86"/>
      <c r="Q565" s="86">
        <v>0</v>
      </c>
    </row>
    <row r="566" spans="1:19" x14ac:dyDescent="0.2">
      <c r="A566" s="6" t="s">
        <v>77</v>
      </c>
      <c r="B566" s="90" t="s">
        <v>151</v>
      </c>
      <c r="C566" s="90">
        <v>1</v>
      </c>
      <c r="D566" s="93">
        <v>0</v>
      </c>
      <c r="E566" s="93">
        <v>0</v>
      </c>
      <c r="F566" s="88">
        <f>D566</f>
        <v>0</v>
      </c>
      <c r="G566" s="88">
        <f>E566</f>
        <v>0</v>
      </c>
      <c r="H566" s="88">
        <v>0</v>
      </c>
      <c r="I566" s="88">
        <v>0</v>
      </c>
      <c r="J566" s="88">
        <f>H566</f>
        <v>0</v>
      </c>
      <c r="K566" s="88">
        <f>I566</f>
        <v>0</v>
      </c>
      <c r="L566" s="90">
        <v>0</v>
      </c>
      <c r="M566" s="91">
        <v>0</v>
      </c>
      <c r="N566" s="92">
        <f>L566</f>
        <v>0</v>
      </c>
      <c r="O566" s="92">
        <f>M566</f>
        <v>0</v>
      </c>
      <c r="P566">
        <v>1</v>
      </c>
      <c r="Q566">
        <v>400</v>
      </c>
      <c r="R566">
        <v>1</v>
      </c>
      <c r="S566">
        <v>400</v>
      </c>
    </row>
    <row r="567" spans="1:19" x14ac:dyDescent="0.2">
      <c r="A567" s="6" t="s">
        <v>77</v>
      </c>
      <c r="B567" s="90" t="s">
        <v>152</v>
      </c>
      <c r="C567" s="90">
        <v>2</v>
      </c>
      <c r="D567" s="93">
        <v>0</v>
      </c>
      <c r="E567" s="93">
        <v>0</v>
      </c>
      <c r="F567" s="88">
        <f t="shared" ref="F567:F577" si="189">F566+D567</f>
        <v>0</v>
      </c>
      <c r="G567" s="88">
        <f t="shared" ref="G567:G577" si="190">G566+E567</f>
        <v>0</v>
      </c>
      <c r="H567" s="88">
        <v>0</v>
      </c>
      <c r="I567" s="88">
        <v>0</v>
      </c>
      <c r="J567" s="88">
        <f t="shared" ref="J567:J577" si="191">J566+H567</f>
        <v>0</v>
      </c>
      <c r="K567" s="88">
        <f t="shared" ref="K567:K577" si="192">K566+I567</f>
        <v>0</v>
      </c>
      <c r="L567" s="90">
        <v>0</v>
      </c>
      <c r="M567" s="91">
        <v>0</v>
      </c>
      <c r="N567" s="92">
        <f t="shared" ref="N567:N577" si="193">N566+L567</f>
        <v>0</v>
      </c>
      <c r="O567" s="92">
        <f t="shared" ref="O567:O577" si="194">O566+M567</f>
        <v>0</v>
      </c>
      <c r="P567">
        <v>0</v>
      </c>
      <c r="Q567">
        <v>0</v>
      </c>
      <c r="R567">
        <v>1</v>
      </c>
      <c r="S567">
        <v>400</v>
      </c>
    </row>
    <row r="568" spans="1:19" x14ac:dyDescent="0.2">
      <c r="A568" s="6" t="s">
        <v>77</v>
      </c>
      <c r="B568" s="90" t="s">
        <v>153</v>
      </c>
      <c r="C568" s="90">
        <v>3</v>
      </c>
      <c r="D568" s="93">
        <v>0</v>
      </c>
      <c r="E568" s="93">
        <v>0</v>
      </c>
      <c r="F568" s="88">
        <f t="shared" si="189"/>
        <v>0</v>
      </c>
      <c r="G568" s="88">
        <f t="shared" si="190"/>
        <v>0</v>
      </c>
      <c r="H568" s="88">
        <v>0</v>
      </c>
      <c r="I568" s="88">
        <v>0</v>
      </c>
      <c r="J568" s="88">
        <f t="shared" si="191"/>
        <v>0</v>
      </c>
      <c r="K568" s="88">
        <f t="shared" si="192"/>
        <v>0</v>
      </c>
      <c r="L568" s="90">
        <v>0</v>
      </c>
      <c r="M568" s="91">
        <v>0</v>
      </c>
      <c r="N568" s="92">
        <f t="shared" si="193"/>
        <v>0</v>
      </c>
      <c r="O568" s="92">
        <f t="shared" si="194"/>
        <v>0</v>
      </c>
      <c r="P568">
        <v>0</v>
      </c>
      <c r="Q568">
        <v>0</v>
      </c>
      <c r="R568">
        <v>1</v>
      </c>
      <c r="S568">
        <v>400</v>
      </c>
    </row>
    <row r="569" spans="1:19" x14ac:dyDescent="0.2">
      <c r="A569" s="6" t="s">
        <v>77</v>
      </c>
      <c r="B569" s="90" t="s">
        <v>154</v>
      </c>
      <c r="C569" s="90">
        <v>4</v>
      </c>
      <c r="D569" s="93">
        <v>0</v>
      </c>
      <c r="E569" s="93">
        <v>0</v>
      </c>
      <c r="F569" s="88">
        <f t="shared" si="189"/>
        <v>0</v>
      </c>
      <c r="G569" s="88">
        <f t="shared" si="190"/>
        <v>0</v>
      </c>
      <c r="H569" s="88">
        <v>0</v>
      </c>
      <c r="I569" s="88">
        <v>0</v>
      </c>
      <c r="J569" s="88">
        <f t="shared" si="191"/>
        <v>0</v>
      </c>
      <c r="K569" s="88">
        <f t="shared" si="192"/>
        <v>0</v>
      </c>
      <c r="L569" s="90">
        <v>0</v>
      </c>
      <c r="M569" s="91">
        <v>0</v>
      </c>
      <c r="N569" s="92">
        <f t="shared" si="193"/>
        <v>0</v>
      </c>
      <c r="O569" s="92">
        <f t="shared" si="194"/>
        <v>0</v>
      </c>
      <c r="P569">
        <v>1</v>
      </c>
      <c r="Q569">
        <v>200</v>
      </c>
      <c r="R569">
        <v>2</v>
      </c>
      <c r="S569">
        <v>600</v>
      </c>
    </row>
    <row r="570" spans="1:19" x14ac:dyDescent="0.2">
      <c r="A570" s="6" t="s">
        <v>77</v>
      </c>
      <c r="B570" s="90" t="s">
        <v>155</v>
      </c>
      <c r="C570" s="90">
        <v>5</v>
      </c>
      <c r="D570" s="93">
        <v>0</v>
      </c>
      <c r="E570" s="93">
        <v>0</v>
      </c>
      <c r="F570" s="88">
        <f t="shared" si="189"/>
        <v>0</v>
      </c>
      <c r="G570" s="88">
        <f t="shared" si="190"/>
        <v>0</v>
      </c>
      <c r="H570" s="88">
        <v>0</v>
      </c>
      <c r="I570" s="88">
        <v>0</v>
      </c>
      <c r="J570" s="88">
        <f t="shared" si="191"/>
        <v>0</v>
      </c>
      <c r="K570" s="88">
        <f t="shared" si="192"/>
        <v>0</v>
      </c>
      <c r="L570" s="90">
        <v>0</v>
      </c>
      <c r="M570" s="91">
        <v>0</v>
      </c>
      <c r="N570" s="92">
        <f t="shared" si="193"/>
        <v>0</v>
      </c>
      <c r="O570" s="92">
        <f t="shared" si="194"/>
        <v>0</v>
      </c>
      <c r="P570">
        <v>0</v>
      </c>
      <c r="Q570">
        <v>0</v>
      </c>
      <c r="R570">
        <v>2</v>
      </c>
      <c r="S570">
        <v>600</v>
      </c>
    </row>
    <row r="571" spans="1:19" x14ac:dyDescent="0.2">
      <c r="A571" s="6" t="s">
        <v>77</v>
      </c>
      <c r="B571" s="90" t="s">
        <v>156</v>
      </c>
      <c r="C571" s="90">
        <v>6</v>
      </c>
      <c r="D571" s="93">
        <v>0</v>
      </c>
      <c r="E571" s="93">
        <v>0</v>
      </c>
      <c r="F571" s="88">
        <f t="shared" si="189"/>
        <v>0</v>
      </c>
      <c r="G571" s="88">
        <f t="shared" si="190"/>
        <v>0</v>
      </c>
      <c r="H571" s="88">
        <v>0</v>
      </c>
      <c r="I571" s="88">
        <v>0</v>
      </c>
      <c r="J571" s="88">
        <f t="shared" si="191"/>
        <v>0</v>
      </c>
      <c r="K571" s="88">
        <f t="shared" si="192"/>
        <v>0</v>
      </c>
      <c r="L571" s="90">
        <v>0</v>
      </c>
      <c r="M571" s="91">
        <v>0</v>
      </c>
      <c r="N571" s="92">
        <f t="shared" si="193"/>
        <v>0</v>
      </c>
      <c r="O571" s="92">
        <f t="shared" si="194"/>
        <v>0</v>
      </c>
      <c r="P571">
        <v>0</v>
      </c>
      <c r="Q571">
        <v>0</v>
      </c>
      <c r="R571">
        <v>2</v>
      </c>
      <c r="S571">
        <v>600</v>
      </c>
    </row>
    <row r="572" spans="1:19" x14ac:dyDescent="0.2">
      <c r="A572" s="6" t="s">
        <v>77</v>
      </c>
      <c r="B572" s="90" t="s">
        <v>157</v>
      </c>
      <c r="C572" s="90">
        <v>7</v>
      </c>
      <c r="D572" s="93">
        <v>0</v>
      </c>
      <c r="E572" s="93">
        <v>0</v>
      </c>
      <c r="F572" s="88">
        <f t="shared" si="189"/>
        <v>0</v>
      </c>
      <c r="G572" s="88">
        <f t="shared" si="190"/>
        <v>0</v>
      </c>
      <c r="H572" s="88">
        <v>0</v>
      </c>
      <c r="I572" s="88">
        <v>0</v>
      </c>
      <c r="J572" s="88">
        <f t="shared" si="191"/>
        <v>0</v>
      </c>
      <c r="K572" s="88">
        <f t="shared" si="192"/>
        <v>0</v>
      </c>
      <c r="L572" s="90">
        <v>0</v>
      </c>
      <c r="M572" s="91">
        <v>0</v>
      </c>
      <c r="N572" s="92">
        <f t="shared" si="193"/>
        <v>0</v>
      </c>
      <c r="O572" s="92">
        <f t="shared" si="194"/>
        <v>0</v>
      </c>
      <c r="P572">
        <v>0</v>
      </c>
      <c r="Q572">
        <v>0</v>
      </c>
      <c r="R572">
        <v>2</v>
      </c>
      <c r="S572">
        <v>600</v>
      </c>
    </row>
    <row r="573" spans="1:19" x14ac:dyDescent="0.2">
      <c r="A573" s="6" t="s">
        <v>77</v>
      </c>
      <c r="B573" s="90" t="s">
        <v>158</v>
      </c>
      <c r="C573" s="90">
        <v>8</v>
      </c>
      <c r="D573" s="93">
        <v>0</v>
      </c>
      <c r="E573" s="93">
        <v>0</v>
      </c>
      <c r="F573" s="88">
        <f t="shared" si="189"/>
        <v>0</v>
      </c>
      <c r="G573" s="88">
        <f t="shared" si="190"/>
        <v>0</v>
      </c>
      <c r="H573" s="88">
        <v>0</v>
      </c>
      <c r="I573" s="88">
        <v>0</v>
      </c>
      <c r="J573" s="88">
        <f t="shared" si="191"/>
        <v>0</v>
      </c>
      <c r="K573" s="88">
        <f t="shared" si="192"/>
        <v>0</v>
      </c>
      <c r="L573" s="90">
        <v>0</v>
      </c>
      <c r="M573" s="91">
        <v>0</v>
      </c>
      <c r="N573" s="92">
        <f t="shared" si="193"/>
        <v>0</v>
      </c>
      <c r="O573" s="92">
        <f t="shared" si="194"/>
        <v>0</v>
      </c>
      <c r="P573">
        <v>0</v>
      </c>
      <c r="Q573">
        <v>0</v>
      </c>
      <c r="R573">
        <v>2</v>
      </c>
      <c r="S573">
        <v>600</v>
      </c>
    </row>
    <row r="574" spans="1:19" x14ac:dyDescent="0.2">
      <c r="A574" s="6" t="s">
        <v>77</v>
      </c>
      <c r="B574" s="90" t="s">
        <v>159</v>
      </c>
      <c r="C574" s="90">
        <v>9</v>
      </c>
      <c r="D574" s="93">
        <v>0</v>
      </c>
      <c r="E574" s="93">
        <v>0</v>
      </c>
      <c r="F574" s="88">
        <f t="shared" si="189"/>
        <v>0</v>
      </c>
      <c r="G574" s="88">
        <f t="shared" si="190"/>
        <v>0</v>
      </c>
      <c r="H574" s="88">
        <v>0</v>
      </c>
      <c r="I574" s="88">
        <v>0</v>
      </c>
      <c r="J574" s="88">
        <f t="shared" si="191"/>
        <v>0</v>
      </c>
      <c r="K574" s="88">
        <f t="shared" si="192"/>
        <v>0</v>
      </c>
      <c r="L574" s="90">
        <v>0</v>
      </c>
      <c r="M574" s="91">
        <v>0</v>
      </c>
      <c r="N574" s="92">
        <f t="shared" si="193"/>
        <v>0</v>
      </c>
      <c r="O574" s="92">
        <f t="shared" si="194"/>
        <v>0</v>
      </c>
      <c r="P574">
        <v>0</v>
      </c>
      <c r="Q574">
        <v>0</v>
      </c>
      <c r="R574">
        <v>2</v>
      </c>
      <c r="S574">
        <v>600</v>
      </c>
    </row>
    <row r="575" spans="1:19" x14ac:dyDescent="0.2">
      <c r="A575" s="6" t="s">
        <v>77</v>
      </c>
      <c r="B575" s="90" t="s">
        <v>160</v>
      </c>
      <c r="C575" s="90">
        <v>10</v>
      </c>
      <c r="D575" s="93">
        <v>0</v>
      </c>
      <c r="E575" s="93">
        <v>0</v>
      </c>
      <c r="F575" s="88">
        <f t="shared" si="189"/>
        <v>0</v>
      </c>
      <c r="G575" s="88">
        <f t="shared" si="190"/>
        <v>0</v>
      </c>
      <c r="H575" s="88">
        <v>0</v>
      </c>
      <c r="I575" s="88">
        <v>0</v>
      </c>
      <c r="J575" s="88">
        <f t="shared" si="191"/>
        <v>0</v>
      </c>
      <c r="K575" s="88">
        <f t="shared" si="192"/>
        <v>0</v>
      </c>
      <c r="L575" s="90">
        <v>2</v>
      </c>
      <c r="M575" s="91">
        <v>540</v>
      </c>
      <c r="N575" s="92">
        <f t="shared" si="193"/>
        <v>2</v>
      </c>
      <c r="O575" s="92">
        <f t="shared" si="194"/>
        <v>540</v>
      </c>
      <c r="P575">
        <v>0</v>
      </c>
      <c r="Q575">
        <v>0</v>
      </c>
      <c r="R575">
        <v>2</v>
      </c>
      <c r="S575">
        <v>600</v>
      </c>
    </row>
    <row r="576" spans="1:19" x14ac:dyDescent="0.2">
      <c r="A576" s="6" t="s">
        <v>77</v>
      </c>
      <c r="B576" s="90" t="s">
        <v>161</v>
      </c>
      <c r="C576" s="90">
        <v>11</v>
      </c>
      <c r="D576" s="93">
        <v>0</v>
      </c>
      <c r="E576" s="93">
        <v>0</v>
      </c>
      <c r="F576" s="88">
        <f t="shared" si="189"/>
        <v>0</v>
      </c>
      <c r="G576" s="88">
        <f t="shared" si="190"/>
        <v>0</v>
      </c>
      <c r="H576" s="88">
        <v>0</v>
      </c>
      <c r="I576" s="88">
        <v>0</v>
      </c>
      <c r="J576" s="88">
        <f t="shared" si="191"/>
        <v>0</v>
      </c>
      <c r="K576" s="88">
        <f t="shared" si="192"/>
        <v>0</v>
      </c>
      <c r="L576" s="90">
        <v>0</v>
      </c>
      <c r="M576" s="91">
        <v>0</v>
      </c>
      <c r="N576" s="92">
        <f t="shared" si="193"/>
        <v>2</v>
      </c>
      <c r="O576" s="92">
        <f t="shared" si="194"/>
        <v>540</v>
      </c>
      <c r="P576" s="86"/>
      <c r="Q576" s="86">
        <v>0</v>
      </c>
    </row>
    <row r="577" spans="1:19" x14ac:dyDescent="0.2">
      <c r="A577" s="6" t="s">
        <v>77</v>
      </c>
      <c r="B577" s="90" t="s">
        <v>162</v>
      </c>
      <c r="C577" s="90">
        <v>12</v>
      </c>
      <c r="D577" s="93">
        <v>0</v>
      </c>
      <c r="E577" s="93">
        <v>0</v>
      </c>
      <c r="F577" s="88">
        <f t="shared" si="189"/>
        <v>0</v>
      </c>
      <c r="G577" s="88">
        <f t="shared" si="190"/>
        <v>0</v>
      </c>
      <c r="H577" s="88">
        <v>0</v>
      </c>
      <c r="I577" s="88">
        <v>0</v>
      </c>
      <c r="J577" s="88">
        <f t="shared" si="191"/>
        <v>0</v>
      </c>
      <c r="K577" s="88">
        <f t="shared" si="192"/>
        <v>0</v>
      </c>
      <c r="L577" s="90">
        <v>0</v>
      </c>
      <c r="M577" s="91">
        <v>0</v>
      </c>
      <c r="N577" s="92">
        <f t="shared" si="193"/>
        <v>2</v>
      </c>
      <c r="O577" s="92">
        <f t="shared" si="194"/>
        <v>540</v>
      </c>
      <c r="P577" s="86"/>
      <c r="Q577" s="86">
        <v>0</v>
      </c>
    </row>
    <row r="578" spans="1:19" x14ac:dyDescent="0.2">
      <c r="A578" s="6" t="s">
        <v>52</v>
      </c>
      <c r="B578" s="90" t="s">
        <v>151</v>
      </c>
      <c r="C578" s="90">
        <v>1</v>
      </c>
      <c r="D578" s="93">
        <v>0</v>
      </c>
      <c r="E578" s="93">
        <v>0</v>
      </c>
      <c r="F578" s="88">
        <f>D578</f>
        <v>0</v>
      </c>
      <c r="G578" s="88">
        <f>E578</f>
        <v>0</v>
      </c>
      <c r="H578" s="89">
        <v>0</v>
      </c>
      <c r="I578" s="89">
        <v>0</v>
      </c>
      <c r="J578" s="89">
        <f>H578</f>
        <v>0</v>
      </c>
      <c r="K578" s="89">
        <f>I578</f>
        <v>0</v>
      </c>
      <c r="L578" s="90">
        <v>0</v>
      </c>
      <c r="M578" s="91">
        <v>0</v>
      </c>
      <c r="N578" s="92">
        <f>L578</f>
        <v>0</v>
      </c>
      <c r="O578" s="92">
        <f>M578</f>
        <v>0</v>
      </c>
      <c r="P578">
        <v>0</v>
      </c>
      <c r="Q578">
        <v>0</v>
      </c>
      <c r="R578">
        <v>0</v>
      </c>
      <c r="S578" s="85">
        <v>0</v>
      </c>
    </row>
    <row r="579" spans="1:19" x14ac:dyDescent="0.2">
      <c r="A579" s="6" t="s">
        <v>52</v>
      </c>
      <c r="B579" s="90" t="s">
        <v>152</v>
      </c>
      <c r="C579" s="90">
        <v>2</v>
      </c>
      <c r="D579" s="93">
        <v>0</v>
      </c>
      <c r="E579" s="93">
        <v>0</v>
      </c>
      <c r="F579" s="88">
        <f t="shared" ref="F579:G589" si="195">F578+D579</f>
        <v>0</v>
      </c>
      <c r="G579" s="88">
        <f t="shared" si="195"/>
        <v>0</v>
      </c>
      <c r="H579" s="89">
        <v>0</v>
      </c>
      <c r="I579" s="89">
        <v>0</v>
      </c>
      <c r="J579" s="89">
        <f t="shared" ref="J579:K589" si="196">J578+H579</f>
        <v>0</v>
      </c>
      <c r="K579" s="89">
        <f t="shared" si="196"/>
        <v>0</v>
      </c>
      <c r="L579" s="90">
        <v>0</v>
      </c>
      <c r="M579" s="91">
        <v>0</v>
      </c>
      <c r="N579" s="92">
        <f t="shared" ref="N579:N589" si="197">N578+L579</f>
        <v>0</v>
      </c>
      <c r="O579" s="92">
        <f t="shared" ref="O579:O589" si="198">O578+M579</f>
        <v>0</v>
      </c>
      <c r="P579">
        <v>0</v>
      </c>
      <c r="Q579">
        <v>0</v>
      </c>
      <c r="R579">
        <v>0</v>
      </c>
      <c r="S579" s="85">
        <v>0</v>
      </c>
    </row>
    <row r="580" spans="1:19" x14ac:dyDescent="0.2">
      <c r="A580" s="6" t="s">
        <v>52</v>
      </c>
      <c r="B580" s="90" t="s">
        <v>153</v>
      </c>
      <c r="C580" s="90">
        <v>3</v>
      </c>
      <c r="D580" s="93">
        <v>0</v>
      </c>
      <c r="E580" s="93">
        <v>0</v>
      </c>
      <c r="F580" s="88">
        <f t="shared" si="195"/>
        <v>0</v>
      </c>
      <c r="G580" s="88">
        <f t="shared" si="195"/>
        <v>0</v>
      </c>
      <c r="H580" s="89">
        <v>5</v>
      </c>
      <c r="I580" s="89">
        <v>720</v>
      </c>
      <c r="J580" s="89">
        <f t="shared" si="196"/>
        <v>5</v>
      </c>
      <c r="K580" s="89">
        <f t="shared" si="196"/>
        <v>720</v>
      </c>
      <c r="L580" s="90">
        <v>0</v>
      </c>
      <c r="M580" s="91">
        <v>0</v>
      </c>
      <c r="N580" s="92">
        <f t="shared" si="197"/>
        <v>0</v>
      </c>
      <c r="O580" s="92">
        <f t="shared" si="198"/>
        <v>0</v>
      </c>
      <c r="P580">
        <v>2</v>
      </c>
      <c r="Q580">
        <v>4300</v>
      </c>
      <c r="R580">
        <v>2</v>
      </c>
      <c r="S580" s="85">
        <v>4300</v>
      </c>
    </row>
    <row r="581" spans="1:19" x14ac:dyDescent="0.2">
      <c r="A581" s="6" t="s">
        <v>52</v>
      </c>
      <c r="B581" s="90" t="s">
        <v>154</v>
      </c>
      <c r="C581" s="90">
        <v>4</v>
      </c>
      <c r="D581" s="93">
        <v>0</v>
      </c>
      <c r="E581" s="93">
        <v>0</v>
      </c>
      <c r="F581" s="88">
        <f t="shared" si="195"/>
        <v>0</v>
      </c>
      <c r="G581" s="88">
        <f t="shared" si="195"/>
        <v>0</v>
      </c>
      <c r="H581" s="89">
        <v>0</v>
      </c>
      <c r="I581" s="89">
        <v>0</v>
      </c>
      <c r="J581" s="89">
        <f t="shared" si="196"/>
        <v>5</v>
      </c>
      <c r="K581" s="89">
        <f t="shared" si="196"/>
        <v>720</v>
      </c>
      <c r="L581" s="90">
        <v>2</v>
      </c>
      <c r="M581" s="91">
        <v>250</v>
      </c>
      <c r="N581" s="92">
        <f t="shared" si="197"/>
        <v>2</v>
      </c>
      <c r="O581" s="92">
        <f t="shared" si="198"/>
        <v>250</v>
      </c>
      <c r="P581">
        <v>0</v>
      </c>
      <c r="Q581">
        <v>0</v>
      </c>
      <c r="R581">
        <v>2</v>
      </c>
      <c r="S581" s="85">
        <v>4300</v>
      </c>
    </row>
    <row r="582" spans="1:19" x14ac:dyDescent="0.2">
      <c r="A582" s="6" t="s">
        <v>52</v>
      </c>
      <c r="B582" s="90" t="s">
        <v>155</v>
      </c>
      <c r="C582" s="90">
        <v>5</v>
      </c>
      <c r="D582" s="93">
        <v>0</v>
      </c>
      <c r="E582" s="93">
        <v>0</v>
      </c>
      <c r="F582" s="88">
        <f t="shared" si="195"/>
        <v>0</v>
      </c>
      <c r="G582" s="88">
        <f t="shared" si="195"/>
        <v>0</v>
      </c>
      <c r="H582" s="89">
        <v>0</v>
      </c>
      <c r="I582" s="89">
        <v>0</v>
      </c>
      <c r="J582" s="89">
        <f t="shared" si="196"/>
        <v>5</v>
      </c>
      <c r="K582" s="89">
        <f t="shared" si="196"/>
        <v>720</v>
      </c>
      <c r="L582" s="90">
        <v>0</v>
      </c>
      <c r="M582" s="91">
        <v>0</v>
      </c>
      <c r="N582" s="92">
        <f t="shared" si="197"/>
        <v>2</v>
      </c>
      <c r="O582" s="92">
        <f t="shared" si="198"/>
        <v>250</v>
      </c>
      <c r="P582">
        <v>0</v>
      </c>
      <c r="Q582">
        <v>0</v>
      </c>
      <c r="R582">
        <v>2</v>
      </c>
      <c r="S582" s="85">
        <v>4300</v>
      </c>
    </row>
    <row r="583" spans="1:19" x14ac:dyDescent="0.2">
      <c r="A583" s="6" t="s">
        <v>52</v>
      </c>
      <c r="B583" s="90" t="s">
        <v>156</v>
      </c>
      <c r="C583" s="90">
        <v>6</v>
      </c>
      <c r="D583" s="93">
        <v>0</v>
      </c>
      <c r="E583" s="93">
        <v>0</v>
      </c>
      <c r="F583" s="88">
        <f t="shared" si="195"/>
        <v>0</v>
      </c>
      <c r="G583" s="88">
        <f t="shared" si="195"/>
        <v>0</v>
      </c>
      <c r="H583" s="89">
        <v>0</v>
      </c>
      <c r="I583" s="89">
        <v>0</v>
      </c>
      <c r="J583" s="89">
        <f t="shared" si="196"/>
        <v>5</v>
      </c>
      <c r="K583" s="89">
        <f t="shared" si="196"/>
        <v>720</v>
      </c>
      <c r="L583" s="90">
        <v>2</v>
      </c>
      <c r="M583" s="91">
        <v>100</v>
      </c>
      <c r="N583" s="92">
        <f t="shared" si="197"/>
        <v>4</v>
      </c>
      <c r="O583" s="92">
        <f t="shared" si="198"/>
        <v>350</v>
      </c>
      <c r="P583">
        <v>0</v>
      </c>
      <c r="Q583">
        <v>0</v>
      </c>
      <c r="R583">
        <v>2</v>
      </c>
      <c r="S583" s="85">
        <v>4300</v>
      </c>
    </row>
    <row r="584" spans="1:19" x14ac:dyDescent="0.2">
      <c r="A584" s="6" t="s">
        <v>52</v>
      </c>
      <c r="B584" s="90" t="s">
        <v>157</v>
      </c>
      <c r="C584" s="90">
        <v>7</v>
      </c>
      <c r="D584" s="93">
        <v>0</v>
      </c>
      <c r="E584" s="93">
        <v>0</v>
      </c>
      <c r="F584" s="88">
        <f t="shared" si="195"/>
        <v>0</v>
      </c>
      <c r="G584" s="88">
        <f t="shared" si="195"/>
        <v>0</v>
      </c>
      <c r="H584" s="89">
        <v>0</v>
      </c>
      <c r="I584" s="89">
        <v>0</v>
      </c>
      <c r="J584" s="89">
        <f t="shared" si="196"/>
        <v>5</v>
      </c>
      <c r="K584" s="89">
        <f t="shared" si="196"/>
        <v>720</v>
      </c>
      <c r="L584" s="90">
        <v>2</v>
      </c>
      <c r="M584" s="91">
        <v>350</v>
      </c>
      <c r="N584" s="92">
        <f t="shared" si="197"/>
        <v>6</v>
      </c>
      <c r="O584" s="92">
        <f t="shared" si="198"/>
        <v>700</v>
      </c>
      <c r="P584">
        <v>0</v>
      </c>
      <c r="Q584">
        <v>0</v>
      </c>
      <c r="R584">
        <v>2</v>
      </c>
      <c r="S584" s="85">
        <v>4300</v>
      </c>
    </row>
    <row r="585" spans="1:19" x14ac:dyDescent="0.2">
      <c r="A585" s="6" t="s">
        <v>52</v>
      </c>
      <c r="B585" s="90" t="s">
        <v>158</v>
      </c>
      <c r="C585" s="90">
        <v>8</v>
      </c>
      <c r="D585" s="93">
        <v>0</v>
      </c>
      <c r="E585" s="93">
        <v>0</v>
      </c>
      <c r="F585" s="88">
        <f t="shared" si="195"/>
        <v>0</v>
      </c>
      <c r="G585" s="88">
        <f t="shared" si="195"/>
        <v>0</v>
      </c>
      <c r="H585" s="89">
        <v>0</v>
      </c>
      <c r="I585" s="89">
        <v>0</v>
      </c>
      <c r="J585" s="89">
        <f t="shared" si="196"/>
        <v>5</v>
      </c>
      <c r="K585" s="89">
        <f t="shared" si="196"/>
        <v>720</v>
      </c>
      <c r="L585" s="90">
        <v>0</v>
      </c>
      <c r="M585" s="91">
        <v>0</v>
      </c>
      <c r="N585" s="92">
        <f t="shared" si="197"/>
        <v>6</v>
      </c>
      <c r="O585" s="92">
        <f t="shared" si="198"/>
        <v>700</v>
      </c>
      <c r="P585" s="86">
        <v>0</v>
      </c>
      <c r="Q585" s="86">
        <v>0</v>
      </c>
      <c r="R585">
        <v>0</v>
      </c>
      <c r="S585" s="85">
        <v>0</v>
      </c>
    </row>
    <row r="586" spans="1:19" x14ac:dyDescent="0.2">
      <c r="A586" s="6" t="s">
        <v>52</v>
      </c>
      <c r="B586" s="90" t="s">
        <v>159</v>
      </c>
      <c r="C586" s="90">
        <v>9</v>
      </c>
      <c r="D586" s="93">
        <v>0</v>
      </c>
      <c r="E586" s="93">
        <v>0</v>
      </c>
      <c r="F586" s="88">
        <f t="shared" si="195"/>
        <v>0</v>
      </c>
      <c r="G586" s="88">
        <f t="shared" si="195"/>
        <v>0</v>
      </c>
      <c r="H586" s="89">
        <v>0</v>
      </c>
      <c r="I586" s="89">
        <v>0</v>
      </c>
      <c r="J586" s="89">
        <f t="shared" si="196"/>
        <v>5</v>
      </c>
      <c r="K586" s="89">
        <f t="shared" si="196"/>
        <v>720</v>
      </c>
      <c r="L586" s="90">
        <v>0</v>
      </c>
      <c r="M586" s="91">
        <v>0</v>
      </c>
      <c r="N586" s="92">
        <f t="shared" si="197"/>
        <v>6</v>
      </c>
      <c r="O586" s="92">
        <f t="shared" si="198"/>
        <v>700</v>
      </c>
      <c r="P586" s="112">
        <v>0</v>
      </c>
      <c r="Q586" s="86">
        <v>0</v>
      </c>
      <c r="R586">
        <v>0</v>
      </c>
      <c r="S586" s="85">
        <v>0</v>
      </c>
    </row>
    <row r="587" spans="1:19" x14ac:dyDescent="0.2">
      <c r="A587" s="6" t="s">
        <v>52</v>
      </c>
      <c r="B587" s="90" t="s">
        <v>160</v>
      </c>
      <c r="C587" s="90">
        <v>10</v>
      </c>
      <c r="D587" s="93">
        <v>0</v>
      </c>
      <c r="E587" s="93">
        <v>0</v>
      </c>
      <c r="F587" s="88">
        <f t="shared" si="195"/>
        <v>0</v>
      </c>
      <c r="G587" s="88">
        <f t="shared" si="195"/>
        <v>0</v>
      </c>
      <c r="H587" s="89">
        <v>0</v>
      </c>
      <c r="I587" s="89">
        <v>0</v>
      </c>
      <c r="J587" s="89">
        <f t="shared" si="196"/>
        <v>5</v>
      </c>
      <c r="K587" s="89">
        <f t="shared" si="196"/>
        <v>720</v>
      </c>
      <c r="L587" s="90">
        <v>3</v>
      </c>
      <c r="M587" s="91">
        <v>1196.54</v>
      </c>
      <c r="N587" s="92">
        <f t="shared" si="197"/>
        <v>9</v>
      </c>
      <c r="O587" s="92">
        <f t="shared" si="198"/>
        <v>1896.54</v>
      </c>
      <c r="P587" s="112">
        <v>0</v>
      </c>
      <c r="Q587" s="86">
        <v>0</v>
      </c>
      <c r="R587">
        <v>0</v>
      </c>
      <c r="S587" s="85">
        <v>0</v>
      </c>
    </row>
    <row r="588" spans="1:19" x14ac:dyDescent="0.2">
      <c r="A588" s="6" t="s">
        <v>52</v>
      </c>
      <c r="B588" s="90" t="s">
        <v>161</v>
      </c>
      <c r="C588" s="90">
        <v>11</v>
      </c>
      <c r="D588" s="93">
        <v>0</v>
      </c>
      <c r="E588" s="93">
        <v>0</v>
      </c>
      <c r="F588" s="88">
        <f t="shared" si="195"/>
        <v>0</v>
      </c>
      <c r="G588" s="88">
        <f t="shared" si="195"/>
        <v>0</v>
      </c>
      <c r="H588" s="89">
        <v>6</v>
      </c>
      <c r="I588" s="89">
        <v>680</v>
      </c>
      <c r="J588" s="89">
        <f t="shared" si="196"/>
        <v>11</v>
      </c>
      <c r="K588" s="89">
        <f t="shared" si="196"/>
        <v>1400</v>
      </c>
      <c r="L588" s="90">
        <v>7</v>
      </c>
      <c r="M588" s="91">
        <v>2838.5</v>
      </c>
      <c r="N588" s="92">
        <f t="shared" si="197"/>
        <v>16</v>
      </c>
      <c r="O588" s="92">
        <f t="shared" si="198"/>
        <v>4735.04</v>
      </c>
      <c r="P588" s="86"/>
      <c r="Q588" s="86">
        <v>0</v>
      </c>
    </row>
    <row r="589" spans="1:19" x14ac:dyDescent="0.2">
      <c r="A589" s="6" t="s">
        <v>52</v>
      </c>
      <c r="B589" s="90" t="s">
        <v>162</v>
      </c>
      <c r="C589" s="90">
        <v>12</v>
      </c>
      <c r="D589" s="93">
        <v>0</v>
      </c>
      <c r="E589" s="93">
        <v>0</v>
      </c>
      <c r="F589" s="88">
        <f t="shared" si="195"/>
        <v>0</v>
      </c>
      <c r="G589" s="88">
        <f t="shared" si="195"/>
        <v>0</v>
      </c>
      <c r="H589" s="89">
        <v>0</v>
      </c>
      <c r="I589" s="89">
        <v>0</v>
      </c>
      <c r="J589" s="89">
        <f t="shared" si="196"/>
        <v>11</v>
      </c>
      <c r="K589" s="89">
        <f t="shared" si="196"/>
        <v>1400</v>
      </c>
      <c r="L589" s="90">
        <v>4</v>
      </c>
      <c r="M589" s="91">
        <v>525</v>
      </c>
      <c r="N589" s="92">
        <f t="shared" si="197"/>
        <v>20</v>
      </c>
      <c r="O589" s="92">
        <f t="shared" si="198"/>
        <v>5260.04</v>
      </c>
      <c r="P589" s="86"/>
      <c r="Q589" s="86">
        <v>0</v>
      </c>
    </row>
    <row r="590" spans="1:19" x14ac:dyDescent="0.2">
      <c r="A590" s="6" t="s">
        <v>105</v>
      </c>
      <c r="B590" s="90" t="s">
        <v>151</v>
      </c>
      <c r="C590" s="90">
        <v>1</v>
      </c>
      <c r="D590" s="93">
        <v>1</v>
      </c>
      <c r="E590" s="93">
        <v>4500</v>
      </c>
      <c r="F590" s="88">
        <f>D590</f>
        <v>1</v>
      </c>
      <c r="G590" s="88">
        <f>E590</f>
        <v>4500</v>
      </c>
      <c r="H590" s="89">
        <v>0</v>
      </c>
      <c r="I590" s="89">
        <v>0</v>
      </c>
      <c r="J590" s="89">
        <f>H590</f>
        <v>0</v>
      </c>
      <c r="K590" s="89">
        <f>I590</f>
        <v>0</v>
      </c>
      <c r="L590" s="90">
        <v>0</v>
      </c>
      <c r="M590" s="91">
        <v>0</v>
      </c>
      <c r="N590" s="92">
        <f>L590</f>
        <v>0</v>
      </c>
      <c r="O590" s="92">
        <f>M590</f>
        <v>0</v>
      </c>
      <c r="P590">
        <v>0</v>
      </c>
      <c r="Q590">
        <v>0</v>
      </c>
      <c r="R590">
        <v>0</v>
      </c>
      <c r="S590">
        <v>0</v>
      </c>
    </row>
    <row r="591" spans="1:19" x14ac:dyDescent="0.2">
      <c r="A591" s="6" t="s">
        <v>105</v>
      </c>
      <c r="B591" s="90" t="s">
        <v>152</v>
      </c>
      <c r="C591" s="90">
        <v>2</v>
      </c>
      <c r="D591" s="93">
        <v>1</v>
      </c>
      <c r="E591" s="93">
        <v>718.68</v>
      </c>
      <c r="F591" s="88">
        <f t="shared" ref="F591:G601" si="199">F590+D591</f>
        <v>2</v>
      </c>
      <c r="G591" s="88">
        <f t="shared" si="199"/>
        <v>5218.68</v>
      </c>
      <c r="H591" s="89">
        <v>0</v>
      </c>
      <c r="I591" s="89">
        <v>0</v>
      </c>
      <c r="J591" s="89">
        <f t="shared" ref="J591:K601" si="200">J590+H591</f>
        <v>0</v>
      </c>
      <c r="K591" s="89">
        <f t="shared" si="200"/>
        <v>0</v>
      </c>
      <c r="L591" s="90">
        <v>2</v>
      </c>
      <c r="M591" s="91">
        <v>1535</v>
      </c>
      <c r="N591" s="92">
        <f t="shared" ref="N591:N601" si="201">N590+L591</f>
        <v>2</v>
      </c>
      <c r="O591" s="92">
        <f t="shared" ref="O591:O601" si="202">O590+M591</f>
        <v>1535</v>
      </c>
      <c r="P591">
        <v>0</v>
      </c>
      <c r="Q591">
        <v>0</v>
      </c>
      <c r="R591">
        <v>0</v>
      </c>
      <c r="S591">
        <v>0</v>
      </c>
    </row>
    <row r="592" spans="1:19" x14ac:dyDescent="0.2">
      <c r="A592" s="6" t="s">
        <v>105</v>
      </c>
      <c r="B592" s="90" t="s">
        <v>153</v>
      </c>
      <c r="C592" s="90">
        <v>3</v>
      </c>
      <c r="D592" s="93">
        <v>2</v>
      </c>
      <c r="E592" s="93">
        <v>2100</v>
      </c>
      <c r="F592" s="88">
        <f t="shared" si="199"/>
        <v>4</v>
      </c>
      <c r="G592" s="88">
        <f t="shared" si="199"/>
        <v>7318.68</v>
      </c>
      <c r="H592" s="89">
        <v>0</v>
      </c>
      <c r="I592" s="89">
        <v>0</v>
      </c>
      <c r="J592" s="89">
        <f t="shared" si="200"/>
        <v>0</v>
      </c>
      <c r="K592" s="89">
        <f t="shared" si="200"/>
        <v>0</v>
      </c>
      <c r="L592" s="90">
        <v>0</v>
      </c>
      <c r="M592" s="91">
        <v>0</v>
      </c>
      <c r="N592" s="92">
        <f t="shared" si="201"/>
        <v>2</v>
      </c>
      <c r="O592" s="92">
        <f t="shared" si="202"/>
        <v>1535</v>
      </c>
      <c r="P592">
        <v>0</v>
      </c>
      <c r="Q592">
        <v>0</v>
      </c>
      <c r="R592">
        <v>0</v>
      </c>
      <c r="S592">
        <v>0</v>
      </c>
    </row>
    <row r="593" spans="1:19" x14ac:dyDescent="0.2">
      <c r="A593" s="6" t="s">
        <v>105</v>
      </c>
      <c r="B593" s="90" t="s">
        <v>154</v>
      </c>
      <c r="C593" s="90">
        <v>4</v>
      </c>
      <c r="D593" s="93">
        <v>0</v>
      </c>
      <c r="E593" s="93">
        <v>0</v>
      </c>
      <c r="F593" s="88">
        <f t="shared" si="199"/>
        <v>4</v>
      </c>
      <c r="G593" s="88">
        <f t="shared" si="199"/>
        <v>7318.68</v>
      </c>
      <c r="H593" s="89">
        <v>0</v>
      </c>
      <c r="I593" s="89">
        <v>0</v>
      </c>
      <c r="J593" s="89">
        <f t="shared" si="200"/>
        <v>0</v>
      </c>
      <c r="K593" s="89">
        <f t="shared" si="200"/>
        <v>0</v>
      </c>
      <c r="L593" s="90">
        <v>1</v>
      </c>
      <c r="M593" s="91">
        <v>100</v>
      </c>
      <c r="N593" s="92">
        <f t="shared" si="201"/>
        <v>3</v>
      </c>
      <c r="O593" s="92">
        <f t="shared" si="202"/>
        <v>1635</v>
      </c>
      <c r="P593">
        <v>0</v>
      </c>
      <c r="Q593">
        <v>0</v>
      </c>
      <c r="R593">
        <v>0</v>
      </c>
      <c r="S593">
        <v>0</v>
      </c>
    </row>
    <row r="594" spans="1:19" x14ac:dyDescent="0.2">
      <c r="A594" s="6" t="s">
        <v>105</v>
      </c>
      <c r="B594" s="90" t="s">
        <v>155</v>
      </c>
      <c r="C594" s="90">
        <v>5</v>
      </c>
      <c r="D594" s="93">
        <v>3</v>
      </c>
      <c r="E594" s="88">
        <v>3747.66</v>
      </c>
      <c r="F594" s="88">
        <f t="shared" si="199"/>
        <v>7</v>
      </c>
      <c r="G594" s="88">
        <f t="shared" si="199"/>
        <v>11066.34</v>
      </c>
      <c r="H594" s="89">
        <v>1</v>
      </c>
      <c r="I594" s="89">
        <v>925</v>
      </c>
      <c r="J594" s="89">
        <f t="shared" si="200"/>
        <v>1</v>
      </c>
      <c r="K594" s="89">
        <f t="shared" si="200"/>
        <v>925</v>
      </c>
      <c r="L594" s="90">
        <v>1</v>
      </c>
      <c r="M594" s="91">
        <v>1200</v>
      </c>
      <c r="N594" s="92">
        <f t="shared" si="201"/>
        <v>4</v>
      </c>
      <c r="O594" s="92">
        <f t="shared" si="202"/>
        <v>2835</v>
      </c>
      <c r="P594">
        <v>0</v>
      </c>
      <c r="Q594">
        <v>0</v>
      </c>
      <c r="R594">
        <v>0</v>
      </c>
      <c r="S594">
        <v>0</v>
      </c>
    </row>
    <row r="595" spans="1:19" x14ac:dyDescent="0.2">
      <c r="A595" s="6" t="s">
        <v>105</v>
      </c>
      <c r="B595" s="90" t="s">
        <v>156</v>
      </c>
      <c r="C595" s="90">
        <v>6</v>
      </c>
      <c r="D595" s="93">
        <v>1</v>
      </c>
      <c r="E595" s="93">
        <v>2500</v>
      </c>
      <c r="F595" s="88">
        <f t="shared" si="199"/>
        <v>8</v>
      </c>
      <c r="G595" s="88">
        <f t="shared" si="199"/>
        <v>13566.34</v>
      </c>
      <c r="H595" s="89">
        <v>0</v>
      </c>
      <c r="I595" s="89">
        <v>0</v>
      </c>
      <c r="J595" s="89">
        <f t="shared" si="200"/>
        <v>1</v>
      </c>
      <c r="K595" s="89">
        <f t="shared" si="200"/>
        <v>925</v>
      </c>
      <c r="L595" s="90">
        <v>1</v>
      </c>
      <c r="M595" s="91">
        <v>850</v>
      </c>
      <c r="N595" s="92">
        <f t="shared" si="201"/>
        <v>5</v>
      </c>
      <c r="O595" s="92">
        <f t="shared" si="202"/>
        <v>3685</v>
      </c>
      <c r="P595">
        <v>0</v>
      </c>
      <c r="Q595">
        <v>0</v>
      </c>
      <c r="R595">
        <v>0</v>
      </c>
      <c r="S595">
        <v>0</v>
      </c>
    </row>
    <row r="596" spans="1:19" x14ac:dyDescent="0.2">
      <c r="A596" s="6" t="s">
        <v>105</v>
      </c>
      <c r="B596" s="90" t="s">
        <v>157</v>
      </c>
      <c r="C596" s="90">
        <v>7</v>
      </c>
      <c r="D596" s="93">
        <v>1</v>
      </c>
      <c r="E596" s="93">
        <v>1200</v>
      </c>
      <c r="F596" s="88">
        <f t="shared" si="199"/>
        <v>9</v>
      </c>
      <c r="G596" s="88">
        <f t="shared" si="199"/>
        <v>14766.34</v>
      </c>
      <c r="H596" s="89">
        <v>0</v>
      </c>
      <c r="I596" s="89">
        <v>0</v>
      </c>
      <c r="J596" s="89">
        <f t="shared" si="200"/>
        <v>1</v>
      </c>
      <c r="K596" s="89">
        <f t="shared" si="200"/>
        <v>925</v>
      </c>
      <c r="L596" s="90">
        <v>3</v>
      </c>
      <c r="M596" s="91">
        <v>1160.0999999999999</v>
      </c>
      <c r="N596" s="92">
        <f t="shared" si="201"/>
        <v>8</v>
      </c>
      <c r="O596" s="92">
        <f t="shared" si="202"/>
        <v>4845.1000000000004</v>
      </c>
      <c r="P596">
        <v>2</v>
      </c>
      <c r="Q596">
        <v>800</v>
      </c>
      <c r="R596">
        <v>2</v>
      </c>
      <c r="S596">
        <v>800</v>
      </c>
    </row>
    <row r="597" spans="1:19" x14ac:dyDescent="0.2">
      <c r="A597" s="6" t="s">
        <v>105</v>
      </c>
      <c r="B597" s="90" t="s">
        <v>158</v>
      </c>
      <c r="C597" s="90">
        <v>8</v>
      </c>
      <c r="D597" s="93">
        <v>0</v>
      </c>
      <c r="E597" s="93">
        <v>0</v>
      </c>
      <c r="F597" s="88">
        <f t="shared" si="199"/>
        <v>9</v>
      </c>
      <c r="G597" s="88">
        <f t="shared" si="199"/>
        <v>14766.34</v>
      </c>
      <c r="H597" s="89">
        <v>0</v>
      </c>
      <c r="I597" s="89">
        <v>0</v>
      </c>
      <c r="J597" s="89">
        <f t="shared" si="200"/>
        <v>1</v>
      </c>
      <c r="K597" s="89">
        <f t="shared" si="200"/>
        <v>925</v>
      </c>
      <c r="L597" s="90">
        <v>1</v>
      </c>
      <c r="M597" s="91">
        <v>885</v>
      </c>
      <c r="N597" s="92">
        <f t="shared" si="201"/>
        <v>9</v>
      </c>
      <c r="O597" s="92">
        <f t="shared" si="202"/>
        <v>5730.1</v>
      </c>
      <c r="P597">
        <v>1</v>
      </c>
      <c r="Q597">
        <v>250</v>
      </c>
      <c r="R597">
        <v>3</v>
      </c>
      <c r="S597">
        <v>1050</v>
      </c>
    </row>
    <row r="598" spans="1:19" x14ac:dyDescent="0.2">
      <c r="A598" s="6" t="s">
        <v>105</v>
      </c>
      <c r="B598" s="90" t="s">
        <v>159</v>
      </c>
      <c r="C598" s="90">
        <v>9</v>
      </c>
      <c r="D598" s="93">
        <v>0</v>
      </c>
      <c r="E598" s="93">
        <v>0</v>
      </c>
      <c r="F598" s="88">
        <f t="shared" si="199"/>
        <v>9</v>
      </c>
      <c r="G598" s="88">
        <f t="shared" si="199"/>
        <v>14766.34</v>
      </c>
      <c r="H598" s="89">
        <v>3</v>
      </c>
      <c r="I598" s="89">
        <v>1200</v>
      </c>
      <c r="J598" s="89">
        <f t="shared" si="200"/>
        <v>4</v>
      </c>
      <c r="K598" s="89">
        <f t="shared" si="200"/>
        <v>2125</v>
      </c>
      <c r="L598" s="90">
        <v>3</v>
      </c>
      <c r="M598" s="91">
        <v>3280</v>
      </c>
      <c r="N598" s="92">
        <f t="shared" si="201"/>
        <v>12</v>
      </c>
      <c r="O598" s="92">
        <f t="shared" si="202"/>
        <v>9010.1</v>
      </c>
      <c r="P598">
        <v>0</v>
      </c>
      <c r="Q598">
        <v>0</v>
      </c>
      <c r="R598">
        <v>3</v>
      </c>
      <c r="S598">
        <v>1050</v>
      </c>
    </row>
    <row r="599" spans="1:19" x14ac:dyDescent="0.2">
      <c r="A599" s="6" t="s">
        <v>105</v>
      </c>
      <c r="B599" s="90" t="s">
        <v>160</v>
      </c>
      <c r="C599" s="90">
        <v>10</v>
      </c>
      <c r="D599" s="93">
        <v>0</v>
      </c>
      <c r="E599" s="93">
        <v>0</v>
      </c>
      <c r="F599" s="88">
        <f t="shared" si="199"/>
        <v>9</v>
      </c>
      <c r="G599" s="88">
        <f t="shared" si="199"/>
        <v>14766.34</v>
      </c>
      <c r="H599" s="89">
        <v>1</v>
      </c>
      <c r="I599" s="89">
        <v>350</v>
      </c>
      <c r="J599" s="89">
        <f t="shared" si="200"/>
        <v>5</v>
      </c>
      <c r="K599" s="89">
        <f t="shared" si="200"/>
        <v>2475</v>
      </c>
      <c r="L599" s="90">
        <v>0</v>
      </c>
      <c r="M599" s="91">
        <v>0</v>
      </c>
      <c r="N599" s="92">
        <f t="shared" si="201"/>
        <v>12</v>
      </c>
      <c r="O599" s="92">
        <f t="shared" si="202"/>
        <v>9010.1</v>
      </c>
      <c r="P599">
        <v>0</v>
      </c>
      <c r="Q599">
        <v>0</v>
      </c>
      <c r="R599">
        <v>3</v>
      </c>
      <c r="S599">
        <v>1050</v>
      </c>
    </row>
    <row r="600" spans="1:19" x14ac:dyDescent="0.2">
      <c r="A600" s="6" t="s">
        <v>105</v>
      </c>
      <c r="B600" s="90" t="s">
        <v>161</v>
      </c>
      <c r="C600" s="90">
        <v>11</v>
      </c>
      <c r="D600" s="93">
        <v>0</v>
      </c>
      <c r="E600" s="93">
        <v>0</v>
      </c>
      <c r="F600" s="88">
        <f t="shared" si="199"/>
        <v>9</v>
      </c>
      <c r="G600" s="88">
        <f t="shared" si="199"/>
        <v>14766.34</v>
      </c>
      <c r="H600" s="89">
        <v>5</v>
      </c>
      <c r="I600" s="89">
        <v>4405</v>
      </c>
      <c r="J600" s="89">
        <f t="shared" si="200"/>
        <v>10</v>
      </c>
      <c r="K600" s="89">
        <f t="shared" si="200"/>
        <v>6880</v>
      </c>
      <c r="L600" s="90">
        <v>1</v>
      </c>
      <c r="M600" s="91">
        <v>1100</v>
      </c>
      <c r="N600" s="92">
        <f t="shared" si="201"/>
        <v>13</v>
      </c>
      <c r="O600" s="92">
        <f t="shared" si="202"/>
        <v>10110.1</v>
      </c>
      <c r="P600" s="86"/>
      <c r="Q600" s="86">
        <v>0</v>
      </c>
    </row>
    <row r="601" spans="1:19" x14ac:dyDescent="0.2">
      <c r="A601" s="6" t="s">
        <v>105</v>
      </c>
      <c r="B601" s="90" t="s">
        <v>162</v>
      </c>
      <c r="C601" s="90">
        <v>12</v>
      </c>
      <c r="D601" s="93">
        <v>0</v>
      </c>
      <c r="E601" s="93">
        <v>0</v>
      </c>
      <c r="F601" s="88">
        <f t="shared" si="199"/>
        <v>9</v>
      </c>
      <c r="G601" s="88">
        <f t="shared" si="199"/>
        <v>14766.34</v>
      </c>
      <c r="H601" s="89">
        <v>0</v>
      </c>
      <c r="I601" s="89">
        <v>0</v>
      </c>
      <c r="J601" s="89">
        <f t="shared" si="200"/>
        <v>10</v>
      </c>
      <c r="K601" s="89">
        <f t="shared" si="200"/>
        <v>6880</v>
      </c>
      <c r="L601" s="90">
        <v>8</v>
      </c>
      <c r="M601" s="91">
        <v>6320</v>
      </c>
      <c r="N601" s="92">
        <f t="shared" si="201"/>
        <v>21</v>
      </c>
      <c r="O601" s="92">
        <f t="shared" si="202"/>
        <v>16430.099999999999</v>
      </c>
      <c r="P601" s="86"/>
      <c r="Q601" s="86">
        <v>0</v>
      </c>
    </row>
    <row r="602" spans="1:19" x14ac:dyDescent="0.2">
      <c r="A602" s="6" t="s">
        <v>98</v>
      </c>
      <c r="B602" s="90" t="s">
        <v>151</v>
      </c>
      <c r="C602" s="90">
        <v>1</v>
      </c>
      <c r="D602" s="93">
        <v>2</v>
      </c>
      <c r="E602" s="88">
        <v>8470.7999999999993</v>
      </c>
      <c r="F602" s="88">
        <f>D602</f>
        <v>2</v>
      </c>
      <c r="G602" s="88">
        <f>E602</f>
        <v>8470.7999999999993</v>
      </c>
      <c r="H602" s="89">
        <v>1</v>
      </c>
      <c r="I602" s="89">
        <v>4950</v>
      </c>
      <c r="J602" s="89">
        <f>H602</f>
        <v>1</v>
      </c>
      <c r="K602" s="89">
        <f>I602</f>
        <v>4950</v>
      </c>
      <c r="L602" s="90">
        <v>5</v>
      </c>
      <c r="M602" s="91">
        <v>37884.69</v>
      </c>
      <c r="N602" s="92">
        <f>L602</f>
        <v>5</v>
      </c>
      <c r="O602" s="92">
        <f>M602</f>
        <v>37884.69</v>
      </c>
      <c r="P602">
        <v>6</v>
      </c>
      <c r="Q602">
        <v>37403.699999999997</v>
      </c>
      <c r="R602">
        <v>6</v>
      </c>
      <c r="S602">
        <v>37403.699999999997</v>
      </c>
    </row>
    <row r="603" spans="1:19" x14ac:dyDescent="0.2">
      <c r="A603" s="6" t="s">
        <v>98</v>
      </c>
      <c r="B603" s="90" t="s">
        <v>152</v>
      </c>
      <c r="C603" s="90">
        <v>2</v>
      </c>
      <c r="D603" s="93">
        <v>5</v>
      </c>
      <c r="E603" s="88">
        <v>22414</v>
      </c>
      <c r="F603" s="88">
        <f t="shared" ref="F603:G613" si="203">F602+D603</f>
        <v>7</v>
      </c>
      <c r="G603" s="88">
        <f t="shared" si="203"/>
        <v>30884.799999999999</v>
      </c>
      <c r="H603" s="89">
        <v>4</v>
      </c>
      <c r="I603" s="89">
        <v>25217</v>
      </c>
      <c r="J603" s="89">
        <f t="shared" ref="J603:K613" si="204">J602+H603</f>
        <v>5</v>
      </c>
      <c r="K603" s="89">
        <f t="shared" si="204"/>
        <v>30167</v>
      </c>
      <c r="L603" s="90">
        <v>2</v>
      </c>
      <c r="M603" s="91">
        <v>8685</v>
      </c>
      <c r="N603" s="92">
        <f t="shared" ref="N603:N613" si="205">N602+L603</f>
        <v>7</v>
      </c>
      <c r="O603" s="92">
        <f t="shared" ref="O603:O613" si="206">O602+M603</f>
        <v>46569.69</v>
      </c>
      <c r="P603">
        <v>3</v>
      </c>
      <c r="Q603">
        <v>23492.28</v>
      </c>
      <c r="R603">
        <v>9</v>
      </c>
      <c r="S603">
        <v>60895.98</v>
      </c>
    </row>
    <row r="604" spans="1:19" x14ac:dyDescent="0.2">
      <c r="A604" s="6" t="s">
        <v>98</v>
      </c>
      <c r="B604" s="90" t="s">
        <v>153</v>
      </c>
      <c r="C604" s="90">
        <v>3</v>
      </c>
      <c r="D604" s="93">
        <v>2</v>
      </c>
      <c r="E604" s="88">
        <v>14896.4</v>
      </c>
      <c r="F604" s="88">
        <f t="shared" si="203"/>
        <v>9</v>
      </c>
      <c r="G604" s="88">
        <f t="shared" si="203"/>
        <v>45781.2</v>
      </c>
      <c r="H604" s="89">
        <v>2</v>
      </c>
      <c r="I604" s="89">
        <v>8650</v>
      </c>
      <c r="J604" s="89">
        <f t="shared" si="204"/>
        <v>7</v>
      </c>
      <c r="K604" s="89">
        <f t="shared" si="204"/>
        <v>38817</v>
      </c>
      <c r="L604" s="90">
        <v>5</v>
      </c>
      <c r="M604" s="91">
        <v>33589.5</v>
      </c>
      <c r="N604" s="92">
        <f t="shared" si="205"/>
        <v>12</v>
      </c>
      <c r="O604" s="92">
        <f t="shared" si="206"/>
        <v>80159.19</v>
      </c>
      <c r="P604">
        <v>3</v>
      </c>
      <c r="Q604">
        <v>20720.93</v>
      </c>
      <c r="R604">
        <v>12</v>
      </c>
      <c r="S604">
        <v>81616.91</v>
      </c>
    </row>
    <row r="605" spans="1:19" x14ac:dyDescent="0.2">
      <c r="A605" s="6" t="s">
        <v>98</v>
      </c>
      <c r="B605" s="90" t="s">
        <v>154</v>
      </c>
      <c r="C605" s="90">
        <v>4</v>
      </c>
      <c r="D605" s="93">
        <v>1</v>
      </c>
      <c r="E605" s="93">
        <v>4900</v>
      </c>
      <c r="F605" s="88">
        <f t="shared" si="203"/>
        <v>10</v>
      </c>
      <c r="G605" s="88">
        <f t="shared" si="203"/>
        <v>50681.2</v>
      </c>
      <c r="H605" s="89">
        <v>5</v>
      </c>
      <c r="I605" s="89">
        <v>29819</v>
      </c>
      <c r="J605" s="89">
        <f t="shared" si="204"/>
        <v>12</v>
      </c>
      <c r="K605" s="89">
        <f t="shared" si="204"/>
        <v>68636</v>
      </c>
      <c r="L605" s="90">
        <v>4</v>
      </c>
      <c r="M605" s="91">
        <v>8873.35</v>
      </c>
      <c r="N605" s="92">
        <f t="shared" si="205"/>
        <v>16</v>
      </c>
      <c r="O605" s="92">
        <f t="shared" si="206"/>
        <v>89032.540000000008</v>
      </c>
      <c r="P605">
        <v>1</v>
      </c>
      <c r="Q605">
        <v>210</v>
      </c>
      <c r="R605">
        <v>13</v>
      </c>
      <c r="S605">
        <v>81826.91</v>
      </c>
    </row>
    <row r="606" spans="1:19" x14ac:dyDescent="0.2">
      <c r="A606" s="6" t="s">
        <v>98</v>
      </c>
      <c r="B606" s="90" t="s">
        <v>155</v>
      </c>
      <c r="C606" s="90">
        <v>5</v>
      </c>
      <c r="D606" s="93">
        <v>5</v>
      </c>
      <c r="E606" s="88">
        <v>25788.739999999998</v>
      </c>
      <c r="F606" s="88">
        <f t="shared" si="203"/>
        <v>15</v>
      </c>
      <c r="G606" s="88">
        <f t="shared" si="203"/>
        <v>76469.94</v>
      </c>
      <c r="H606" s="89">
        <v>6</v>
      </c>
      <c r="I606" s="89">
        <v>70337.78</v>
      </c>
      <c r="J606" s="89">
        <f t="shared" si="204"/>
        <v>18</v>
      </c>
      <c r="K606" s="89">
        <f t="shared" si="204"/>
        <v>138973.78</v>
      </c>
      <c r="L606" s="90">
        <v>11</v>
      </c>
      <c r="M606" s="91">
        <v>49065.79</v>
      </c>
      <c r="N606" s="92">
        <f t="shared" si="205"/>
        <v>27</v>
      </c>
      <c r="O606" s="92">
        <f t="shared" si="206"/>
        <v>138098.33000000002</v>
      </c>
      <c r="P606">
        <v>7</v>
      </c>
      <c r="Q606">
        <v>47429.14</v>
      </c>
      <c r="R606">
        <v>20</v>
      </c>
      <c r="S606">
        <v>129256.05</v>
      </c>
    </row>
    <row r="607" spans="1:19" x14ac:dyDescent="0.2">
      <c r="A607" s="6" t="s">
        <v>98</v>
      </c>
      <c r="B607" s="90" t="s">
        <v>156</v>
      </c>
      <c r="C607" s="90">
        <v>6</v>
      </c>
      <c r="D607" s="93">
        <v>12</v>
      </c>
      <c r="E607" s="88">
        <v>57032.700000000004</v>
      </c>
      <c r="F607" s="88">
        <f t="shared" si="203"/>
        <v>27</v>
      </c>
      <c r="G607" s="88">
        <f t="shared" si="203"/>
        <v>133502.64000000001</v>
      </c>
      <c r="H607" s="89">
        <v>1</v>
      </c>
      <c r="I607" s="89">
        <v>8000</v>
      </c>
      <c r="J607" s="89">
        <f t="shared" si="204"/>
        <v>19</v>
      </c>
      <c r="K607" s="89">
        <f t="shared" si="204"/>
        <v>146973.78</v>
      </c>
      <c r="L607" s="90">
        <v>2</v>
      </c>
      <c r="M607" s="91">
        <v>9350</v>
      </c>
      <c r="N607" s="92">
        <f t="shared" si="205"/>
        <v>29</v>
      </c>
      <c r="O607" s="92">
        <f t="shared" si="206"/>
        <v>147448.33000000002</v>
      </c>
      <c r="P607">
        <v>6</v>
      </c>
      <c r="Q607">
        <v>32150.959999999999</v>
      </c>
      <c r="R607">
        <v>26</v>
      </c>
      <c r="S607">
        <v>161407.01</v>
      </c>
    </row>
    <row r="608" spans="1:19" x14ac:dyDescent="0.2">
      <c r="A608" s="6" t="s">
        <v>98</v>
      </c>
      <c r="B608" s="90" t="s">
        <v>157</v>
      </c>
      <c r="C608" s="90">
        <v>7</v>
      </c>
      <c r="D608" s="88">
        <v>13</v>
      </c>
      <c r="E608" s="88">
        <v>80201</v>
      </c>
      <c r="F608" s="88">
        <f t="shared" si="203"/>
        <v>40</v>
      </c>
      <c r="G608" s="88">
        <f t="shared" si="203"/>
        <v>213703.64</v>
      </c>
      <c r="H608" s="89">
        <v>2</v>
      </c>
      <c r="I608" s="89">
        <v>9688</v>
      </c>
      <c r="J608" s="89">
        <f t="shared" si="204"/>
        <v>21</v>
      </c>
      <c r="K608" s="89">
        <f t="shared" si="204"/>
        <v>156661.78</v>
      </c>
      <c r="L608" s="90">
        <v>4</v>
      </c>
      <c r="M608" s="91">
        <v>22477.26</v>
      </c>
      <c r="N608" s="92">
        <f t="shared" si="205"/>
        <v>33</v>
      </c>
      <c r="O608" s="92">
        <f t="shared" si="206"/>
        <v>169925.59000000003</v>
      </c>
      <c r="P608">
        <v>12</v>
      </c>
      <c r="Q608">
        <v>40897.53</v>
      </c>
      <c r="R608">
        <v>38</v>
      </c>
      <c r="S608">
        <v>202304.54</v>
      </c>
    </row>
    <row r="609" spans="1:19" x14ac:dyDescent="0.2">
      <c r="A609" s="6" t="s">
        <v>98</v>
      </c>
      <c r="B609" s="90" t="s">
        <v>158</v>
      </c>
      <c r="C609" s="90">
        <v>8</v>
      </c>
      <c r="D609" s="93">
        <v>8</v>
      </c>
      <c r="E609" s="88">
        <v>49952.9</v>
      </c>
      <c r="F609" s="88">
        <f t="shared" si="203"/>
        <v>48</v>
      </c>
      <c r="G609" s="88">
        <f t="shared" si="203"/>
        <v>263656.54000000004</v>
      </c>
      <c r="H609" s="89">
        <v>6</v>
      </c>
      <c r="I609" s="89">
        <v>30143</v>
      </c>
      <c r="J609" s="89">
        <f t="shared" si="204"/>
        <v>27</v>
      </c>
      <c r="K609" s="89">
        <f t="shared" si="204"/>
        <v>186804.78</v>
      </c>
      <c r="L609" s="90">
        <v>8</v>
      </c>
      <c r="M609" s="91">
        <v>29737.54</v>
      </c>
      <c r="N609" s="92">
        <f t="shared" si="205"/>
        <v>41</v>
      </c>
      <c r="O609" s="92">
        <f t="shared" si="206"/>
        <v>199663.13000000003</v>
      </c>
      <c r="P609">
        <v>0</v>
      </c>
      <c r="Q609">
        <v>0</v>
      </c>
      <c r="R609">
        <v>38</v>
      </c>
      <c r="S609">
        <v>202304.54</v>
      </c>
    </row>
    <row r="610" spans="1:19" x14ac:dyDescent="0.2">
      <c r="A610" s="6" t="s">
        <v>98</v>
      </c>
      <c r="B610" s="90" t="s">
        <v>159</v>
      </c>
      <c r="C610" s="90">
        <v>9</v>
      </c>
      <c r="D610" s="93">
        <v>6</v>
      </c>
      <c r="E610" s="88">
        <v>44800</v>
      </c>
      <c r="F610" s="88">
        <f t="shared" si="203"/>
        <v>54</v>
      </c>
      <c r="G610" s="88">
        <f t="shared" si="203"/>
        <v>308456.54000000004</v>
      </c>
      <c r="H610" s="89">
        <v>6</v>
      </c>
      <c r="I610" s="89">
        <v>52024.95</v>
      </c>
      <c r="J610" s="89">
        <f t="shared" si="204"/>
        <v>33</v>
      </c>
      <c r="K610" s="89">
        <f t="shared" si="204"/>
        <v>238829.72999999998</v>
      </c>
      <c r="L610" s="90">
        <v>3</v>
      </c>
      <c r="M610" s="91">
        <v>16614.07</v>
      </c>
      <c r="N610" s="92">
        <f t="shared" si="205"/>
        <v>44</v>
      </c>
      <c r="O610" s="92">
        <f t="shared" si="206"/>
        <v>216277.20000000004</v>
      </c>
      <c r="P610">
        <v>4</v>
      </c>
      <c r="Q610">
        <v>20460</v>
      </c>
      <c r="R610">
        <v>42</v>
      </c>
      <c r="S610">
        <v>222764.54</v>
      </c>
    </row>
    <row r="611" spans="1:19" x14ac:dyDescent="0.2">
      <c r="A611" s="6" t="s">
        <v>98</v>
      </c>
      <c r="B611" s="90" t="s">
        <v>160</v>
      </c>
      <c r="C611" s="90">
        <v>10</v>
      </c>
      <c r="D611" s="93">
        <v>4</v>
      </c>
      <c r="E611" s="88">
        <v>34166.58</v>
      </c>
      <c r="F611" s="88">
        <f t="shared" si="203"/>
        <v>58</v>
      </c>
      <c r="G611" s="88">
        <f t="shared" si="203"/>
        <v>342623.12000000005</v>
      </c>
      <c r="H611" s="89">
        <v>4</v>
      </c>
      <c r="I611" s="89">
        <v>23002.780000000002</v>
      </c>
      <c r="J611" s="89">
        <f t="shared" si="204"/>
        <v>37</v>
      </c>
      <c r="K611" s="89">
        <f t="shared" si="204"/>
        <v>261832.50999999998</v>
      </c>
      <c r="L611" s="90">
        <v>8</v>
      </c>
      <c r="M611" s="91">
        <v>30986.5</v>
      </c>
      <c r="N611" s="92">
        <f t="shared" si="205"/>
        <v>52</v>
      </c>
      <c r="O611" s="92">
        <f t="shared" si="206"/>
        <v>247263.70000000004</v>
      </c>
      <c r="P611">
        <v>0</v>
      </c>
      <c r="Q611">
        <v>0</v>
      </c>
      <c r="R611">
        <v>42</v>
      </c>
      <c r="S611">
        <v>222764.54</v>
      </c>
    </row>
    <row r="612" spans="1:19" x14ac:dyDescent="0.2">
      <c r="A612" s="6" t="s">
        <v>98</v>
      </c>
      <c r="B612" s="90" t="s">
        <v>161</v>
      </c>
      <c r="C612" s="90">
        <v>11</v>
      </c>
      <c r="D612" s="93">
        <v>5</v>
      </c>
      <c r="E612" s="88">
        <v>21037</v>
      </c>
      <c r="F612" s="88">
        <f t="shared" si="203"/>
        <v>63</v>
      </c>
      <c r="G612" s="88">
        <f t="shared" si="203"/>
        <v>363660.12000000005</v>
      </c>
      <c r="H612" s="89">
        <v>6</v>
      </c>
      <c r="I612" s="89">
        <v>12597.5</v>
      </c>
      <c r="J612" s="89">
        <f t="shared" si="204"/>
        <v>43</v>
      </c>
      <c r="K612" s="89">
        <f t="shared" si="204"/>
        <v>274430.01</v>
      </c>
      <c r="L612" s="90">
        <v>2</v>
      </c>
      <c r="M612" s="91">
        <v>4000</v>
      </c>
      <c r="N612" s="92">
        <f t="shared" si="205"/>
        <v>54</v>
      </c>
      <c r="O612" s="92">
        <f t="shared" si="206"/>
        <v>251263.70000000004</v>
      </c>
      <c r="P612" s="86"/>
      <c r="Q612" s="86">
        <v>0</v>
      </c>
    </row>
    <row r="613" spans="1:19" x14ac:dyDescent="0.2">
      <c r="A613" s="6" t="s">
        <v>98</v>
      </c>
      <c r="B613" s="90" t="s">
        <v>162</v>
      </c>
      <c r="C613" s="90">
        <v>12</v>
      </c>
      <c r="D613" s="93">
        <v>4</v>
      </c>
      <c r="E613" s="88">
        <v>20842</v>
      </c>
      <c r="F613" s="88">
        <f t="shared" si="203"/>
        <v>67</v>
      </c>
      <c r="G613" s="88">
        <f t="shared" si="203"/>
        <v>384502.12000000005</v>
      </c>
      <c r="H613" s="89">
        <v>4</v>
      </c>
      <c r="I613" s="89">
        <v>30244.29</v>
      </c>
      <c r="J613" s="89">
        <f t="shared" si="204"/>
        <v>47</v>
      </c>
      <c r="K613" s="89">
        <f t="shared" si="204"/>
        <v>304674.3</v>
      </c>
      <c r="L613" s="90">
        <v>1</v>
      </c>
      <c r="M613" s="91">
        <v>7602.84</v>
      </c>
      <c r="N613" s="92">
        <f t="shared" si="205"/>
        <v>55</v>
      </c>
      <c r="O613" s="92">
        <f t="shared" si="206"/>
        <v>258866.54000000004</v>
      </c>
      <c r="P613" s="86"/>
      <c r="Q613" s="86">
        <v>0</v>
      </c>
    </row>
    <row r="614" spans="1:19" x14ac:dyDescent="0.2">
      <c r="A614" s="6" t="s">
        <v>109</v>
      </c>
      <c r="B614" s="90" t="s">
        <v>151</v>
      </c>
      <c r="C614" s="90">
        <v>1</v>
      </c>
      <c r="D614" s="93">
        <v>0</v>
      </c>
      <c r="E614" s="93">
        <v>0</v>
      </c>
      <c r="F614" s="88">
        <f>D614</f>
        <v>0</v>
      </c>
      <c r="G614" s="88">
        <f>E614</f>
        <v>0</v>
      </c>
      <c r="H614" s="89">
        <v>0</v>
      </c>
      <c r="I614" s="89">
        <v>0</v>
      </c>
      <c r="J614" s="89">
        <f>H614</f>
        <v>0</v>
      </c>
      <c r="K614" s="89">
        <f>I614</f>
        <v>0</v>
      </c>
      <c r="L614" s="90">
        <v>0</v>
      </c>
      <c r="M614" s="91">
        <v>0</v>
      </c>
      <c r="N614" s="92">
        <f>L614</f>
        <v>0</v>
      </c>
      <c r="O614" s="92">
        <f>M614</f>
        <v>0</v>
      </c>
      <c r="P614">
        <v>0</v>
      </c>
      <c r="Q614">
        <v>0</v>
      </c>
      <c r="R614">
        <v>0</v>
      </c>
      <c r="S614">
        <v>0</v>
      </c>
    </row>
    <row r="615" spans="1:19" x14ac:dyDescent="0.2">
      <c r="A615" s="6" t="s">
        <v>109</v>
      </c>
      <c r="B615" s="90" t="s">
        <v>152</v>
      </c>
      <c r="C615" s="90">
        <v>2</v>
      </c>
      <c r="D615" s="93">
        <v>0</v>
      </c>
      <c r="E615" s="93">
        <v>0</v>
      </c>
      <c r="F615" s="88">
        <f t="shared" ref="F615:G625" si="207">F614+D615</f>
        <v>0</v>
      </c>
      <c r="G615" s="88">
        <f t="shared" si="207"/>
        <v>0</v>
      </c>
      <c r="H615" s="89">
        <v>3</v>
      </c>
      <c r="I615" s="89">
        <v>1000</v>
      </c>
      <c r="J615" s="89">
        <f t="shared" ref="J615:K625" si="208">J614+H615</f>
        <v>3</v>
      </c>
      <c r="K615" s="89">
        <f t="shared" si="208"/>
        <v>1000</v>
      </c>
      <c r="L615" s="90">
        <v>0</v>
      </c>
      <c r="M615" s="91">
        <v>0</v>
      </c>
      <c r="N615" s="92">
        <f t="shared" ref="N615:N625" si="209">N614+L615</f>
        <v>0</v>
      </c>
      <c r="O615" s="92">
        <f t="shared" ref="O615:O625" si="210">O614+M615</f>
        <v>0</v>
      </c>
      <c r="P615">
        <v>0</v>
      </c>
      <c r="Q615">
        <v>0</v>
      </c>
      <c r="R615">
        <v>0</v>
      </c>
      <c r="S615">
        <v>0</v>
      </c>
    </row>
    <row r="616" spans="1:19" x14ac:dyDescent="0.2">
      <c r="A616" s="6" t="s">
        <v>109</v>
      </c>
      <c r="B616" s="90" t="s">
        <v>153</v>
      </c>
      <c r="C616" s="90">
        <v>3</v>
      </c>
      <c r="D616" s="93">
        <v>0</v>
      </c>
      <c r="E616" s="93">
        <v>0</v>
      </c>
      <c r="F616" s="88">
        <f t="shared" si="207"/>
        <v>0</v>
      </c>
      <c r="G616" s="88">
        <f t="shared" si="207"/>
        <v>0</v>
      </c>
      <c r="H616" s="89">
        <v>0</v>
      </c>
      <c r="I616" s="89">
        <v>0</v>
      </c>
      <c r="J616" s="89">
        <f t="shared" si="208"/>
        <v>3</v>
      </c>
      <c r="K616" s="89">
        <f t="shared" si="208"/>
        <v>1000</v>
      </c>
      <c r="L616" s="90">
        <v>1</v>
      </c>
      <c r="M616" s="91">
        <v>320.10000000000002</v>
      </c>
      <c r="N616" s="92">
        <f t="shared" si="209"/>
        <v>1</v>
      </c>
      <c r="O616" s="92">
        <f t="shared" si="210"/>
        <v>320.10000000000002</v>
      </c>
      <c r="P616">
        <v>0</v>
      </c>
      <c r="Q616">
        <v>0</v>
      </c>
      <c r="R616">
        <v>0</v>
      </c>
      <c r="S616">
        <v>0</v>
      </c>
    </row>
    <row r="617" spans="1:19" x14ac:dyDescent="0.2">
      <c r="A617" s="6" t="s">
        <v>109</v>
      </c>
      <c r="B617" s="90" t="s">
        <v>154</v>
      </c>
      <c r="C617" s="90">
        <v>4</v>
      </c>
      <c r="D617" s="93">
        <v>0</v>
      </c>
      <c r="E617" s="93">
        <v>0</v>
      </c>
      <c r="F617" s="88">
        <f t="shared" si="207"/>
        <v>0</v>
      </c>
      <c r="G617" s="88">
        <f t="shared" si="207"/>
        <v>0</v>
      </c>
      <c r="H617" s="89">
        <v>0</v>
      </c>
      <c r="I617" s="89">
        <v>0</v>
      </c>
      <c r="J617" s="89">
        <f t="shared" si="208"/>
        <v>3</v>
      </c>
      <c r="K617" s="89">
        <f t="shared" si="208"/>
        <v>1000</v>
      </c>
      <c r="L617" s="90">
        <v>2</v>
      </c>
      <c r="M617" s="91">
        <v>2294.8000000000002</v>
      </c>
      <c r="N617" s="92">
        <f t="shared" si="209"/>
        <v>3</v>
      </c>
      <c r="O617" s="92">
        <f t="shared" si="210"/>
        <v>2614.9</v>
      </c>
      <c r="P617">
        <v>0</v>
      </c>
      <c r="Q617">
        <v>0</v>
      </c>
      <c r="R617">
        <v>0</v>
      </c>
      <c r="S617">
        <v>0</v>
      </c>
    </row>
    <row r="618" spans="1:19" x14ac:dyDescent="0.2">
      <c r="A618" s="6" t="s">
        <v>109</v>
      </c>
      <c r="B618" s="90" t="s">
        <v>155</v>
      </c>
      <c r="C618" s="90">
        <v>5</v>
      </c>
      <c r="D618" s="93">
        <v>0</v>
      </c>
      <c r="E618" s="93">
        <v>0</v>
      </c>
      <c r="F618" s="88">
        <f t="shared" si="207"/>
        <v>0</v>
      </c>
      <c r="G618" s="88">
        <f t="shared" si="207"/>
        <v>0</v>
      </c>
      <c r="H618" s="89">
        <v>0</v>
      </c>
      <c r="I618" s="89">
        <v>0</v>
      </c>
      <c r="J618" s="89">
        <f t="shared" si="208"/>
        <v>3</v>
      </c>
      <c r="K618" s="89">
        <f t="shared" si="208"/>
        <v>1000</v>
      </c>
      <c r="L618" s="90">
        <v>1</v>
      </c>
      <c r="M618" s="91">
        <v>2400</v>
      </c>
      <c r="N618" s="92">
        <f t="shared" si="209"/>
        <v>4</v>
      </c>
      <c r="O618" s="92">
        <f t="shared" si="210"/>
        <v>5014.8999999999996</v>
      </c>
      <c r="P618">
        <v>0</v>
      </c>
      <c r="Q618">
        <v>0</v>
      </c>
      <c r="R618">
        <v>0</v>
      </c>
      <c r="S618">
        <v>0</v>
      </c>
    </row>
    <row r="619" spans="1:19" x14ac:dyDescent="0.2">
      <c r="A619" s="6" t="s">
        <v>109</v>
      </c>
      <c r="B619" s="90" t="s">
        <v>156</v>
      </c>
      <c r="C619" s="90">
        <v>6</v>
      </c>
      <c r="D619" s="93">
        <v>0</v>
      </c>
      <c r="E619" s="93">
        <v>0</v>
      </c>
      <c r="F619" s="88">
        <f t="shared" si="207"/>
        <v>0</v>
      </c>
      <c r="G619" s="88">
        <f t="shared" si="207"/>
        <v>0</v>
      </c>
      <c r="H619" s="89">
        <v>2</v>
      </c>
      <c r="I619" s="89">
        <v>1175</v>
      </c>
      <c r="J619" s="89">
        <f t="shared" si="208"/>
        <v>5</v>
      </c>
      <c r="K619" s="89">
        <f t="shared" si="208"/>
        <v>2175</v>
      </c>
      <c r="L619" s="90">
        <v>1</v>
      </c>
      <c r="M619" s="91">
        <v>550</v>
      </c>
      <c r="N619" s="92">
        <f t="shared" si="209"/>
        <v>5</v>
      </c>
      <c r="O619" s="92">
        <f t="shared" si="210"/>
        <v>5564.9</v>
      </c>
      <c r="P619">
        <v>0</v>
      </c>
      <c r="Q619">
        <v>0</v>
      </c>
      <c r="R619">
        <v>0</v>
      </c>
      <c r="S619">
        <v>0</v>
      </c>
    </row>
    <row r="620" spans="1:19" x14ac:dyDescent="0.2">
      <c r="A620" s="6" t="s">
        <v>109</v>
      </c>
      <c r="B620" s="90" t="s">
        <v>157</v>
      </c>
      <c r="C620" s="90">
        <v>7</v>
      </c>
      <c r="D620" s="93">
        <v>0</v>
      </c>
      <c r="E620" s="93">
        <v>0</v>
      </c>
      <c r="F620" s="88">
        <f t="shared" si="207"/>
        <v>0</v>
      </c>
      <c r="G620" s="88">
        <f t="shared" si="207"/>
        <v>0</v>
      </c>
      <c r="H620" s="89">
        <v>1</v>
      </c>
      <c r="I620" s="89">
        <v>1150</v>
      </c>
      <c r="J620" s="89">
        <f t="shared" si="208"/>
        <v>6</v>
      </c>
      <c r="K620" s="89">
        <f t="shared" si="208"/>
        <v>3325</v>
      </c>
      <c r="L620" s="90">
        <v>0</v>
      </c>
      <c r="M620" s="91">
        <v>0</v>
      </c>
      <c r="N620" s="92">
        <f t="shared" si="209"/>
        <v>5</v>
      </c>
      <c r="O620" s="92">
        <f t="shared" si="210"/>
        <v>5564.9</v>
      </c>
      <c r="P620">
        <v>0</v>
      </c>
      <c r="Q620">
        <v>0</v>
      </c>
      <c r="R620">
        <v>0</v>
      </c>
      <c r="S620">
        <v>0</v>
      </c>
    </row>
    <row r="621" spans="1:19" x14ac:dyDescent="0.2">
      <c r="A621" s="6" t="s">
        <v>109</v>
      </c>
      <c r="B621" s="90" t="s">
        <v>158</v>
      </c>
      <c r="C621" s="90">
        <v>8</v>
      </c>
      <c r="D621" s="93">
        <v>0</v>
      </c>
      <c r="E621" s="93">
        <v>0</v>
      </c>
      <c r="F621" s="88">
        <f t="shared" si="207"/>
        <v>0</v>
      </c>
      <c r="G621" s="88">
        <f t="shared" si="207"/>
        <v>0</v>
      </c>
      <c r="H621" s="89">
        <v>2</v>
      </c>
      <c r="I621" s="89">
        <v>1411.25</v>
      </c>
      <c r="J621" s="89">
        <f t="shared" si="208"/>
        <v>8</v>
      </c>
      <c r="K621" s="89">
        <f t="shared" si="208"/>
        <v>4736.25</v>
      </c>
      <c r="L621" s="90">
        <v>2</v>
      </c>
      <c r="M621" s="91">
        <v>425</v>
      </c>
      <c r="N621" s="92">
        <f t="shared" si="209"/>
        <v>7</v>
      </c>
      <c r="O621" s="92">
        <f t="shared" si="210"/>
        <v>5989.9</v>
      </c>
      <c r="P621">
        <v>1</v>
      </c>
      <c r="Q621">
        <v>153</v>
      </c>
      <c r="R621">
        <v>1</v>
      </c>
      <c r="S621">
        <v>153</v>
      </c>
    </row>
    <row r="622" spans="1:19" x14ac:dyDescent="0.2">
      <c r="A622" s="6" t="s">
        <v>109</v>
      </c>
      <c r="B622" s="90" t="s">
        <v>159</v>
      </c>
      <c r="C622" s="90">
        <v>9</v>
      </c>
      <c r="D622" s="93">
        <v>0</v>
      </c>
      <c r="E622" s="93">
        <v>0</v>
      </c>
      <c r="F622" s="88">
        <f t="shared" si="207"/>
        <v>0</v>
      </c>
      <c r="G622" s="88">
        <f t="shared" si="207"/>
        <v>0</v>
      </c>
      <c r="H622" s="89">
        <v>0</v>
      </c>
      <c r="I622" s="89">
        <v>0</v>
      </c>
      <c r="J622" s="89">
        <f t="shared" si="208"/>
        <v>8</v>
      </c>
      <c r="K622" s="89">
        <f t="shared" si="208"/>
        <v>4736.25</v>
      </c>
      <c r="L622" s="90">
        <v>0</v>
      </c>
      <c r="M622" s="91">
        <v>0</v>
      </c>
      <c r="N622" s="92">
        <f t="shared" si="209"/>
        <v>7</v>
      </c>
      <c r="O622" s="92">
        <f t="shared" si="210"/>
        <v>5989.9</v>
      </c>
      <c r="P622">
        <v>0</v>
      </c>
      <c r="Q622">
        <v>0</v>
      </c>
      <c r="R622">
        <v>1</v>
      </c>
      <c r="S622">
        <v>153</v>
      </c>
    </row>
    <row r="623" spans="1:19" x14ac:dyDescent="0.2">
      <c r="A623" s="6" t="s">
        <v>109</v>
      </c>
      <c r="B623" s="90" t="s">
        <v>160</v>
      </c>
      <c r="C623" s="90">
        <v>10</v>
      </c>
      <c r="D623" s="93">
        <v>0</v>
      </c>
      <c r="E623" s="93">
        <v>0</v>
      </c>
      <c r="F623" s="88">
        <f t="shared" si="207"/>
        <v>0</v>
      </c>
      <c r="G623" s="88">
        <f t="shared" si="207"/>
        <v>0</v>
      </c>
      <c r="H623" s="89">
        <v>2</v>
      </c>
      <c r="I623" s="89">
        <v>580</v>
      </c>
      <c r="J623" s="89">
        <f t="shared" si="208"/>
        <v>10</v>
      </c>
      <c r="K623" s="89">
        <f t="shared" si="208"/>
        <v>5316.25</v>
      </c>
      <c r="L623" s="90">
        <v>2</v>
      </c>
      <c r="M623" s="91">
        <v>340</v>
      </c>
      <c r="N623" s="92">
        <f t="shared" si="209"/>
        <v>9</v>
      </c>
      <c r="O623" s="92">
        <f t="shared" si="210"/>
        <v>6329.9</v>
      </c>
      <c r="P623">
        <v>0</v>
      </c>
      <c r="Q623">
        <v>0</v>
      </c>
      <c r="R623">
        <v>1</v>
      </c>
      <c r="S623">
        <v>153</v>
      </c>
    </row>
    <row r="624" spans="1:19" x14ac:dyDescent="0.2">
      <c r="A624" s="6" t="s">
        <v>109</v>
      </c>
      <c r="B624" s="90" t="s">
        <v>161</v>
      </c>
      <c r="C624" s="90">
        <v>11</v>
      </c>
      <c r="D624" s="93">
        <v>0</v>
      </c>
      <c r="E624" s="93">
        <v>0</v>
      </c>
      <c r="F624" s="88">
        <f t="shared" si="207"/>
        <v>0</v>
      </c>
      <c r="G624" s="88">
        <f t="shared" si="207"/>
        <v>0</v>
      </c>
      <c r="H624" s="89">
        <v>0</v>
      </c>
      <c r="I624" s="89">
        <v>0</v>
      </c>
      <c r="J624" s="89">
        <f t="shared" si="208"/>
        <v>10</v>
      </c>
      <c r="K624" s="89">
        <f t="shared" si="208"/>
        <v>5316.25</v>
      </c>
      <c r="L624" s="90">
        <v>1</v>
      </c>
      <c r="M624" s="91">
        <v>2400</v>
      </c>
      <c r="N624" s="92">
        <f t="shared" si="209"/>
        <v>10</v>
      </c>
      <c r="O624" s="92">
        <f t="shared" si="210"/>
        <v>8729.9</v>
      </c>
      <c r="P624" s="86"/>
      <c r="Q624" s="86">
        <v>0</v>
      </c>
    </row>
    <row r="625" spans="1:19" x14ac:dyDescent="0.2">
      <c r="A625" s="6" t="s">
        <v>109</v>
      </c>
      <c r="B625" s="90" t="s">
        <v>162</v>
      </c>
      <c r="C625" s="90">
        <v>12</v>
      </c>
      <c r="D625" s="93">
        <v>0</v>
      </c>
      <c r="E625" s="93">
        <v>0</v>
      </c>
      <c r="F625" s="88">
        <f t="shared" si="207"/>
        <v>0</v>
      </c>
      <c r="G625" s="88">
        <f t="shared" si="207"/>
        <v>0</v>
      </c>
      <c r="H625" s="89">
        <v>0</v>
      </c>
      <c r="I625" s="89">
        <v>0</v>
      </c>
      <c r="J625" s="89">
        <f t="shared" si="208"/>
        <v>10</v>
      </c>
      <c r="K625" s="89">
        <f t="shared" si="208"/>
        <v>5316.25</v>
      </c>
      <c r="L625" s="90">
        <v>0</v>
      </c>
      <c r="M625" s="91">
        <v>0</v>
      </c>
      <c r="N625" s="92">
        <f t="shared" si="209"/>
        <v>10</v>
      </c>
      <c r="O625" s="92">
        <f t="shared" si="210"/>
        <v>8729.9</v>
      </c>
      <c r="P625" s="86"/>
      <c r="Q625" s="86">
        <v>0</v>
      </c>
    </row>
    <row r="626" spans="1:19" x14ac:dyDescent="0.2">
      <c r="A626" t="s">
        <v>111</v>
      </c>
      <c r="B626" s="90"/>
      <c r="C626" s="90"/>
      <c r="D626" s="93"/>
      <c r="E626" s="93"/>
      <c r="F626" s="88"/>
      <c r="G626" s="88"/>
      <c r="H626" s="89"/>
      <c r="I626" s="89"/>
      <c r="J626" s="89"/>
      <c r="K626" s="89"/>
      <c r="L626" s="90"/>
      <c r="M626" s="91"/>
      <c r="N626" s="92"/>
      <c r="O626" s="92"/>
      <c r="P626">
        <v>0</v>
      </c>
      <c r="Q626">
        <v>0</v>
      </c>
      <c r="R626">
        <v>0</v>
      </c>
      <c r="S626">
        <v>0</v>
      </c>
    </row>
    <row r="627" spans="1:19" x14ac:dyDescent="0.2">
      <c r="A627" t="s">
        <v>111</v>
      </c>
      <c r="B627" s="90"/>
      <c r="C627" s="90"/>
      <c r="D627" s="93"/>
      <c r="E627" s="93"/>
      <c r="F627" s="88"/>
      <c r="G627" s="88"/>
      <c r="H627" s="89"/>
      <c r="I627" s="89"/>
      <c r="J627" s="89"/>
      <c r="K627" s="89"/>
      <c r="L627" s="90"/>
      <c r="M627" s="91"/>
      <c r="N627" s="92"/>
      <c r="O627" s="92"/>
      <c r="P627">
        <v>0</v>
      </c>
      <c r="Q627">
        <v>0</v>
      </c>
      <c r="R627">
        <v>0</v>
      </c>
      <c r="S627">
        <v>0</v>
      </c>
    </row>
    <row r="628" spans="1:19" x14ac:dyDescent="0.2">
      <c r="A628" t="s">
        <v>111</v>
      </c>
      <c r="B628" s="90"/>
      <c r="C628" s="90"/>
      <c r="D628" s="93"/>
      <c r="E628" s="93"/>
      <c r="F628" s="88"/>
      <c r="G628" s="88"/>
      <c r="H628" s="89"/>
      <c r="I628" s="89"/>
      <c r="J628" s="89"/>
      <c r="K628" s="89"/>
      <c r="L628" s="90"/>
      <c r="M628" s="91"/>
      <c r="N628" s="92"/>
      <c r="O628" s="92"/>
      <c r="P628">
        <v>0</v>
      </c>
      <c r="Q628">
        <v>0</v>
      </c>
      <c r="R628">
        <v>1</v>
      </c>
      <c r="S628">
        <v>1200</v>
      </c>
    </row>
    <row r="629" spans="1:19" x14ac:dyDescent="0.2">
      <c r="A629" t="s">
        <v>111</v>
      </c>
      <c r="B629" s="90"/>
      <c r="C629" s="90"/>
      <c r="D629" s="93"/>
      <c r="E629" s="93"/>
      <c r="F629" s="88"/>
      <c r="G629" s="88"/>
      <c r="H629" s="89"/>
      <c r="I629" s="89"/>
      <c r="J629" s="89"/>
      <c r="K629" s="89"/>
      <c r="L629" s="90"/>
      <c r="M629" s="91"/>
      <c r="N629" s="92"/>
      <c r="O629" s="92"/>
      <c r="P629">
        <v>0</v>
      </c>
      <c r="Q629">
        <v>0</v>
      </c>
      <c r="R629">
        <v>1</v>
      </c>
      <c r="S629">
        <v>1200</v>
      </c>
    </row>
    <row r="630" spans="1:19" x14ac:dyDescent="0.2">
      <c r="A630" t="s">
        <v>111</v>
      </c>
      <c r="B630" s="90"/>
      <c r="C630" s="90"/>
      <c r="D630" s="93"/>
      <c r="E630" s="93"/>
      <c r="F630" s="88"/>
      <c r="G630" s="88"/>
      <c r="H630" s="89"/>
      <c r="I630" s="89"/>
      <c r="J630" s="89"/>
      <c r="K630" s="89"/>
      <c r="L630" s="90"/>
      <c r="M630" s="91"/>
      <c r="N630" s="92"/>
      <c r="O630" s="92"/>
      <c r="P630">
        <v>2</v>
      </c>
      <c r="Q630">
        <v>3045</v>
      </c>
      <c r="R630">
        <v>3</v>
      </c>
      <c r="S630">
        <v>4245</v>
      </c>
    </row>
    <row r="631" spans="1:19" x14ac:dyDescent="0.2">
      <c r="A631" t="s">
        <v>111</v>
      </c>
      <c r="B631" s="90"/>
      <c r="C631" s="90"/>
      <c r="D631" s="93"/>
      <c r="E631" s="93"/>
      <c r="F631" s="88"/>
      <c r="G631" s="88"/>
      <c r="H631" s="89"/>
      <c r="I631" s="89"/>
      <c r="J631" s="89"/>
      <c r="K631" s="89"/>
      <c r="L631" s="90"/>
      <c r="M631" s="91"/>
      <c r="N631" s="92"/>
      <c r="O631" s="92"/>
      <c r="P631">
        <v>1</v>
      </c>
      <c r="Q631">
        <v>2174.89</v>
      </c>
      <c r="R631">
        <v>4</v>
      </c>
      <c r="S631">
        <v>6419.89</v>
      </c>
    </row>
    <row r="632" spans="1:19" x14ac:dyDescent="0.2">
      <c r="A632" t="s">
        <v>111</v>
      </c>
      <c r="B632" s="90"/>
      <c r="C632" s="90"/>
      <c r="D632" s="93"/>
      <c r="E632" s="93"/>
      <c r="F632" s="88"/>
      <c r="G632" s="88"/>
      <c r="H632" s="89"/>
      <c r="I632" s="89"/>
      <c r="J632" s="89"/>
      <c r="K632" s="89"/>
      <c r="L632" s="90"/>
      <c r="M632" s="91"/>
      <c r="N632" s="92"/>
      <c r="O632" s="92"/>
      <c r="P632">
        <v>1</v>
      </c>
      <c r="Q632">
        <v>1</v>
      </c>
      <c r="R632">
        <v>5</v>
      </c>
      <c r="S632">
        <v>6420.89</v>
      </c>
    </row>
    <row r="633" spans="1:19" x14ac:dyDescent="0.2">
      <c r="A633" t="s">
        <v>111</v>
      </c>
      <c r="B633" s="90"/>
      <c r="C633" s="90"/>
      <c r="D633" s="93"/>
      <c r="E633" s="93"/>
      <c r="F633" s="88"/>
      <c r="G633" s="88"/>
      <c r="H633" s="89"/>
      <c r="I633" s="89"/>
      <c r="J633" s="89"/>
      <c r="K633" s="89"/>
      <c r="L633" s="90"/>
      <c r="M633" s="91"/>
      <c r="N633" s="92"/>
      <c r="O633" s="92"/>
      <c r="P633">
        <v>2</v>
      </c>
      <c r="Q633">
        <v>3860</v>
      </c>
      <c r="R633">
        <v>7</v>
      </c>
      <c r="S633">
        <v>10280.89</v>
      </c>
    </row>
    <row r="634" spans="1:19" x14ac:dyDescent="0.2">
      <c r="A634" t="s">
        <v>111</v>
      </c>
      <c r="B634" s="90"/>
      <c r="C634" s="90"/>
      <c r="D634" s="93"/>
      <c r="E634" s="93"/>
      <c r="F634" s="88"/>
      <c r="G634" s="88"/>
      <c r="H634" s="89"/>
      <c r="I634" s="89"/>
      <c r="J634" s="89"/>
      <c r="K634" s="89"/>
      <c r="L634" s="90"/>
      <c r="M634" s="91"/>
      <c r="N634" s="92"/>
      <c r="O634" s="92"/>
      <c r="P634">
        <v>2</v>
      </c>
      <c r="Q634">
        <v>2650</v>
      </c>
      <c r="R634">
        <v>9</v>
      </c>
      <c r="S634">
        <v>12930.89</v>
      </c>
    </row>
    <row r="635" spans="1:19" x14ac:dyDescent="0.2">
      <c r="A635" t="s">
        <v>111</v>
      </c>
      <c r="B635" s="90"/>
      <c r="C635" s="90"/>
      <c r="D635" s="93"/>
      <c r="E635" s="93"/>
      <c r="F635" s="88"/>
      <c r="G635" s="88"/>
      <c r="H635" s="89"/>
      <c r="I635" s="89"/>
      <c r="J635" s="89"/>
      <c r="K635" s="89"/>
      <c r="L635" s="90"/>
      <c r="M635" s="91"/>
      <c r="N635" s="92"/>
      <c r="O635" s="92"/>
      <c r="P635">
        <v>0</v>
      </c>
      <c r="Q635">
        <v>0</v>
      </c>
      <c r="R635">
        <v>9</v>
      </c>
      <c r="S635">
        <v>12930.89</v>
      </c>
    </row>
    <row r="636" spans="1:19" x14ac:dyDescent="0.2">
      <c r="A636" t="s">
        <v>111</v>
      </c>
      <c r="B636" s="90"/>
      <c r="C636" s="90"/>
      <c r="D636" s="93"/>
      <c r="E636" s="93"/>
      <c r="F636" s="88"/>
      <c r="G636" s="88"/>
      <c r="H636" s="89"/>
      <c r="I636" s="89"/>
      <c r="J636" s="89"/>
      <c r="K636" s="89"/>
      <c r="L636" s="90"/>
      <c r="M636" s="91"/>
      <c r="N636" s="92"/>
      <c r="O636" s="92"/>
      <c r="P636" s="86"/>
      <c r="Q636" s="86"/>
    </row>
    <row r="637" spans="1:19" x14ac:dyDescent="0.2">
      <c r="A637" t="s">
        <v>111</v>
      </c>
      <c r="B637" s="90"/>
      <c r="C637" s="90"/>
      <c r="D637" s="93"/>
      <c r="E637" s="93"/>
      <c r="F637" s="88"/>
      <c r="G637" s="88"/>
      <c r="H637" s="89"/>
      <c r="I637" s="89"/>
      <c r="J637" s="89"/>
      <c r="K637" s="89"/>
      <c r="L637" s="90"/>
      <c r="M637" s="91"/>
      <c r="N637" s="92"/>
      <c r="O637" s="92"/>
      <c r="P637" s="86"/>
      <c r="Q637" s="86"/>
    </row>
    <row r="638" spans="1:19" x14ac:dyDescent="0.2">
      <c r="A638" s="6" t="s">
        <v>96</v>
      </c>
      <c r="B638" s="90" t="s">
        <v>151</v>
      </c>
      <c r="C638" s="90">
        <v>1</v>
      </c>
      <c r="D638" s="93">
        <v>0</v>
      </c>
      <c r="E638" s="93">
        <v>0</v>
      </c>
      <c r="F638" s="88">
        <f>D638</f>
        <v>0</v>
      </c>
      <c r="G638" s="88">
        <f>E638</f>
        <v>0</v>
      </c>
      <c r="H638" s="89">
        <v>0</v>
      </c>
      <c r="I638" s="89">
        <v>0</v>
      </c>
      <c r="J638" s="89">
        <f>H638</f>
        <v>0</v>
      </c>
      <c r="K638" s="89">
        <f>I638</f>
        <v>0</v>
      </c>
      <c r="L638" s="90">
        <v>0</v>
      </c>
      <c r="M638" s="91">
        <v>0</v>
      </c>
      <c r="N638" s="92">
        <f>L638</f>
        <v>0</v>
      </c>
      <c r="O638" s="92">
        <f>M638</f>
        <v>0</v>
      </c>
      <c r="P638">
        <v>0</v>
      </c>
      <c r="Q638">
        <v>0</v>
      </c>
      <c r="R638">
        <v>0</v>
      </c>
      <c r="S638">
        <v>0</v>
      </c>
    </row>
    <row r="639" spans="1:19" x14ac:dyDescent="0.2">
      <c r="A639" s="6" t="s">
        <v>96</v>
      </c>
      <c r="B639" s="90" t="s">
        <v>152</v>
      </c>
      <c r="C639" s="90">
        <v>2</v>
      </c>
      <c r="D639" s="93">
        <v>0</v>
      </c>
      <c r="E639" s="93">
        <v>0</v>
      </c>
      <c r="F639" s="88">
        <f t="shared" ref="F639:G649" si="211">F638+D639</f>
        <v>0</v>
      </c>
      <c r="G639" s="88">
        <f t="shared" si="211"/>
        <v>0</v>
      </c>
      <c r="H639" s="89">
        <v>0</v>
      </c>
      <c r="I639" s="89">
        <v>0</v>
      </c>
      <c r="J639" s="89">
        <f t="shared" ref="J639:K649" si="212">J638+H639</f>
        <v>0</v>
      </c>
      <c r="K639" s="89">
        <f t="shared" si="212"/>
        <v>0</v>
      </c>
      <c r="L639" s="90">
        <v>1</v>
      </c>
      <c r="M639" s="91">
        <v>651.78</v>
      </c>
      <c r="N639" s="92">
        <f t="shared" ref="N639:N649" si="213">N638+L639</f>
        <v>1</v>
      </c>
      <c r="O639" s="92">
        <f t="shared" ref="O639:O649" si="214">O638+M639</f>
        <v>651.78</v>
      </c>
      <c r="P639">
        <v>0</v>
      </c>
      <c r="Q639">
        <v>0</v>
      </c>
      <c r="R639">
        <v>0</v>
      </c>
      <c r="S639">
        <v>0</v>
      </c>
    </row>
    <row r="640" spans="1:19" x14ac:dyDescent="0.2">
      <c r="A640" s="6" t="s">
        <v>96</v>
      </c>
      <c r="B640" s="90" t="s">
        <v>153</v>
      </c>
      <c r="C640" s="90">
        <v>3</v>
      </c>
      <c r="D640" s="93">
        <v>0</v>
      </c>
      <c r="E640" s="93">
        <v>0</v>
      </c>
      <c r="F640" s="88">
        <f t="shared" si="211"/>
        <v>0</v>
      </c>
      <c r="G640" s="88">
        <f t="shared" si="211"/>
        <v>0</v>
      </c>
      <c r="H640" s="89">
        <v>0</v>
      </c>
      <c r="I640" s="89">
        <v>0</v>
      </c>
      <c r="J640" s="89">
        <f t="shared" si="212"/>
        <v>0</v>
      </c>
      <c r="K640" s="89">
        <f t="shared" si="212"/>
        <v>0</v>
      </c>
      <c r="L640" s="90">
        <v>1</v>
      </c>
      <c r="M640" s="91">
        <v>1004</v>
      </c>
      <c r="N640" s="92">
        <f t="shared" si="213"/>
        <v>2</v>
      </c>
      <c r="O640" s="92">
        <f t="shared" si="214"/>
        <v>1655.78</v>
      </c>
      <c r="P640">
        <v>0</v>
      </c>
      <c r="Q640">
        <v>0</v>
      </c>
      <c r="R640">
        <v>0</v>
      </c>
      <c r="S640">
        <v>0</v>
      </c>
    </row>
    <row r="641" spans="1:19" x14ac:dyDescent="0.2">
      <c r="A641" s="6" t="s">
        <v>96</v>
      </c>
      <c r="B641" s="90" t="s">
        <v>154</v>
      </c>
      <c r="C641" s="90">
        <v>4</v>
      </c>
      <c r="D641" s="93">
        <v>0</v>
      </c>
      <c r="E641" s="93">
        <v>0</v>
      </c>
      <c r="F641" s="88">
        <f t="shared" si="211"/>
        <v>0</v>
      </c>
      <c r="G641" s="88">
        <f t="shared" si="211"/>
        <v>0</v>
      </c>
      <c r="H641" s="89">
        <v>1</v>
      </c>
      <c r="I641" s="89">
        <v>220</v>
      </c>
      <c r="J641" s="89">
        <f t="shared" si="212"/>
        <v>1</v>
      </c>
      <c r="K641" s="89">
        <f t="shared" si="212"/>
        <v>220</v>
      </c>
      <c r="L641" s="90">
        <v>2</v>
      </c>
      <c r="M641" s="91">
        <v>2938.45</v>
      </c>
      <c r="N641" s="92">
        <f t="shared" si="213"/>
        <v>4</v>
      </c>
      <c r="O641" s="92">
        <f t="shared" si="214"/>
        <v>4594.2299999999996</v>
      </c>
      <c r="P641">
        <v>0</v>
      </c>
      <c r="Q641">
        <v>0</v>
      </c>
      <c r="R641">
        <v>0</v>
      </c>
      <c r="S641">
        <v>0</v>
      </c>
    </row>
    <row r="642" spans="1:19" x14ac:dyDescent="0.2">
      <c r="A642" s="6" t="s">
        <v>96</v>
      </c>
      <c r="B642" s="90" t="s">
        <v>155</v>
      </c>
      <c r="C642" s="90">
        <v>5</v>
      </c>
      <c r="D642" s="93">
        <v>0</v>
      </c>
      <c r="E642" s="93">
        <v>0</v>
      </c>
      <c r="F642" s="88">
        <f t="shared" si="211"/>
        <v>0</v>
      </c>
      <c r="G642" s="88">
        <f t="shared" si="211"/>
        <v>0</v>
      </c>
      <c r="H642" s="89">
        <v>5</v>
      </c>
      <c r="I642" s="89">
        <v>5110.33</v>
      </c>
      <c r="J642" s="89">
        <f t="shared" si="212"/>
        <v>6</v>
      </c>
      <c r="K642" s="89">
        <f t="shared" si="212"/>
        <v>5330.33</v>
      </c>
      <c r="L642" s="90">
        <v>0</v>
      </c>
      <c r="M642" s="91">
        <v>0</v>
      </c>
      <c r="N642" s="92">
        <f t="shared" si="213"/>
        <v>4</v>
      </c>
      <c r="O642" s="92">
        <f t="shared" si="214"/>
        <v>4594.2299999999996</v>
      </c>
      <c r="P642">
        <v>3</v>
      </c>
      <c r="Q642">
        <v>5640</v>
      </c>
      <c r="R642">
        <v>3</v>
      </c>
      <c r="S642">
        <v>5640</v>
      </c>
    </row>
    <row r="643" spans="1:19" x14ac:dyDescent="0.2">
      <c r="A643" s="6" t="s">
        <v>96</v>
      </c>
      <c r="B643" s="90" t="s">
        <v>156</v>
      </c>
      <c r="C643" s="90">
        <v>6</v>
      </c>
      <c r="D643" s="93">
        <v>0</v>
      </c>
      <c r="E643" s="93">
        <v>0</v>
      </c>
      <c r="F643" s="88">
        <f t="shared" si="211"/>
        <v>0</v>
      </c>
      <c r="G643" s="88">
        <f t="shared" si="211"/>
        <v>0</v>
      </c>
      <c r="H643" s="89">
        <v>0</v>
      </c>
      <c r="I643" s="89">
        <v>0</v>
      </c>
      <c r="J643" s="89">
        <f t="shared" si="212"/>
        <v>6</v>
      </c>
      <c r="K643" s="89">
        <f t="shared" si="212"/>
        <v>5330.33</v>
      </c>
      <c r="L643" s="90">
        <v>0</v>
      </c>
      <c r="M643" s="91">
        <v>0</v>
      </c>
      <c r="N643" s="92">
        <f t="shared" si="213"/>
        <v>4</v>
      </c>
      <c r="O643" s="92">
        <f t="shared" si="214"/>
        <v>4594.2299999999996</v>
      </c>
      <c r="P643">
        <v>0</v>
      </c>
      <c r="Q643">
        <v>0</v>
      </c>
      <c r="R643">
        <v>3</v>
      </c>
      <c r="S643">
        <v>5640</v>
      </c>
    </row>
    <row r="644" spans="1:19" x14ac:dyDescent="0.2">
      <c r="A644" s="6" t="s">
        <v>96</v>
      </c>
      <c r="B644" s="90" t="s">
        <v>157</v>
      </c>
      <c r="C644" s="90">
        <v>7</v>
      </c>
      <c r="D644" s="93">
        <v>0</v>
      </c>
      <c r="E644" s="93">
        <v>0</v>
      </c>
      <c r="F644" s="88">
        <f t="shared" si="211"/>
        <v>0</v>
      </c>
      <c r="G644" s="88">
        <f t="shared" si="211"/>
        <v>0</v>
      </c>
      <c r="H644" s="89">
        <v>0</v>
      </c>
      <c r="I644" s="89">
        <v>0</v>
      </c>
      <c r="J644" s="89">
        <f t="shared" si="212"/>
        <v>6</v>
      </c>
      <c r="K644" s="89">
        <f t="shared" si="212"/>
        <v>5330.33</v>
      </c>
      <c r="L644" s="90">
        <v>6</v>
      </c>
      <c r="M644" s="91">
        <v>20612.060000000001</v>
      </c>
      <c r="N644" s="92">
        <f t="shared" si="213"/>
        <v>10</v>
      </c>
      <c r="O644" s="92">
        <f t="shared" si="214"/>
        <v>25206.29</v>
      </c>
      <c r="P644">
        <v>0</v>
      </c>
      <c r="Q644">
        <v>0</v>
      </c>
      <c r="R644">
        <v>3</v>
      </c>
      <c r="S644">
        <v>5640</v>
      </c>
    </row>
    <row r="645" spans="1:19" x14ac:dyDescent="0.2">
      <c r="A645" s="6" t="s">
        <v>96</v>
      </c>
      <c r="B645" s="90" t="s">
        <v>158</v>
      </c>
      <c r="C645" s="90">
        <v>8</v>
      </c>
      <c r="D645" s="93">
        <v>0</v>
      </c>
      <c r="E645" s="93">
        <v>0</v>
      </c>
      <c r="F645" s="88">
        <f t="shared" si="211"/>
        <v>0</v>
      </c>
      <c r="G645" s="88">
        <f t="shared" si="211"/>
        <v>0</v>
      </c>
      <c r="H645" s="89">
        <v>0</v>
      </c>
      <c r="I645" s="89">
        <v>0</v>
      </c>
      <c r="J645" s="89">
        <f t="shared" si="212"/>
        <v>6</v>
      </c>
      <c r="K645" s="89">
        <f t="shared" si="212"/>
        <v>5330.33</v>
      </c>
      <c r="L645" s="90">
        <v>2</v>
      </c>
      <c r="M645" s="91">
        <v>975.9</v>
      </c>
      <c r="N645" s="92">
        <f t="shared" si="213"/>
        <v>12</v>
      </c>
      <c r="O645" s="92">
        <f t="shared" si="214"/>
        <v>26182.190000000002</v>
      </c>
      <c r="P645">
        <v>1</v>
      </c>
      <c r="Q645">
        <v>1000</v>
      </c>
      <c r="R645">
        <v>4</v>
      </c>
      <c r="S645">
        <v>6640</v>
      </c>
    </row>
    <row r="646" spans="1:19" x14ac:dyDescent="0.2">
      <c r="A646" s="6" t="s">
        <v>96</v>
      </c>
      <c r="B646" s="90" t="s">
        <v>159</v>
      </c>
      <c r="C646" s="90">
        <v>9</v>
      </c>
      <c r="D646" s="93">
        <v>1</v>
      </c>
      <c r="E646" s="93">
        <v>816</v>
      </c>
      <c r="F646" s="88">
        <f t="shared" si="211"/>
        <v>1</v>
      </c>
      <c r="G646" s="88">
        <f t="shared" si="211"/>
        <v>816</v>
      </c>
      <c r="H646" s="89">
        <v>1</v>
      </c>
      <c r="I646" s="89">
        <v>1400</v>
      </c>
      <c r="J646" s="89">
        <f t="shared" si="212"/>
        <v>7</v>
      </c>
      <c r="K646" s="89">
        <f t="shared" si="212"/>
        <v>6730.33</v>
      </c>
      <c r="L646" s="90">
        <v>0</v>
      </c>
      <c r="M646" s="91">
        <v>0</v>
      </c>
      <c r="N646" s="92">
        <f t="shared" si="213"/>
        <v>12</v>
      </c>
      <c r="O646" s="92">
        <f t="shared" si="214"/>
        <v>26182.190000000002</v>
      </c>
      <c r="P646">
        <v>0</v>
      </c>
      <c r="Q646">
        <v>0</v>
      </c>
      <c r="R646">
        <v>4</v>
      </c>
      <c r="S646">
        <v>6640</v>
      </c>
    </row>
    <row r="647" spans="1:19" x14ac:dyDescent="0.2">
      <c r="A647" s="6" t="s">
        <v>96</v>
      </c>
      <c r="B647" s="90" t="s">
        <v>160</v>
      </c>
      <c r="C647" s="90">
        <v>10</v>
      </c>
      <c r="D647" s="93">
        <v>1</v>
      </c>
      <c r="E647" s="93">
        <v>240</v>
      </c>
      <c r="F647" s="88">
        <f t="shared" si="211"/>
        <v>2</v>
      </c>
      <c r="G647" s="88">
        <f t="shared" si="211"/>
        <v>1056</v>
      </c>
      <c r="H647" s="89">
        <v>2</v>
      </c>
      <c r="I647" s="89">
        <v>3465.3500000000004</v>
      </c>
      <c r="J647" s="89">
        <f t="shared" si="212"/>
        <v>9</v>
      </c>
      <c r="K647" s="89">
        <f t="shared" si="212"/>
        <v>10195.68</v>
      </c>
      <c r="L647" s="90">
        <v>4</v>
      </c>
      <c r="M647" s="91">
        <v>8859.44</v>
      </c>
      <c r="N647" s="92">
        <f t="shared" si="213"/>
        <v>16</v>
      </c>
      <c r="O647" s="92">
        <f t="shared" si="214"/>
        <v>35041.630000000005</v>
      </c>
      <c r="P647">
        <v>0</v>
      </c>
      <c r="Q647">
        <v>0</v>
      </c>
      <c r="R647">
        <v>4</v>
      </c>
      <c r="S647">
        <v>6640</v>
      </c>
    </row>
    <row r="648" spans="1:19" x14ac:dyDescent="0.2">
      <c r="A648" s="6" t="s">
        <v>96</v>
      </c>
      <c r="B648" s="90" t="s">
        <v>161</v>
      </c>
      <c r="C648" s="90">
        <v>11</v>
      </c>
      <c r="D648" s="93">
        <v>2</v>
      </c>
      <c r="E648" s="93">
        <v>397.7</v>
      </c>
      <c r="F648" s="88">
        <f t="shared" si="211"/>
        <v>4</v>
      </c>
      <c r="G648" s="88">
        <f t="shared" si="211"/>
        <v>1453.7</v>
      </c>
      <c r="H648" s="89">
        <v>0</v>
      </c>
      <c r="I648" s="89">
        <v>0</v>
      </c>
      <c r="J648" s="89">
        <f t="shared" si="212"/>
        <v>9</v>
      </c>
      <c r="K648" s="89">
        <f t="shared" si="212"/>
        <v>10195.68</v>
      </c>
      <c r="L648" s="90">
        <v>4</v>
      </c>
      <c r="M648" s="91">
        <v>4201.03</v>
      </c>
      <c r="N648" s="92">
        <f t="shared" si="213"/>
        <v>20</v>
      </c>
      <c r="O648" s="92">
        <f t="shared" si="214"/>
        <v>39242.660000000003</v>
      </c>
      <c r="P648" s="86"/>
      <c r="Q648" s="86">
        <v>0</v>
      </c>
    </row>
    <row r="649" spans="1:19" x14ac:dyDescent="0.2">
      <c r="A649" s="6" t="s">
        <v>96</v>
      </c>
      <c r="B649" s="90" t="s">
        <v>162</v>
      </c>
      <c r="C649" s="90">
        <v>12</v>
      </c>
      <c r="D649" s="93">
        <v>1</v>
      </c>
      <c r="E649" s="93">
        <v>4184</v>
      </c>
      <c r="F649" s="88">
        <f t="shared" si="211"/>
        <v>5</v>
      </c>
      <c r="G649" s="88">
        <f t="shared" si="211"/>
        <v>5637.7</v>
      </c>
      <c r="H649" s="89">
        <v>1</v>
      </c>
      <c r="I649" s="89">
        <v>2000</v>
      </c>
      <c r="J649" s="89">
        <f t="shared" si="212"/>
        <v>10</v>
      </c>
      <c r="K649" s="89">
        <f t="shared" si="212"/>
        <v>12195.68</v>
      </c>
      <c r="L649" s="90">
        <v>0</v>
      </c>
      <c r="M649" s="91">
        <v>0</v>
      </c>
      <c r="N649" s="92">
        <f t="shared" si="213"/>
        <v>20</v>
      </c>
      <c r="O649" s="92">
        <f t="shared" si="214"/>
        <v>39242.660000000003</v>
      </c>
      <c r="P649" s="86"/>
      <c r="Q649" s="86">
        <v>0</v>
      </c>
    </row>
    <row r="650" spans="1:19" x14ac:dyDescent="0.2">
      <c r="A650" s="6" t="s">
        <v>66</v>
      </c>
      <c r="B650" s="90" t="s">
        <v>151</v>
      </c>
      <c r="C650" s="90">
        <v>1</v>
      </c>
      <c r="D650" s="93">
        <v>0</v>
      </c>
      <c r="E650" s="93">
        <v>0</v>
      </c>
      <c r="F650" s="88">
        <f>D650</f>
        <v>0</v>
      </c>
      <c r="G650" s="88">
        <f>E650</f>
        <v>0</v>
      </c>
      <c r="H650" s="88">
        <v>0</v>
      </c>
      <c r="I650" s="88">
        <v>0</v>
      </c>
      <c r="J650" s="88">
        <f>H650</f>
        <v>0</v>
      </c>
      <c r="K650" s="88">
        <f>I650</f>
        <v>0</v>
      </c>
      <c r="L650" s="90">
        <v>0</v>
      </c>
      <c r="M650" s="91">
        <v>0</v>
      </c>
      <c r="N650" s="92">
        <f>L650</f>
        <v>0</v>
      </c>
      <c r="O650" s="92">
        <f>M650</f>
        <v>0</v>
      </c>
      <c r="P650">
        <v>0</v>
      </c>
      <c r="Q650">
        <v>0</v>
      </c>
      <c r="R650">
        <v>0</v>
      </c>
      <c r="S650">
        <v>0</v>
      </c>
    </row>
    <row r="651" spans="1:19" x14ac:dyDescent="0.2">
      <c r="A651" s="6" t="s">
        <v>66</v>
      </c>
      <c r="B651" s="90" t="s">
        <v>152</v>
      </c>
      <c r="C651" s="90">
        <v>2</v>
      </c>
      <c r="D651" s="93">
        <v>0</v>
      </c>
      <c r="E651" s="93">
        <v>0</v>
      </c>
      <c r="F651" s="88">
        <f t="shared" ref="F651:F661" si="215">F650+D651</f>
        <v>0</v>
      </c>
      <c r="G651" s="88">
        <f t="shared" ref="G651:G661" si="216">G650+E651</f>
        <v>0</v>
      </c>
      <c r="H651" s="88">
        <v>0</v>
      </c>
      <c r="I651" s="88">
        <v>0</v>
      </c>
      <c r="J651" s="88">
        <f t="shared" ref="J651:J661" si="217">J650+H651</f>
        <v>0</v>
      </c>
      <c r="K651" s="88">
        <f t="shared" ref="K651:K661" si="218">K650+I651</f>
        <v>0</v>
      </c>
      <c r="L651" s="90">
        <v>0</v>
      </c>
      <c r="M651" s="91">
        <v>0</v>
      </c>
      <c r="N651" s="92">
        <f t="shared" ref="N651:N661" si="219">N650+L651</f>
        <v>0</v>
      </c>
      <c r="O651" s="92">
        <f t="shared" ref="O651:O661" si="220">O650+M651</f>
        <v>0</v>
      </c>
      <c r="P651">
        <v>1</v>
      </c>
      <c r="Q651">
        <v>3420</v>
      </c>
      <c r="R651">
        <v>1</v>
      </c>
      <c r="S651">
        <v>3420</v>
      </c>
    </row>
    <row r="652" spans="1:19" x14ac:dyDescent="0.2">
      <c r="A652" s="6" t="s">
        <v>66</v>
      </c>
      <c r="B652" s="90" t="s">
        <v>153</v>
      </c>
      <c r="C652" s="90">
        <v>3</v>
      </c>
      <c r="D652" s="93">
        <v>0</v>
      </c>
      <c r="E652" s="93">
        <v>0</v>
      </c>
      <c r="F652" s="88">
        <f t="shared" si="215"/>
        <v>0</v>
      </c>
      <c r="G652" s="88">
        <f t="shared" si="216"/>
        <v>0</v>
      </c>
      <c r="H652" s="88">
        <v>0</v>
      </c>
      <c r="I652" s="88">
        <v>0</v>
      </c>
      <c r="J652" s="88">
        <f t="shared" si="217"/>
        <v>0</v>
      </c>
      <c r="K652" s="88">
        <f t="shared" si="218"/>
        <v>0</v>
      </c>
      <c r="L652" s="90">
        <v>0</v>
      </c>
      <c r="M652" s="91">
        <v>0</v>
      </c>
      <c r="N652" s="92">
        <f t="shared" si="219"/>
        <v>0</v>
      </c>
      <c r="O652" s="92">
        <f t="shared" si="220"/>
        <v>0</v>
      </c>
      <c r="P652">
        <v>0</v>
      </c>
      <c r="Q652">
        <v>0</v>
      </c>
      <c r="R652">
        <v>1</v>
      </c>
      <c r="S652">
        <v>3420</v>
      </c>
    </row>
    <row r="653" spans="1:19" x14ac:dyDescent="0.2">
      <c r="A653" s="6" t="s">
        <v>66</v>
      </c>
      <c r="B653" s="90" t="s">
        <v>154</v>
      </c>
      <c r="C653" s="90">
        <v>4</v>
      </c>
      <c r="D653" s="93">
        <v>0</v>
      </c>
      <c r="E653" s="93">
        <v>0</v>
      </c>
      <c r="F653" s="88">
        <f t="shared" si="215"/>
        <v>0</v>
      </c>
      <c r="G653" s="88">
        <f t="shared" si="216"/>
        <v>0</v>
      </c>
      <c r="H653" s="88">
        <v>0</v>
      </c>
      <c r="I653" s="88">
        <v>0</v>
      </c>
      <c r="J653" s="88">
        <f t="shared" si="217"/>
        <v>0</v>
      </c>
      <c r="K653" s="88">
        <f t="shared" si="218"/>
        <v>0</v>
      </c>
      <c r="L653" s="90">
        <v>0</v>
      </c>
      <c r="M653" s="91">
        <v>0</v>
      </c>
      <c r="N653" s="92">
        <f t="shared" si="219"/>
        <v>0</v>
      </c>
      <c r="O653" s="92">
        <f t="shared" si="220"/>
        <v>0</v>
      </c>
      <c r="P653">
        <v>0</v>
      </c>
      <c r="Q653">
        <v>0</v>
      </c>
      <c r="R653">
        <v>1</v>
      </c>
      <c r="S653">
        <v>3420</v>
      </c>
    </row>
    <row r="654" spans="1:19" x14ac:dyDescent="0.2">
      <c r="A654" s="6" t="s">
        <v>66</v>
      </c>
      <c r="B654" s="90" t="s">
        <v>155</v>
      </c>
      <c r="C654" s="90">
        <v>5</v>
      </c>
      <c r="D654" s="93">
        <v>0</v>
      </c>
      <c r="E654" s="93">
        <v>0</v>
      </c>
      <c r="F654" s="88">
        <f t="shared" si="215"/>
        <v>0</v>
      </c>
      <c r="G654" s="88">
        <f t="shared" si="216"/>
        <v>0</v>
      </c>
      <c r="H654" s="88">
        <v>0</v>
      </c>
      <c r="I654" s="88">
        <v>0</v>
      </c>
      <c r="J654" s="88">
        <f t="shared" si="217"/>
        <v>0</v>
      </c>
      <c r="K654" s="88">
        <f t="shared" si="218"/>
        <v>0</v>
      </c>
      <c r="L654" s="90">
        <v>1</v>
      </c>
      <c r="M654" s="91">
        <v>100</v>
      </c>
      <c r="N654" s="92">
        <f t="shared" si="219"/>
        <v>1</v>
      </c>
      <c r="O654" s="92">
        <f t="shared" si="220"/>
        <v>100</v>
      </c>
      <c r="P654">
        <v>0</v>
      </c>
      <c r="Q654">
        <v>0</v>
      </c>
      <c r="R654">
        <v>1</v>
      </c>
      <c r="S654">
        <v>3420</v>
      </c>
    </row>
    <row r="655" spans="1:19" x14ac:dyDescent="0.2">
      <c r="A655" s="6" t="s">
        <v>66</v>
      </c>
      <c r="B655" s="90" t="s">
        <v>156</v>
      </c>
      <c r="C655" s="90">
        <v>6</v>
      </c>
      <c r="D655" s="93">
        <v>0</v>
      </c>
      <c r="E655" s="93">
        <v>0</v>
      </c>
      <c r="F655" s="88">
        <f t="shared" si="215"/>
        <v>0</v>
      </c>
      <c r="G655" s="88">
        <f t="shared" si="216"/>
        <v>0</v>
      </c>
      <c r="H655" s="88">
        <v>0</v>
      </c>
      <c r="I655" s="88">
        <v>0</v>
      </c>
      <c r="J655" s="88">
        <f t="shared" si="217"/>
        <v>0</v>
      </c>
      <c r="K655" s="88">
        <f t="shared" si="218"/>
        <v>0</v>
      </c>
      <c r="L655" s="90">
        <v>0</v>
      </c>
      <c r="M655" s="91">
        <v>0</v>
      </c>
      <c r="N655" s="92">
        <f t="shared" si="219"/>
        <v>1</v>
      </c>
      <c r="O655" s="92">
        <f t="shared" si="220"/>
        <v>100</v>
      </c>
      <c r="P655">
        <v>6</v>
      </c>
      <c r="Q655">
        <v>1920</v>
      </c>
      <c r="R655">
        <v>7</v>
      </c>
      <c r="S655">
        <v>5340</v>
      </c>
    </row>
    <row r="656" spans="1:19" x14ac:dyDescent="0.2">
      <c r="A656" s="6" t="s">
        <v>66</v>
      </c>
      <c r="B656" s="90" t="s">
        <v>157</v>
      </c>
      <c r="C656" s="90">
        <v>7</v>
      </c>
      <c r="D656" s="93">
        <v>0</v>
      </c>
      <c r="E656" s="93">
        <v>0</v>
      </c>
      <c r="F656" s="88">
        <f t="shared" si="215"/>
        <v>0</v>
      </c>
      <c r="G656" s="88">
        <f t="shared" si="216"/>
        <v>0</v>
      </c>
      <c r="H656" s="88">
        <v>0</v>
      </c>
      <c r="I656" s="88">
        <v>0</v>
      </c>
      <c r="J656" s="88">
        <f t="shared" si="217"/>
        <v>0</v>
      </c>
      <c r="K656" s="88">
        <f t="shared" si="218"/>
        <v>0</v>
      </c>
      <c r="L656" s="90">
        <v>0</v>
      </c>
      <c r="M656" s="91">
        <v>0</v>
      </c>
      <c r="N656" s="92">
        <f t="shared" si="219"/>
        <v>1</v>
      </c>
      <c r="O656" s="92">
        <f t="shared" si="220"/>
        <v>100</v>
      </c>
      <c r="P656">
        <v>0</v>
      </c>
      <c r="Q656">
        <v>0</v>
      </c>
      <c r="R656">
        <v>7</v>
      </c>
      <c r="S656">
        <v>5340</v>
      </c>
    </row>
    <row r="657" spans="1:19" x14ac:dyDescent="0.2">
      <c r="A657" s="6" t="s">
        <v>66</v>
      </c>
      <c r="B657" s="90" t="s">
        <v>158</v>
      </c>
      <c r="C657" s="90">
        <v>8</v>
      </c>
      <c r="D657" s="93">
        <v>0</v>
      </c>
      <c r="E657" s="93">
        <v>0</v>
      </c>
      <c r="F657" s="88">
        <f t="shared" si="215"/>
        <v>0</v>
      </c>
      <c r="G657" s="88">
        <f t="shared" si="216"/>
        <v>0</v>
      </c>
      <c r="H657" s="88">
        <v>0</v>
      </c>
      <c r="I657" s="88">
        <v>0</v>
      </c>
      <c r="J657" s="88">
        <f t="shared" si="217"/>
        <v>0</v>
      </c>
      <c r="K657" s="88">
        <f t="shared" si="218"/>
        <v>0</v>
      </c>
      <c r="L657" s="90">
        <v>1</v>
      </c>
      <c r="M657" s="91">
        <v>200</v>
      </c>
      <c r="N657" s="92">
        <f t="shared" si="219"/>
        <v>2</v>
      </c>
      <c r="O657" s="92">
        <f t="shared" si="220"/>
        <v>300</v>
      </c>
      <c r="P657">
        <v>6</v>
      </c>
      <c r="Q657">
        <v>1500</v>
      </c>
      <c r="R657">
        <v>13</v>
      </c>
      <c r="S657">
        <v>6840</v>
      </c>
    </row>
    <row r="658" spans="1:19" x14ac:dyDescent="0.2">
      <c r="A658" s="6" t="s">
        <v>66</v>
      </c>
      <c r="B658" s="90" t="s">
        <v>159</v>
      </c>
      <c r="C658" s="90">
        <v>9</v>
      </c>
      <c r="D658" s="93">
        <v>0</v>
      </c>
      <c r="E658" s="93">
        <v>0</v>
      </c>
      <c r="F658" s="88">
        <f t="shared" si="215"/>
        <v>0</v>
      </c>
      <c r="G658" s="88">
        <f t="shared" si="216"/>
        <v>0</v>
      </c>
      <c r="H658" s="88">
        <v>0</v>
      </c>
      <c r="I658" s="88">
        <v>0</v>
      </c>
      <c r="J658" s="88">
        <f t="shared" si="217"/>
        <v>0</v>
      </c>
      <c r="K658" s="88">
        <f t="shared" si="218"/>
        <v>0</v>
      </c>
      <c r="L658" s="90">
        <v>0</v>
      </c>
      <c r="M658" s="91">
        <v>0</v>
      </c>
      <c r="N658" s="92">
        <f t="shared" si="219"/>
        <v>2</v>
      </c>
      <c r="O658" s="92">
        <f t="shared" si="220"/>
        <v>300</v>
      </c>
      <c r="P658">
        <v>0</v>
      </c>
      <c r="Q658">
        <v>0</v>
      </c>
      <c r="R658">
        <v>13</v>
      </c>
      <c r="S658">
        <v>6840</v>
      </c>
    </row>
    <row r="659" spans="1:19" x14ac:dyDescent="0.2">
      <c r="A659" s="6" t="s">
        <v>66</v>
      </c>
      <c r="B659" s="90" t="s">
        <v>160</v>
      </c>
      <c r="C659" s="90">
        <v>10</v>
      </c>
      <c r="D659" s="93">
        <v>0</v>
      </c>
      <c r="E659" s="93">
        <v>0</v>
      </c>
      <c r="F659" s="88">
        <f t="shared" si="215"/>
        <v>0</v>
      </c>
      <c r="G659" s="88">
        <f t="shared" si="216"/>
        <v>0</v>
      </c>
      <c r="H659" s="88">
        <v>0</v>
      </c>
      <c r="I659" s="88">
        <v>0</v>
      </c>
      <c r="J659" s="88">
        <f t="shared" si="217"/>
        <v>0</v>
      </c>
      <c r="K659" s="88">
        <f t="shared" si="218"/>
        <v>0</v>
      </c>
      <c r="L659" s="90">
        <v>0</v>
      </c>
      <c r="M659" s="91">
        <v>0</v>
      </c>
      <c r="N659" s="92">
        <f t="shared" si="219"/>
        <v>2</v>
      </c>
      <c r="O659" s="92">
        <f t="shared" si="220"/>
        <v>300</v>
      </c>
      <c r="P659">
        <v>0</v>
      </c>
      <c r="Q659">
        <v>0</v>
      </c>
      <c r="R659">
        <v>13</v>
      </c>
      <c r="S659">
        <v>6840</v>
      </c>
    </row>
    <row r="660" spans="1:19" x14ac:dyDescent="0.2">
      <c r="A660" s="6" t="s">
        <v>66</v>
      </c>
      <c r="B660" s="90" t="s">
        <v>161</v>
      </c>
      <c r="C660" s="90">
        <v>11</v>
      </c>
      <c r="D660" s="93">
        <v>0</v>
      </c>
      <c r="E660" s="93">
        <v>0</v>
      </c>
      <c r="F660" s="88">
        <f t="shared" si="215"/>
        <v>0</v>
      </c>
      <c r="G660" s="88">
        <f t="shared" si="216"/>
        <v>0</v>
      </c>
      <c r="H660" s="88">
        <v>0</v>
      </c>
      <c r="I660" s="88">
        <v>0</v>
      </c>
      <c r="J660" s="88">
        <f t="shared" si="217"/>
        <v>0</v>
      </c>
      <c r="K660" s="88">
        <f t="shared" si="218"/>
        <v>0</v>
      </c>
      <c r="L660" s="90">
        <v>6</v>
      </c>
      <c r="M660" s="91">
        <v>3593.79</v>
      </c>
      <c r="N660" s="92">
        <f t="shared" si="219"/>
        <v>8</v>
      </c>
      <c r="O660" s="92">
        <f t="shared" si="220"/>
        <v>3893.79</v>
      </c>
      <c r="P660" s="86"/>
      <c r="Q660" s="86">
        <v>0</v>
      </c>
    </row>
    <row r="661" spans="1:19" x14ac:dyDescent="0.2">
      <c r="A661" s="6" t="s">
        <v>66</v>
      </c>
      <c r="B661" s="90" t="s">
        <v>162</v>
      </c>
      <c r="C661" s="90">
        <v>12</v>
      </c>
      <c r="D661" s="93">
        <v>0</v>
      </c>
      <c r="E661" s="93">
        <v>0</v>
      </c>
      <c r="F661" s="88">
        <f t="shared" si="215"/>
        <v>0</v>
      </c>
      <c r="G661" s="88">
        <f t="shared" si="216"/>
        <v>0</v>
      </c>
      <c r="H661" s="88">
        <v>0</v>
      </c>
      <c r="I661" s="88">
        <v>0</v>
      </c>
      <c r="J661" s="88">
        <f t="shared" si="217"/>
        <v>0</v>
      </c>
      <c r="K661" s="88">
        <f t="shared" si="218"/>
        <v>0</v>
      </c>
      <c r="L661" s="90">
        <v>1</v>
      </c>
      <c r="M661" s="91">
        <v>180</v>
      </c>
      <c r="N661" s="92">
        <f t="shared" si="219"/>
        <v>9</v>
      </c>
      <c r="O661" s="92">
        <f t="shared" si="220"/>
        <v>4073.79</v>
      </c>
      <c r="P661" s="86"/>
      <c r="Q661" s="86">
        <v>0</v>
      </c>
    </row>
    <row r="662" spans="1:19" x14ac:dyDescent="0.2">
      <c r="A662" s="6" t="s">
        <v>146</v>
      </c>
      <c r="B662" s="90" t="s">
        <v>151</v>
      </c>
      <c r="C662" s="90">
        <v>1</v>
      </c>
      <c r="D662" s="93">
        <v>0</v>
      </c>
      <c r="E662" s="93">
        <v>0</v>
      </c>
      <c r="F662" s="88">
        <f>D662</f>
        <v>0</v>
      </c>
      <c r="G662" s="88">
        <f>E662</f>
        <v>0</v>
      </c>
      <c r="H662" s="89">
        <v>2</v>
      </c>
      <c r="I662" s="89">
        <v>631.4</v>
      </c>
      <c r="J662" s="89">
        <f>H662</f>
        <v>2</v>
      </c>
      <c r="K662" s="89">
        <f>I662</f>
        <v>631.4</v>
      </c>
      <c r="L662" s="90">
        <v>4</v>
      </c>
      <c r="M662" s="91">
        <v>1551.42</v>
      </c>
      <c r="N662" s="92">
        <f>L662</f>
        <v>4</v>
      </c>
      <c r="O662" s="92">
        <f>M662</f>
        <v>1551.42</v>
      </c>
      <c r="P662">
        <v>0</v>
      </c>
      <c r="Q662">
        <v>0</v>
      </c>
      <c r="R662">
        <v>0</v>
      </c>
      <c r="S662">
        <v>0</v>
      </c>
    </row>
    <row r="663" spans="1:19" x14ac:dyDescent="0.2">
      <c r="A663" s="6" t="s">
        <v>146</v>
      </c>
      <c r="B663" s="90" t="s">
        <v>152</v>
      </c>
      <c r="C663" s="90">
        <v>2</v>
      </c>
      <c r="D663" s="93">
        <v>1</v>
      </c>
      <c r="E663" s="93">
        <v>301.95</v>
      </c>
      <c r="F663" s="88">
        <f t="shared" ref="F663:G673" si="221">F662+D663</f>
        <v>1</v>
      </c>
      <c r="G663" s="88">
        <f t="shared" si="221"/>
        <v>301.95</v>
      </c>
      <c r="H663" s="89">
        <v>1</v>
      </c>
      <c r="I663" s="89">
        <v>2102.48</v>
      </c>
      <c r="J663" s="89">
        <f t="shared" ref="J663:K673" si="222">J662+H663</f>
        <v>3</v>
      </c>
      <c r="K663" s="89">
        <f t="shared" si="222"/>
        <v>2733.88</v>
      </c>
      <c r="L663" s="90">
        <v>0</v>
      </c>
      <c r="M663" s="91">
        <v>0</v>
      </c>
      <c r="N663" s="92">
        <f t="shared" ref="N663:N673" si="223">N662+L663</f>
        <v>4</v>
      </c>
      <c r="O663" s="92">
        <f t="shared" ref="O663:O673" si="224">O662+M663</f>
        <v>1551.42</v>
      </c>
      <c r="P663">
        <v>0</v>
      </c>
      <c r="Q663">
        <v>0</v>
      </c>
      <c r="R663">
        <v>0</v>
      </c>
      <c r="S663">
        <v>0</v>
      </c>
    </row>
    <row r="664" spans="1:19" x14ac:dyDescent="0.2">
      <c r="A664" s="6" t="s">
        <v>146</v>
      </c>
      <c r="B664" s="90" t="s">
        <v>153</v>
      </c>
      <c r="C664" s="90">
        <v>3</v>
      </c>
      <c r="D664" s="93">
        <v>1</v>
      </c>
      <c r="E664" s="93">
        <v>367.77</v>
      </c>
      <c r="F664" s="88">
        <f t="shared" si="221"/>
        <v>2</v>
      </c>
      <c r="G664" s="88">
        <f t="shared" si="221"/>
        <v>669.72</v>
      </c>
      <c r="H664" s="89">
        <v>2</v>
      </c>
      <c r="I664" s="89">
        <v>4089.75</v>
      </c>
      <c r="J664" s="89">
        <f t="shared" si="222"/>
        <v>5</v>
      </c>
      <c r="K664" s="89">
        <f t="shared" si="222"/>
        <v>6823.63</v>
      </c>
      <c r="L664" s="90">
        <v>7</v>
      </c>
      <c r="M664" s="91">
        <v>2003.34</v>
      </c>
      <c r="N664" s="92">
        <f t="shared" si="223"/>
        <v>11</v>
      </c>
      <c r="O664" s="92">
        <f t="shared" si="224"/>
        <v>3554.76</v>
      </c>
      <c r="P664">
        <v>0</v>
      </c>
      <c r="Q664">
        <v>0</v>
      </c>
      <c r="R664">
        <v>0</v>
      </c>
      <c r="S664">
        <v>0</v>
      </c>
    </row>
    <row r="665" spans="1:19" x14ac:dyDescent="0.2">
      <c r="A665" s="6" t="s">
        <v>146</v>
      </c>
      <c r="B665" s="90" t="s">
        <v>154</v>
      </c>
      <c r="C665" s="90">
        <v>4</v>
      </c>
      <c r="D665" s="93">
        <v>2</v>
      </c>
      <c r="E665" s="88">
        <v>953.98</v>
      </c>
      <c r="F665" s="88">
        <f t="shared" si="221"/>
        <v>4</v>
      </c>
      <c r="G665" s="88">
        <f t="shared" si="221"/>
        <v>1623.7</v>
      </c>
      <c r="H665" s="89">
        <v>1</v>
      </c>
      <c r="I665" s="89">
        <v>164</v>
      </c>
      <c r="J665" s="89">
        <f t="shared" si="222"/>
        <v>6</v>
      </c>
      <c r="K665" s="89">
        <f t="shared" si="222"/>
        <v>6987.63</v>
      </c>
      <c r="L665" s="90">
        <v>2</v>
      </c>
      <c r="M665" s="91">
        <v>2952</v>
      </c>
      <c r="N665" s="92">
        <f t="shared" si="223"/>
        <v>13</v>
      </c>
      <c r="O665" s="92">
        <f t="shared" si="224"/>
        <v>6506.76</v>
      </c>
      <c r="P665">
        <v>6</v>
      </c>
      <c r="Q665">
        <v>2216.9499999999998</v>
      </c>
      <c r="R665">
        <v>6</v>
      </c>
      <c r="S665">
        <v>2216.9499999999998</v>
      </c>
    </row>
    <row r="666" spans="1:19" x14ac:dyDescent="0.2">
      <c r="A666" s="6" t="s">
        <v>146</v>
      </c>
      <c r="B666" s="90" t="s">
        <v>155</v>
      </c>
      <c r="C666" s="90">
        <v>5</v>
      </c>
      <c r="D666" s="93">
        <v>3</v>
      </c>
      <c r="E666" s="88">
        <v>3704.76</v>
      </c>
      <c r="F666" s="88">
        <f t="shared" si="221"/>
        <v>7</v>
      </c>
      <c r="G666" s="88">
        <f t="shared" si="221"/>
        <v>5328.46</v>
      </c>
      <c r="H666" s="89">
        <v>6</v>
      </c>
      <c r="I666" s="89">
        <v>1894.1999999999998</v>
      </c>
      <c r="J666" s="89">
        <f t="shared" si="222"/>
        <v>12</v>
      </c>
      <c r="K666" s="89">
        <f t="shared" si="222"/>
        <v>8881.83</v>
      </c>
      <c r="L666" s="90">
        <v>4</v>
      </c>
      <c r="M666" s="91">
        <v>2532</v>
      </c>
      <c r="N666" s="92">
        <f t="shared" si="223"/>
        <v>17</v>
      </c>
      <c r="O666" s="92">
        <f t="shared" si="224"/>
        <v>9038.76</v>
      </c>
      <c r="P666">
        <v>2</v>
      </c>
      <c r="Q666">
        <v>1000</v>
      </c>
      <c r="R666">
        <v>8</v>
      </c>
      <c r="S666">
        <v>3216.95</v>
      </c>
    </row>
    <row r="667" spans="1:19" x14ac:dyDescent="0.2">
      <c r="A667" s="6" t="s">
        <v>146</v>
      </c>
      <c r="B667" s="90" t="s">
        <v>156</v>
      </c>
      <c r="C667" s="90">
        <v>6</v>
      </c>
      <c r="D667" s="93">
        <v>2</v>
      </c>
      <c r="E667" s="88">
        <v>611.37</v>
      </c>
      <c r="F667" s="88">
        <f t="shared" si="221"/>
        <v>9</v>
      </c>
      <c r="G667" s="88">
        <f t="shared" si="221"/>
        <v>5939.83</v>
      </c>
      <c r="H667" s="89">
        <v>13</v>
      </c>
      <c r="I667" s="89">
        <v>2933.5499999999997</v>
      </c>
      <c r="J667" s="89">
        <f t="shared" si="222"/>
        <v>25</v>
      </c>
      <c r="K667" s="89">
        <f t="shared" si="222"/>
        <v>11815.38</v>
      </c>
      <c r="L667" s="90">
        <v>1</v>
      </c>
      <c r="M667" s="91">
        <v>300</v>
      </c>
      <c r="N667" s="92">
        <f t="shared" si="223"/>
        <v>18</v>
      </c>
      <c r="O667" s="92">
        <f t="shared" si="224"/>
        <v>9338.76</v>
      </c>
      <c r="P667">
        <v>5</v>
      </c>
      <c r="Q667">
        <v>2550</v>
      </c>
      <c r="R667">
        <v>13</v>
      </c>
      <c r="S667">
        <v>5766.95</v>
      </c>
    </row>
    <row r="668" spans="1:19" x14ac:dyDescent="0.2">
      <c r="A668" s="6" t="s">
        <v>146</v>
      </c>
      <c r="B668" s="90" t="s">
        <v>157</v>
      </c>
      <c r="C668" s="90">
        <v>7</v>
      </c>
      <c r="D668" s="93">
        <v>1</v>
      </c>
      <c r="E668" s="93">
        <v>947.1</v>
      </c>
      <c r="F668" s="88">
        <f t="shared" si="221"/>
        <v>10</v>
      </c>
      <c r="G668" s="88">
        <f t="shared" si="221"/>
        <v>6886.93</v>
      </c>
      <c r="H668" s="89">
        <v>3</v>
      </c>
      <c r="I668" s="89">
        <v>4784.59</v>
      </c>
      <c r="J668" s="89">
        <f t="shared" si="222"/>
        <v>28</v>
      </c>
      <c r="K668" s="89">
        <f t="shared" si="222"/>
        <v>16599.97</v>
      </c>
      <c r="L668" s="90">
        <v>3</v>
      </c>
      <c r="M668" s="91">
        <v>2641.06</v>
      </c>
      <c r="N668" s="92">
        <f t="shared" si="223"/>
        <v>21</v>
      </c>
      <c r="O668" s="92">
        <f t="shared" si="224"/>
        <v>11979.82</v>
      </c>
      <c r="P668">
        <v>0</v>
      </c>
      <c r="Q668">
        <v>0</v>
      </c>
      <c r="R668">
        <v>13</v>
      </c>
      <c r="S668">
        <v>5766.95</v>
      </c>
    </row>
    <row r="669" spans="1:19" x14ac:dyDescent="0.2">
      <c r="A669" s="6" t="s">
        <v>146</v>
      </c>
      <c r="B669" s="90" t="s">
        <v>158</v>
      </c>
      <c r="C669" s="90">
        <v>8</v>
      </c>
      <c r="D669" s="93">
        <v>2</v>
      </c>
      <c r="E669" s="88">
        <v>896.67</v>
      </c>
      <c r="F669" s="88">
        <f t="shared" si="221"/>
        <v>12</v>
      </c>
      <c r="G669" s="88">
        <f t="shared" si="221"/>
        <v>7783.6</v>
      </c>
      <c r="H669" s="89">
        <v>2</v>
      </c>
      <c r="I669" s="89">
        <v>912.37</v>
      </c>
      <c r="J669" s="89">
        <f t="shared" si="222"/>
        <v>30</v>
      </c>
      <c r="K669" s="89">
        <f t="shared" si="222"/>
        <v>17512.34</v>
      </c>
      <c r="L669" s="90">
        <v>0</v>
      </c>
      <c r="M669" s="91">
        <v>0</v>
      </c>
      <c r="N669" s="92">
        <f t="shared" si="223"/>
        <v>21</v>
      </c>
      <c r="O669" s="92">
        <f t="shared" si="224"/>
        <v>11979.82</v>
      </c>
      <c r="P669">
        <v>0</v>
      </c>
      <c r="Q669">
        <v>0</v>
      </c>
      <c r="R669">
        <v>13</v>
      </c>
      <c r="S669">
        <v>5766.95</v>
      </c>
    </row>
    <row r="670" spans="1:19" x14ac:dyDescent="0.2">
      <c r="A670" s="6" t="s">
        <v>146</v>
      </c>
      <c r="B670" s="90" t="s">
        <v>159</v>
      </c>
      <c r="C670" s="90">
        <v>9</v>
      </c>
      <c r="D670" s="93">
        <v>1</v>
      </c>
      <c r="E670" s="93">
        <v>1090.5999999999999</v>
      </c>
      <c r="F670" s="88">
        <f t="shared" si="221"/>
        <v>13</v>
      </c>
      <c r="G670" s="88">
        <f t="shared" si="221"/>
        <v>8874.2000000000007</v>
      </c>
      <c r="H670" s="89">
        <v>0</v>
      </c>
      <c r="I670" s="89">
        <v>0</v>
      </c>
      <c r="J670" s="89">
        <f t="shared" si="222"/>
        <v>30</v>
      </c>
      <c r="K670" s="89">
        <f t="shared" si="222"/>
        <v>17512.34</v>
      </c>
      <c r="L670" s="90">
        <v>3</v>
      </c>
      <c r="M670" s="91">
        <v>1263</v>
      </c>
      <c r="N670" s="92">
        <f t="shared" si="223"/>
        <v>24</v>
      </c>
      <c r="O670" s="92">
        <f t="shared" si="224"/>
        <v>13242.82</v>
      </c>
      <c r="P670">
        <v>0</v>
      </c>
      <c r="Q670">
        <v>0</v>
      </c>
      <c r="R670">
        <v>13</v>
      </c>
      <c r="S670">
        <v>5766.95</v>
      </c>
    </row>
    <row r="671" spans="1:19" x14ac:dyDescent="0.2">
      <c r="A671" s="6" t="s">
        <v>146</v>
      </c>
      <c r="B671" s="90" t="s">
        <v>160</v>
      </c>
      <c r="C671" s="90">
        <v>10</v>
      </c>
      <c r="D671" s="93">
        <v>2</v>
      </c>
      <c r="E671" s="88">
        <v>1111.0999999999999</v>
      </c>
      <c r="F671" s="88">
        <f t="shared" si="221"/>
        <v>15</v>
      </c>
      <c r="G671" s="88">
        <f t="shared" si="221"/>
        <v>9985.3000000000011</v>
      </c>
      <c r="H671" s="89">
        <v>0</v>
      </c>
      <c r="I671" s="89">
        <v>0</v>
      </c>
      <c r="J671" s="89">
        <f t="shared" si="222"/>
        <v>30</v>
      </c>
      <c r="K671" s="89">
        <f t="shared" si="222"/>
        <v>17512.34</v>
      </c>
      <c r="L671" s="90">
        <v>0</v>
      </c>
      <c r="M671" s="91">
        <v>0</v>
      </c>
      <c r="N671" s="92">
        <f t="shared" si="223"/>
        <v>24</v>
      </c>
      <c r="O671" s="92">
        <f t="shared" si="224"/>
        <v>13242.82</v>
      </c>
      <c r="P671">
        <v>0</v>
      </c>
      <c r="Q671">
        <v>0</v>
      </c>
      <c r="R671">
        <v>13</v>
      </c>
      <c r="S671">
        <v>5766.95</v>
      </c>
    </row>
    <row r="672" spans="1:19" x14ac:dyDescent="0.2">
      <c r="A672" s="6" t="s">
        <v>146</v>
      </c>
      <c r="B672" s="90" t="s">
        <v>161</v>
      </c>
      <c r="C672" s="90">
        <v>11</v>
      </c>
      <c r="D672" s="93">
        <v>2</v>
      </c>
      <c r="E672" s="93">
        <v>1074.2</v>
      </c>
      <c r="F672" s="88">
        <f t="shared" si="221"/>
        <v>17</v>
      </c>
      <c r="G672" s="88">
        <f t="shared" si="221"/>
        <v>11059.500000000002</v>
      </c>
      <c r="H672" s="89">
        <v>6</v>
      </c>
      <c r="I672" s="89">
        <v>3022.09</v>
      </c>
      <c r="J672" s="89">
        <f t="shared" si="222"/>
        <v>36</v>
      </c>
      <c r="K672" s="89">
        <f t="shared" si="222"/>
        <v>20534.43</v>
      </c>
      <c r="L672" s="90">
        <v>0</v>
      </c>
      <c r="M672" s="91">
        <v>0</v>
      </c>
      <c r="N672" s="92">
        <f t="shared" si="223"/>
        <v>24</v>
      </c>
      <c r="O672" s="92">
        <f t="shared" si="224"/>
        <v>13242.82</v>
      </c>
      <c r="P672" s="86"/>
      <c r="Q672" s="86">
        <v>0</v>
      </c>
    </row>
    <row r="673" spans="1:19" x14ac:dyDescent="0.2">
      <c r="A673" s="6" t="s">
        <v>146</v>
      </c>
      <c r="B673" s="90" t="s">
        <v>162</v>
      </c>
      <c r="C673" s="90">
        <v>12</v>
      </c>
      <c r="D673" s="93">
        <v>1</v>
      </c>
      <c r="E673" s="93">
        <v>229.6</v>
      </c>
      <c r="F673" s="88">
        <f t="shared" si="221"/>
        <v>18</v>
      </c>
      <c r="G673" s="88">
        <f t="shared" si="221"/>
        <v>11289.100000000002</v>
      </c>
      <c r="H673" s="89">
        <v>1</v>
      </c>
      <c r="I673" s="89">
        <v>852.39</v>
      </c>
      <c r="J673" s="89">
        <f t="shared" si="222"/>
        <v>37</v>
      </c>
      <c r="K673" s="89">
        <f t="shared" si="222"/>
        <v>21386.82</v>
      </c>
      <c r="L673" s="90">
        <v>0</v>
      </c>
      <c r="M673" s="91">
        <v>0</v>
      </c>
      <c r="N673" s="92">
        <f t="shared" si="223"/>
        <v>24</v>
      </c>
      <c r="O673" s="92">
        <f t="shared" si="224"/>
        <v>13242.82</v>
      </c>
      <c r="P673" s="86"/>
      <c r="Q673" s="86">
        <v>0</v>
      </c>
    </row>
    <row r="674" spans="1:19" x14ac:dyDescent="0.2">
      <c r="A674" s="6" t="s">
        <v>131</v>
      </c>
      <c r="B674" s="90" t="s">
        <v>151</v>
      </c>
      <c r="C674" s="90">
        <v>1</v>
      </c>
      <c r="D674" s="93">
        <v>0</v>
      </c>
      <c r="E674" s="93">
        <v>0</v>
      </c>
      <c r="F674" s="88">
        <f>D674</f>
        <v>0</v>
      </c>
      <c r="G674" s="88">
        <f>E674</f>
        <v>0</v>
      </c>
      <c r="H674" s="89">
        <v>0</v>
      </c>
      <c r="I674" s="89">
        <v>0</v>
      </c>
      <c r="J674" s="89">
        <f>H674</f>
        <v>0</v>
      </c>
      <c r="K674" s="89">
        <f>I674</f>
        <v>0</v>
      </c>
      <c r="L674" s="90">
        <v>2</v>
      </c>
      <c r="M674" s="91">
        <v>2300</v>
      </c>
      <c r="N674" s="92">
        <f>L674</f>
        <v>2</v>
      </c>
      <c r="O674" s="92">
        <f>M674</f>
        <v>2300</v>
      </c>
      <c r="P674">
        <v>1</v>
      </c>
      <c r="Q674">
        <v>1600</v>
      </c>
      <c r="R674">
        <v>1</v>
      </c>
      <c r="S674">
        <v>1600</v>
      </c>
    </row>
    <row r="675" spans="1:19" x14ac:dyDescent="0.2">
      <c r="A675" s="6" t="s">
        <v>131</v>
      </c>
      <c r="B675" s="90" t="s">
        <v>152</v>
      </c>
      <c r="C675" s="90">
        <v>2</v>
      </c>
      <c r="D675" s="93">
        <v>0</v>
      </c>
      <c r="E675" s="93">
        <v>0</v>
      </c>
      <c r="F675" s="88">
        <f t="shared" ref="F675:G685" si="225">F674+D675</f>
        <v>0</v>
      </c>
      <c r="G675" s="88">
        <f t="shared" si="225"/>
        <v>0</v>
      </c>
      <c r="H675" s="89">
        <v>0</v>
      </c>
      <c r="I675" s="89">
        <v>0</v>
      </c>
      <c r="J675" s="89">
        <f t="shared" ref="J675:K685" si="226">J674+H675</f>
        <v>0</v>
      </c>
      <c r="K675" s="89">
        <f t="shared" si="226"/>
        <v>0</v>
      </c>
      <c r="L675" s="90">
        <v>0</v>
      </c>
      <c r="M675" s="91">
        <v>0</v>
      </c>
      <c r="N675" s="92">
        <f t="shared" ref="N675:N685" si="227">N674+L675</f>
        <v>2</v>
      </c>
      <c r="O675" s="92">
        <f t="shared" ref="O675:O685" si="228">O674+M675</f>
        <v>2300</v>
      </c>
      <c r="P675">
        <v>2</v>
      </c>
      <c r="Q675">
        <v>2600</v>
      </c>
      <c r="R675">
        <v>3</v>
      </c>
      <c r="S675">
        <v>4200</v>
      </c>
    </row>
    <row r="676" spans="1:19" x14ac:dyDescent="0.2">
      <c r="A676" s="6" t="s">
        <v>131</v>
      </c>
      <c r="B676" s="90" t="s">
        <v>153</v>
      </c>
      <c r="C676" s="90">
        <v>3</v>
      </c>
      <c r="D676" s="93">
        <v>0</v>
      </c>
      <c r="E676" s="93">
        <v>0</v>
      </c>
      <c r="F676" s="88">
        <f t="shared" si="225"/>
        <v>0</v>
      </c>
      <c r="G676" s="88">
        <f t="shared" si="225"/>
        <v>0</v>
      </c>
      <c r="H676" s="89">
        <v>0</v>
      </c>
      <c r="I676" s="89">
        <v>0</v>
      </c>
      <c r="J676" s="89">
        <f t="shared" si="226"/>
        <v>0</v>
      </c>
      <c r="K676" s="89">
        <f t="shared" si="226"/>
        <v>0</v>
      </c>
      <c r="L676" s="90">
        <v>0</v>
      </c>
      <c r="M676" s="91">
        <v>0</v>
      </c>
      <c r="N676" s="92">
        <f t="shared" si="227"/>
        <v>2</v>
      </c>
      <c r="O676" s="92">
        <f t="shared" si="228"/>
        <v>2300</v>
      </c>
      <c r="P676">
        <v>1</v>
      </c>
      <c r="Q676">
        <v>1500</v>
      </c>
      <c r="R676">
        <v>4</v>
      </c>
      <c r="S676">
        <v>5700</v>
      </c>
    </row>
    <row r="677" spans="1:19" x14ac:dyDescent="0.2">
      <c r="A677" s="6" t="s">
        <v>131</v>
      </c>
      <c r="B677" s="90" t="s">
        <v>154</v>
      </c>
      <c r="C677" s="90">
        <v>4</v>
      </c>
      <c r="D677" s="93">
        <v>0</v>
      </c>
      <c r="E677" s="93">
        <v>0</v>
      </c>
      <c r="F677" s="88">
        <f t="shared" si="225"/>
        <v>0</v>
      </c>
      <c r="G677" s="88">
        <f t="shared" si="225"/>
        <v>0</v>
      </c>
      <c r="H677" s="89">
        <v>0</v>
      </c>
      <c r="I677" s="89">
        <v>0</v>
      </c>
      <c r="J677" s="89">
        <f t="shared" si="226"/>
        <v>0</v>
      </c>
      <c r="K677" s="89">
        <f t="shared" si="226"/>
        <v>0</v>
      </c>
      <c r="L677" s="90">
        <v>0</v>
      </c>
      <c r="M677" s="91">
        <v>0</v>
      </c>
      <c r="N677" s="92">
        <f t="shared" si="227"/>
        <v>2</v>
      </c>
      <c r="O677" s="92">
        <f t="shared" si="228"/>
        <v>2300</v>
      </c>
      <c r="P677">
        <v>0</v>
      </c>
      <c r="Q677">
        <v>0</v>
      </c>
      <c r="R677">
        <v>4</v>
      </c>
      <c r="S677">
        <v>5700</v>
      </c>
    </row>
    <row r="678" spans="1:19" x14ac:dyDescent="0.2">
      <c r="A678" s="6" t="s">
        <v>131</v>
      </c>
      <c r="B678" s="90" t="s">
        <v>155</v>
      </c>
      <c r="C678" s="90">
        <v>5</v>
      </c>
      <c r="D678" s="93">
        <v>0</v>
      </c>
      <c r="E678" s="93">
        <v>0</v>
      </c>
      <c r="F678" s="88">
        <f t="shared" si="225"/>
        <v>0</v>
      </c>
      <c r="G678" s="88">
        <f t="shared" si="225"/>
        <v>0</v>
      </c>
      <c r="H678" s="89">
        <v>0</v>
      </c>
      <c r="I678" s="89">
        <v>0</v>
      </c>
      <c r="J678" s="89">
        <f t="shared" si="226"/>
        <v>0</v>
      </c>
      <c r="K678" s="89">
        <f t="shared" si="226"/>
        <v>0</v>
      </c>
      <c r="L678" s="90">
        <v>0</v>
      </c>
      <c r="M678" s="91">
        <v>0</v>
      </c>
      <c r="N678" s="92">
        <f t="shared" si="227"/>
        <v>2</v>
      </c>
      <c r="O678" s="92">
        <f t="shared" si="228"/>
        <v>2300</v>
      </c>
      <c r="P678">
        <v>2</v>
      </c>
      <c r="Q678">
        <v>5500</v>
      </c>
      <c r="R678">
        <v>6</v>
      </c>
      <c r="S678">
        <v>11200</v>
      </c>
    </row>
    <row r="679" spans="1:19" x14ac:dyDescent="0.2">
      <c r="A679" s="6" t="s">
        <v>131</v>
      </c>
      <c r="B679" s="90" t="s">
        <v>156</v>
      </c>
      <c r="C679" s="90">
        <v>6</v>
      </c>
      <c r="D679" s="93">
        <v>0</v>
      </c>
      <c r="E679" s="93">
        <v>0</v>
      </c>
      <c r="F679" s="88">
        <f t="shared" si="225"/>
        <v>0</v>
      </c>
      <c r="G679" s="88">
        <f t="shared" si="225"/>
        <v>0</v>
      </c>
      <c r="H679" s="89">
        <v>3</v>
      </c>
      <c r="I679" s="89">
        <v>6639</v>
      </c>
      <c r="J679" s="89">
        <f t="shared" si="226"/>
        <v>3</v>
      </c>
      <c r="K679" s="89">
        <f t="shared" si="226"/>
        <v>6639</v>
      </c>
      <c r="L679" s="90">
        <v>1</v>
      </c>
      <c r="M679" s="91">
        <v>2184</v>
      </c>
      <c r="N679" s="92">
        <f t="shared" si="227"/>
        <v>3</v>
      </c>
      <c r="O679" s="92">
        <f t="shared" si="228"/>
        <v>4484</v>
      </c>
      <c r="P679">
        <v>0</v>
      </c>
      <c r="Q679">
        <v>0</v>
      </c>
      <c r="R679">
        <v>6</v>
      </c>
      <c r="S679">
        <v>11200</v>
      </c>
    </row>
    <row r="680" spans="1:19" x14ac:dyDescent="0.2">
      <c r="A680" s="6" t="s">
        <v>131</v>
      </c>
      <c r="B680" s="90" t="s">
        <v>157</v>
      </c>
      <c r="C680" s="90">
        <v>7</v>
      </c>
      <c r="D680" s="93">
        <v>0</v>
      </c>
      <c r="E680" s="93">
        <v>0</v>
      </c>
      <c r="F680" s="88">
        <f t="shared" si="225"/>
        <v>0</v>
      </c>
      <c r="G680" s="88">
        <f t="shared" si="225"/>
        <v>0</v>
      </c>
      <c r="H680" s="89">
        <v>2</v>
      </c>
      <c r="I680" s="89">
        <v>2300</v>
      </c>
      <c r="J680" s="89">
        <f t="shared" si="226"/>
        <v>5</v>
      </c>
      <c r="K680" s="89">
        <f t="shared" si="226"/>
        <v>8939</v>
      </c>
      <c r="L680" s="90">
        <v>1</v>
      </c>
      <c r="M680" s="91">
        <v>1400</v>
      </c>
      <c r="N680" s="92">
        <f t="shared" si="227"/>
        <v>4</v>
      </c>
      <c r="O680" s="92">
        <f t="shared" si="228"/>
        <v>5884</v>
      </c>
      <c r="P680">
        <v>1</v>
      </c>
      <c r="Q680">
        <v>1180</v>
      </c>
      <c r="R680">
        <v>7</v>
      </c>
      <c r="S680">
        <v>12380</v>
      </c>
    </row>
    <row r="681" spans="1:19" x14ac:dyDescent="0.2">
      <c r="A681" s="6" t="s">
        <v>131</v>
      </c>
      <c r="B681" s="90" t="s">
        <v>158</v>
      </c>
      <c r="C681" s="90">
        <v>8</v>
      </c>
      <c r="D681" s="93">
        <v>0</v>
      </c>
      <c r="E681" s="93">
        <v>0</v>
      </c>
      <c r="F681" s="88">
        <f t="shared" si="225"/>
        <v>0</v>
      </c>
      <c r="G681" s="88">
        <f t="shared" si="225"/>
        <v>0</v>
      </c>
      <c r="H681" s="89">
        <v>0</v>
      </c>
      <c r="I681" s="89">
        <v>0</v>
      </c>
      <c r="J681" s="89">
        <f t="shared" si="226"/>
        <v>5</v>
      </c>
      <c r="K681" s="89">
        <f t="shared" si="226"/>
        <v>8939</v>
      </c>
      <c r="L681" s="90">
        <v>0</v>
      </c>
      <c r="M681" s="91">
        <v>0</v>
      </c>
      <c r="N681" s="92">
        <f t="shared" si="227"/>
        <v>4</v>
      </c>
      <c r="O681" s="92">
        <f t="shared" si="228"/>
        <v>5884</v>
      </c>
      <c r="P681">
        <v>1</v>
      </c>
      <c r="Q681">
        <v>400</v>
      </c>
      <c r="R681">
        <v>8</v>
      </c>
      <c r="S681">
        <v>12780</v>
      </c>
    </row>
    <row r="682" spans="1:19" x14ac:dyDescent="0.2">
      <c r="A682" s="6" t="s">
        <v>131</v>
      </c>
      <c r="B682" s="90" t="s">
        <v>159</v>
      </c>
      <c r="C682" s="90">
        <v>9</v>
      </c>
      <c r="D682" s="93">
        <v>0</v>
      </c>
      <c r="E682" s="93">
        <v>0</v>
      </c>
      <c r="F682" s="88">
        <f t="shared" si="225"/>
        <v>0</v>
      </c>
      <c r="G682" s="88">
        <f t="shared" si="225"/>
        <v>0</v>
      </c>
      <c r="H682" s="89">
        <v>1</v>
      </c>
      <c r="I682" s="89">
        <v>1952.5</v>
      </c>
      <c r="J682" s="89">
        <f t="shared" si="226"/>
        <v>6</v>
      </c>
      <c r="K682" s="89">
        <f t="shared" si="226"/>
        <v>10891.5</v>
      </c>
      <c r="L682" s="90">
        <v>0</v>
      </c>
      <c r="M682" s="91">
        <v>0</v>
      </c>
      <c r="N682" s="92">
        <f t="shared" si="227"/>
        <v>4</v>
      </c>
      <c r="O682" s="92">
        <f t="shared" si="228"/>
        <v>5884</v>
      </c>
      <c r="P682">
        <v>1</v>
      </c>
      <c r="Q682">
        <v>400</v>
      </c>
      <c r="R682">
        <v>9</v>
      </c>
      <c r="S682">
        <v>13180</v>
      </c>
    </row>
    <row r="683" spans="1:19" x14ac:dyDescent="0.2">
      <c r="A683" s="6" t="s">
        <v>131</v>
      </c>
      <c r="B683" s="90" t="s">
        <v>160</v>
      </c>
      <c r="C683" s="90">
        <v>10</v>
      </c>
      <c r="D683" s="93">
        <v>0</v>
      </c>
      <c r="E683" s="93">
        <v>0</v>
      </c>
      <c r="F683" s="88">
        <f t="shared" si="225"/>
        <v>0</v>
      </c>
      <c r="G683" s="88">
        <f t="shared" si="225"/>
        <v>0</v>
      </c>
      <c r="H683" s="89">
        <v>0</v>
      </c>
      <c r="I683" s="89">
        <v>0</v>
      </c>
      <c r="J683" s="89">
        <f t="shared" si="226"/>
        <v>6</v>
      </c>
      <c r="K683" s="89">
        <f t="shared" si="226"/>
        <v>10891.5</v>
      </c>
      <c r="L683" s="90">
        <v>2</v>
      </c>
      <c r="M683" s="91">
        <v>850</v>
      </c>
      <c r="N683" s="92">
        <f t="shared" si="227"/>
        <v>6</v>
      </c>
      <c r="O683" s="92">
        <f t="shared" si="228"/>
        <v>6734</v>
      </c>
      <c r="P683">
        <v>0</v>
      </c>
      <c r="Q683">
        <v>0</v>
      </c>
      <c r="R683">
        <v>9</v>
      </c>
      <c r="S683">
        <v>13180</v>
      </c>
    </row>
    <row r="684" spans="1:19" x14ac:dyDescent="0.2">
      <c r="A684" s="6" t="s">
        <v>131</v>
      </c>
      <c r="B684" s="90" t="s">
        <v>161</v>
      </c>
      <c r="C684" s="90">
        <v>11</v>
      </c>
      <c r="D684" s="93">
        <v>0</v>
      </c>
      <c r="E684" s="93">
        <v>0</v>
      </c>
      <c r="F684" s="88">
        <f t="shared" si="225"/>
        <v>0</v>
      </c>
      <c r="G684" s="88">
        <f t="shared" si="225"/>
        <v>0</v>
      </c>
      <c r="H684" s="89">
        <v>1</v>
      </c>
      <c r="I684" s="89">
        <v>1450</v>
      </c>
      <c r="J684" s="89">
        <f t="shared" si="226"/>
        <v>7</v>
      </c>
      <c r="K684" s="89">
        <f t="shared" si="226"/>
        <v>12341.5</v>
      </c>
      <c r="L684" s="90">
        <v>1</v>
      </c>
      <c r="M684" s="91">
        <v>1500</v>
      </c>
      <c r="N684" s="92">
        <f t="shared" si="227"/>
        <v>7</v>
      </c>
      <c r="O684" s="92">
        <f t="shared" si="228"/>
        <v>8234</v>
      </c>
      <c r="P684" s="86"/>
      <c r="Q684" s="86">
        <v>0</v>
      </c>
    </row>
    <row r="685" spans="1:19" x14ac:dyDescent="0.2">
      <c r="A685" s="6" t="s">
        <v>131</v>
      </c>
      <c r="B685" s="90" t="s">
        <v>162</v>
      </c>
      <c r="C685" s="90">
        <v>12</v>
      </c>
      <c r="D685" s="93">
        <v>0</v>
      </c>
      <c r="E685" s="93">
        <v>0</v>
      </c>
      <c r="F685" s="88">
        <f t="shared" si="225"/>
        <v>0</v>
      </c>
      <c r="G685" s="88">
        <f t="shared" si="225"/>
        <v>0</v>
      </c>
      <c r="H685" s="89">
        <v>0</v>
      </c>
      <c r="I685" s="89">
        <v>0</v>
      </c>
      <c r="J685" s="89">
        <f t="shared" si="226"/>
        <v>7</v>
      </c>
      <c r="K685" s="89">
        <f t="shared" si="226"/>
        <v>12341.5</v>
      </c>
      <c r="L685" s="90">
        <v>0</v>
      </c>
      <c r="M685" s="91">
        <v>0</v>
      </c>
      <c r="N685" s="92">
        <f t="shared" si="227"/>
        <v>7</v>
      </c>
      <c r="O685" s="92">
        <f t="shared" si="228"/>
        <v>8234</v>
      </c>
      <c r="P685" s="86"/>
      <c r="Q685" s="86">
        <v>0</v>
      </c>
    </row>
    <row r="686" spans="1:19" x14ac:dyDescent="0.2">
      <c r="A686" t="s">
        <v>301</v>
      </c>
      <c r="B686" s="90"/>
      <c r="C686" s="90"/>
      <c r="D686" s="93"/>
      <c r="E686" s="93"/>
      <c r="F686" s="88"/>
      <c r="G686" s="88"/>
      <c r="H686" s="89"/>
      <c r="I686" s="89"/>
      <c r="J686" s="89"/>
      <c r="K686" s="89"/>
      <c r="L686" s="90"/>
      <c r="M686" s="91"/>
      <c r="N686" s="92"/>
      <c r="O686" s="92"/>
      <c r="P686">
        <v>0</v>
      </c>
      <c r="Q686">
        <v>0</v>
      </c>
      <c r="R686">
        <v>0</v>
      </c>
      <c r="S686">
        <v>0</v>
      </c>
    </row>
    <row r="687" spans="1:19" x14ac:dyDescent="0.2">
      <c r="A687" t="s">
        <v>301</v>
      </c>
      <c r="B687" s="90"/>
      <c r="C687" s="90"/>
      <c r="D687" s="93"/>
      <c r="E687" s="93"/>
      <c r="F687" s="88"/>
      <c r="G687" s="88"/>
      <c r="H687" s="89"/>
      <c r="I687" s="89"/>
      <c r="J687" s="89"/>
      <c r="K687" s="89"/>
      <c r="L687" s="90"/>
      <c r="M687" s="91"/>
      <c r="N687" s="92"/>
      <c r="O687" s="92"/>
      <c r="P687">
        <v>0</v>
      </c>
      <c r="Q687">
        <v>0</v>
      </c>
      <c r="R687">
        <v>0</v>
      </c>
      <c r="S687">
        <v>0</v>
      </c>
    </row>
    <row r="688" spans="1:19" x14ac:dyDescent="0.2">
      <c r="A688" t="s">
        <v>301</v>
      </c>
      <c r="B688" s="90"/>
      <c r="C688" s="90"/>
      <c r="D688" s="93"/>
      <c r="E688" s="93"/>
      <c r="F688" s="88"/>
      <c r="G688" s="88"/>
      <c r="H688" s="89"/>
      <c r="I688" s="89"/>
      <c r="J688" s="89"/>
      <c r="K688" s="89"/>
      <c r="L688" s="90"/>
      <c r="M688" s="91"/>
      <c r="N688" s="92"/>
      <c r="O688" s="92"/>
      <c r="P688">
        <v>0</v>
      </c>
      <c r="Q688">
        <v>0</v>
      </c>
      <c r="R688">
        <v>0</v>
      </c>
      <c r="S688">
        <v>0</v>
      </c>
    </row>
    <row r="689" spans="1:19" x14ac:dyDescent="0.2">
      <c r="A689" t="s">
        <v>301</v>
      </c>
      <c r="B689" s="90"/>
      <c r="C689" s="90"/>
      <c r="D689" s="93"/>
      <c r="E689" s="93"/>
      <c r="F689" s="88"/>
      <c r="G689" s="88"/>
      <c r="H689" s="89"/>
      <c r="I689" s="89"/>
      <c r="J689" s="89"/>
      <c r="K689" s="89"/>
      <c r="L689" s="90"/>
      <c r="M689" s="91"/>
      <c r="N689" s="92"/>
      <c r="O689" s="92"/>
      <c r="P689">
        <v>0</v>
      </c>
      <c r="Q689">
        <v>0</v>
      </c>
      <c r="R689">
        <v>0</v>
      </c>
      <c r="S689">
        <v>0</v>
      </c>
    </row>
    <row r="690" spans="1:19" x14ac:dyDescent="0.2">
      <c r="A690" t="s">
        <v>301</v>
      </c>
      <c r="B690" s="90"/>
      <c r="C690" s="90"/>
      <c r="D690" s="93"/>
      <c r="E690" s="93"/>
      <c r="F690" s="88"/>
      <c r="G690" s="88"/>
      <c r="H690" s="89"/>
      <c r="I690" s="89"/>
      <c r="J690" s="89"/>
      <c r="K690" s="89"/>
      <c r="L690" s="90"/>
      <c r="M690" s="91"/>
      <c r="N690" s="92"/>
      <c r="O690" s="92"/>
      <c r="P690">
        <v>0</v>
      </c>
      <c r="Q690">
        <v>0</v>
      </c>
      <c r="R690">
        <v>1</v>
      </c>
      <c r="S690">
        <v>160</v>
      </c>
    </row>
    <row r="691" spans="1:19" x14ac:dyDescent="0.2">
      <c r="A691" t="s">
        <v>301</v>
      </c>
      <c r="B691" s="90"/>
      <c r="C691" s="90"/>
      <c r="D691" s="93"/>
      <c r="E691" s="93"/>
      <c r="F691" s="88"/>
      <c r="G691" s="88"/>
      <c r="H691" s="89"/>
      <c r="I691" s="89"/>
      <c r="J691" s="89"/>
      <c r="K691" s="89"/>
      <c r="L691" s="90"/>
      <c r="M691" s="91"/>
      <c r="N691" s="92"/>
      <c r="O691" s="92"/>
      <c r="P691">
        <v>0</v>
      </c>
      <c r="Q691">
        <v>0</v>
      </c>
      <c r="R691">
        <v>1</v>
      </c>
      <c r="S691">
        <v>160</v>
      </c>
    </row>
    <row r="692" spans="1:19" x14ac:dyDescent="0.2">
      <c r="A692" t="s">
        <v>301</v>
      </c>
      <c r="B692" s="90"/>
      <c r="C692" s="90"/>
      <c r="D692" s="93"/>
      <c r="E692" s="93"/>
      <c r="F692" s="88"/>
      <c r="G692" s="88"/>
      <c r="H692" s="89"/>
      <c r="I692" s="89"/>
      <c r="J692" s="89"/>
      <c r="K692" s="89"/>
      <c r="L692" s="90"/>
      <c r="M692" s="91"/>
      <c r="N692" s="92"/>
      <c r="O692" s="92"/>
      <c r="P692">
        <v>0</v>
      </c>
      <c r="Q692">
        <v>0</v>
      </c>
      <c r="R692">
        <v>1</v>
      </c>
      <c r="S692">
        <v>160</v>
      </c>
    </row>
    <row r="693" spans="1:19" x14ac:dyDescent="0.2">
      <c r="A693" t="s">
        <v>301</v>
      </c>
      <c r="B693" s="90"/>
      <c r="C693" s="90"/>
      <c r="D693" s="93"/>
      <c r="E693" s="93"/>
      <c r="F693" s="88"/>
      <c r="G693" s="88"/>
      <c r="H693" s="89"/>
      <c r="I693" s="89"/>
      <c r="J693" s="89"/>
      <c r="K693" s="89"/>
      <c r="L693" s="90"/>
      <c r="M693" s="91"/>
      <c r="N693" s="92"/>
      <c r="O693" s="92"/>
      <c r="P693">
        <v>2</v>
      </c>
      <c r="Q693">
        <v>90</v>
      </c>
      <c r="R693">
        <v>3</v>
      </c>
      <c r="S693">
        <v>250</v>
      </c>
    </row>
    <row r="694" spans="1:19" x14ac:dyDescent="0.2">
      <c r="A694" t="s">
        <v>301</v>
      </c>
      <c r="B694" s="90"/>
      <c r="C694" s="90"/>
      <c r="D694" s="93"/>
      <c r="E694" s="93"/>
      <c r="F694" s="88"/>
      <c r="G694" s="88"/>
      <c r="H694" s="89"/>
      <c r="I694" s="89"/>
      <c r="J694" s="89"/>
      <c r="K694" s="89"/>
      <c r="L694" s="90"/>
      <c r="M694" s="91"/>
      <c r="N694" s="92"/>
      <c r="O694" s="92"/>
      <c r="P694">
        <v>2</v>
      </c>
      <c r="Q694">
        <v>510</v>
      </c>
      <c r="R694">
        <v>5</v>
      </c>
      <c r="S694">
        <v>760</v>
      </c>
    </row>
    <row r="695" spans="1:19" x14ac:dyDescent="0.2">
      <c r="A695" t="s">
        <v>301</v>
      </c>
      <c r="B695" s="90"/>
      <c r="C695" s="90"/>
      <c r="D695" s="93"/>
      <c r="E695" s="93"/>
      <c r="F695" s="88"/>
      <c r="G695" s="88"/>
      <c r="H695" s="89"/>
      <c r="I695" s="89"/>
      <c r="J695" s="89"/>
      <c r="K695" s="89"/>
      <c r="L695" s="90"/>
      <c r="M695" s="91"/>
      <c r="N695" s="92"/>
      <c r="O695" s="92"/>
      <c r="P695">
        <v>0</v>
      </c>
      <c r="Q695">
        <v>0</v>
      </c>
      <c r="R695">
        <v>5</v>
      </c>
      <c r="S695">
        <v>760</v>
      </c>
    </row>
    <row r="696" spans="1:19" x14ac:dyDescent="0.2">
      <c r="A696" t="s">
        <v>301</v>
      </c>
      <c r="B696" s="90"/>
      <c r="C696" s="90"/>
      <c r="D696" s="93"/>
      <c r="E696" s="93"/>
      <c r="F696" s="88"/>
      <c r="G696" s="88"/>
      <c r="H696" s="89"/>
      <c r="I696" s="89"/>
      <c r="J696" s="89"/>
      <c r="K696" s="89"/>
      <c r="L696" s="90"/>
      <c r="M696" s="91"/>
      <c r="N696" s="92"/>
      <c r="O696" s="92"/>
      <c r="P696" s="86"/>
      <c r="Q696" s="86"/>
    </row>
    <row r="697" spans="1:19" x14ac:dyDescent="0.2">
      <c r="A697" t="s">
        <v>301</v>
      </c>
      <c r="B697" s="90"/>
      <c r="C697" s="90"/>
      <c r="D697" s="93"/>
      <c r="E697" s="93"/>
      <c r="F697" s="88"/>
      <c r="G697" s="88"/>
      <c r="H697" s="89"/>
      <c r="I697" s="89"/>
      <c r="J697" s="89"/>
      <c r="K697" s="89"/>
      <c r="L697" s="90"/>
      <c r="M697" s="91"/>
      <c r="N697" s="92"/>
      <c r="O697" s="92"/>
      <c r="P697" s="86"/>
      <c r="Q697" s="86"/>
    </row>
    <row r="698" spans="1:19" x14ac:dyDescent="0.2">
      <c r="A698" s="6" t="s">
        <v>42</v>
      </c>
      <c r="B698" s="90" t="s">
        <v>151</v>
      </c>
      <c r="C698" s="90">
        <v>1</v>
      </c>
      <c r="D698" s="93">
        <v>0</v>
      </c>
      <c r="E698" s="93">
        <v>0</v>
      </c>
      <c r="F698" s="88">
        <f>D698</f>
        <v>0</v>
      </c>
      <c r="G698" s="88">
        <f>E698</f>
        <v>0</v>
      </c>
      <c r="H698" s="89">
        <v>0</v>
      </c>
      <c r="I698" s="89">
        <v>0</v>
      </c>
      <c r="J698" s="89">
        <f>H698</f>
        <v>0</v>
      </c>
      <c r="K698" s="89">
        <f>I698</f>
        <v>0</v>
      </c>
      <c r="L698" s="90">
        <v>1</v>
      </c>
      <c r="M698" s="91">
        <v>240</v>
      </c>
      <c r="N698" s="92">
        <f>L698</f>
        <v>1</v>
      </c>
      <c r="O698" s="92">
        <f>M698</f>
        <v>240</v>
      </c>
      <c r="P698">
        <v>0</v>
      </c>
      <c r="Q698">
        <v>0</v>
      </c>
      <c r="R698">
        <v>0</v>
      </c>
      <c r="S698">
        <v>0</v>
      </c>
    </row>
    <row r="699" spans="1:19" x14ac:dyDescent="0.2">
      <c r="A699" s="6" t="s">
        <v>42</v>
      </c>
      <c r="B699" s="90" t="s">
        <v>152</v>
      </c>
      <c r="C699" s="90">
        <v>2</v>
      </c>
      <c r="D699" s="93">
        <v>1</v>
      </c>
      <c r="E699" s="93">
        <v>600</v>
      </c>
      <c r="F699" s="88">
        <f t="shared" ref="F699:G709" si="229">F698+D699</f>
        <v>1</v>
      </c>
      <c r="G699" s="88">
        <f t="shared" si="229"/>
        <v>600</v>
      </c>
      <c r="H699" s="89">
        <v>0</v>
      </c>
      <c r="I699" s="89">
        <v>0</v>
      </c>
      <c r="J699" s="89">
        <f t="shared" ref="J699:K709" si="230">J698+H699</f>
        <v>0</v>
      </c>
      <c r="K699" s="89">
        <f t="shared" si="230"/>
        <v>0</v>
      </c>
      <c r="L699" s="90">
        <v>0</v>
      </c>
      <c r="M699" s="91">
        <v>0</v>
      </c>
      <c r="N699" s="92">
        <f t="shared" ref="N699:N709" si="231">N698+L699</f>
        <v>1</v>
      </c>
      <c r="O699" s="92">
        <f t="shared" ref="O699:O709" si="232">O698+M699</f>
        <v>240</v>
      </c>
      <c r="P699">
        <v>1</v>
      </c>
      <c r="Q699">
        <v>600</v>
      </c>
      <c r="R699">
        <v>1</v>
      </c>
      <c r="S699">
        <v>600</v>
      </c>
    </row>
    <row r="700" spans="1:19" x14ac:dyDescent="0.2">
      <c r="A700" s="6" t="s">
        <v>42</v>
      </c>
      <c r="B700" s="90" t="s">
        <v>153</v>
      </c>
      <c r="C700" s="90">
        <v>3</v>
      </c>
      <c r="D700" s="93">
        <v>1</v>
      </c>
      <c r="E700" s="93">
        <v>2100</v>
      </c>
      <c r="F700" s="88">
        <f t="shared" si="229"/>
        <v>2</v>
      </c>
      <c r="G700" s="88">
        <f t="shared" si="229"/>
        <v>2700</v>
      </c>
      <c r="H700" s="89">
        <v>0</v>
      </c>
      <c r="I700" s="89">
        <v>0</v>
      </c>
      <c r="J700" s="89">
        <f t="shared" si="230"/>
        <v>0</v>
      </c>
      <c r="K700" s="89">
        <f t="shared" si="230"/>
        <v>0</v>
      </c>
      <c r="L700" s="90">
        <v>1</v>
      </c>
      <c r="M700" s="91">
        <v>755</v>
      </c>
      <c r="N700" s="92">
        <f t="shared" si="231"/>
        <v>2</v>
      </c>
      <c r="O700" s="92">
        <f t="shared" si="232"/>
        <v>995</v>
      </c>
      <c r="P700">
        <v>0</v>
      </c>
      <c r="Q700">
        <v>0</v>
      </c>
      <c r="R700">
        <v>1</v>
      </c>
      <c r="S700">
        <v>600</v>
      </c>
    </row>
    <row r="701" spans="1:19" x14ac:dyDescent="0.2">
      <c r="A701" s="6" t="s">
        <v>42</v>
      </c>
      <c r="B701" s="90" t="s">
        <v>154</v>
      </c>
      <c r="C701" s="90">
        <v>4</v>
      </c>
      <c r="D701" s="93">
        <v>0</v>
      </c>
      <c r="E701" s="93">
        <v>0</v>
      </c>
      <c r="F701" s="88">
        <f t="shared" si="229"/>
        <v>2</v>
      </c>
      <c r="G701" s="88">
        <f t="shared" si="229"/>
        <v>2700</v>
      </c>
      <c r="H701" s="89">
        <v>0</v>
      </c>
      <c r="I701" s="89">
        <v>0</v>
      </c>
      <c r="J701" s="89">
        <f t="shared" si="230"/>
        <v>0</v>
      </c>
      <c r="K701" s="89">
        <f t="shared" si="230"/>
        <v>0</v>
      </c>
      <c r="L701" s="90">
        <v>0</v>
      </c>
      <c r="M701" s="91">
        <v>0</v>
      </c>
      <c r="N701" s="92">
        <f t="shared" si="231"/>
        <v>2</v>
      </c>
      <c r="O701" s="92">
        <f t="shared" si="232"/>
        <v>995</v>
      </c>
      <c r="P701">
        <v>0</v>
      </c>
      <c r="Q701">
        <v>0</v>
      </c>
      <c r="R701">
        <v>1</v>
      </c>
      <c r="S701">
        <v>600</v>
      </c>
    </row>
    <row r="702" spans="1:19" x14ac:dyDescent="0.2">
      <c r="A702" s="6" t="s">
        <v>42</v>
      </c>
      <c r="B702" s="90" t="s">
        <v>155</v>
      </c>
      <c r="C702" s="90">
        <v>5</v>
      </c>
      <c r="D702" s="93">
        <v>1</v>
      </c>
      <c r="E702" s="93">
        <v>2100</v>
      </c>
      <c r="F702" s="88">
        <f t="shared" si="229"/>
        <v>3</v>
      </c>
      <c r="G702" s="88">
        <f t="shared" si="229"/>
        <v>4800</v>
      </c>
      <c r="H702" s="89">
        <v>6</v>
      </c>
      <c r="I702" s="89">
        <v>95.4</v>
      </c>
      <c r="J702" s="89">
        <f t="shared" si="230"/>
        <v>6</v>
      </c>
      <c r="K702" s="89">
        <f t="shared" si="230"/>
        <v>95.4</v>
      </c>
      <c r="L702" s="90">
        <v>7</v>
      </c>
      <c r="M702" s="91">
        <v>1225</v>
      </c>
      <c r="N702" s="92">
        <f t="shared" si="231"/>
        <v>9</v>
      </c>
      <c r="O702" s="92">
        <f t="shared" si="232"/>
        <v>2220</v>
      </c>
      <c r="P702">
        <v>1</v>
      </c>
      <c r="Q702">
        <v>283.5</v>
      </c>
      <c r="R702">
        <v>2</v>
      </c>
      <c r="S702">
        <v>883.5</v>
      </c>
    </row>
    <row r="703" spans="1:19" x14ac:dyDescent="0.2">
      <c r="A703" s="6" t="s">
        <v>42</v>
      </c>
      <c r="B703" s="90" t="s">
        <v>156</v>
      </c>
      <c r="C703" s="90">
        <v>6</v>
      </c>
      <c r="D703" s="93">
        <v>0</v>
      </c>
      <c r="E703" s="93">
        <v>0</v>
      </c>
      <c r="F703" s="88">
        <f t="shared" si="229"/>
        <v>3</v>
      </c>
      <c r="G703" s="88">
        <f t="shared" si="229"/>
        <v>4800</v>
      </c>
      <c r="H703" s="89">
        <v>8</v>
      </c>
      <c r="I703" s="89">
        <v>3290</v>
      </c>
      <c r="J703" s="89">
        <f t="shared" si="230"/>
        <v>14</v>
      </c>
      <c r="K703" s="89">
        <f t="shared" si="230"/>
        <v>3385.4</v>
      </c>
      <c r="L703" s="90">
        <v>1</v>
      </c>
      <c r="M703" s="91">
        <v>75</v>
      </c>
      <c r="N703" s="92">
        <f t="shared" si="231"/>
        <v>10</v>
      </c>
      <c r="O703" s="92">
        <f t="shared" si="232"/>
        <v>2295</v>
      </c>
      <c r="P703">
        <v>0</v>
      </c>
      <c r="Q703">
        <v>0</v>
      </c>
      <c r="R703">
        <v>2</v>
      </c>
      <c r="S703">
        <v>883.5</v>
      </c>
    </row>
    <row r="704" spans="1:19" x14ac:dyDescent="0.2">
      <c r="A704" s="6" t="s">
        <v>42</v>
      </c>
      <c r="B704" s="90" t="s">
        <v>157</v>
      </c>
      <c r="C704" s="90">
        <v>7</v>
      </c>
      <c r="D704" s="93">
        <v>0</v>
      </c>
      <c r="E704" s="93">
        <v>0</v>
      </c>
      <c r="F704" s="88">
        <f t="shared" si="229"/>
        <v>3</v>
      </c>
      <c r="G704" s="88">
        <f t="shared" si="229"/>
        <v>4800</v>
      </c>
      <c r="H704" s="89">
        <v>0</v>
      </c>
      <c r="I704" s="89">
        <v>0</v>
      </c>
      <c r="J704" s="89">
        <f t="shared" si="230"/>
        <v>14</v>
      </c>
      <c r="K704" s="89">
        <f t="shared" si="230"/>
        <v>3385.4</v>
      </c>
      <c r="L704" s="90">
        <v>3</v>
      </c>
      <c r="M704" s="91">
        <v>6901.5</v>
      </c>
      <c r="N704" s="92">
        <f t="shared" si="231"/>
        <v>13</v>
      </c>
      <c r="O704" s="92">
        <f t="shared" si="232"/>
        <v>9196.5</v>
      </c>
      <c r="P704">
        <v>1</v>
      </c>
      <c r="Q704">
        <v>150</v>
      </c>
      <c r="R704">
        <v>3</v>
      </c>
      <c r="S704">
        <v>1033.5</v>
      </c>
    </row>
    <row r="705" spans="1:19" x14ac:dyDescent="0.2">
      <c r="A705" s="6" t="s">
        <v>42</v>
      </c>
      <c r="B705" s="90" t="s">
        <v>158</v>
      </c>
      <c r="C705" s="90">
        <v>8</v>
      </c>
      <c r="D705" s="93">
        <v>0</v>
      </c>
      <c r="E705" s="93">
        <v>0</v>
      </c>
      <c r="F705" s="88">
        <f t="shared" si="229"/>
        <v>3</v>
      </c>
      <c r="G705" s="88">
        <f t="shared" si="229"/>
        <v>4800</v>
      </c>
      <c r="H705" s="89">
        <v>2</v>
      </c>
      <c r="I705" s="89">
        <v>620</v>
      </c>
      <c r="J705" s="89">
        <f t="shared" si="230"/>
        <v>16</v>
      </c>
      <c r="K705" s="89">
        <f t="shared" si="230"/>
        <v>4005.4</v>
      </c>
      <c r="L705" s="90">
        <v>0</v>
      </c>
      <c r="M705" s="91">
        <v>0</v>
      </c>
      <c r="N705" s="92">
        <f t="shared" si="231"/>
        <v>13</v>
      </c>
      <c r="O705" s="92">
        <f t="shared" si="232"/>
        <v>9196.5</v>
      </c>
      <c r="P705">
        <v>1</v>
      </c>
      <c r="Q705">
        <v>100</v>
      </c>
      <c r="R705">
        <v>4</v>
      </c>
      <c r="S705">
        <v>1133.5</v>
      </c>
    </row>
    <row r="706" spans="1:19" x14ac:dyDescent="0.2">
      <c r="A706" s="6" t="s">
        <v>42</v>
      </c>
      <c r="B706" s="90" t="s">
        <v>159</v>
      </c>
      <c r="C706" s="90">
        <v>9</v>
      </c>
      <c r="D706" s="93">
        <v>0</v>
      </c>
      <c r="E706" s="93">
        <v>0</v>
      </c>
      <c r="F706" s="88">
        <f t="shared" si="229"/>
        <v>3</v>
      </c>
      <c r="G706" s="88">
        <f t="shared" si="229"/>
        <v>4800</v>
      </c>
      <c r="H706" s="89">
        <v>0</v>
      </c>
      <c r="I706" s="89">
        <v>0</v>
      </c>
      <c r="J706" s="89">
        <f t="shared" si="230"/>
        <v>16</v>
      </c>
      <c r="K706" s="89">
        <f t="shared" si="230"/>
        <v>4005.4</v>
      </c>
      <c r="L706" s="90">
        <v>2</v>
      </c>
      <c r="M706" s="91">
        <v>60</v>
      </c>
      <c r="N706" s="92">
        <f t="shared" si="231"/>
        <v>15</v>
      </c>
      <c r="O706" s="92">
        <f t="shared" si="232"/>
        <v>9256.5</v>
      </c>
      <c r="P706">
        <v>2</v>
      </c>
      <c r="Q706">
        <v>165</v>
      </c>
      <c r="R706">
        <v>6</v>
      </c>
      <c r="S706">
        <v>1298.5</v>
      </c>
    </row>
    <row r="707" spans="1:19" x14ac:dyDescent="0.2">
      <c r="A707" s="6" t="s">
        <v>42</v>
      </c>
      <c r="B707" s="90" t="s">
        <v>160</v>
      </c>
      <c r="C707" s="90">
        <v>10</v>
      </c>
      <c r="D707" s="93">
        <v>16</v>
      </c>
      <c r="E707" s="88">
        <v>9200</v>
      </c>
      <c r="F707" s="88">
        <f t="shared" si="229"/>
        <v>19</v>
      </c>
      <c r="G707" s="88">
        <f t="shared" si="229"/>
        <v>14000</v>
      </c>
      <c r="H707" s="89">
        <v>5</v>
      </c>
      <c r="I707" s="89">
        <v>2450</v>
      </c>
      <c r="J707" s="89">
        <f t="shared" si="230"/>
        <v>21</v>
      </c>
      <c r="K707" s="89">
        <f t="shared" si="230"/>
        <v>6455.4</v>
      </c>
      <c r="L707" s="90">
        <v>0</v>
      </c>
      <c r="M707" s="91">
        <v>0</v>
      </c>
      <c r="N707" s="92">
        <f t="shared" si="231"/>
        <v>15</v>
      </c>
      <c r="O707" s="92">
        <f t="shared" si="232"/>
        <v>9256.5</v>
      </c>
      <c r="P707">
        <v>0</v>
      </c>
      <c r="Q707">
        <v>0</v>
      </c>
      <c r="R707">
        <v>6</v>
      </c>
      <c r="S707">
        <v>1298.5</v>
      </c>
    </row>
    <row r="708" spans="1:19" x14ac:dyDescent="0.2">
      <c r="A708" s="6" t="s">
        <v>42</v>
      </c>
      <c r="B708" s="90" t="s">
        <v>161</v>
      </c>
      <c r="C708" s="90">
        <v>11</v>
      </c>
      <c r="D708" s="93">
        <v>0</v>
      </c>
      <c r="E708" s="93">
        <v>0</v>
      </c>
      <c r="F708" s="88">
        <f t="shared" si="229"/>
        <v>19</v>
      </c>
      <c r="G708" s="88">
        <f t="shared" si="229"/>
        <v>14000</v>
      </c>
      <c r="H708" s="89">
        <v>7</v>
      </c>
      <c r="I708" s="89">
        <v>1805</v>
      </c>
      <c r="J708" s="89">
        <f t="shared" si="230"/>
        <v>28</v>
      </c>
      <c r="K708" s="89">
        <f t="shared" si="230"/>
        <v>8260.4</v>
      </c>
      <c r="L708" s="90">
        <v>1</v>
      </c>
      <c r="M708" s="91">
        <v>4500</v>
      </c>
      <c r="N708" s="92">
        <f t="shared" si="231"/>
        <v>16</v>
      </c>
      <c r="O708" s="92">
        <f t="shared" si="232"/>
        <v>13756.5</v>
      </c>
      <c r="P708" s="86"/>
      <c r="Q708" s="86">
        <v>0</v>
      </c>
    </row>
    <row r="709" spans="1:19" x14ac:dyDescent="0.2">
      <c r="A709" s="6" t="s">
        <v>42</v>
      </c>
      <c r="B709" s="90" t="s">
        <v>162</v>
      </c>
      <c r="C709" s="90">
        <v>12</v>
      </c>
      <c r="D709" s="93">
        <v>0</v>
      </c>
      <c r="E709" s="93">
        <v>0</v>
      </c>
      <c r="F709" s="88">
        <f t="shared" si="229"/>
        <v>19</v>
      </c>
      <c r="G709" s="88">
        <f t="shared" si="229"/>
        <v>14000</v>
      </c>
      <c r="H709" s="89">
        <v>4</v>
      </c>
      <c r="I709" s="89">
        <v>2277</v>
      </c>
      <c r="J709" s="89">
        <f t="shared" si="230"/>
        <v>32</v>
      </c>
      <c r="K709" s="89">
        <f t="shared" si="230"/>
        <v>10537.4</v>
      </c>
      <c r="L709" s="90">
        <v>0</v>
      </c>
      <c r="M709" s="91">
        <v>0</v>
      </c>
      <c r="N709" s="92">
        <f t="shared" si="231"/>
        <v>16</v>
      </c>
      <c r="O709" s="92">
        <f t="shared" si="232"/>
        <v>13756.5</v>
      </c>
      <c r="P709" s="86"/>
      <c r="Q709" s="86">
        <v>0</v>
      </c>
    </row>
    <row r="710" spans="1:19" x14ac:dyDescent="0.2">
      <c r="A710" s="6" t="s">
        <v>108</v>
      </c>
      <c r="B710" s="90" t="s">
        <v>151</v>
      </c>
      <c r="C710" s="90">
        <v>1</v>
      </c>
      <c r="D710" s="93">
        <v>0</v>
      </c>
      <c r="E710" s="93">
        <v>0</v>
      </c>
      <c r="F710" s="88">
        <f>D710</f>
        <v>0</v>
      </c>
      <c r="G710" s="88">
        <f>E710</f>
        <v>0</v>
      </c>
      <c r="H710" s="89">
        <v>0</v>
      </c>
      <c r="I710" s="89">
        <v>0</v>
      </c>
      <c r="J710" s="89">
        <f>H710</f>
        <v>0</v>
      </c>
      <c r="K710" s="89">
        <f>I710</f>
        <v>0</v>
      </c>
      <c r="L710" s="90">
        <v>1</v>
      </c>
      <c r="M710" s="91">
        <v>5000</v>
      </c>
      <c r="N710" s="92">
        <f>L710</f>
        <v>1</v>
      </c>
      <c r="O710" s="92">
        <f>M710</f>
        <v>5000</v>
      </c>
      <c r="P710">
        <v>0</v>
      </c>
      <c r="Q710">
        <v>0</v>
      </c>
      <c r="R710">
        <v>0</v>
      </c>
      <c r="S710">
        <v>0</v>
      </c>
    </row>
    <row r="711" spans="1:19" x14ac:dyDescent="0.2">
      <c r="A711" s="6" t="s">
        <v>108</v>
      </c>
      <c r="B711" s="90" t="s">
        <v>152</v>
      </c>
      <c r="C711" s="90">
        <v>2</v>
      </c>
      <c r="D711" s="93">
        <v>0</v>
      </c>
      <c r="E711" s="93">
        <v>0</v>
      </c>
      <c r="F711" s="88">
        <f t="shared" ref="F711:G721" si="233">F710+D711</f>
        <v>0</v>
      </c>
      <c r="G711" s="88">
        <f t="shared" si="233"/>
        <v>0</v>
      </c>
      <c r="H711" s="89">
        <v>0</v>
      </c>
      <c r="I711" s="89">
        <v>0</v>
      </c>
      <c r="J711" s="89">
        <f t="shared" ref="J711:K721" si="234">J710+H711</f>
        <v>0</v>
      </c>
      <c r="K711" s="89">
        <f t="shared" si="234"/>
        <v>0</v>
      </c>
      <c r="L711" s="90">
        <v>0</v>
      </c>
      <c r="M711" s="91">
        <v>0</v>
      </c>
      <c r="N711" s="92">
        <f t="shared" ref="N711:N721" si="235">N710+L711</f>
        <v>1</v>
      </c>
      <c r="O711" s="92">
        <f t="shared" ref="O711:O721" si="236">O710+M711</f>
        <v>5000</v>
      </c>
      <c r="P711">
        <v>0</v>
      </c>
      <c r="Q711">
        <v>0</v>
      </c>
      <c r="R711">
        <v>0</v>
      </c>
      <c r="S711">
        <v>0</v>
      </c>
    </row>
    <row r="712" spans="1:19" x14ac:dyDescent="0.2">
      <c r="A712" s="6" t="s">
        <v>108</v>
      </c>
      <c r="B712" s="90" t="s">
        <v>153</v>
      </c>
      <c r="C712" s="90">
        <v>3</v>
      </c>
      <c r="D712" s="93">
        <v>1</v>
      </c>
      <c r="E712" s="93">
        <v>200</v>
      </c>
      <c r="F712" s="88">
        <f t="shared" si="233"/>
        <v>1</v>
      </c>
      <c r="G712" s="88">
        <f t="shared" si="233"/>
        <v>200</v>
      </c>
      <c r="H712" s="89">
        <v>0</v>
      </c>
      <c r="I712" s="89">
        <v>0</v>
      </c>
      <c r="J712" s="89">
        <f t="shared" si="234"/>
        <v>0</v>
      </c>
      <c r="K712" s="89">
        <f t="shared" si="234"/>
        <v>0</v>
      </c>
      <c r="L712" s="90">
        <v>0</v>
      </c>
      <c r="M712" s="91">
        <v>0</v>
      </c>
      <c r="N712" s="92">
        <f t="shared" si="235"/>
        <v>1</v>
      </c>
      <c r="O712" s="92">
        <f t="shared" si="236"/>
        <v>5000</v>
      </c>
      <c r="P712">
        <v>0</v>
      </c>
      <c r="Q712">
        <v>0</v>
      </c>
      <c r="R712">
        <v>0</v>
      </c>
      <c r="S712">
        <v>0</v>
      </c>
    </row>
    <row r="713" spans="1:19" x14ac:dyDescent="0.2">
      <c r="A713" s="6" t="s">
        <v>108</v>
      </c>
      <c r="B713" s="90" t="s">
        <v>154</v>
      </c>
      <c r="C713" s="90">
        <v>4</v>
      </c>
      <c r="D713" s="93">
        <v>0</v>
      </c>
      <c r="E713" s="93">
        <v>0</v>
      </c>
      <c r="F713" s="88">
        <f t="shared" si="233"/>
        <v>1</v>
      </c>
      <c r="G713" s="88">
        <f t="shared" si="233"/>
        <v>200</v>
      </c>
      <c r="H713" s="89">
        <v>0</v>
      </c>
      <c r="I713" s="89">
        <v>0</v>
      </c>
      <c r="J713" s="89">
        <f t="shared" si="234"/>
        <v>0</v>
      </c>
      <c r="K713" s="89">
        <f t="shared" si="234"/>
        <v>0</v>
      </c>
      <c r="L713" s="90">
        <v>0</v>
      </c>
      <c r="M713" s="91">
        <v>0</v>
      </c>
      <c r="N713" s="92">
        <f t="shared" si="235"/>
        <v>1</v>
      </c>
      <c r="O713" s="92">
        <f t="shared" si="236"/>
        <v>5000</v>
      </c>
      <c r="P713">
        <v>0</v>
      </c>
      <c r="Q713">
        <v>0</v>
      </c>
      <c r="R713">
        <v>0</v>
      </c>
      <c r="S713">
        <v>0</v>
      </c>
    </row>
    <row r="714" spans="1:19" x14ac:dyDescent="0.2">
      <c r="A714" s="6" t="s">
        <v>108</v>
      </c>
      <c r="B714" s="90" t="s">
        <v>155</v>
      </c>
      <c r="C714" s="90">
        <v>5</v>
      </c>
      <c r="D714" s="93">
        <v>0</v>
      </c>
      <c r="E714" s="93">
        <v>0</v>
      </c>
      <c r="F714" s="88">
        <f t="shared" si="233"/>
        <v>1</v>
      </c>
      <c r="G714" s="88">
        <f t="shared" si="233"/>
        <v>200</v>
      </c>
      <c r="H714" s="89">
        <v>1</v>
      </c>
      <c r="I714" s="89">
        <v>750</v>
      </c>
      <c r="J714" s="89">
        <f t="shared" si="234"/>
        <v>1</v>
      </c>
      <c r="K714" s="89">
        <f t="shared" si="234"/>
        <v>750</v>
      </c>
      <c r="L714" s="90">
        <v>0</v>
      </c>
      <c r="M714" s="91">
        <v>0</v>
      </c>
      <c r="N714" s="92">
        <f t="shared" si="235"/>
        <v>1</v>
      </c>
      <c r="O714" s="92">
        <f t="shared" si="236"/>
        <v>5000</v>
      </c>
      <c r="P714">
        <v>0</v>
      </c>
      <c r="Q714">
        <v>0</v>
      </c>
      <c r="R714">
        <v>0</v>
      </c>
      <c r="S714">
        <v>0</v>
      </c>
    </row>
    <row r="715" spans="1:19" x14ac:dyDescent="0.2">
      <c r="A715" s="6" t="s">
        <v>108</v>
      </c>
      <c r="B715" s="90" t="s">
        <v>156</v>
      </c>
      <c r="C715" s="90">
        <v>6</v>
      </c>
      <c r="D715" s="93">
        <v>1</v>
      </c>
      <c r="E715" s="93">
        <v>750</v>
      </c>
      <c r="F715" s="88">
        <f t="shared" si="233"/>
        <v>2</v>
      </c>
      <c r="G715" s="88">
        <f t="shared" si="233"/>
        <v>950</v>
      </c>
      <c r="H715" s="89">
        <v>0</v>
      </c>
      <c r="I715" s="89">
        <v>0</v>
      </c>
      <c r="J715" s="89">
        <f t="shared" si="234"/>
        <v>1</v>
      </c>
      <c r="K715" s="89">
        <f t="shared" si="234"/>
        <v>750</v>
      </c>
      <c r="L715" s="90">
        <v>0</v>
      </c>
      <c r="M715" s="91">
        <v>0</v>
      </c>
      <c r="N715" s="92">
        <f t="shared" si="235"/>
        <v>1</v>
      </c>
      <c r="O715" s="92">
        <f t="shared" si="236"/>
        <v>5000</v>
      </c>
      <c r="P715">
        <v>0</v>
      </c>
      <c r="Q715">
        <v>0</v>
      </c>
      <c r="R715">
        <v>0</v>
      </c>
      <c r="S715">
        <v>0</v>
      </c>
    </row>
    <row r="716" spans="1:19" x14ac:dyDescent="0.2">
      <c r="A716" s="6" t="s">
        <v>108</v>
      </c>
      <c r="B716" s="90" t="s">
        <v>157</v>
      </c>
      <c r="C716" s="90">
        <v>7</v>
      </c>
      <c r="D716" s="93">
        <v>1</v>
      </c>
      <c r="E716" s="93">
        <v>750</v>
      </c>
      <c r="F716" s="88">
        <f t="shared" si="233"/>
        <v>3</v>
      </c>
      <c r="G716" s="88">
        <f t="shared" si="233"/>
        <v>1700</v>
      </c>
      <c r="H716" s="89">
        <v>0</v>
      </c>
      <c r="I716" s="89">
        <v>0</v>
      </c>
      <c r="J716" s="89">
        <f t="shared" si="234"/>
        <v>1</v>
      </c>
      <c r="K716" s="89">
        <f t="shared" si="234"/>
        <v>750</v>
      </c>
      <c r="L716" s="90">
        <v>2</v>
      </c>
      <c r="M716" s="91">
        <v>2400</v>
      </c>
      <c r="N716" s="92">
        <f t="shared" si="235"/>
        <v>3</v>
      </c>
      <c r="O716" s="92">
        <f t="shared" si="236"/>
        <v>7400</v>
      </c>
      <c r="P716">
        <v>0</v>
      </c>
      <c r="Q716">
        <v>0</v>
      </c>
      <c r="R716">
        <v>0</v>
      </c>
      <c r="S716">
        <v>0</v>
      </c>
    </row>
    <row r="717" spans="1:19" x14ac:dyDescent="0.2">
      <c r="A717" s="6" t="s">
        <v>108</v>
      </c>
      <c r="B717" s="90" t="s">
        <v>158</v>
      </c>
      <c r="C717" s="90">
        <v>8</v>
      </c>
      <c r="D717" s="93">
        <v>1</v>
      </c>
      <c r="E717" s="93">
        <v>1600</v>
      </c>
      <c r="F717" s="88">
        <f t="shared" si="233"/>
        <v>4</v>
      </c>
      <c r="G717" s="88">
        <f t="shared" si="233"/>
        <v>3300</v>
      </c>
      <c r="H717" s="89">
        <v>0</v>
      </c>
      <c r="I717" s="89">
        <v>0</v>
      </c>
      <c r="J717" s="89">
        <f t="shared" si="234"/>
        <v>1</v>
      </c>
      <c r="K717" s="89">
        <f t="shared" si="234"/>
        <v>750</v>
      </c>
      <c r="L717" s="90">
        <v>0</v>
      </c>
      <c r="M717" s="91">
        <v>0</v>
      </c>
      <c r="N717" s="92">
        <f t="shared" si="235"/>
        <v>3</v>
      </c>
      <c r="O717" s="92">
        <f t="shared" si="236"/>
        <v>7400</v>
      </c>
      <c r="P717">
        <v>0</v>
      </c>
      <c r="Q717">
        <v>0</v>
      </c>
      <c r="R717">
        <v>0</v>
      </c>
      <c r="S717">
        <v>0</v>
      </c>
    </row>
    <row r="718" spans="1:19" x14ac:dyDescent="0.2">
      <c r="A718" s="6" t="s">
        <v>108</v>
      </c>
      <c r="B718" s="90" t="s">
        <v>159</v>
      </c>
      <c r="C718" s="90">
        <v>9</v>
      </c>
      <c r="D718" s="93">
        <v>0</v>
      </c>
      <c r="E718" s="93">
        <v>0</v>
      </c>
      <c r="F718" s="88">
        <f t="shared" si="233"/>
        <v>4</v>
      </c>
      <c r="G718" s="88">
        <f t="shared" si="233"/>
        <v>3300</v>
      </c>
      <c r="H718" s="89">
        <v>0</v>
      </c>
      <c r="I718" s="89">
        <v>0</v>
      </c>
      <c r="J718" s="89">
        <f t="shared" si="234"/>
        <v>1</v>
      </c>
      <c r="K718" s="89">
        <f t="shared" si="234"/>
        <v>750</v>
      </c>
      <c r="L718" s="90">
        <v>1</v>
      </c>
      <c r="M718" s="91">
        <v>750</v>
      </c>
      <c r="N718" s="92">
        <f t="shared" si="235"/>
        <v>4</v>
      </c>
      <c r="O718" s="92">
        <f t="shared" si="236"/>
        <v>8150</v>
      </c>
      <c r="P718">
        <v>0</v>
      </c>
      <c r="Q718">
        <v>0</v>
      </c>
      <c r="R718">
        <v>0</v>
      </c>
      <c r="S718">
        <v>0</v>
      </c>
    </row>
    <row r="719" spans="1:19" x14ac:dyDescent="0.2">
      <c r="A719" s="6" t="s">
        <v>108</v>
      </c>
      <c r="B719" s="90" t="s">
        <v>160</v>
      </c>
      <c r="C719" s="90">
        <v>10</v>
      </c>
      <c r="D719" s="93">
        <v>1</v>
      </c>
      <c r="E719" s="93">
        <v>1950</v>
      </c>
      <c r="F719" s="88">
        <f t="shared" si="233"/>
        <v>5</v>
      </c>
      <c r="G719" s="88">
        <f t="shared" si="233"/>
        <v>5250</v>
      </c>
      <c r="H719" s="89">
        <v>3</v>
      </c>
      <c r="I719" s="89">
        <v>6550</v>
      </c>
      <c r="J719" s="89">
        <f t="shared" si="234"/>
        <v>4</v>
      </c>
      <c r="K719" s="89">
        <f t="shared" si="234"/>
        <v>7300</v>
      </c>
      <c r="L719" s="90">
        <v>0</v>
      </c>
      <c r="M719" s="91">
        <v>0</v>
      </c>
      <c r="N719" s="92">
        <f t="shared" si="235"/>
        <v>4</v>
      </c>
      <c r="O719" s="92">
        <f t="shared" si="236"/>
        <v>8150</v>
      </c>
      <c r="P719">
        <v>0</v>
      </c>
      <c r="Q719">
        <v>0</v>
      </c>
      <c r="R719">
        <v>0</v>
      </c>
      <c r="S719">
        <v>0</v>
      </c>
    </row>
    <row r="720" spans="1:19" x14ac:dyDescent="0.2">
      <c r="A720" s="6" t="s">
        <v>108</v>
      </c>
      <c r="B720" s="90" t="s">
        <v>161</v>
      </c>
      <c r="C720" s="90">
        <v>11</v>
      </c>
      <c r="D720" s="93">
        <v>0</v>
      </c>
      <c r="E720" s="93">
        <v>0</v>
      </c>
      <c r="F720" s="88">
        <f t="shared" si="233"/>
        <v>5</v>
      </c>
      <c r="G720" s="88">
        <f t="shared" si="233"/>
        <v>5250</v>
      </c>
      <c r="H720" s="89">
        <v>3</v>
      </c>
      <c r="I720" s="89">
        <v>390</v>
      </c>
      <c r="J720" s="89">
        <f t="shared" si="234"/>
        <v>7</v>
      </c>
      <c r="K720" s="89">
        <f t="shared" si="234"/>
        <v>7690</v>
      </c>
      <c r="L720" s="90">
        <v>9</v>
      </c>
      <c r="M720" s="91">
        <v>14800</v>
      </c>
      <c r="N720" s="92">
        <f t="shared" si="235"/>
        <v>13</v>
      </c>
      <c r="O720" s="92">
        <f t="shared" si="236"/>
        <v>22950</v>
      </c>
      <c r="P720" s="86"/>
      <c r="Q720" s="86">
        <v>0</v>
      </c>
    </row>
    <row r="721" spans="1:19" x14ac:dyDescent="0.2">
      <c r="A721" s="6" t="s">
        <v>108</v>
      </c>
      <c r="B721" s="90" t="s">
        <v>162</v>
      </c>
      <c r="C721" s="90">
        <v>12</v>
      </c>
      <c r="D721" s="93">
        <v>0</v>
      </c>
      <c r="E721" s="93">
        <v>0</v>
      </c>
      <c r="F721" s="88">
        <f t="shared" si="233"/>
        <v>5</v>
      </c>
      <c r="G721" s="88">
        <f t="shared" si="233"/>
        <v>5250</v>
      </c>
      <c r="H721" s="89">
        <v>0</v>
      </c>
      <c r="I721" s="89">
        <v>0</v>
      </c>
      <c r="J721" s="89">
        <f t="shared" si="234"/>
        <v>7</v>
      </c>
      <c r="K721" s="89">
        <f t="shared" si="234"/>
        <v>7690</v>
      </c>
      <c r="L721" s="90">
        <v>0</v>
      </c>
      <c r="M721" s="91">
        <v>0</v>
      </c>
      <c r="N721" s="92">
        <f t="shared" si="235"/>
        <v>13</v>
      </c>
      <c r="O721" s="92">
        <f t="shared" si="236"/>
        <v>22950</v>
      </c>
      <c r="P721" s="86"/>
      <c r="Q721" s="86">
        <v>0</v>
      </c>
    </row>
    <row r="722" spans="1:19" x14ac:dyDescent="0.2">
      <c r="A722" s="6" t="s">
        <v>129</v>
      </c>
      <c r="B722" s="90" t="s">
        <v>151</v>
      </c>
      <c r="C722" s="90">
        <v>1</v>
      </c>
      <c r="D722" s="93">
        <v>0</v>
      </c>
      <c r="E722" s="93">
        <v>0</v>
      </c>
      <c r="F722" s="88">
        <f>D722</f>
        <v>0</v>
      </c>
      <c r="G722" s="88">
        <f>E722</f>
        <v>0</v>
      </c>
      <c r="H722" s="88">
        <v>0</v>
      </c>
      <c r="I722" s="88">
        <v>0</v>
      </c>
      <c r="J722" s="88">
        <f>H722</f>
        <v>0</v>
      </c>
      <c r="K722" s="88">
        <f>I722</f>
        <v>0</v>
      </c>
      <c r="L722" s="90">
        <v>0</v>
      </c>
      <c r="M722" s="91">
        <v>0</v>
      </c>
      <c r="N722" s="92">
        <f>L722</f>
        <v>0</v>
      </c>
      <c r="O722" s="92">
        <f>M722</f>
        <v>0</v>
      </c>
      <c r="P722">
        <v>0</v>
      </c>
      <c r="Q722" s="86">
        <v>0</v>
      </c>
      <c r="R722">
        <v>0</v>
      </c>
      <c r="S722">
        <v>0</v>
      </c>
    </row>
    <row r="723" spans="1:19" x14ac:dyDescent="0.2">
      <c r="A723" s="6" t="s">
        <v>129</v>
      </c>
      <c r="B723" s="90" t="s">
        <v>152</v>
      </c>
      <c r="C723" s="90">
        <v>2</v>
      </c>
      <c r="D723" s="93">
        <v>0</v>
      </c>
      <c r="E723" s="93">
        <v>0</v>
      </c>
      <c r="F723" s="88">
        <f t="shared" ref="F723:F733" si="237">F722+D723</f>
        <v>0</v>
      </c>
      <c r="G723" s="88">
        <f t="shared" ref="G723:G733" si="238">G722+E723</f>
        <v>0</v>
      </c>
      <c r="H723" s="88">
        <v>0</v>
      </c>
      <c r="I723" s="88">
        <v>0</v>
      </c>
      <c r="J723" s="88">
        <f t="shared" ref="J723:J733" si="239">J722+H723</f>
        <v>0</v>
      </c>
      <c r="K723" s="88">
        <f t="shared" ref="K723:K733" si="240">K722+I723</f>
        <v>0</v>
      </c>
      <c r="L723" s="90">
        <v>0</v>
      </c>
      <c r="M723" s="91">
        <v>0</v>
      </c>
      <c r="N723" s="92">
        <f t="shared" ref="N723:N733" si="241">N722+L723</f>
        <v>0</v>
      </c>
      <c r="O723" s="92">
        <f t="shared" ref="O723:O733" si="242">O722+M723</f>
        <v>0</v>
      </c>
      <c r="P723">
        <v>0</v>
      </c>
      <c r="Q723" s="86">
        <v>0</v>
      </c>
      <c r="R723">
        <v>0</v>
      </c>
      <c r="S723">
        <v>0</v>
      </c>
    </row>
    <row r="724" spans="1:19" x14ac:dyDescent="0.2">
      <c r="A724" s="6" t="s">
        <v>129</v>
      </c>
      <c r="B724" s="90" t="s">
        <v>153</v>
      </c>
      <c r="C724" s="90">
        <v>3</v>
      </c>
      <c r="D724" s="93">
        <v>0</v>
      </c>
      <c r="E724" s="93">
        <v>0</v>
      </c>
      <c r="F724" s="88">
        <f t="shared" si="237"/>
        <v>0</v>
      </c>
      <c r="G724" s="88">
        <f t="shared" si="238"/>
        <v>0</v>
      </c>
      <c r="H724" s="88">
        <v>0</v>
      </c>
      <c r="I724" s="88">
        <v>0</v>
      </c>
      <c r="J724" s="88">
        <f t="shared" si="239"/>
        <v>0</v>
      </c>
      <c r="K724" s="88">
        <f t="shared" si="240"/>
        <v>0</v>
      </c>
      <c r="L724" s="90">
        <v>0</v>
      </c>
      <c r="M724" s="91">
        <v>0</v>
      </c>
      <c r="N724" s="92">
        <f t="shared" si="241"/>
        <v>0</v>
      </c>
      <c r="O724" s="92">
        <f t="shared" si="242"/>
        <v>0</v>
      </c>
      <c r="P724">
        <v>0</v>
      </c>
      <c r="Q724" s="86">
        <v>0</v>
      </c>
      <c r="R724">
        <v>0</v>
      </c>
      <c r="S724">
        <v>0</v>
      </c>
    </row>
    <row r="725" spans="1:19" x14ac:dyDescent="0.2">
      <c r="A725" s="6" t="s">
        <v>129</v>
      </c>
      <c r="B725" s="90" t="s">
        <v>154</v>
      </c>
      <c r="C725" s="90">
        <v>4</v>
      </c>
      <c r="D725" s="93">
        <v>0</v>
      </c>
      <c r="E725" s="93">
        <v>0</v>
      </c>
      <c r="F725" s="88">
        <f t="shared" si="237"/>
        <v>0</v>
      </c>
      <c r="G725" s="88">
        <f t="shared" si="238"/>
        <v>0</v>
      </c>
      <c r="H725" s="88">
        <v>0</v>
      </c>
      <c r="I725" s="88">
        <v>0</v>
      </c>
      <c r="J725" s="88">
        <f t="shared" si="239"/>
        <v>0</v>
      </c>
      <c r="K725" s="88">
        <f t="shared" si="240"/>
        <v>0</v>
      </c>
      <c r="L725" s="90">
        <v>0</v>
      </c>
      <c r="M725" s="91">
        <v>0</v>
      </c>
      <c r="N725" s="92">
        <f t="shared" si="241"/>
        <v>0</v>
      </c>
      <c r="O725" s="92">
        <f t="shared" si="242"/>
        <v>0</v>
      </c>
      <c r="P725">
        <v>0</v>
      </c>
      <c r="Q725" s="86">
        <v>0</v>
      </c>
      <c r="R725">
        <v>0</v>
      </c>
      <c r="S725">
        <v>0</v>
      </c>
    </row>
    <row r="726" spans="1:19" x14ac:dyDescent="0.2">
      <c r="A726" s="6" t="s">
        <v>129</v>
      </c>
      <c r="B726" s="90" t="s">
        <v>155</v>
      </c>
      <c r="C726" s="90">
        <v>5</v>
      </c>
      <c r="D726" s="93">
        <v>0</v>
      </c>
      <c r="E726" s="93">
        <v>0</v>
      </c>
      <c r="F726" s="88">
        <f t="shared" si="237"/>
        <v>0</v>
      </c>
      <c r="G726" s="88">
        <f t="shared" si="238"/>
        <v>0</v>
      </c>
      <c r="H726" s="88">
        <v>0</v>
      </c>
      <c r="I726" s="88">
        <v>0</v>
      </c>
      <c r="J726" s="88">
        <f t="shared" si="239"/>
        <v>0</v>
      </c>
      <c r="K726" s="88">
        <f t="shared" si="240"/>
        <v>0</v>
      </c>
      <c r="L726" s="90">
        <v>0</v>
      </c>
      <c r="M726" s="91">
        <v>0</v>
      </c>
      <c r="N726" s="92">
        <f t="shared" si="241"/>
        <v>0</v>
      </c>
      <c r="O726" s="92">
        <f t="shared" si="242"/>
        <v>0</v>
      </c>
      <c r="P726">
        <v>0</v>
      </c>
      <c r="Q726" s="86">
        <v>0</v>
      </c>
      <c r="R726">
        <v>0</v>
      </c>
      <c r="S726">
        <v>0</v>
      </c>
    </row>
    <row r="727" spans="1:19" x14ac:dyDescent="0.2">
      <c r="A727" s="6" t="s">
        <v>129</v>
      </c>
      <c r="B727" s="90" t="s">
        <v>156</v>
      </c>
      <c r="C727" s="90">
        <v>6</v>
      </c>
      <c r="D727" s="93">
        <v>0</v>
      </c>
      <c r="E727" s="93">
        <v>0</v>
      </c>
      <c r="F727" s="88">
        <f t="shared" si="237"/>
        <v>0</v>
      </c>
      <c r="G727" s="88">
        <f t="shared" si="238"/>
        <v>0</v>
      </c>
      <c r="H727" s="88">
        <v>0</v>
      </c>
      <c r="I727" s="88">
        <v>0</v>
      </c>
      <c r="J727" s="88">
        <f t="shared" si="239"/>
        <v>0</v>
      </c>
      <c r="K727" s="88">
        <f t="shared" si="240"/>
        <v>0</v>
      </c>
      <c r="L727" s="90">
        <v>0</v>
      </c>
      <c r="M727" s="91">
        <v>0</v>
      </c>
      <c r="N727" s="92">
        <f t="shared" si="241"/>
        <v>0</v>
      </c>
      <c r="O727" s="92">
        <f t="shared" si="242"/>
        <v>0</v>
      </c>
      <c r="P727">
        <v>0</v>
      </c>
      <c r="Q727" s="86">
        <v>0</v>
      </c>
      <c r="R727">
        <v>0</v>
      </c>
      <c r="S727">
        <v>0</v>
      </c>
    </row>
    <row r="728" spans="1:19" x14ac:dyDescent="0.2">
      <c r="A728" s="6" t="s">
        <v>129</v>
      </c>
      <c r="B728" s="90" t="s">
        <v>157</v>
      </c>
      <c r="C728" s="90">
        <v>7</v>
      </c>
      <c r="D728" s="93">
        <v>0</v>
      </c>
      <c r="E728" s="93">
        <v>0</v>
      </c>
      <c r="F728" s="88">
        <f t="shared" si="237"/>
        <v>0</v>
      </c>
      <c r="G728" s="88">
        <f t="shared" si="238"/>
        <v>0</v>
      </c>
      <c r="H728" s="88">
        <v>0</v>
      </c>
      <c r="I728" s="88">
        <v>0</v>
      </c>
      <c r="J728" s="88">
        <f t="shared" si="239"/>
        <v>0</v>
      </c>
      <c r="K728" s="88">
        <f t="shared" si="240"/>
        <v>0</v>
      </c>
      <c r="L728" s="90">
        <v>0</v>
      </c>
      <c r="M728" s="91">
        <v>0</v>
      </c>
      <c r="N728" s="92">
        <f t="shared" si="241"/>
        <v>0</v>
      </c>
      <c r="O728" s="92">
        <f t="shared" si="242"/>
        <v>0</v>
      </c>
      <c r="P728">
        <v>0</v>
      </c>
      <c r="Q728" s="86">
        <v>0</v>
      </c>
      <c r="R728">
        <v>0</v>
      </c>
      <c r="S728">
        <v>0</v>
      </c>
    </row>
    <row r="729" spans="1:19" x14ac:dyDescent="0.2">
      <c r="A729" s="6" t="s">
        <v>129</v>
      </c>
      <c r="B729" s="90" t="s">
        <v>158</v>
      </c>
      <c r="C729" s="90">
        <v>8</v>
      </c>
      <c r="D729" s="93">
        <v>0</v>
      </c>
      <c r="E729" s="93">
        <v>0</v>
      </c>
      <c r="F729" s="88">
        <f t="shared" si="237"/>
        <v>0</v>
      </c>
      <c r="G729" s="88">
        <f t="shared" si="238"/>
        <v>0</v>
      </c>
      <c r="H729" s="88">
        <v>0</v>
      </c>
      <c r="I729" s="88">
        <v>0</v>
      </c>
      <c r="J729" s="88">
        <f t="shared" si="239"/>
        <v>0</v>
      </c>
      <c r="K729" s="88">
        <f t="shared" si="240"/>
        <v>0</v>
      </c>
      <c r="L729" s="90">
        <v>0</v>
      </c>
      <c r="M729" s="91">
        <v>0</v>
      </c>
      <c r="N729" s="92">
        <f t="shared" si="241"/>
        <v>0</v>
      </c>
      <c r="O729" s="92">
        <f t="shared" si="242"/>
        <v>0</v>
      </c>
      <c r="P729">
        <v>0</v>
      </c>
      <c r="Q729" s="86">
        <v>0</v>
      </c>
      <c r="R729">
        <v>0</v>
      </c>
      <c r="S729">
        <v>0</v>
      </c>
    </row>
    <row r="730" spans="1:19" x14ac:dyDescent="0.2">
      <c r="A730" s="6" t="s">
        <v>129</v>
      </c>
      <c r="B730" s="90" t="s">
        <v>159</v>
      </c>
      <c r="C730" s="90">
        <v>9</v>
      </c>
      <c r="D730" s="93">
        <v>0</v>
      </c>
      <c r="E730" s="93">
        <v>0</v>
      </c>
      <c r="F730" s="88">
        <f t="shared" si="237"/>
        <v>0</v>
      </c>
      <c r="G730" s="88">
        <f t="shared" si="238"/>
        <v>0</v>
      </c>
      <c r="H730" s="88">
        <v>0</v>
      </c>
      <c r="I730" s="88">
        <v>0</v>
      </c>
      <c r="J730" s="88">
        <f t="shared" si="239"/>
        <v>0</v>
      </c>
      <c r="K730" s="88">
        <f t="shared" si="240"/>
        <v>0</v>
      </c>
      <c r="L730" s="90">
        <v>0</v>
      </c>
      <c r="M730" s="91">
        <v>0</v>
      </c>
      <c r="N730" s="92">
        <f t="shared" si="241"/>
        <v>0</v>
      </c>
      <c r="O730" s="92">
        <f t="shared" si="242"/>
        <v>0</v>
      </c>
      <c r="P730">
        <v>0</v>
      </c>
      <c r="Q730" s="86">
        <v>0</v>
      </c>
      <c r="R730">
        <v>0</v>
      </c>
      <c r="S730">
        <v>0</v>
      </c>
    </row>
    <row r="731" spans="1:19" x14ac:dyDescent="0.2">
      <c r="A731" s="6" t="s">
        <v>129</v>
      </c>
      <c r="B731" s="90" t="s">
        <v>160</v>
      </c>
      <c r="C731" s="90">
        <v>10</v>
      </c>
      <c r="D731" s="93">
        <v>0</v>
      </c>
      <c r="E731" s="93">
        <v>0</v>
      </c>
      <c r="F731" s="88">
        <f t="shared" si="237"/>
        <v>0</v>
      </c>
      <c r="G731" s="88">
        <f t="shared" si="238"/>
        <v>0</v>
      </c>
      <c r="H731" s="88">
        <v>0</v>
      </c>
      <c r="I731" s="88">
        <v>0</v>
      </c>
      <c r="J731" s="88">
        <f t="shared" si="239"/>
        <v>0</v>
      </c>
      <c r="K731" s="88">
        <f t="shared" si="240"/>
        <v>0</v>
      </c>
      <c r="L731" s="90">
        <v>0</v>
      </c>
      <c r="M731" s="91">
        <v>0</v>
      </c>
      <c r="N731" s="92">
        <f t="shared" si="241"/>
        <v>0</v>
      </c>
      <c r="O731" s="92">
        <f t="shared" si="242"/>
        <v>0</v>
      </c>
      <c r="P731">
        <v>0</v>
      </c>
      <c r="Q731" s="86">
        <v>0</v>
      </c>
      <c r="R731">
        <v>0</v>
      </c>
      <c r="S731">
        <v>0</v>
      </c>
    </row>
    <row r="732" spans="1:19" x14ac:dyDescent="0.2">
      <c r="A732" s="6" t="s">
        <v>129</v>
      </c>
      <c r="B732" s="90" t="s">
        <v>161</v>
      </c>
      <c r="C732" s="90">
        <v>11</v>
      </c>
      <c r="D732" s="93">
        <v>0</v>
      </c>
      <c r="E732" s="93">
        <v>0</v>
      </c>
      <c r="F732" s="88">
        <f t="shared" si="237"/>
        <v>0</v>
      </c>
      <c r="G732" s="88">
        <f t="shared" si="238"/>
        <v>0</v>
      </c>
      <c r="H732" s="88">
        <v>0</v>
      </c>
      <c r="I732" s="88">
        <v>0</v>
      </c>
      <c r="J732" s="88">
        <f t="shared" si="239"/>
        <v>0</v>
      </c>
      <c r="K732" s="88">
        <f t="shared" si="240"/>
        <v>0</v>
      </c>
      <c r="L732" s="90">
        <v>0</v>
      </c>
      <c r="M732" s="91">
        <v>0</v>
      </c>
      <c r="N732" s="92">
        <f t="shared" si="241"/>
        <v>0</v>
      </c>
      <c r="O732" s="92">
        <f t="shared" si="242"/>
        <v>0</v>
      </c>
      <c r="P732" s="86"/>
      <c r="Q732" s="86">
        <v>0</v>
      </c>
    </row>
    <row r="733" spans="1:19" x14ac:dyDescent="0.2">
      <c r="A733" s="6" t="s">
        <v>129</v>
      </c>
      <c r="B733" s="90" t="s">
        <v>162</v>
      </c>
      <c r="C733" s="90">
        <v>12</v>
      </c>
      <c r="D733" s="93">
        <v>0</v>
      </c>
      <c r="E733" s="93">
        <v>0</v>
      </c>
      <c r="F733" s="88">
        <f t="shared" si="237"/>
        <v>0</v>
      </c>
      <c r="G733" s="88">
        <f t="shared" si="238"/>
        <v>0</v>
      </c>
      <c r="H733" s="88">
        <v>0</v>
      </c>
      <c r="I733" s="88">
        <v>0</v>
      </c>
      <c r="J733" s="88">
        <f t="shared" si="239"/>
        <v>0</v>
      </c>
      <c r="K733" s="88">
        <f t="shared" si="240"/>
        <v>0</v>
      </c>
      <c r="L733" s="90">
        <v>0</v>
      </c>
      <c r="M733" s="91">
        <v>0</v>
      </c>
      <c r="N733" s="92">
        <f t="shared" si="241"/>
        <v>0</v>
      </c>
      <c r="O733" s="92">
        <f t="shared" si="242"/>
        <v>0</v>
      </c>
      <c r="P733" s="86"/>
      <c r="Q733" s="86">
        <v>0</v>
      </c>
    </row>
    <row r="734" spans="1:19" x14ac:dyDescent="0.2">
      <c r="A734" s="6" t="s">
        <v>125</v>
      </c>
      <c r="B734" s="90" t="s">
        <v>151</v>
      </c>
      <c r="C734" s="90">
        <v>1</v>
      </c>
      <c r="D734" s="93">
        <v>0</v>
      </c>
      <c r="E734" s="93">
        <v>0</v>
      </c>
      <c r="F734" s="88">
        <f>D734</f>
        <v>0</v>
      </c>
      <c r="G734" s="88">
        <f>E734</f>
        <v>0</v>
      </c>
      <c r="H734" s="89">
        <v>0</v>
      </c>
      <c r="I734" s="89">
        <v>0</v>
      </c>
      <c r="J734" s="89">
        <f>H734</f>
        <v>0</v>
      </c>
      <c r="K734" s="89">
        <f>I734</f>
        <v>0</v>
      </c>
      <c r="L734" s="90">
        <v>0</v>
      </c>
      <c r="M734" s="91">
        <v>0</v>
      </c>
      <c r="N734" s="92">
        <f>L734</f>
        <v>0</v>
      </c>
      <c r="O734" s="92">
        <f>M734</f>
        <v>0</v>
      </c>
      <c r="P734">
        <v>0</v>
      </c>
      <c r="Q734">
        <v>0</v>
      </c>
      <c r="R734">
        <v>0</v>
      </c>
      <c r="S734">
        <v>0</v>
      </c>
    </row>
    <row r="735" spans="1:19" x14ac:dyDescent="0.2">
      <c r="A735" s="6" t="s">
        <v>125</v>
      </c>
      <c r="B735" s="90" t="s">
        <v>152</v>
      </c>
      <c r="C735" s="90">
        <v>2</v>
      </c>
      <c r="D735" s="93">
        <v>0</v>
      </c>
      <c r="E735" s="93">
        <v>0</v>
      </c>
      <c r="F735" s="88">
        <f t="shared" ref="F735:G745" si="243">F734+D735</f>
        <v>0</v>
      </c>
      <c r="G735" s="88">
        <f t="shared" si="243"/>
        <v>0</v>
      </c>
      <c r="H735" s="89">
        <v>1</v>
      </c>
      <c r="I735" s="89">
        <v>50</v>
      </c>
      <c r="J735" s="89">
        <f t="shared" ref="J735:K745" si="244">J734+H735</f>
        <v>1</v>
      </c>
      <c r="K735" s="89">
        <f t="shared" si="244"/>
        <v>50</v>
      </c>
      <c r="L735" s="90">
        <v>10</v>
      </c>
      <c r="M735" s="91">
        <v>4706.1000000000004</v>
      </c>
      <c r="N735" s="92">
        <f t="shared" ref="N735:N745" si="245">N734+L735</f>
        <v>10</v>
      </c>
      <c r="O735" s="92">
        <f t="shared" ref="O735:O745" si="246">O734+M735</f>
        <v>4706.1000000000004</v>
      </c>
      <c r="P735">
        <v>0</v>
      </c>
      <c r="Q735">
        <v>0</v>
      </c>
      <c r="R735">
        <v>0</v>
      </c>
      <c r="S735">
        <v>0</v>
      </c>
    </row>
    <row r="736" spans="1:19" x14ac:dyDescent="0.2">
      <c r="A736" s="6" t="s">
        <v>125</v>
      </c>
      <c r="B736" s="90" t="s">
        <v>153</v>
      </c>
      <c r="C736" s="90">
        <v>3</v>
      </c>
      <c r="D736" s="93">
        <v>0</v>
      </c>
      <c r="E736" s="93">
        <v>0</v>
      </c>
      <c r="F736" s="88">
        <f t="shared" si="243"/>
        <v>0</v>
      </c>
      <c r="G736" s="88">
        <f t="shared" si="243"/>
        <v>0</v>
      </c>
      <c r="H736" s="89">
        <v>13</v>
      </c>
      <c r="I736" s="89">
        <v>6403.8</v>
      </c>
      <c r="J736" s="89">
        <f t="shared" si="244"/>
        <v>14</v>
      </c>
      <c r="K736" s="89">
        <f t="shared" si="244"/>
        <v>6453.8</v>
      </c>
      <c r="L736" s="90">
        <v>0</v>
      </c>
      <c r="M736" s="91">
        <v>0</v>
      </c>
      <c r="N736" s="92">
        <f t="shared" si="245"/>
        <v>10</v>
      </c>
      <c r="O736" s="92">
        <f t="shared" si="246"/>
        <v>4706.1000000000004</v>
      </c>
      <c r="P736">
        <v>1</v>
      </c>
      <c r="Q736">
        <v>1500</v>
      </c>
      <c r="R736">
        <v>1</v>
      </c>
      <c r="S736">
        <v>1500</v>
      </c>
    </row>
    <row r="737" spans="1:19" x14ac:dyDescent="0.2">
      <c r="A737" s="6" t="s">
        <v>125</v>
      </c>
      <c r="B737" s="90" t="s">
        <v>154</v>
      </c>
      <c r="C737" s="90">
        <v>4</v>
      </c>
      <c r="D737" s="93">
        <v>0</v>
      </c>
      <c r="E737" s="93">
        <v>0</v>
      </c>
      <c r="F737" s="88">
        <f t="shared" si="243"/>
        <v>0</v>
      </c>
      <c r="G737" s="88">
        <f t="shared" si="243"/>
        <v>0</v>
      </c>
      <c r="H737" s="89">
        <v>3</v>
      </c>
      <c r="I737" s="89">
        <v>3450</v>
      </c>
      <c r="J737" s="89">
        <f t="shared" si="244"/>
        <v>17</v>
      </c>
      <c r="K737" s="89">
        <f t="shared" si="244"/>
        <v>9903.7999999999993</v>
      </c>
      <c r="L737" s="90">
        <v>0</v>
      </c>
      <c r="M737" s="91">
        <v>0</v>
      </c>
      <c r="N737" s="92">
        <f t="shared" si="245"/>
        <v>10</v>
      </c>
      <c r="O737" s="92">
        <f t="shared" si="246"/>
        <v>4706.1000000000004</v>
      </c>
      <c r="P737">
        <v>0</v>
      </c>
      <c r="Q737">
        <v>0</v>
      </c>
      <c r="R737">
        <v>1</v>
      </c>
      <c r="S737">
        <v>1500</v>
      </c>
    </row>
    <row r="738" spans="1:19" x14ac:dyDescent="0.2">
      <c r="A738" s="6" t="s">
        <v>125</v>
      </c>
      <c r="B738" s="90" t="s">
        <v>155</v>
      </c>
      <c r="C738" s="90">
        <v>5</v>
      </c>
      <c r="D738" s="93">
        <v>0</v>
      </c>
      <c r="E738" s="93">
        <v>0</v>
      </c>
      <c r="F738" s="88">
        <f t="shared" si="243"/>
        <v>0</v>
      </c>
      <c r="G738" s="88">
        <f t="shared" si="243"/>
        <v>0</v>
      </c>
      <c r="H738" s="89">
        <v>0</v>
      </c>
      <c r="I738" s="89">
        <v>0</v>
      </c>
      <c r="J738" s="89">
        <f t="shared" si="244"/>
        <v>17</v>
      </c>
      <c r="K738" s="89">
        <f t="shared" si="244"/>
        <v>9903.7999999999993</v>
      </c>
      <c r="L738" s="90">
        <v>0</v>
      </c>
      <c r="M738" s="91">
        <v>0</v>
      </c>
      <c r="N738" s="92">
        <f t="shared" si="245"/>
        <v>10</v>
      </c>
      <c r="O738" s="92">
        <f t="shared" si="246"/>
        <v>4706.1000000000004</v>
      </c>
      <c r="P738">
        <v>0</v>
      </c>
      <c r="Q738">
        <v>0</v>
      </c>
      <c r="R738">
        <v>1</v>
      </c>
      <c r="S738">
        <v>1500</v>
      </c>
    </row>
    <row r="739" spans="1:19" x14ac:dyDescent="0.2">
      <c r="A739" s="6" t="s">
        <v>125</v>
      </c>
      <c r="B739" s="90" t="s">
        <v>156</v>
      </c>
      <c r="C739" s="90">
        <v>6</v>
      </c>
      <c r="D739" s="93">
        <v>2</v>
      </c>
      <c r="E739" s="93">
        <v>2300</v>
      </c>
      <c r="F739" s="88">
        <f t="shared" si="243"/>
        <v>2</v>
      </c>
      <c r="G739" s="88">
        <f t="shared" si="243"/>
        <v>2300</v>
      </c>
      <c r="H739" s="89">
        <v>3</v>
      </c>
      <c r="I739" s="89">
        <v>2199.9899999999998</v>
      </c>
      <c r="J739" s="89">
        <f t="shared" si="244"/>
        <v>20</v>
      </c>
      <c r="K739" s="89">
        <f t="shared" si="244"/>
        <v>12103.789999999999</v>
      </c>
      <c r="L739" s="90">
        <v>3</v>
      </c>
      <c r="M739" s="91">
        <v>2650</v>
      </c>
      <c r="N739" s="92">
        <f t="shared" si="245"/>
        <v>13</v>
      </c>
      <c r="O739" s="92">
        <f t="shared" si="246"/>
        <v>7356.1</v>
      </c>
      <c r="P739">
        <v>0</v>
      </c>
      <c r="Q739">
        <v>0</v>
      </c>
      <c r="R739">
        <v>1</v>
      </c>
      <c r="S739">
        <v>1500</v>
      </c>
    </row>
    <row r="740" spans="1:19" x14ac:dyDescent="0.2">
      <c r="A740" s="6" t="s">
        <v>125</v>
      </c>
      <c r="B740" s="90" t="s">
        <v>157</v>
      </c>
      <c r="C740" s="90">
        <v>7</v>
      </c>
      <c r="D740" s="93">
        <v>1</v>
      </c>
      <c r="E740" s="93">
        <v>1600</v>
      </c>
      <c r="F740" s="88">
        <f t="shared" si="243"/>
        <v>3</v>
      </c>
      <c r="G740" s="88">
        <f t="shared" si="243"/>
        <v>3900</v>
      </c>
      <c r="H740" s="89">
        <v>1</v>
      </c>
      <c r="I740" s="89">
        <v>1804.05</v>
      </c>
      <c r="J740" s="89">
        <f t="shared" si="244"/>
        <v>21</v>
      </c>
      <c r="K740" s="89">
        <f t="shared" si="244"/>
        <v>13907.839999999998</v>
      </c>
      <c r="L740" s="90">
        <v>1</v>
      </c>
      <c r="M740" s="91">
        <v>100</v>
      </c>
      <c r="N740" s="92">
        <f t="shared" si="245"/>
        <v>14</v>
      </c>
      <c r="O740" s="92">
        <f t="shared" si="246"/>
        <v>7456.1</v>
      </c>
      <c r="P740">
        <v>12</v>
      </c>
      <c r="Q740">
        <v>3102.5</v>
      </c>
      <c r="R740">
        <v>13</v>
      </c>
      <c r="S740">
        <v>4602.5</v>
      </c>
    </row>
    <row r="741" spans="1:19" x14ac:dyDescent="0.2">
      <c r="A741" s="6" t="s">
        <v>125</v>
      </c>
      <c r="B741" s="90" t="s">
        <v>158</v>
      </c>
      <c r="C741" s="90">
        <v>8</v>
      </c>
      <c r="D741" s="88">
        <v>3</v>
      </c>
      <c r="E741" s="88">
        <v>2004</v>
      </c>
      <c r="F741" s="88">
        <f t="shared" si="243"/>
        <v>6</v>
      </c>
      <c r="G741" s="88">
        <f t="shared" si="243"/>
        <v>5904</v>
      </c>
      <c r="H741" s="89">
        <v>1</v>
      </c>
      <c r="I741" s="89">
        <v>475</v>
      </c>
      <c r="J741" s="89">
        <f t="shared" si="244"/>
        <v>22</v>
      </c>
      <c r="K741" s="89">
        <f t="shared" si="244"/>
        <v>14382.839999999998</v>
      </c>
      <c r="L741" s="90">
        <v>1</v>
      </c>
      <c r="M741" s="91">
        <v>1623.47</v>
      </c>
      <c r="N741" s="92">
        <f t="shared" si="245"/>
        <v>15</v>
      </c>
      <c r="O741" s="92">
        <f t="shared" si="246"/>
        <v>9079.57</v>
      </c>
      <c r="P741">
        <v>0</v>
      </c>
      <c r="Q741">
        <v>0</v>
      </c>
      <c r="R741">
        <v>13</v>
      </c>
      <c r="S741">
        <v>4602.5</v>
      </c>
    </row>
    <row r="742" spans="1:19" x14ac:dyDescent="0.2">
      <c r="A742" s="6" t="s">
        <v>125</v>
      </c>
      <c r="B742" s="90" t="s">
        <v>159</v>
      </c>
      <c r="C742" s="90">
        <v>9</v>
      </c>
      <c r="D742" s="93">
        <v>0</v>
      </c>
      <c r="E742" s="93">
        <v>0</v>
      </c>
      <c r="F742" s="88">
        <f t="shared" si="243"/>
        <v>6</v>
      </c>
      <c r="G742" s="88">
        <f t="shared" si="243"/>
        <v>5904</v>
      </c>
      <c r="H742" s="89">
        <v>1</v>
      </c>
      <c r="I742" s="89">
        <v>4983.82</v>
      </c>
      <c r="J742" s="89">
        <f t="shared" si="244"/>
        <v>23</v>
      </c>
      <c r="K742" s="89">
        <f t="shared" si="244"/>
        <v>19366.659999999996</v>
      </c>
      <c r="L742" s="90">
        <v>1</v>
      </c>
      <c r="M742" s="91">
        <v>90</v>
      </c>
      <c r="N742" s="92">
        <f t="shared" si="245"/>
        <v>16</v>
      </c>
      <c r="O742" s="92">
        <f t="shared" si="246"/>
        <v>9169.57</v>
      </c>
      <c r="P742">
        <v>3</v>
      </c>
      <c r="Q742">
        <v>583.83000000000004</v>
      </c>
      <c r="R742">
        <v>16</v>
      </c>
      <c r="S742">
        <v>5186.33</v>
      </c>
    </row>
    <row r="743" spans="1:19" x14ac:dyDescent="0.2">
      <c r="A743" s="6" t="s">
        <v>125</v>
      </c>
      <c r="B743" s="90" t="s">
        <v>160</v>
      </c>
      <c r="C743" s="90">
        <v>10</v>
      </c>
      <c r="D743" s="93">
        <v>0</v>
      </c>
      <c r="E743" s="93">
        <v>0</v>
      </c>
      <c r="F743" s="88">
        <f t="shared" si="243"/>
        <v>6</v>
      </c>
      <c r="G743" s="88">
        <f t="shared" si="243"/>
        <v>5904</v>
      </c>
      <c r="H743" s="89">
        <v>0</v>
      </c>
      <c r="I743" s="89">
        <v>0</v>
      </c>
      <c r="J743" s="89">
        <f t="shared" si="244"/>
        <v>23</v>
      </c>
      <c r="K743" s="89">
        <f t="shared" si="244"/>
        <v>19366.659999999996</v>
      </c>
      <c r="L743" s="90">
        <v>2</v>
      </c>
      <c r="M743" s="91">
        <v>549.02</v>
      </c>
      <c r="N743" s="92">
        <f t="shared" si="245"/>
        <v>18</v>
      </c>
      <c r="O743" s="92">
        <f t="shared" si="246"/>
        <v>9718.59</v>
      </c>
      <c r="P743">
        <v>0</v>
      </c>
      <c r="Q743">
        <v>0</v>
      </c>
      <c r="R743">
        <v>16</v>
      </c>
      <c r="S743">
        <v>5186.33</v>
      </c>
    </row>
    <row r="744" spans="1:19" x14ac:dyDescent="0.2">
      <c r="A744" s="6" t="s">
        <v>125</v>
      </c>
      <c r="B744" s="90" t="s">
        <v>161</v>
      </c>
      <c r="C744" s="90">
        <v>11</v>
      </c>
      <c r="D744" s="93">
        <v>3</v>
      </c>
      <c r="E744" s="88">
        <v>2837</v>
      </c>
      <c r="F744" s="88">
        <f t="shared" si="243"/>
        <v>9</v>
      </c>
      <c r="G744" s="88">
        <f t="shared" si="243"/>
        <v>8741</v>
      </c>
      <c r="H744" s="89">
        <v>0</v>
      </c>
      <c r="I744" s="89">
        <v>0</v>
      </c>
      <c r="J744" s="89">
        <f t="shared" si="244"/>
        <v>23</v>
      </c>
      <c r="K744" s="89">
        <f t="shared" si="244"/>
        <v>19366.659999999996</v>
      </c>
      <c r="L744" s="90">
        <v>0</v>
      </c>
      <c r="M744" s="91">
        <v>0</v>
      </c>
      <c r="N744" s="92">
        <f t="shared" si="245"/>
        <v>18</v>
      </c>
      <c r="O744" s="92">
        <f t="shared" si="246"/>
        <v>9718.59</v>
      </c>
      <c r="P744" s="86"/>
      <c r="Q744" s="86">
        <v>0</v>
      </c>
    </row>
    <row r="745" spans="1:19" x14ac:dyDescent="0.2">
      <c r="A745" s="6" t="s">
        <v>125</v>
      </c>
      <c r="B745" s="90" t="s">
        <v>162</v>
      </c>
      <c r="C745" s="90">
        <v>12</v>
      </c>
      <c r="D745" s="93">
        <v>0</v>
      </c>
      <c r="E745" s="93">
        <v>0</v>
      </c>
      <c r="F745" s="88">
        <f t="shared" si="243"/>
        <v>9</v>
      </c>
      <c r="G745" s="88">
        <f t="shared" si="243"/>
        <v>8741</v>
      </c>
      <c r="H745" s="89">
        <v>0</v>
      </c>
      <c r="I745" s="89">
        <v>0</v>
      </c>
      <c r="J745" s="89">
        <f t="shared" si="244"/>
        <v>23</v>
      </c>
      <c r="K745" s="89">
        <f t="shared" si="244"/>
        <v>19366.659999999996</v>
      </c>
      <c r="L745" s="90">
        <v>0</v>
      </c>
      <c r="M745" s="94">
        <v>0</v>
      </c>
      <c r="N745" s="95">
        <f t="shared" si="245"/>
        <v>18</v>
      </c>
      <c r="O745" s="95">
        <f t="shared" si="246"/>
        <v>9718.59</v>
      </c>
      <c r="P745" s="87"/>
      <c r="Q745" s="87">
        <v>0</v>
      </c>
    </row>
    <row r="746" spans="1:19" x14ac:dyDescent="0.2">
      <c r="A746" t="s">
        <v>313</v>
      </c>
      <c r="P746">
        <v>0</v>
      </c>
      <c r="Q746">
        <v>0</v>
      </c>
      <c r="R746">
        <v>0</v>
      </c>
      <c r="S746">
        <v>0</v>
      </c>
    </row>
    <row r="747" spans="1:19" x14ac:dyDescent="0.2">
      <c r="A747" t="s">
        <v>313</v>
      </c>
      <c r="P747">
        <v>0</v>
      </c>
      <c r="Q747">
        <v>0</v>
      </c>
      <c r="R747">
        <v>0</v>
      </c>
      <c r="S747">
        <v>0</v>
      </c>
    </row>
    <row r="748" spans="1:19" x14ac:dyDescent="0.2">
      <c r="A748" t="s">
        <v>313</v>
      </c>
      <c r="P748">
        <v>0</v>
      </c>
      <c r="Q748">
        <v>0</v>
      </c>
      <c r="R748">
        <v>0</v>
      </c>
      <c r="S748">
        <v>0</v>
      </c>
    </row>
    <row r="749" spans="1:19" x14ac:dyDescent="0.2">
      <c r="A749" t="s">
        <v>313</v>
      </c>
      <c r="P749">
        <v>0</v>
      </c>
      <c r="Q749">
        <v>0</v>
      </c>
      <c r="R749">
        <v>0</v>
      </c>
      <c r="S749">
        <v>0</v>
      </c>
    </row>
    <row r="750" spans="1:19" x14ac:dyDescent="0.2">
      <c r="A750" t="s">
        <v>313</v>
      </c>
      <c r="P750">
        <v>0</v>
      </c>
      <c r="Q750">
        <v>0</v>
      </c>
      <c r="R750">
        <v>0</v>
      </c>
      <c r="S750">
        <v>0</v>
      </c>
    </row>
    <row r="751" spans="1:19" x14ac:dyDescent="0.2">
      <c r="A751" t="s">
        <v>313</v>
      </c>
      <c r="P751">
        <v>0</v>
      </c>
      <c r="Q751">
        <v>0</v>
      </c>
      <c r="R751">
        <v>0</v>
      </c>
      <c r="S751">
        <v>0</v>
      </c>
    </row>
    <row r="752" spans="1:19" x14ac:dyDescent="0.2">
      <c r="A752" t="s">
        <v>313</v>
      </c>
      <c r="P752">
        <v>0</v>
      </c>
      <c r="Q752">
        <v>0</v>
      </c>
      <c r="R752">
        <v>0</v>
      </c>
      <c r="S752">
        <v>0</v>
      </c>
    </row>
    <row r="753" spans="1:19" x14ac:dyDescent="0.2">
      <c r="A753" t="s">
        <v>313</v>
      </c>
      <c r="P753">
        <v>0</v>
      </c>
      <c r="Q753">
        <v>0</v>
      </c>
      <c r="R753">
        <v>0</v>
      </c>
      <c r="S753">
        <v>0</v>
      </c>
    </row>
    <row r="754" spans="1:19" x14ac:dyDescent="0.2">
      <c r="A754" t="s">
        <v>313</v>
      </c>
      <c r="P754">
        <v>0</v>
      </c>
      <c r="Q754">
        <v>0</v>
      </c>
      <c r="R754">
        <v>0</v>
      </c>
      <c r="S754">
        <v>0</v>
      </c>
    </row>
    <row r="755" spans="1:19" x14ac:dyDescent="0.2">
      <c r="A755" t="s">
        <v>313</v>
      </c>
      <c r="P755">
        <v>0</v>
      </c>
      <c r="Q755">
        <v>0</v>
      </c>
      <c r="R755">
        <v>0</v>
      </c>
      <c r="S755">
        <v>0</v>
      </c>
    </row>
    <row r="756" spans="1:19" x14ac:dyDescent="0.2">
      <c r="A756" t="s">
        <v>313</v>
      </c>
    </row>
    <row r="757" spans="1:19" x14ac:dyDescent="0.2">
      <c r="A757" t="s">
        <v>313</v>
      </c>
    </row>
  </sheetData>
  <sheetProtection selectLockedCells="1" selectUnlockedCells="1"/>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757"/>
  <sheetViews>
    <sheetView showGridLines="0" workbookViewId="0">
      <pane xSplit="3" ySplit="1" topLeftCell="O740" activePane="bottomRight" state="frozen"/>
      <selection pane="topRight" activeCell="C1" sqref="C1"/>
      <selection pane="bottomLeft" activeCell="A2" sqref="A2"/>
      <selection pane="bottomRight" activeCell="R740" sqref="R740"/>
    </sheetView>
  </sheetViews>
  <sheetFormatPr defaultColWidth="40.5" defaultRowHeight="14.25" x14ac:dyDescent="0.2"/>
  <cols>
    <col min="1" max="1" width="19" style="7" customWidth="1"/>
    <col min="2" max="2" width="5.75" style="7" customWidth="1"/>
    <col min="3" max="3" width="10.625" style="7" customWidth="1"/>
    <col min="4" max="4" width="40.125" style="7" customWidth="1"/>
    <col min="5" max="5" width="61" style="7" customWidth="1"/>
    <col min="6" max="6" width="19.25" style="3" customWidth="1"/>
    <col min="7" max="7" width="36.875" style="7" customWidth="1"/>
    <col min="8" max="9" width="27.375" style="7" customWidth="1"/>
    <col min="10" max="10" width="27.375" style="6" customWidth="1"/>
    <col min="11" max="11" width="22.375" style="6" customWidth="1"/>
    <col min="12" max="12" width="27.625" style="6" customWidth="1"/>
    <col min="13" max="13" width="27.625" style="35" customWidth="1"/>
    <col min="14" max="15" width="27.75" style="6" customWidth="1"/>
    <col min="16" max="17" width="30.625" style="6" customWidth="1"/>
    <col min="18" max="18" width="38.5" style="45" customWidth="1"/>
    <col min="19" max="19" width="49.75" style="6" customWidth="1"/>
    <col min="20" max="20" width="34.5" style="35" customWidth="1"/>
    <col min="21" max="21" width="38.875" style="6" customWidth="1"/>
    <col min="22" max="24" width="25.25" style="6" customWidth="1"/>
    <col min="25" max="25" width="31.5" style="6" customWidth="1"/>
    <col min="26" max="26" width="23.875" style="7" customWidth="1"/>
    <col min="27" max="16384" width="40.5" style="7"/>
  </cols>
  <sheetData>
    <row r="1" spans="1:26" s="10" customFormat="1" ht="15.75" x14ac:dyDescent="0.2">
      <c r="A1" s="8" t="s">
        <v>0</v>
      </c>
      <c r="B1" s="80" t="s">
        <v>286</v>
      </c>
      <c r="C1" s="9" t="s">
        <v>165</v>
      </c>
      <c r="D1" s="11" t="s">
        <v>2</v>
      </c>
      <c r="E1" s="11" t="s">
        <v>8</v>
      </c>
      <c r="F1" s="12" t="s">
        <v>196</v>
      </c>
      <c r="G1" s="12" t="s">
        <v>287</v>
      </c>
      <c r="H1" s="13" t="s">
        <v>197</v>
      </c>
      <c r="I1" s="13" t="s">
        <v>198</v>
      </c>
      <c r="J1" s="13" t="s">
        <v>199</v>
      </c>
      <c r="K1" s="15" t="s">
        <v>1</v>
      </c>
      <c r="L1" s="15" t="s">
        <v>4</v>
      </c>
      <c r="M1" s="16" t="s">
        <v>200</v>
      </c>
      <c r="N1" s="49" t="s">
        <v>232</v>
      </c>
      <c r="O1" s="17" t="s">
        <v>201</v>
      </c>
      <c r="P1" s="17" t="s">
        <v>202</v>
      </c>
      <c r="Q1" s="17" t="s">
        <v>203</v>
      </c>
      <c r="R1" s="18" t="s">
        <v>204</v>
      </c>
      <c r="S1" s="46" t="s">
        <v>20</v>
      </c>
      <c r="T1" s="19" t="s">
        <v>150</v>
      </c>
      <c r="U1" s="48" t="s">
        <v>231</v>
      </c>
      <c r="V1" s="19" t="s">
        <v>205</v>
      </c>
      <c r="W1" s="19" t="s">
        <v>206</v>
      </c>
      <c r="X1" s="19" t="s">
        <v>207</v>
      </c>
      <c r="Y1" s="19" t="s">
        <v>208</v>
      </c>
      <c r="Z1" s="19" t="s">
        <v>209</v>
      </c>
    </row>
    <row r="2" spans="1:26" s="10" customFormat="1" ht="15" x14ac:dyDescent="0.2">
      <c r="A2" t="s">
        <v>316</v>
      </c>
      <c r="B2" s="6">
        <f>_xlfn.IFS(C2="Janeiro",1,C2="Fevereiro",2,C2="Março",3,C2="Abril",4,C2="Maio",5,C2="Junho",6,C2="Julho",7,C2="Agosto",8,C2="Setembro",9,C2="Outubro",10,C2="Novembro",11,C2="Dezembro",12,TRUE,0)</f>
        <v>1</v>
      </c>
      <c r="C2" s="7" t="s">
        <v>151</v>
      </c>
      <c r="D2" s="68">
        <v>0</v>
      </c>
      <c r="E2" s="68">
        <v>0</v>
      </c>
      <c r="F2" s="65" t="e">
        <f t="shared" ref="F2:F13" si="0">E2/D2</f>
        <v>#DIV/0!</v>
      </c>
      <c r="G2" s="60" t="e">
        <f>IF(F2&gt;=#REF!,"Desempenho Ótimo",(IF(F2&gt;#REF!,"Desempenho Bom",(IF(F2&gt;#REF!,"Desempenho Médio",IF(F2&lt;=#REF!,"Desempenho Deficitário",0))))))</f>
        <v>#DIV/0!</v>
      </c>
      <c r="H2" s="66" t="e">
        <f>'Cálculo Banda Part. Proj'!BM2</f>
        <v>#DIV/0!</v>
      </c>
      <c r="I2" s="66" t="e">
        <f>'Cálculo Banda Part. Proj'!BN2</f>
        <v>#DIV/0!</v>
      </c>
      <c r="J2" s="66" t="e">
        <f>'Cálculo Banda Part. Proj'!BO2</f>
        <v>#DIV/0!</v>
      </c>
      <c r="K2" s="69">
        <v>0</v>
      </c>
      <c r="L2" s="69">
        <f>'Monitoramento Acumulado Geral'!Q2</f>
        <v>0</v>
      </c>
      <c r="M2" s="6" t="e">
        <f>L2/K2</f>
        <v>#DIV/0!</v>
      </c>
      <c r="N2" s="35" t="e">
        <f>IF(M2&gt;=#REF!,"Desempenho Ótimo",(IF(M2&gt;#REF!,"Desempenho Bom",(IF(M2&gt;#REF!,"Desempenho Médio",IF(M2&lt;=#REF!,"Desempenho Deficitário",0))))))</f>
        <v>#DIV/0!</v>
      </c>
      <c r="O2" s="14" t="e">
        <f>'Cálculo Banda Faturamento'!BM2</f>
        <v>#DIV/0!</v>
      </c>
      <c r="P2" s="14" t="e">
        <f>'Cálculo Banda Faturamento'!BN2</f>
        <v>#DIV/0!</v>
      </c>
      <c r="Q2" s="14" t="e">
        <f>'Cálculo Banda Faturamento'!BO2</f>
        <v>#DIV/0!</v>
      </c>
      <c r="R2" s="69">
        <v>0</v>
      </c>
      <c r="S2" s="69">
        <v>0</v>
      </c>
      <c r="T2" s="6" t="e">
        <f t="shared" ref="T2" si="1">S2/R2</f>
        <v>#DIV/0!</v>
      </c>
      <c r="U2" s="35" t="e">
        <f>IF(T2&gt;=#REF!,"Desempenho Ótimo",(IF(T2&gt;#REF!,"Desempenho Bom",(IF(T2&gt;#REF!,"Desempenho Médio",IF(T2&lt;=#REF!,"Desempenho Deficitário",0))))))</f>
        <v>#DIV/0!</v>
      </c>
      <c r="V2" s="6" t="e">
        <f>'Cálculo Banda Part. Event.'!BM2</f>
        <v>#DIV/0!</v>
      </c>
      <c r="W2" s="6" t="e">
        <f>'Cálculo Banda Part. Event.'!BN2</f>
        <v>#DIV/0!</v>
      </c>
      <c r="X2" s="6" t="e">
        <f>'Cálculo Banda Part. Event.'!BO2</f>
        <v>#DIV/0!</v>
      </c>
      <c r="Y2" s="6" t="e">
        <f t="shared" ref="Y2:Y13" si="2">IF(X2&lt;0,X2+(Z2/2),X2)</f>
        <v>#DIV/0!</v>
      </c>
      <c r="Z2" s="6" t="e">
        <f>'Cálculo Banda Part. Event.'!BP2</f>
        <v>#DIV/0!</v>
      </c>
    </row>
    <row r="3" spans="1:26" s="10" customFormat="1" ht="15" x14ac:dyDescent="0.2">
      <c r="A3" t="s">
        <v>316</v>
      </c>
      <c r="B3" s="6">
        <f t="shared" ref="B3:B13" si="3">_xlfn.IFS(C3="Janeiro",1,C3="Fevereiro",2,C3="Março",3,C3="Abril",4,C3="Maio",5,C3="Junho",6,C3="Julho",7,C3="Agosto",8,C3="Setembro",9,C3="Outubro",10,C3="Novembro",11,C3="Dezembro",12,TRUE,0)</f>
        <v>2</v>
      </c>
      <c r="C3" s="7" t="s">
        <v>152</v>
      </c>
      <c r="D3" s="68">
        <v>0</v>
      </c>
      <c r="E3" s="68">
        <v>0</v>
      </c>
      <c r="F3" s="65" t="e">
        <f t="shared" si="0"/>
        <v>#DIV/0!</v>
      </c>
      <c r="G3" s="60" t="e">
        <f>IF(F3&gt;=#REF!,"Desempenho Ótimo",(IF(F3&gt;#REF!,"Desempenho Bom",(IF(F3&gt;#REF!,"Desempenho Médio",IF(F3&lt;=#REF!,"Desempenho Deficitário",0))))))</f>
        <v>#DIV/0!</v>
      </c>
      <c r="H3" s="66" t="e">
        <f>'Cálculo Banda Part. Proj'!BM3</f>
        <v>#DIV/0!</v>
      </c>
      <c r="I3" s="66" t="e">
        <f>'Cálculo Banda Part. Proj'!BN3</f>
        <v>#DIV/0!</v>
      </c>
      <c r="J3" s="66" t="e">
        <f>'Cálculo Banda Part. Proj'!BO3</f>
        <v>#DIV/0!</v>
      </c>
      <c r="K3" s="69">
        <v>0</v>
      </c>
      <c r="L3" s="69">
        <f>'Monitoramento Acumulado Geral'!Q3</f>
        <v>0</v>
      </c>
      <c r="M3" s="6" t="e">
        <f>(SUM(L2:L3))/K2</f>
        <v>#DIV/0!</v>
      </c>
      <c r="N3" s="35" t="e">
        <f>IF(M3&gt;=#REF!,"Desempenho Ótimo",(IF(M3&gt;#REF!,"Desempenho Bom",(IF(M3&gt;#REF!,"Desempenho Médio",IF(M3&lt;=#REF!,"Desempenho Deficitário",0))))))</f>
        <v>#DIV/0!</v>
      </c>
      <c r="O3" s="14" t="e">
        <f>'Cálculo Banda Faturamento'!BM3</f>
        <v>#DIV/0!</v>
      </c>
      <c r="P3" s="14" t="e">
        <f>'Cálculo Banda Faturamento'!BN3</f>
        <v>#DIV/0!</v>
      </c>
      <c r="Q3" s="14" t="e">
        <f>'Cálculo Banda Faturamento'!BO3</f>
        <v>#DIV/0!</v>
      </c>
      <c r="R3" s="69">
        <v>0</v>
      </c>
      <c r="S3" s="69">
        <v>0</v>
      </c>
      <c r="T3" s="6" t="e">
        <f t="shared" ref="T3:T13" si="4">S3/R3</f>
        <v>#DIV/0!</v>
      </c>
      <c r="U3" s="35" t="e">
        <f>IF(T3&gt;=#REF!,"Desempenho Ótimo",(IF(T3&gt;#REF!,"Desempenho Bom",(IF(T3&gt;#REF!,"Desempenho Médio",IF(T3&lt;=#REF!,"Desempenho Deficitário",0))))))</f>
        <v>#DIV/0!</v>
      </c>
      <c r="V3" s="6" t="e">
        <f>'Cálculo Banda Part. Event.'!BM3</f>
        <v>#DIV/0!</v>
      </c>
      <c r="W3" s="6" t="e">
        <f>'Cálculo Banda Part. Event.'!BN3</f>
        <v>#DIV/0!</v>
      </c>
      <c r="X3" s="6" t="e">
        <f>'Cálculo Banda Part. Event.'!BO3</f>
        <v>#DIV/0!</v>
      </c>
      <c r="Y3" s="6" t="e">
        <f t="shared" si="2"/>
        <v>#DIV/0!</v>
      </c>
      <c r="Z3" s="6" t="e">
        <f>'Cálculo Banda Part. Event.'!BP3</f>
        <v>#DIV/0!</v>
      </c>
    </row>
    <row r="4" spans="1:26" s="10" customFormat="1" ht="15" x14ac:dyDescent="0.2">
      <c r="A4" t="s">
        <v>316</v>
      </c>
      <c r="B4" s="6">
        <f t="shared" si="3"/>
        <v>3</v>
      </c>
      <c r="C4" s="7" t="s">
        <v>153</v>
      </c>
      <c r="D4" s="68">
        <v>0</v>
      </c>
      <c r="E4" s="68">
        <v>0</v>
      </c>
      <c r="F4" s="65" t="e">
        <f t="shared" si="0"/>
        <v>#DIV/0!</v>
      </c>
      <c r="G4" s="60" t="e">
        <f>IF(F4&gt;=#REF!,"Desempenho Ótimo",(IF(F4&gt;#REF!,"Desempenho Bom",(IF(F4&gt;#REF!,"Desempenho Médio",IF(F4&lt;=#REF!,"Desempenho Deficitário",0))))))</f>
        <v>#DIV/0!</v>
      </c>
      <c r="H4" s="66" t="e">
        <f>'Cálculo Banda Part. Proj'!BM4</f>
        <v>#DIV/0!</v>
      </c>
      <c r="I4" s="66" t="e">
        <f>'Cálculo Banda Part. Proj'!BN4</f>
        <v>#DIV/0!</v>
      </c>
      <c r="J4" s="66" t="e">
        <f>'Cálculo Banda Part. Proj'!BO4</f>
        <v>#DIV/0!</v>
      </c>
      <c r="K4" s="69">
        <v>0</v>
      </c>
      <c r="L4" s="69">
        <f>'Monitoramento Acumulado Geral'!Q4</f>
        <v>0</v>
      </c>
      <c r="M4" s="6" t="e">
        <f>(SUM(L2:L4))/K3</f>
        <v>#DIV/0!</v>
      </c>
      <c r="N4" s="35" t="e">
        <f>IF(M4&gt;=#REF!,"Desempenho Ótimo",(IF(M4&gt;#REF!,"Desempenho Bom",(IF(M4&gt;#REF!,"Desempenho Médio",IF(M4&lt;=#REF!,"Desempenho Deficitário",0))))))</f>
        <v>#DIV/0!</v>
      </c>
      <c r="O4" s="14" t="e">
        <f>'Cálculo Banda Faturamento'!BM4</f>
        <v>#DIV/0!</v>
      </c>
      <c r="P4" s="14" t="e">
        <f>'Cálculo Banda Faturamento'!BN4</f>
        <v>#DIV/0!</v>
      </c>
      <c r="Q4" s="14" t="e">
        <f>'Cálculo Banda Faturamento'!BO4</f>
        <v>#DIV/0!</v>
      </c>
      <c r="R4" s="69">
        <v>0</v>
      </c>
      <c r="S4" s="69">
        <v>0</v>
      </c>
      <c r="T4" s="6" t="e">
        <f t="shared" si="4"/>
        <v>#DIV/0!</v>
      </c>
      <c r="U4" s="35" t="e">
        <f>IF(T4&gt;=#REF!,"Desempenho Ótimo",(IF(T4&gt;#REF!,"Desempenho Bom",(IF(T4&gt;#REF!,"Desempenho Médio",IF(T4&lt;=#REF!,"Desempenho Deficitário",0))))))</f>
        <v>#DIV/0!</v>
      </c>
      <c r="V4" s="6" t="e">
        <f>'Cálculo Banda Part. Event.'!BM4</f>
        <v>#DIV/0!</v>
      </c>
      <c r="W4" s="6" t="e">
        <f>'Cálculo Banda Part. Event.'!BN4</f>
        <v>#DIV/0!</v>
      </c>
      <c r="X4" s="6" t="e">
        <f>'Cálculo Banda Part. Event.'!BO4</f>
        <v>#DIV/0!</v>
      </c>
      <c r="Y4" s="6" t="e">
        <f t="shared" si="2"/>
        <v>#DIV/0!</v>
      </c>
      <c r="Z4" s="6" t="e">
        <f>'Cálculo Banda Part. Event.'!BP4</f>
        <v>#DIV/0!</v>
      </c>
    </row>
    <row r="5" spans="1:26" s="10" customFormat="1" ht="15" x14ac:dyDescent="0.2">
      <c r="A5" t="s">
        <v>316</v>
      </c>
      <c r="B5" s="6">
        <f t="shared" si="3"/>
        <v>4</v>
      </c>
      <c r="C5" s="7" t="s">
        <v>154</v>
      </c>
      <c r="D5" s="68">
        <v>0</v>
      </c>
      <c r="E5" s="68">
        <v>0</v>
      </c>
      <c r="F5" s="65" t="e">
        <f t="shared" si="0"/>
        <v>#DIV/0!</v>
      </c>
      <c r="G5" s="60" t="e">
        <f>IF(F5&gt;=#REF!,"Desempenho Ótimo",(IF(F5&gt;#REF!,"Desempenho Bom",(IF(F5&gt;#REF!,"Desempenho Médio",IF(F5&lt;=#REF!,"Desempenho Deficitário",0))))))</f>
        <v>#DIV/0!</v>
      </c>
      <c r="H5" s="66" t="e">
        <f>'Cálculo Banda Part. Proj'!BM5</f>
        <v>#DIV/0!</v>
      </c>
      <c r="I5" s="66" t="e">
        <f>'Cálculo Banda Part. Proj'!BN5</f>
        <v>#DIV/0!</v>
      </c>
      <c r="J5" s="66" t="e">
        <f>'Cálculo Banda Part. Proj'!BO5</f>
        <v>#DIV/0!</v>
      </c>
      <c r="K5" s="69">
        <v>0</v>
      </c>
      <c r="L5" s="69">
        <f>'Monitoramento Acumulado Geral'!Q5</f>
        <v>0</v>
      </c>
      <c r="M5" s="6" t="e">
        <f>(SUM(L2:L5))/K4</f>
        <v>#DIV/0!</v>
      </c>
      <c r="N5" s="35" t="e">
        <f>IF(M5&gt;=#REF!,"Desempenho Ótimo",(IF(M5&gt;#REF!,"Desempenho Bom",(IF(M5&gt;#REF!,"Desempenho Médio",IF(M5&lt;=#REF!,"Desempenho Deficitário",0))))))</f>
        <v>#DIV/0!</v>
      </c>
      <c r="O5" s="14" t="e">
        <f>'Cálculo Banda Faturamento'!BM5</f>
        <v>#DIV/0!</v>
      </c>
      <c r="P5" s="14" t="e">
        <f>'Cálculo Banda Faturamento'!BN5</f>
        <v>#DIV/0!</v>
      </c>
      <c r="Q5" s="14" t="e">
        <f>'Cálculo Banda Faturamento'!BO5</f>
        <v>#DIV/0!</v>
      </c>
      <c r="R5" s="69">
        <v>0</v>
      </c>
      <c r="S5" s="69">
        <v>0</v>
      </c>
      <c r="T5" s="6" t="e">
        <f t="shared" si="4"/>
        <v>#DIV/0!</v>
      </c>
      <c r="U5" s="35" t="e">
        <f>IF(T5&gt;=#REF!,"Desempenho Ótimo",(IF(T5&gt;#REF!,"Desempenho Bom",(IF(T5&gt;#REF!,"Desempenho Médio",IF(T5&lt;=#REF!,"Desempenho Deficitário",0))))))</f>
        <v>#DIV/0!</v>
      </c>
      <c r="V5" s="6" t="e">
        <f>'Cálculo Banda Part. Event.'!BM5</f>
        <v>#DIV/0!</v>
      </c>
      <c r="W5" s="6" t="e">
        <f>'Cálculo Banda Part. Event.'!BN5</f>
        <v>#DIV/0!</v>
      </c>
      <c r="X5" s="6" t="e">
        <f>'Cálculo Banda Part. Event.'!BO5</f>
        <v>#DIV/0!</v>
      </c>
      <c r="Y5" s="6" t="e">
        <f t="shared" si="2"/>
        <v>#DIV/0!</v>
      </c>
      <c r="Z5" s="6" t="e">
        <f>'Cálculo Banda Part. Event.'!BP5</f>
        <v>#DIV/0!</v>
      </c>
    </row>
    <row r="6" spans="1:26" s="10" customFormat="1" ht="15" x14ac:dyDescent="0.2">
      <c r="A6" t="s">
        <v>316</v>
      </c>
      <c r="B6" s="6">
        <f t="shared" si="3"/>
        <v>5</v>
      </c>
      <c r="C6" s="7" t="s">
        <v>155</v>
      </c>
      <c r="D6" s="68">
        <v>0</v>
      </c>
      <c r="E6" s="68">
        <v>0</v>
      </c>
      <c r="F6" s="65" t="e">
        <f t="shared" si="0"/>
        <v>#DIV/0!</v>
      </c>
      <c r="G6" s="60" t="e">
        <f>IF(F6&gt;=#REF!,"Desempenho Ótimo",(IF(F6&gt;#REF!,"Desempenho Bom",(IF(F6&gt;#REF!,"Desempenho Médio",IF(F6&lt;=#REF!,"Desempenho Deficitário",0))))))</f>
        <v>#DIV/0!</v>
      </c>
      <c r="H6" s="66" t="e">
        <f>'Cálculo Banda Part. Proj'!BM6</f>
        <v>#DIV/0!</v>
      </c>
      <c r="I6" s="66" t="e">
        <f>'Cálculo Banda Part. Proj'!BN6</f>
        <v>#DIV/0!</v>
      </c>
      <c r="J6" s="66" t="e">
        <f>'Cálculo Banda Part. Proj'!BO6</f>
        <v>#DIV/0!</v>
      </c>
      <c r="K6" s="69">
        <v>0</v>
      </c>
      <c r="L6" s="69">
        <f>'Monitoramento Acumulado Geral'!Q6</f>
        <v>0</v>
      </c>
      <c r="M6" s="6" t="e">
        <f>(SUM(L2:L6))/K5</f>
        <v>#DIV/0!</v>
      </c>
      <c r="N6" s="35" t="e">
        <f>IF(M6&gt;=#REF!,"Desempenho Ótimo",(IF(M6&gt;#REF!,"Desempenho Bom",(IF(M6&gt;#REF!,"Desempenho Médio",IF(M6&lt;=#REF!,"Desempenho Deficitário",0))))))</f>
        <v>#DIV/0!</v>
      </c>
      <c r="O6" s="14" t="e">
        <f>'Cálculo Banda Faturamento'!BM6</f>
        <v>#DIV/0!</v>
      </c>
      <c r="P6" s="14" t="e">
        <f>'Cálculo Banda Faturamento'!BN6</f>
        <v>#DIV/0!</v>
      </c>
      <c r="Q6" s="14" t="e">
        <f>'Cálculo Banda Faturamento'!BO6</f>
        <v>#DIV/0!</v>
      </c>
      <c r="R6" s="69">
        <v>0</v>
      </c>
      <c r="S6" s="69">
        <v>0</v>
      </c>
      <c r="T6" s="6" t="e">
        <f t="shared" si="4"/>
        <v>#DIV/0!</v>
      </c>
      <c r="U6" s="35" t="e">
        <f>IF(T6&gt;=#REF!,"Desempenho Ótimo",(IF(T6&gt;#REF!,"Desempenho Bom",(IF(T6&gt;#REF!,"Desempenho Médio",IF(T6&lt;=#REF!,"Desempenho Deficitário",0))))))</f>
        <v>#DIV/0!</v>
      </c>
      <c r="V6" s="6" t="e">
        <f>'Cálculo Banda Part. Event.'!BM6</f>
        <v>#DIV/0!</v>
      </c>
      <c r="W6" s="6" t="e">
        <f>'Cálculo Banda Part. Event.'!BN6</f>
        <v>#DIV/0!</v>
      </c>
      <c r="X6" s="6" t="e">
        <f>'Cálculo Banda Part. Event.'!BO6</f>
        <v>#DIV/0!</v>
      </c>
      <c r="Y6" s="6" t="e">
        <f t="shared" si="2"/>
        <v>#DIV/0!</v>
      </c>
      <c r="Z6" s="6" t="e">
        <f>'Cálculo Banda Part. Event.'!BP6</f>
        <v>#DIV/0!</v>
      </c>
    </row>
    <row r="7" spans="1:26" s="10" customFormat="1" ht="15" x14ac:dyDescent="0.2">
      <c r="A7" t="s">
        <v>316</v>
      </c>
      <c r="B7" s="6">
        <f t="shared" si="3"/>
        <v>6</v>
      </c>
      <c r="C7" s="7" t="s">
        <v>156</v>
      </c>
      <c r="D7" s="68">
        <v>0</v>
      </c>
      <c r="E7" s="68">
        <v>0</v>
      </c>
      <c r="F7" s="65" t="e">
        <f t="shared" si="0"/>
        <v>#DIV/0!</v>
      </c>
      <c r="G7" s="60" t="e">
        <f>IF(F7&gt;=#REF!,"Desempenho Ótimo",(IF(F7&gt;#REF!,"Desempenho Bom",(IF(F7&gt;#REF!,"Desempenho Médio",IF(F7&lt;=#REF!,"Desempenho Deficitário",0))))))</f>
        <v>#DIV/0!</v>
      </c>
      <c r="H7" s="66" t="e">
        <f>'Cálculo Banda Part. Proj'!BM7</f>
        <v>#DIV/0!</v>
      </c>
      <c r="I7" s="66" t="e">
        <f>'Cálculo Banda Part. Proj'!BN7</f>
        <v>#DIV/0!</v>
      </c>
      <c r="J7" s="66" t="e">
        <f>'Cálculo Banda Part. Proj'!BO7</f>
        <v>#DIV/0!</v>
      </c>
      <c r="K7" s="69">
        <v>0</v>
      </c>
      <c r="L7" s="69">
        <f>'Monitoramento Acumulado Geral'!Q7</f>
        <v>0</v>
      </c>
      <c r="M7" s="6" t="e">
        <f>(SUM(L2:L7))/K6</f>
        <v>#DIV/0!</v>
      </c>
      <c r="N7" s="35" t="e">
        <f>IF(M7&gt;=#REF!,"Desempenho Ótimo",(IF(M7&gt;#REF!,"Desempenho Bom",(IF(M7&gt;#REF!,"Desempenho Médio",IF(M7&lt;=#REF!,"Desempenho Deficitário",0))))))</f>
        <v>#DIV/0!</v>
      </c>
      <c r="O7" s="14" t="e">
        <f>'Cálculo Banda Faturamento'!BM7</f>
        <v>#DIV/0!</v>
      </c>
      <c r="P7" s="14" t="e">
        <f>'Cálculo Banda Faturamento'!BN7</f>
        <v>#DIV/0!</v>
      </c>
      <c r="Q7" s="14" t="e">
        <f>'Cálculo Banda Faturamento'!BO7</f>
        <v>#DIV/0!</v>
      </c>
      <c r="R7" s="69">
        <v>0</v>
      </c>
      <c r="S7" s="69">
        <v>0</v>
      </c>
      <c r="T7" s="6" t="e">
        <f t="shared" si="4"/>
        <v>#DIV/0!</v>
      </c>
      <c r="U7" s="35" t="e">
        <f>IF(T7&gt;=#REF!,"Desempenho Ótimo",(IF(T7&gt;#REF!,"Desempenho Bom",(IF(T7&gt;#REF!,"Desempenho Médio",IF(T7&lt;=#REF!,"Desempenho Deficitário",0))))))</f>
        <v>#DIV/0!</v>
      </c>
      <c r="V7" s="6" t="e">
        <f>'Cálculo Banda Part. Event.'!BM7</f>
        <v>#DIV/0!</v>
      </c>
      <c r="W7" s="6" t="e">
        <f>'Cálculo Banda Part. Event.'!BN7</f>
        <v>#DIV/0!</v>
      </c>
      <c r="X7" s="6" t="e">
        <f>'Cálculo Banda Part. Event.'!BO7</f>
        <v>#DIV/0!</v>
      </c>
      <c r="Y7" s="6" t="e">
        <f t="shared" si="2"/>
        <v>#DIV/0!</v>
      </c>
      <c r="Z7" s="6" t="e">
        <f>'Cálculo Banda Part. Event.'!BP7</f>
        <v>#DIV/0!</v>
      </c>
    </row>
    <row r="8" spans="1:26" s="10" customFormat="1" ht="15" x14ac:dyDescent="0.2">
      <c r="A8" t="s">
        <v>316</v>
      </c>
      <c r="B8" s="6">
        <f t="shared" si="3"/>
        <v>7</v>
      </c>
      <c r="C8" s="7" t="s">
        <v>157</v>
      </c>
      <c r="D8" s="68">
        <v>0</v>
      </c>
      <c r="E8" s="68">
        <v>0</v>
      </c>
      <c r="F8" s="65" t="e">
        <f t="shared" si="0"/>
        <v>#DIV/0!</v>
      </c>
      <c r="G8" s="60" t="e">
        <f>IF(F8&gt;=#REF!,"Desempenho Ótimo",(IF(F8&gt;#REF!,"Desempenho Bom",(IF(F8&gt;#REF!,"Desempenho Médio",IF(F8&lt;=#REF!,"Desempenho Deficitário",0))))))</f>
        <v>#DIV/0!</v>
      </c>
      <c r="H8" s="66" t="e">
        <f>'Cálculo Banda Part. Proj'!BM8</f>
        <v>#DIV/0!</v>
      </c>
      <c r="I8" s="66" t="e">
        <f>'Cálculo Banda Part. Proj'!BN8</f>
        <v>#DIV/0!</v>
      </c>
      <c r="J8" s="66" t="e">
        <f>'Cálculo Banda Part. Proj'!BO8</f>
        <v>#DIV/0!</v>
      </c>
      <c r="K8" s="69">
        <v>0</v>
      </c>
      <c r="L8" s="69">
        <f>'Monitoramento Acumulado Geral'!Q8</f>
        <v>0</v>
      </c>
      <c r="M8" s="6" t="e">
        <f>(SUM(L2:L8))/K7</f>
        <v>#DIV/0!</v>
      </c>
      <c r="N8" s="35" t="e">
        <f>IF(M8&gt;=#REF!,"Desempenho Ótimo",(IF(M8&gt;#REF!,"Desempenho Bom",(IF(M8&gt;#REF!,"Desempenho Médio",IF(M8&lt;=#REF!,"Desempenho Deficitário",0))))))</f>
        <v>#DIV/0!</v>
      </c>
      <c r="O8" s="14" t="e">
        <f>'Cálculo Banda Faturamento'!BM8</f>
        <v>#DIV/0!</v>
      </c>
      <c r="P8" s="14" t="e">
        <f>'Cálculo Banda Faturamento'!BN8</f>
        <v>#DIV/0!</v>
      </c>
      <c r="Q8" s="14" t="e">
        <f>'Cálculo Banda Faturamento'!BO8</f>
        <v>#DIV/0!</v>
      </c>
      <c r="R8" s="69">
        <v>0</v>
      </c>
      <c r="S8" s="69">
        <v>0</v>
      </c>
      <c r="T8" s="6" t="e">
        <f t="shared" si="4"/>
        <v>#DIV/0!</v>
      </c>
      <c r="U8" s="35" t="e">
        <f>IF(T8&gt;=#REF!,"Desempenho Ótimo",(IF(T8&gt;#REF!,"Desempenho Bom",(IF(T8&gt;#REF!,"Desempenho Médio",IF(T8&lt;=#REF!,"Desempenho Deficitário",0))))))</f>
        <v>#DIV/0!</v>
      </c>
      <c r="V8" s="6" t="e">
        <f>'Cálculo Banda Part. Event.'!BM8</f>
        <v>#DIV/0!</v>
      </c>
      <c r="W8" s="6" t="e">
        <f>'Cálculo Banda Part. Event.'!BN8</f>
        <v>#DIV/0!</v>
      </c>
      <c r="X8" s="6" t="e">
        <f>'Cálculo Banda Part. Event.'!BO8</f>
        <v>#DIV/0!</v>
      </c>
      <c r="Y8" s="6" t="e">
        <f t="shared" si="2"/>
        <v>#DIV/0!</v>
      </c>
      <c r="Z8" s="6" t="e">
        <f>'Cálculo Banda Part. Event.'!BP8</f>
        <v>#DIV/0!</v>
      </c>
    </row>
    <row r="9" spans="1:26" s="10" customFormat="1" ht="15" x14ac:dyDescent="0.2">
      <c r="A9" t="s">
        <v>316</v>
      </c>
      <c r="B9" s="6">
        <f t="shared" si="3"/>
        <v>8</v>
      </c>
      <c r="C9" s="7" t="s">
        <v>158</v>
      </c>
      <c r="D9" s="68">
        <v>0</v>
      </c>
      <c r="E9" s="68">
        <v>44</v>
      </c>
      <c r="F9" s="65" t="e">
        <f t="shared" si="0"/>
        <v>#DIV/0!</v>
      </c>
      <c r="G9" s="60" t="e">
        <f>IF(F9&gt;=#REF!,"Desempenho Ótimo",(IF(F9&gt;#REF!,"Desempenho Bom",(IF(F9&gt;#REF!,"Desempenho Médio",IF(F9&lt;=#REF!,"Desempenho Deficitário",0))))))</f>
        <v>#DIV/0!</v>
      </c>
      <c r="H9" s="66" t="e">
        <f>'Cálculo Banda Part. Proj'!BM9</f>
        <v>#DIV/0!</v>
      </c>
      <c r="I9" s="66" t="e">
        <f>'Cálculo Banda Part. Proj'!BN9</f>
        <v>#DIV/0!</v>
      </c>
      <c r="J9" s="66" t="e">
        <f>'Cálculo Banda Part. Proj'!BO9</f>
        <v>#DIV/0!</v>
      </c>
      <c r="K9" s="69">
        <v>0</v>
      </c>
      <c r="L9" s="69">
        <f>'Monitoramento Acumulado Geral'!Q9</f>
        <v>240</v>
      </c>
      <c r="M9" s="6" t="e">
        <f>(SUM(L2:L9))/K8</f>
        <v>#DIV/0!</v>
      </c>
      <c r="N9" s="35" t="e">
        <f>IF(M9&gt;=#REF!,"Desempenho Ótimo",(IF(M9&gt;#REF!,"Desempenho Bom",(IF(M9&gt;#REF!,"Desempenho Médio",IF(M9&lt;=#REF!,"Desempenho Deficitário",0))))))</f>
        <v>#DIV/0!</v>
      </c>
      <c r="O9" s="14" t="e">
        <f>'Cálculo Banda Faturamento'!BM9</f>
        <v>#DIV/0!</v>
      </c>
      <c r="P9" s="14" t="e">
        <f>'Cálculo Banda Faturamento'!BN9</f>
        <v>#DIV/0!</v>
      </c>
      <c r="Q9" s="14" t="e">
        <f>'Cálculo Banda Faturamento'!BO9</f>
        <v>#DIV/0!</v>
      </c>
      <c r="R9" s="69">
        <v>0</v>
      </c>
      <c r="S9" s="69">
        <v>0</v>
      </c>
      <c r="T9" s="6" t="e">
        <f t="shared" si="4"/>
        <v>#DIV/0!</v>
      </c>
      <c r="U9" s="35" t="e">
        <f>IF(T9&gt;=#REF!,"Desempenho Ótimo",(IF(T9&gt;#REF!,"Desempenho Bom",(IF(T9&gt;#REF!,"Desempenho Médio",IF(T9&lt;=#REF!,"Desempenho Deficitário",0))))))</f>
        <v>#DIV/0!</v>
      </c>
      <c r="V9" s="6" t="e">
        <f>'Cálculo Banda Part. Event.'!BM9</f>
        <v>#DIV/0!</v>
      </c>
      <c r="W9" s="6" t="e">
        <f>'Cálculo Banda Part. Event.'!BN9</f>
        <v>#DIV/0!</v>
      </c>
      <c r="X9" s="6" t="e">
        <f>'Cálculo Banda Part. Event.'!BO9</f>
        <v>#DIV/0!</v>
      </c>
      <c r="Y9" s="6" t="e">
        <f t="shared" si="2"/>
        <v>#DIV/0!</v>
      </c>
      <c r="Z9" s="6" t="e">
        <f>'Cálculo Banda Part. Event.'!BP9</f>
        <v>#DIV/0!</v>
      </c>
    </row>
    <row r="10" spans="1:26" s="10" customFormat="1" ht="15" x14ac:dyDescent="0.2">
      <c r="A10" t="s">
        <v>316</v>
      </c>
      <c r="B10" s="6">
        <f t="shared" si="3"/>
        <v>9</v>
      </c>
      <c r="C10" s="7" t="s">
        <v>159</v>
      </c>
      <c r="D10" s="68">
        <v>0</v>
      </c>
      <c r="E10" s="68">
        <v>44</v>
      </c>
      <c r="F10" s="65" t="e">
        <f t="shared" si="0"/>
        <v>#DIV/0!</v>
      </c>
      <c r="G10" s="60" t="e">
        <f>IF(F10&gt;=#REF!,"Desempenho Ótimo",(IF(F10&gt;#REF!,"Desempenho Bom",(IF(F10&gt;#REF!,"Desempenho Médio",IF(F10&lt;=#REF!,"Desempenho Deficitário",0))))))</f>
        <v>#DIV/0!</v>
      </c>
      <c r="H10" s="66" t="e">
        <f>'Cálculo Banda Part. Proj'!BM10</f>
        <v>#DIV/0!</v>
      </c>
      <c r="I10" s="66" t="e">
        <f>'Cálculo Banda Part. Proj'!BN10</f>
        <v>#DIV/0!</v>
      </c>
      <c r="J10" s="66" t="e">
        <f>'Cálculo Banda Part. Proj'!BO10</f>
        <v>#DIV/0!</v>
      </c>
      <c r="K10" s="69">
        <v>0</v>
      </c>
      <c r="L10" s="69">
        <f>'Monitoramento Acumulado Geral'!Q10</f>
        <v>0</v>
      </c>
      <c r="M10" s="6" t="e">
        <f>(SUM(L2:L10))/K9</f>
        <v>#DIV/0!</v>
      </c>
      <c r="N10" s="35" t="e">
        <f>IF(M10&gt;=#REF!,"Desempenho Ótimo",(IF(M10&gt;#REF!,"Desempenho Bom",(IF(M10&gt;#REF!,"Desempenho Médio",IF(M10&lt;=#REF!,"Desempenho Deficitário",0))))))</f>
        <v>#DIV/0!</v>
      </c>
      <c r="O10" s="14" t="e">
        <f>'Cálculo Banda Faturamento'!BM10</f>
        <v>#DIV/0!</v>
      </c>
      <c r="P10" s="14" t="e">
        <f>'Cálculo Banda Faturamento'!BN10</f>
        <v>#DIV/0!</v>
      </c>
      <c r="Q10" s="14" t="e">
        <f>'Cálculo Banda Faturamento'!BO10</f>
        <v>#DIV/0!</v>
      </c>
      <c r="R10" s="69">
        <v>0</v>
      </c>
      <c r="S10" s="69">
        <v>0</v>
      </c>
      <c r="T10" s="6" t="e">
        <f t="shared" si="4"/>
        <v>#DIV/0!</v>
      </c>
      <c r="U10" s="35" t="e">
        <f>IF(T10&gt;=#REF!,"Desempenho Ótimo",(IF(T10&gt;#REF!,"Desempenho Bom",(IF(T10&gt;#REF!,"Desempenho Médio",IF(T10&lt;=#REF!,"Desempenho Deficitário",0))))))</f>
        <v>#DIV/0!</v>
      </c>
      <c r="V10" s="6" t="e">
        <f>'Cálculo Banda Part. Event.'!BM10</f>
        <v>#DIV/0!</v>
      </c>
      <c r="W10" s="6" t="e">
        <f>'Cálculo Banda Part. Event.'!BN10</f>
        <v>#DIV/0!</v>
      </c>
      <c r="X10" s="6" t="e">
        <f>'Cálculo Banda Part. Event.'!BO10</f>
        <v>#DIV/0!</v>
      </c>
      <c r="Y10" s="6" t="e">
        <f t="shared" si="2"/>
        <v>#DIV/0!</v>
      </c>
      <c r="Z10" s="6" t="e">
        <f>'Cálculo Banda Part. Event.'!BP10</f>
        <v>#DIV/0!</v>
      </c>
    </row>
    <row r="11" spans="1:26" s="10" customFormat="1" ht="15" x14ac:dyDescent="0.2">
      <c r="A11" t="s">
        <v>316</v>
      </c>
      <c r="B11" s="6">
        <f t="shared" si="3"/>
        <v>10</v>
      </c>
      <c r="C11" s="7" t="s">
        <v>160</v>
      </c>
      <c r="D11" s="68">
        <v>0</v>
      </c>
      <c r="E11" s="68">
        <v>44</v>
      </c>
      <c r="F11" s="65" t="e">
        <f t="shared" si="0"/>
        <v>#DIV/0!</v>
      </c>
      <c r="G11" s="60" t="e">
        <f>IF(F11&gt;=#REF!,"Desempenho Ótimo",(IF(F11&gt;#REF!,"Desempenho Bom",(IF(F11&gt;#REF!,"Desempenho Médio",IF(F11&lt;=#REF!,"Desempenho Deficitário",0))))))</f>
        <v>#DIV/0!</v>
      </c>
      <c r="H11" s="66" t="e">
        <f>'Cálculo Banda Part. Proj'!BM11</f>
        <v>#DIV/0!</v>
      </c>
      <c r="I11" s="66" t="e">
        <f>'Cálculo Banda Part. Proj'!BN11</f>
        <v>#DIV/0!</v>
      </c>
      <c r="J11" s="66" t="e">
        <f>'Cálculo Banda Part. Proj'!BO11</f>
        <v>#DIV/0!</v>
      </c>
      <c r="K11" s="69">
        <v>0</v>
      </c>
      <c r="L11" s="69">
        <f>'Monitoramento Acumulado Geral'!Q11</f>
        <v>0</v>
      </c>
      <c r="M11" s="6" t="e">
        <f>(SUM(L2:L11))/K10</f>
        <v>#DIV/0!</v>
      </c>
      <c r="N11" s="35" t="e">
        <f>IF(M11&gt;=#REF!,"Desempenho Ótimo",(IF(M11&gt;#REF!,"Desempenho Bom",(IF(M11&gt;#REF!,"Desempenho Médio",IF(M11&lt;=#REF!,"Desempenho Deficitário",0))))))</f>
        <v>#DIV/0!</v>
      </c>
      <c r="O11" s="14" t="e">
        <f>'Cálculo Banda Faturamento'!BM11</f>
        <v>#DIV/0!</v>
      </c>
      <c r="P11" s="14" t="e">
        <f>'Cálculo Banda Faturamento'!BN11</f>
        <v>#DIV/0!</v>
      </c>
      <c r="Q11" s="14" t="e">
        <f>'Cálculo Banda Faturamento'!BO11</f>
        <v>#DIV/0!</v>
      </c>
      <c r="R11" s="69">
        <v>0</v>
      </c>
      <c r="S11" s="69">
        <v>0</v>
      </c>
      <c r="T11" s="6" t="e">
        <f t="shared" si="4"/>
        <v>#DIV/0!</v>
      </c>
      <c r="U11" s="35" t="e">
        <f>IF(T11&gt;=#REF!,"Desempenho Ótimo",(IF(T11&gt;#REF!,"Desempenho Bom",(IF(T11&gt;#REF!,"Desempenho Médio",IF(T11&lt;=#REF!,"Desempenho Deficitário",0))))))</f>
        <v>#DIV/0!</v>
      </c>
      <c r="V11" s="6" t="e">
        <f>'Cálculo Banda Part. Event.'!BM11</f>
        <v>#DIV/0!</v>
      </c>
      <c r="W11" s="6" t="e">
        <f>'Cálculo Banda Part. Event.'!BN11</f>
        <v>#DIV/0!</v>
      </c>
      <c r="X11" s="6" t="e">
        <f>'Cálculo Banda Part. Event.'!BO11</f>
        <v>#DIV/0!</v>
      </c>
      <c r="Y11" s="6" t="e">
        <f t="shared" si="2"/>
        <v>#DIV/0!</v>
      </c>
      <c r="Z11" s="6" t="e">
        <f>'Cálculo Banda Part. Event.'!BP11</f>
        <v>#DIV/0!</v>
      </c>
    </row>
    <row r="12" spans="1:26" s="10" customFormat="1" ht="15" x14ac:dyDescent="0.2">
      <c r="A12" t="s">
        <v>316</v>
      </c>
      <c r="B12" s="6">
        <f t="shared" si="3"/>
        <v>11</v>
      </c>
      <c r="C12" s="7" t="s">
        <v>161</v>
      </c>
      <c r="D12" s="68">
        <v>0</v>
      </c>
      <c r="E12" s="68"/>
      <c r="F12" s="65" t="e">
        <f t="shared" si="0"/>
        <v>#DIV/0!</v>
      </c>
      <c r="G12" s="60" t="e">
        <f>IF(F12&gt;=#REF!,"Desempenho Ótimo",(IF(F12&gt;#REF!,"Desempenho Bom",(IF(F12&gt;#REF!,"Desempenho Médio",IF(F12&lt;=#REF!,"Desempenho Deficitário",0))))))</f>
        <v>#DIV/0!</v>
      </c>
      <c r="H12" s="66" t="e">
        <f>'Cálculo Banda Part. Proj'!BM12</f>
        <v>#DIV/0!</v>
      </c>
      <c r="I12" s="66" t="e">
        <f>'Cálculo Banda Part. Proj'!BN12</f>
        <v>#DIV/0!</v>
      </c>
      <c r="J12" s="66" t="e">
        <f>'Cálculo Banda Part. Proj'!BO12</f>
        <v>#DIV/0!</v>
      </c>
      <c r="K12" s="69">
        <v>0</v>
      </c>
      <c r="L12" s="69">
        <f>'Monitoramento Acumulado Geral'!Q12</f>
        <v>0</v>
      </c>
      <c r="M12" s="6" t="e">
        <f>(SUM(L2:L12))/K11</f>
        <v>#DIV/0!</v>
      </c>
      <c r="N12" s="35" t="e">
        <f>IF(M12&gt;=#REF!,"Desempenho Ótimo",(IF(M12&gt;#REF!,"Desempenho Bom",(IF(M12&gt;#REF!,"Desempenho Médio",IF(M12&lt;=#REF!,"Desempenho Deficitário",0))))))</f>
        <v>#DIV/0!</v>
      </c>
      <c r="O12" s="14" t="e">
        <f>'Cálculo Banda Faturamento'!BM12</f>
        <v>#DIV/0!</v>
      </c>
      <c r="P12" s="14" t="e">
        <f>'Cálculo Banda Faturamento'!BN12</f>
        <v>#DIV/0!</v>
      </c>
      <c r="Q12" s="14" t="e">
        <f>'Cálculo Banda Faturamento'!BO12</f>
        <v>#DIV/0!</v>
      </c>
      <c r="R12" s="69">
        <v>0</v>
      </c>
      <c r="S12" s="69">
        <v>0</v>
      </c>
      <c r="T12" s="6" t="e">
        <f t="shared" si="4"/>
        <v>#DIV/0!</v>
      </c>
      <c r="U12" s="35" t="e">
        <f>IF(T12&gt;=#REF!,"Desempenho Ótimo",(IF(T12&gt;#REF!,"Desempenho Bom",(IF(T12&gt;#REF!,"Desempenho Médio",IF(T12&lt;=#REF!,"Desempenho Deficitário",0))))))</f>
        <v>#DIV/0!</v>
      </c>
      <c r="V12" s="6" t="e">
        <f>'Cálculo Banda Part. Event.'!BM12</f>
        <v>#DIV/0!</v>
      </c>
      <c r="W12" s="6" t="e">
        <f>'Cálculo Banda Part. Event.'!BN12</f>
        <v>#DIV/0!</v>
      </c>
      <c r="X12" s="6" t="e">
        <f>'Cálculo Banda Part. Event.'!BO12</f>
        <v>#DIV/0!</v>
      </c>
      <c r="Y12" s="6" t="e">
        <f t="shared" si="2"/>
        <v>#DIV/0!</v>
      </c>
      <c r="Z12" s="6" t="e">
        <f>'Cálculo Banda Part. Event.'!BP12</f>
        <v>#DIV/0!</v>
      </c>
    </row>
    <row r="13" spans="1:26" s="10" customFormat="1" ht="15" x14ac:dyDescent="0.2">
      <c r="A13" t="s">
        <v>316</v>
      </c>
      <c r="B13" s="6">
        <f t="shared" si="3"/>
        <v>12</v>
      </c>
      <c r="C13" s="7" t="s">
        <v>162</v>
      </c>
      <c r="D13" s="68">
        <v>0</v>
      </c>
      <c r="E13" s="68"/>
      <c r="F13" s="65" t="e">
        <f t="shared" si="0"/>
        <v>#DIV/0!</v>
      </c>
      <c r="G13" s="60" t="e">
        <f>IF(F13&gt;=#REF!,"Desempenho Ótimo",(IF(F13&gt;#REF!,"Desempenho Bom",(IF(F13&gt;#REF!,"Desempenho Médio",IF(F13&lt;=#REF!,"Desempenho Deficitário",0))))))</f>
        <v>#DIV/0!</v>
      </c>
      <c r="H13" s="66" t="e">
        <f>'Cálculo Banda Part. Proj'!BM13</f>
        <v>#DIV/0!</v>
      </c>
      <c r="I13" s="66" t="e">
        <f>'Cálculo Banda Part. Proj'!BN13</f>
        <v>#DIV/0!</v>
      </c>
      <c r="J13" s="66" t="e">
        <f>'Cálculo Banda Part. Proj'!BO13</f>
        <v>#DIV/0!</v>
      </c>
      <c r="K13" s="69">
        <v>0</v>
      </c>
      <c r="L13" s="69">
        <f>'Monitoramento Acumulado Geral'!Q13</f>
        <v>0</v>
      </c>
      <c r="M13" s="6" t="e">
        <f>(SUM(L2:L13))/K12</f>
        <v>#DIV/0!</v>
      </c>
      <c r="N13" s="35" t="e">
        <f t="shared" ref="N13:N44" si="5">IF(M13&gt;=P1,"Desempenho Ótimo",(IF(M13&gt;O1,"Desempenho Bom",(IF(M13&gt;Q1,"Desempenho Médio",IF(M13&lt;=Q1,"Desempenho Deficitário",0))))))</f>
        <v>#DIV/0!</v>
      </c>
      <c r="O13" s="14" t="e">
        <f>'Cálculo Banda Faturamento'!BM13</f>
        <v>#DIV/0!</v>
      </c>
      <c r="P13" s="14" t="e">
        <f>'Cálculo Banda Faturamento'!BN13</f>
        <v>#DIV/0!</v>
      </c>
      <c r="Q13" s="14" t="e">
        <f>'Cálculo Banda Faturamento'!BO13</f>
        <v>#DIV/0!</v>
      </c>
      <c r="R13" s="69">
        <v>0</v>
      </c>
      <c r="S13" s="69">
        <v>0</v>
      </c>
      <c r="T13" s="6" t="e">
        <f t="shared" si="4"/>
        <v>#DIV/0!</v>
      </c>
      <c r="U13" s="35" t="e">
        <f>IF(T13&gt;=#REF!,"Desempenho Ótimo",(IF(T13&gt;#REF!,"Desempenho Bom",(IF(T13&gt;#REF!,"Desempenho Médio",IF(T13&lt;=#REF!,"Desempenho Deficitário",0))))))</f>
        <v>#DIV/0!</v>
      </c>
      <c r="V13" s="6" t="e">
        <f>'Cálculo Banda Part. Event.'!BM13</f>
        <v>#DIV/0!</v>
      </c>
      <c r="W13" s="6" t="e">
        <f>'Cálculo Banda Part. Event.'!BN13</f>
        <v>#DIV/0!</v>
      </c>
      <c r="X13" s="6" t="e">
        <f>'Cálculo Banda Part. Event.'!BO13</f>
        <v>#DIV/0!</v>
      </c>
      <c r="Y13" s="6" t="e">
        <f t="shared" si="2"/>
        <v>#DIV/0!</v>
      </c>
      <c r="Z13" s="6" t="e">
        <f>'Cálculo Banda Part. Event.'!BP13</f>
        <v>#DIV/0!</v>
      </c>
    </row>
    <row r="14" spans="1:26" x14ac:dyDescent="0.2">
      <c r="A14" s="7" t="s">
        <v>83</v>
      </c>
      <c r="B14" s="6">
        <f>_xlfn.IFS(C14="Janeiro",1,C14="Fevereiro",2,C14="Março",3,C14="Abril",4,C14="Maio",5,C14="Junho",6,C14="Julho",7,C14="Agosto",8,C14="Setembro",9,C14="Outubro",10,C14="Novembro",11,C14="Dezembro",12,TRUE,0)</f>
        <v>1</v>
      </c>
      <c r="C14" s="7" t="s">
        <v>151</v>
      </c>
      <c r="D14" s="68">
        <v>75</v>
      </c>
      <c r="E14" s="68">
        <v>50</v>
      </c>
      <c r="F14" s="65">
        <f>E14/D14</f>
        <v>0.66666666666666663</v>
      </c>
      <c r="G14" s="60" t="e">
        <f t="shared" ref="G14:G45" si="6">IF(F14&gt;=I2,"Desempenho Ótimo",(IF(F14&gt;H2,"Desempenho Bom",(IF(F14&gt;J2,"Desempenho Médio",IF(F14&lt;=J2,"Desempenho Deficitário",0))))))</f>
        <v>#DIV/0!</v>
      </c>
      <c r="H14" s="65" t="e">
        <f t="shared" ref="H14:J33" si="7">H2</f>
        <v>#DIV/0!</v>
      </c>
      <c r="I14" s="65" t="e">
        <f t="shared" si="7"/>
        <v>#DIV/0!</v>
      </c>
      <c r="J14" s="65" t="e">
        <f t="shared" si="7"/>
        <v>#DIV/0!</v>
      </c>
      <c r="K14" s="69">
        <v>16700</v>
      </c>
      <c r="L14" s="69">
        <f>'Monitoramento Acumulado Geral'!Q14</f>
        <v>1892</v>
      </c>
      <c r="M14" s="6">
        <f>L14/K14</f>
        <v>0.1132934131736527</v>
      </c>
      <c r="N14" s="35" t="e">
        <f t="shared" si="5"/>
        <v>#DIV/0!</v>
      </c>
      <c r="O14" s="6" t="e">
        <f>O2</f>
        <v>#DIV/0!</v>
      </c>
      <c r="P14" s="6" t="e">
        <f t="shared" ref="P14:Q14" si="8">P2</f>
        <v>#DIV/0!</v>
      </c>
      <c r="Q14" s="6" t="e">
        <f t="shared" si="8"/>
        <v>#DIV/0!</v>
      </c>
      <c r="R14" s="69">
        <v>80</v>
      </c>
      <c r="S14" s="69">
        <v>0</v>
      </c>
      <c r="T14" s="6">
        <f t="shared" ref="T14:T77" si="9">S14/R14</f>
        <v>0</v>
      </c>
      <c r="U14" s="35" t="e">
        <f t="shared" ref="U14:U49" si="10">IF(T14&gt;=W2,"Desempenho Ótimo",(IF(T14&gt;V2,"Desempenho Bom",(IF(T14&gt;X2,"Desempenho Médio",IF(T14&lt;=X2,"Desempenho Deficitário",0))))))</f>
        <v>#DIV/0!</v>
      </c>
      <c r="V14" s="6" t="e">
        <f t="shared" ref="V14:Z23" si="11">V2</f>
        <v>#DIV/0!</v>
      </c>
      <c r="W14" s="6" t="e">
        <f t="shared" si="11"/>
        <v>#DIV/0!</v>
      </c>
      <c r="X14" s="6" t="e">
        <f t="shared" si="11"/>
        <v>#DIV/0!</v>
      </c>
      <c r="Y14" s="6" t="e">
        <f t="shared" si="11"/>
        <v>#DIV/0!</v>
      </c>
      <c r="Z14" s="6" t="e">
        <f t="shared" si="11"/>
        <v>#DIV/0!</v>
      </c>
    </row>
    <row r="15" spans="1:26" x14ac:dyDescent="0.2">
      <c r="A15" s="7" t="s">
        <v>83</v>
      </c>
      <c r="B15" s="6">
        <f t="shared" ref="B15:B78" si="12">_xlfn.IFS(C15="Janeiro",1,C15="Fevereiro",2,C15="Março",3,C15="Abril",4,C15="Maio",5,C15="Junho",6,C15="Julho",7,C15="Agosto",8,C15="Setembro",9,C15="Outubro",10,C15="Novembro",11,C15="Dezembro",12,TRUE,0)</f>
        <v>2</v>
      </c>
      <c r="C15" s="7" t="s">
        <v>152</v>
      </c>
      <c r="D15" s="68">
        <v>75</v>
      </c>
      <c r="E15" s="68">
        <v>100</v>
      </c>
      <c r="F15" s="65">
        <f t="shared" ref="F15:F77" si="13">E15/D15</f>
        <v>1.3333333333333333</v>
      </c>
      <c r="G15" s="60" t="e">
        <f t="shared" si="6"/>
        <v>#DIV/0!</v>
      </c>
      <c r="H15" s="65" t="e">
        <f t="shared" si="7"/>
        <v>#DIV/0!</v>
      </c>
      <c r="I15" s="65" t="e">
        <f t="shared" si="7"/>
        <v>#DIV/0!</v>
      </c>
      <c r="J15" s="65" t="e">
        <f t="shared" si="7"/>
        <v>#DIV/0!</v>
      </c>
      <c r="K15" s="69">
        <v>16700</v>
      </c>
      <c r="L15" s="69">
        <f>'Monitoramento Acumulado Geral'!Q15</f>
        <v>5605</v>
      </c>
      <c r="M15" s="6">
        <f>(SUM(L14:L15))/K14</f>
        <v>0.44892215568862276</v>
      </c>
      <c r="N15" s="35" t="e">
        <f t="shared" si="5"/>
        <v>#DIV/0!</v>
      </c>
      <c r="O15" s="6" t="e">
        <f t="shared" ref="O15:Q25" si="14">O3</f>
        <v>#DIV/0!</v>
      </c>
      <c r="P15" s="6" t="e">
        <f t="shared" si="14"/>
        <v>#DIV/0!</v>
      </c>
      <c r="Q15" s="6" t="e">
        <f t="shared" si="14"/>
        <v>#DIV/0!</v>
      </c>
      <c r="R15" s="69">
        <v>80</v>
      </c>
      <c r="S15" s="69">
        <v>0</v>
      </c>
      <c r="T15" s="6">
        <f t="shared" si="9"/>
        <v>0</v>
      </c>
      <c r="U15" s="35" t="e">
        <f t="shared" si="10"/>
        <v>#DIV/0!</v>
      </c>
      <c r="V15" s="6" t="e">
        <f t="shared" si="11"/>
        <v>#DIV/0!</v>
      </c>
      <c r="W15" s="6" t="e">
        <f t="shared" si="11"/>
        <v>#DIV/0!</v>
      </c>
      <c r="X15" s="6" t="e">
        <f t="shared" si="11"/>
        <v>#DIV/0!</v>
      </c>
      <c r="Y15" s="6" t="e">
        <f t="shared" si="11"/>
        <v>#DIV/0!</v>
      </c>
      <c r="Z15" s="6" t="e">
        <f t="shared" si="11"/>
        <v>#DIV/0!</v>
      </c>
    </row>
    <row r="16" spans="1:26" x14ac:dyDescent="0.2">
      <c r="A16" s="7" t="s">
        <v>83</v>
      </c>
      <c r="B16" s="6">
        <f t="shared" si="12"/>
        <v>3</v>
      </c>
      <c r="C16" s="7" t="s">
        <v>153</v>
      </c>
      <c r="D16" s="68">
        <v>75</v>
      </c>
      <c r="E16" s="68">
        <v>100</v>
      </c>
      <c r="F16" s="65">
        <f t="shared" si="13"/>
        <v>1.3333333333333333</v>
      </c>
      <c r="G16" s="60" t="e">
        <f t="shared" si="6"/>
        <v>#DIV/0!</v>
      </c>
      <c r="H16" s="65" t="e">
        <f t="shared" si="7"/>
        <v>#DIV/0!</v>
      </c>
      <c r="I16" s="65" t="e">
        <f t="shared" si="7"/>
        <v>#DIV/0!</v>
      </c>
      <c r="J16" s="65" t="e">
        <f t="shared" si="7"/>
        <v>#DIV/0!</v>
      </c>
      <c r="K16" s="69">
        <v>16700</v>
      </c>
      <c r="L16" s="69">
        <f>'Monitoramento Acumulado Geral'!Q16</f>
        <v>0</v>
      </c>
      <c r="M16" s="6">
        <f>(SUM(L14:L16))/K15</f>
        <v>0.44892215568862276</v>
      </c>
      <c r="N16" s="35" t="e">
        <f t="shared" si="5"/>
        <v>#DIV/0!</v>
      </c>
      <c r="O16" s="6" t="e">
        <f t="shared" si="14"/>
        <v>#DIV/0!</v>
      </c>
      <c r="P16" s="6" t="e">
        <f t="shared" si="14"/>
        <v>#DIV/0!</v>
      </c>
      <c r="Q16" s="6" t="e">
        <f t="shared" si="14"/>
        <v>#DIV/0!</v>
      </c>
      <c r="R16" s="69">
        <v>80</v>
      </c>
      <c r="S16" s="69">
        <v>0</v>
      </c>
      <c r="T16" s="6">
        <f t="shared" si="9"/>
        <v>0</v>
      </c>
      <c r="U16" s="35" t="e">
        <f t="shared" si="10"/>
        <v>#DIV/0!</v>
      </c>
      <c r="V16" s="6" t="e">
        <f t="shared" si="11"/>
        <v>#DIV/0!</v>
      </c>
      <c r="W16" s="6" t="e">
        <f t="shared" si="11"/>
        <v>#DIV/0!</v>
      </c>
      <c r="X16" s="6" t="e">
        <f t="shared" si="11"/>
        <v>#DIV/0!</v>
      </c>
      <c r="Y16" s="6" t="e">
        <f t="shared" si="11"/>
        <v>#DIV/0!</v>
      </c>
      <c r="Z16" s="6" t="e">
        <f t="shared" si="11"/>
        <v>#DIV/0!</v>
      </c>
    </row>
    <row r="17" spans="1:26" x14ac:dyDescent="0.2">
      <c r="A17" s="7" t="s">
        <v>83</v>
      </c>
      <c r="B17" s="6">
        <f t="shared" si="12"/>
        <v>4</v>
      </c>
      <c r="C17" s="7" t="s">
        <v>154</v>
      </c>
      <c r="D17" s="68">
        <v>75</v>
      </c>
      <c r="E17" s="68">
        <v>100</v>
      </c>
      <c r="F17" s="65">
        <f t="shared" si="13"/>
        <v>1.3333333333333333</v>
      </c>
      <c r="G17" s="60" t="e">
        <f t="shared" si="6"/>
        <v>#DIV/0!</v>
      </c>
      <c r="H17" s="65" t="e">
        <f t="shared" si="7"/>
        <v>#DIV/0!</v>
      </c>
      <c r="I17" s="65" t="e">
        <f t="shared" si="7"/>
        <v>#DIV/0!</v>
      </c>
      <c r="J17" s="65" t="e">
        <f t="shared" si="7"/>
        <v>#DIV/0!</v>
      </c>
      <c r="K17" s="69">
        <v>16700</v>
      </c>
      <c r="L17" s="69">
        <f>'Monitoramento Acumulado Geral'!Q17</f>
        <v>0</v>
      </c>
      <c r="M17" s="6">
        <f>(SUM(L14:L17))/K16</f>
        <v>0.44892215568862276</v>
      </c>
      <c r="N17" s="35" t="e">
        <f t="shared" si="5"/>
        <v>#DIV/0!</v>
      </c>
      <c r="O17" s="6" t="e">
        <f t="shared" si="14"/>
        <v>#DIV/0!</v>
      </c>
      <c r="P17" s="6" t="e">
        <f t="shared" si="14"/>
        <v>#DIV/0!</v>
      </c>
      <c r="Q17" s="6" t="e">
        <f t="shared" si="14"/>
        <v>#DIV/0!</v>
      </c>
      <c r="R17" s="69">
        <v>80</v>
      </c>
      <c r="S17" s="69">
        <v>0</v>
      </c>
      <c r="T17" s="6">
        <f t="shared" si="9"/>
        <v>0</v>
      </c>
      <c r="U17" s="35" t="e">
        <f t="shared" si="10"/>
        <v>#DIV/0!</v>
      </c>
      <c r="V17" s="6" t="e">
        <f t="shared" si="11"/>
        <v>#DIV/0!</v>
      </c>
      <c r="W17" s="6" t="e">
        <f t="shared" si="11"/>
        <v>#DIV/0!</v>
      </c>
      <c r="X17" s="6" t="e">
        <f t="shared" si="11"/>
        <v>#DIV/0!</v>
      </c>
      <c r="Y17" s="6" t="e">
        <f t="shared" si="11"/>
        <v>#DIV/0!</v>
      </c>
      <c r="Z17" s="6" t="e">
        <f t="shared" si="11"/>
        <v>#DIV/0!</v>
      </c>
    </row>
    <row r="18" spans="1:26" x14ac:dyDescent="0.2">
      <c r="A18" s="7" t="s">
        <v>83</v>
      </c>
      <c r="B18" s="6">
        <f t="shared" si="12"/>
        <v>5</v>
      </c>
      <c r="C18" s="7" t="s">
        <v>155</v>
      </c>
      <c r="D18" s="68">
        <v>75</v>
      </c>
      <c r="E18" s="68">
        <v>100</v>
      </c>
      <c r="F18" s="65">
        <f t="shared" si="13"/>
        <v>1.3333333333333333</v>
      </c>
      <c r="G18" s="60" t="e">
        <f t="shared" si="6"/>
        <v>#DIV/0!</v>
      </c>
      <c r="H18" s="65" t="e">
        <f t="shared" si="7"/>
        <v>#DIV/0!</v>
      </c>
      <c r="I18" s="65" t="e">
        <f t="shared" si="7"/>
        <v>#DIV/0!</v>
      </c>
      <c r="J18" s="65" t="e">
        <f t="shared" si="7"/>
        <v>#DIV/0!</v>
      </c>
      <c r="K18" s="69">
        <v>16700</v>
      </c>
      <c r="L18" s="69">
        <f>'Monitoramento Acumulado Geral'!Q18</f>
        <v>0</v>
      </c>
      <c r="M18" s="6">
        <f>(SUM(L14:L18))/K17</f>
        <v>0.44892215568862276</v>
      </c>
      <c r="N18" s="35" t="e">
        <f t="shared" si="5"/>
        <v>#DIV/0!</v>
      </c>
      <c r="O18" s="6" t="e">
        <f t="shared" si="14"/>
        <v>#DIV/0!</v>
      </c>
      <c r="P18" s="6" t="e">
        <f t="shared" si="14"/>
        <v>#DIV/0!</v>
      </c>
      <c r="Q18" s="6" t="e">
        <f t="shared" si="14"/>
        <v>#DIV/0!</v>
      </c>
      <c r="R18" s="69">
        <v>80</v>
      </c>
      <c r="S18" s="69">
        <v>100</v>
      </c>
      <c r="T18" s="6">
        <f t="shared" si="9"/>
        <v>1.25</v>
      </c>
      <c r="U18" s="35" t="e">
        <f t="shared" si="10"/>
        <v>#DIV/0!</v>
      </c>
      <c r="V18" s="6" t="e">
        <f t="shared" si="11"/>
        <v>#DIV/0!</v>
      </c>
      <c r="W18" s="6" t="e">
        <f t="shared" si="11"/>
        <v>#DIV/0!</v>
      </c>
      <c r="X18" s="6" t="e">
        <f t="shared" si="11"/>
        <v>#DIV/0!</v>
      </c>
      <c r="Y18" s="6" t="e">
        <f t="shared" si="11"/>
        <v>#DIV/0!</v>
      </c>
      <c r="Z18" s="6" t="e">
        <f t="shared" si="11"/>
        <v>#DIV/0!</v>
      </c>
    </row>
    <row r="19" spans="1:26" x14ac:dyDescent="0.2">
      <c r="A19" s="7" t="s">
        <v>83</v>
      </c>
      <c r="B19" s="6">
        <f t="shared" si="12"/>
        <v>6</v>
      </c>
      <c r="C19" s="7" t="s">
        <v>156</v>
      </c>
      <c r="D19" s="68">
        <v>75</v>
      </c>
      <c r="E19" s="68">
        <v>100</v>
      </c>
      <c r="F19" s="65">
        <f t="shared" si="13"/>
        <v>1.3333333333333333</v>
      </c>
      <c r="G19" s="60" t="e">
        <f t="shared" si="6"/>
        <v>#DIV/0!</v>
      </c>
      <c r="H19" s="65" t="e">
        <f t="shared" si="7"/>
        <v>#DIV/0!</v>
      </c>
      <c r="I19" s="65" t="e">
        <f t="shared" si="7"/>
        <v>#DIV/0!</v>
      </c>
      <c r="J19" s="65" t="e">
        <f t="shared" si="7"/>
        <v>#DIV/0!</v>
      </c>
      <c r="K19" s="69">
        <v>16700</v>
      </c>
      <c r="L19" s="69">
        <f>'Monitoramento Acumulado Geral'!Q19</f>
        <v>2220</v>
      </c>
      <c r="M19" s="6">
        <f>(SUM(L14:L19))/K18</f>
        <v>0.58185628742514972</v>
      </c>
      <c r="N19" s="35" t="e">
        <f t="shared" si="5"/>
        <v>#DIV/0!</v>
      </c>
      <c r="O19" s="6" t="e">
        <f t="shared" si="14"/>
        <v>#DIV/0!</v>
      </c>
      <c r="P19" s="6" t="e">
        <f t="shared" si="14"/>
        <v>#DIV/0!</v>
      </c>
      <c r="Q19" s="6" t="e">
        <f t="shared" si="14"/>
        <v>#DIV/0!</v>
      </c>
      <c r="R19" s="69">
        <v>80</v>
      </c>
      <c r="S19" s="69">
        <v>100</v>
      </c>
      <c r="T19" s="6">
        <f t="shared" si="9"/>
        <v>1.25</v>
      </c>
      <c r="U19" s="35" t="e">
        <f t="shared" si="10"/>
        <v>#DIV/0!</v>
      </c>
      <c r="V19" s="6" t="e">
        <f t="shared" si="11"/>
        <v>#DIV/0!</v>
      </c>
      <c r="W19" s="6" t="e">
        <f t="shared" si="11"/>
        <v>#DIV/0!</v>
      </c>
      <c r="X19" s="6" t="e">
        <f t="shared" si="11"/>
        <v>#DIV/0!</v>
      </c>
      <c r="Y19" s="6" t="e">
        <f t="shared" si="11"/>
        <v>#DIV/0!</v>
      </c>
      <c r="Z19" s="6" t="e">
        <f t="shared" si="11"/>
        <v>#DIV/0!</v>
      </c>
    </row>
    <row r="20" spans="1:26" x14ac:dyDescent="0.2">
      <c r="A20" s="7" t="s">
        <v>83</v>
      </c>
      <c r="B20" s="6">
        <f t="shared" si="12"/>
        <v>7</v>
      </c>
      <c r="C20" s="7" t="s">
        <v>157</v>
      </c>
      <c r="D20" s="68">
        <v>75</v>
      </c>
      <c r="E20" s="68">
        <v>100</v>
      </c>
      <c r="F20" s="65">
        <f t="shared" si="13"/>
        <v>1.3333333333333333</v>
      </c>
      <c r="G20" s="60" t="e">
        <f t="shared" si="6"/>
        <v>#DIV/0!</v>
      </c>
      <c r="H20" s="65" t="e">
        <f t="shared" si="7"/>
        <v>#DIV/0!</v>
      </c>
      <c r="I20" s="65" t="e">
        <f t="shared" si="7"/>
        <v>#DIV/0!</v>
      </c>
      <c r="J20" s="65" t="e">
        <f t="shared" si="7"/>
        <v>#DIV/0!</v>
      </c>
      <c r="K20" s="69">
        <v>16700</v>
      </c>
      <c r="L20" s="69">
        <f>'Monitoramento Acumulado Geral'!Q20</f>
        <v>1800</v>
      </c>
      <c r="M20" s="6">
        <f>(SUM(L14:L20))/K19</f>
        <v>0.68964071856287423</v>
      </c>
      <c r="N20" s="35" t="e">
        <f t="shared" si="5"/>
        <v>#DIV/0!</v>
      </c>
      <c r="O20" s="6" t="e">
        <f t="shared" si="14"/>
        <v>#DIV/0!</v>
      </c>
      <c r="P20" s="6" t="e">
        <f t="shared" si="14"/>
        <v>#DIV/0!</v>
      </c>
      <c r="Q20" s="6" t="e">
        <f t="shared" si="14"/>
        <v>#DIV/0!</v>
      </c>
      <c r="R20" s="69">
        <v>80</v>
      </c>
      <c r="S20" s="69">
        <v>100</v>
      </c>
      <c r="T20" s="6">
        <f t="shared" si="9"/>
        <v>1.25</v>
      </c>
      <c r="U20" s="35" t="e">
        <f t="shared" si="10"/>
        <v>#DIV/0!</v>
      </c>
      <c r="V20" s="6" t="e">
        <f t="shared" si="11"/>
        <v>#DIV/0!</v>
      </c>
      <c r="W20" s="6" t="e">
        <f t="shared" si="11"/>
        <v>#DIV/0!</v>
      </c>
      <c r="X20" s="6" t="e">
        <f t="shared" si="11"/>
        <v>#DIV/0!</v>
      </c>
      <c r="Y20" s="6" t="e">
        <f t="shared" si="11"/>
        <v>#DIV/0!</v>
      </c>
      <c r="Z20" s="6" t="e">
        <f t="shared" si="11"/>
        <v>#DIV/0!</v>
      </c>
    </row>
    <row r="21" spans="1:26" x14ac:dyDescent="0.2">
      <c r="A21" s="7" t="s">
        <v>83</v>
      </c>
      <c r="B21" s="6">
        <f t="shared" si="12"/>
        <v>8</v>
      </c>
      <c r="C21" s="7" t="s">
        <v>158</v>
      </c>
      <c r="D21" s="68">
        <v>75</v>
      </c>
      <c r="E21" s="68">
        <v>100</v>
      </c>
      <c r="F21" s="65">
        <f t="shared" si="13"/>
        <v>1.3333333333333333</v>
      </c>
      <c r="G21" s="60" t="e">
        <f t="shared" si="6"/>
        <v>#DIV/0!</v>
      </c>
      <c r="H21" s="65" t="e">
        <f t="shared" si="7"/>
        <v>#DIV/0!</v>
      </c>
      <c r="I21" s="65" t="e">
        <f t="shared" si="7"/>
        <v>#DIV/0!</v>
      </c>
      <c r="J21" s="65" t="e">
        <f t="shared" si="7"/>
        <v>#DIV/0!</v>
      </c>
      <c r="K21" s="69">
        <v>16700</v>
      </c>
      <c r="L21" s="69">
        <f>'Monitoramento Acumulado Geral'!Q21</f>
        <v>0</v>
      </c>
      <c r="M21" s="6">
        <f>(SUM(L14:L21))/K20</f>
        <v>0.68964071856287423</v>
      </c>
      <c r="N21" s="35" t="e">
        <f t="shared" si="5"/>
        <v>#DIV/0!</v>
      </c>
      <c r="O21" s="6" t="e">
        <f t="shared" si="14"/>
        <v>#DIV/0!</v>
      </c>
      <c r="P21" s="6" t="e">
        <f t="shared" si="14"/>
        <v>#DIV/0!</v>
      </c>
      <c r="Q21" s="6" t="e">
        <f t="shared" si="14"/>
        <v>#DIV/0!</v>
      </c>
      <c r="R21" s="69">
        <v>80</v>
      </c>
      <c r="S21" s="69">
        <v>100</v>
      </c>
      <c r="T21" s="6">
        <f t="shared" si="9"/>
        <v>1.25</v>
      </c>
      <c r="U21" s="35" t="e">
        <f t="shared" si="10"/>
        <v>#DIV/0!</v>
      </c>
      <c r="V21" s="6" t="e">
        <f t="shared" si="11"/>
        <v>#DIV/0!</v>
      </c>
      <c r="W21" s="6" t="e">
        <f t="shared" si="11"/>
        <v>#DIV/0!</v>
      </c>
      <c r="X21" s="6" t="e">
        <f t="shared" si="11"/>
        <v>#DIV/0!</v>
      </c>
      <c r="Y21" s="6" t="e">
        <f t="shared" si="11"/>
        <v>#DIV/0!</v>
      </c>
      <c r="Z21" s="6" t="e">
        <f t="shared" si="11"/>
        <v>#DIV/0!</v>
      </c>
    </row>
    <row r="22" spans="1:26" x14ac:dyDescent="0.2">
      <c r="A22" s="7" t="s">
        <v>83</v>
      </c>
      <c r="B22" s="6">
        <f t="shared" si="12"/>
        <v>9</v>
      </c>
      <c r="C22" s="7" t="s">
        <v>159</v>
      </c>
      <c r="D22" s="68">
        <v>75</v>
      </c>
      <c r="E22" s="68">
        <v>100</v>
      </c>
      <c r="F22" s="65">
        <f t="shared" si="13"/>
        <v>1.3333333333333333</v>
      </c>
      <c r="G22" s="60" t="e">
        <f t="shared" si="6"/>
        <v>#DIV/0!</v>
      </c>
      <c r="H22" s="65" t="e">
        <f t="shared" si="7"/>
        <v>#DIV/0!</v>
      </c>
      <c r="I22" s="65" t="e">
        <f t="shared" si="7"/>
        <v>#DIV/0!</v>
      </c>
      <c r="J22" s="65" t="e">
        <f t="shared" si="7"/>
        <v>#DIV/0!</v>
      </c>
      <c r="K22" s="69">
        <v>16700</v>
      </c>
      <c r="L22" s="69">
        <f>'Monitoramento Acumulado Geral'!Q22</f>
        <v>0</v>
      </c>
      <c r="M22" s="6">
        <f>(SUM(L14:L22))/K21</f>
        <v>0.68964071856287423</v>
      </c>
      <c r="N22" s="35" t="e">
        <f t="shared" si="5"/>
        <v>#DIV/0!</v>
      </c>
      <c r="O22" s="6" t="e">
        <f t="shared" si="14"/>
        <v>#DIV/0!</v>
      </c>
      <c r="P22" s="6" t="e">
        <f t="shared" si="14"/>
        <v>#DIV/0!</v>
      </c>
      <c r="Q22" s="6" t="e">
        <f t="shared" si="14"/>
        <v>#DIV/0!</v>
      </c>
      <c r="R22" s="69">
        <v>80</v>
      </c>
      <c r="S22" s="69">
        <v>100</v>
      </c>
      <c r="T22" s="6">
        <f t="shared" si="9"/>
        <v>1.25</v>
      </c>
      <c r="U22" s="35" t="e">
        <f t="shared" si="10"/>
        <v>#DIV/0!</v>
      </c>
      <c r="V22" s="6" t="e">
        <f t="shared" si="11"/>
        <v>#DIV/0!</v>
      </c>
      <c r="W22" s="6" t="e">
        <f t="shared" si="11"/>
        <v>#DIV/0!</v>
      </c>
      <c r="X22" s="6" t="e">
        <f t="shared" si="11"/>
        <v>#DIV/0!</v>
      </c>
      <c r="Y22" s="6" t="e">
        <f t="shared" si="11"/>
        <v>#DIV/0!</v>
      </c>
      <c r="Z22" s="6" t="e">
        <f t="shared" si="11"/>
        <v>#DIV/0!</v>
      </c>
    </row>
    <row r="23" spans="1:26" x14ac:dyDescent="0.2">
      <c r="A23" s="7" t="s">
        <v>83</v>
      </c>
      <c r="B23" s="6">
        <f t="shared" si="12"/>
        <v>10</v>
      </c>
      <c r="C23" s="7" t="s">
        <v>160</v>
      </c>
      <c r="D23" s="68">
        <v>75</v>
      </c>
      <c r="E23" s="68">
        <v>100</v>
      </c>
      <c r="F23" s="65">
        <f t="shared" si="13"/>
        <v>1.3333333333333333</v>
      </c>
      <c r="G23" s="60" t="e">
        <f t="shared" si="6"/>
        <v>#DIV/0!</v>
      </c>
      <c r="H23" s="65" t="e">
        <f t="shared" si="7"/>
        <v>#DIV/0!</v>
      </c>
      <c r="I23" s="65" t="e">
        <f t="shared" si="7"/>
        <v>#DIV/0!</v>
      </c>
      <c r="J23" s="65" t="e">
        <f t="shared" si="7"/>
        <v>#DIV/0!</v>
      </c>
      <c r="K23" s="69">
        <v>16700</v>
      </c>
      <c r="L23" s="69">
        <f>'Monitoramento Acumulado Geral'!Q23</f>
        <v>0</v>
      </c>
      <c r="M23" s="6">
        <f>(SUM(L14:L23))/K22</f>
        <v>0.68964071856287423</v>
      </c>
      <c r="N23" s="35" t="e">
        <f t="shared" si="5"/>
        <v>#DIV/0!</v>
      </c>
      <c r="O23" s="6" t="e">
        <f t="shared" si="14"/>
        <v>#DIV/0!</v>
      </c>
      <c r="P23" s="6" t="e">
        <f t="shared" si="14"/>
        <v>#DIV/0!</v>
      </c>
      <c r="Q23" s="6" t="e">
        <f t="shared" si="14"/>
        <v>#DIV/0!</v>
      </c>
      <c r="R23" s="69">
        <v>80</v>
      </c>
      <c r="S23" s="69">
        <v>100</v>
      </c>
      <c r="T23" s="6">
        <f t="shared" si="9"/>
        <v>1.25</v>
      </c>
      <c r="U23" s="35" t="e">
        <f t="shared" si="10"/>
        <v>#DIV/0!</v>
      </c>
      <c r="V23" s="6" t="e">
        <f t="shared" si="11"/>
        <v>#DIV/0!</v>
      </c>
      <c r="W23" s="6" t="e">
        <f t="shared" si="11"/>
        <v>#DIV/0!</v>
      </c>
      <c r="X23" s="6" t="e">
        <f t="shared" si="11"/>
        <v>#DIV/0!</v>
      </c>
      <c r="Y23" s="6" t="e">
        <f t="shared" si="11"/>
        <v>#DIV/0!</v>
      </c>
      <c r="Z23" s="6" t="e">
        <f t="shared" si="11"/>
        <v>#DIV/0!</v>
      </c>
    </row>
    <row r="24" spans="1:26" x14ac:dyDescent="0.2">
      <c r="A24" s="7" t="s">
        <v>83</v>
      </c>
      <c r="B24" s="6">
        <f t="shared" si="12"/>
        <v>11</v>
      </c>
      <c r="C24" s="7" t="s">
        <v>161</v>
      </c>
      <c r="D24" s="68">
        <v>75</v>
      </c>
      <c r="E24" s="68">
        <v>0</v>
      </c>
      <c r="F24" s="65">
        <f t="shared" si="13"/>
        <v>0</v>
      </c>
      <c r="G24" s="60" t="e">
        <f t="shared" si="6"/>
        <v>#DIV/0!</v>
      </c>
      <c r="H24" s="65" t="e">
        <f t="shared" si="7"/>
        <v>#DIV/0!</v>
      </c>
      <c r="I24" s="65" t="e">
        <f t="shared" si="7"/>
        <v>#DIV/0!</v>
      </c>
      <c r="J24" s="65" t="e">
        <f t="shared" si="7"/>
        <v>#DIV/0!</v>
      </c>
      <c r="K24" s="69">
        <v>16700</v>
      </c>
      <c r="L24" s="69">
        <f>'Monitoramento Acumulado Geral'!Q24</f>
        <v>0</v>
      </c>
      <c r="M24" s="6">
        <f>(SUM(L14:L24))/K23</f>
        <v>0.68964071856287423</v>
      </c>
      <c r="N24" s="35" t="e">
        <f t="shared" si="5"/>
        <v>#DIV/0!</v>
      </c>
      <c r="O24" s="6" t="e">
        <f t="shared" si="14"/>
        <v>#DIV/0!</v>
      </c>
      <c r="P24" s="6" t="e">
        <f t="shared" si="14"/>
        <v>#DIV/0!</v>
      </c>
      <c r="Q24" s="6" t="e">
        <f t="shared" si="14"/>
        <v>#DIV/0!</v>
      </c>
      <c r="R24" s="69">
        <v>80</v>
      </c>
      <c r="S24" s="69">
        <v>0</v>
      </c>
      <c r="T24" s="6">
        <f t="shared" si="9"/>
        <v>0</v>
      </c>
      <c r="U24" s="35" t="e">
        <f t="shared" si="10"/>
        <v>#DIV/0!</v>
      </c>
      <c r="V24" s="6" t="e">
        <f t="shared" ref="V24:Z33" si="15">V12</f>
        <v>#DIV/0!</v>
      </c>
      <c r="W24" s="6" t="e">
        <f t="shared" si="15"/>
        <v>#DIV/0!</v>
      </c>
      <c r="X24" s="6" t="e">
        <f t="shared" si="15"/>
        <v>#DIV/0!</v>
      </c>
      <c r="Y24" s="6" t="e">
        <f t="shared" si="15"/>
        <v>#DIV/0!</v>
      </c>
      <c r="Z24" s="6" t="e">
        <f t="shared" si="15"/>
        <v>#DIV/0!</v>
      </c>
    </row>
    <row r="25" spans="1:26" x14ac:dyDescent="0.2">
      <c r="A25" s="7" t="s">
        <v>83</v>
      </c>
      <c r="B25" s="6">
        <f t="shared" si="12"/>
        <v>12</v>
      </c>
      <c r="C25" s="7" t="s">
        <v>162</v>
      </c>
      <c r="D25" s="68">
        <v>75</v>
      </c>
      <c r="E25" s="68">
        <v>0</v>
      </c>
      <c r="F25" s="65">
        <f t="shared" si="13"/>
        <v>0</v>
      </c>
      <c r="G25" s="60" t="e">
        <f t="shared" si="6"/>
        <v>#DIV/0!</v>
      </c>
      <c r="H25" s="65" t="e">
        <f t="shared" si="7"/>
        <v>#DIV/0!</v>
      </c>
      <c r="I25" s="65" t="e">
        <f t="shared" si="7"/>
        <v>#DIV/0!</v>
      </c>
      <c r="J25" s="65" t="e">
        <f t="shared" si="7"/>
        <v>#DIV/0!</v>
      </c>
      <c r="K25" s="69">
        <v>16700</v>
      </c>
      <c r="L25" s="69">
        <f>'Monitoramento Acumulado Geral'!Q25</f>
        <v>0</v>
      </c>
      <c r="M25" s="6">
        <f>(SUM(L14:L25))/K24</f>
        <v>0.68964071856287423</v>
      </c>
      <c r="N25" s="35" t="e">
        <f t="shared" si="5"/>
        <v>#DIV/0!</v>
      </c>
      <c r="O25" s="6" t="e">
        <f>O13</f>
        <v>#DIV/0!</v>
      </c>
      <c r="P25" s="6" t="e">
        <f t="shared" si="14"/>
        <v>#DIV/0!</v>
      </c>
      <c r="Q25" s="6" t="e">
        <f t="shared" si="14"/>
        <v>#DIV/0!</v>
      </c>
      <c r="R25" s="69">
        <v>80</v>
      </c>
      <c r="S25" s="69">
        <v>0</v>
      </c>
      <c r="T25" s="6">
        <f t="shared" si="9"/>
        <v>0</v>
      </c>
      <c r="U25" s="35" t="e">
        <f t="shared" si="10"/>
        <v>#DIV/0!</v>
      </c>
      <c r="V25" s="6" t="e">
        <f t="shared" si="15"/>
        <v>#DIV/0!</v>
      </c>
      <c r="W25" s="6" t="e">
        <f t="shared" si="15"/>
        <v>#DIV/0!</v>
      </c>
      <c r="X25" s="6" t="e">
        <f t="shared" si="15"/>
        <v>#DIV/0!</v>
      </c>
      <c r="Y25" s="6" t="e">
        <f t="shared" si="15"/>
        <v>#DIV/0!</v>
      </c>
      <c r="Z25" s="6" t="e">
        <f t="shared" si="15"/>
        <v>#DIV/0!</v>
      </c>
    </row>
    <row r="26" spans="1:26" x14ac:dyDescent="0.2">
      <c r="A26" s="7" t="s">
        <v>94</v>
      </c>
      <c r="B26" s="6">
        <f t="shared" si="12"/>
        <v>1</v>
      </c>
      <c r="C26" s="7" t="s">
        <v>151</v>
      </c>
      <c r="D26" s="68">
        <v>55</v>
      </c>
      <c r="E26" s="68">
        <v>14</v>
      </c>
      <c r="F26" s="65">
        <f t="shared" si="13"/>
        <v>0.25454545454545452</v>
      </c>
      <c r="G26" s="60" t="e">
        <f t="shared" si="6"/>
        <v>#DIV/0!</v>
      </c>
      <c r="H26" s="65" t="e">
        <f t="shared" si="7"/>
        <v>#DIV/0!</v>
      </c>
      <c r="I26" s="65" t="e">
        <f t="shared" si="7"/>
        <v>#DIV/0!</v>
      </c>
      <c r="J26" s="65" t="e">
        <f t="shared" si="7"/>
        <v>#DIV/0!</v>
      </c>
      <c r="K26" s="69">
        <v>2000</v>
      </c>
      <c r="L26" s="69">
        <f>'Monitoramento Acumulado Geral'!Q26</f>
        <v>244</v>
      </c>
      <c r="M26" s="6">
        <f>L26/K26</f>
        <v>0.122</v>
      </c>
      <c r="N26" s="35" t="e">
        <f t="shared" si="5"/>
        <v>#DIV/0!</v>
      </c>
      <c r="O26" s="6" t="e">
        <f t="shared" ref="O26:Q37" si="16">O14</f>
        <v>#DIV/0!</v>
      </c>
      <c r="P26" s="6" t="e">
        <f t="shared" si="16"/>
        <v>#DIV/0!</v>
      </c>
      <c r="Q26" s="6" t="e">
        <f t="shared" si="16"/>
        <v>#DIV/0!</v>
      </c>
      <c r="R26" s="69">
        <v>35</v>
      </c>
      <c r="S26" s="69">
        <v>0</v>
      </c>
      <c r="T26" s="6">
        <f t="shared" si="9"/>
        <v>0</v>
      </c>
      <c r="U26" s="35" t="e">
        <f t="shared" si="10"/>
        <v>#DIV/0!</v>
      </c>
      <c r="V26" s="6" t="e">
        <f t="shared" si="15"/>
        <v>#DIV/0!</v>
      </c>
      <c r="W26" s="6" t="e">
        <f t="shared" si="15"/>
        <v>#DIV/0!</v>
      </c>
      <c r="X26" s="6" t="e">
        <f t="shared" si="15"/>
        <v>#DIV/0!</v>
      </c>
      <c r="Y26" s="6" t="e">
        <f t="shared" si="15"/>
        <v>#DIV/0!</v>
      </c>
      <c r="Z26" s="6" t="e">
        <f t="shared" si="15"/>
        <v>#DIV/0!</v>
      </c>
    </row>
    <row r="27" spans="1:26" x14ac:dyDescent="0.2">
      <c r="A27" s="7" t="s">
        <v>94</v>
      </c>
      <c r="B27" s="6">
        <f t="shared" si="12"/>
        <v>2</v>
      </c>
      <c r="C27" s="7" t="s">
        <v>152</v>
      </c>
      <c r="D27" s="68">
        <v>55</v>
      </c>
      <c r="E27" s="68">
        <v>14</v>
      </c>
      <c r="F27" s="65">
        <f t="shared" si="13"/>
        <v>0.25454545454545452</v>
      </c>
      <c r="G27" s="60" t="e">
        <f t="shared" si="6"/>
        <v>#DIV/0!</v>
      </c>
      <c r="H27" s="65" t="e">
        <f t="shared" si="7"/>
        <v>#DIV/0!</v>
      </c>
      <c r="I27" s="65" t="e">
        <f t="shared" si="7"/>
        <v>#DIV/0!</v>
      </c>
      <c r="J27" s="65" t="e">
        <f t="shared" si="7"/>
        <v>#DIV/0!</v>
      </c>
      <c r="K27" s="69">
        <v>2000</v>
      </c>
      <c r="L27" s="69">
        <f>'Monitoramento Acumulado Geral'!Q27</f>
        <v>0</v>
      </c>
      <c r="M27" s="6">
        <f>(SUM(L26:L27))/K26</f>
        <v>0.122</v>
      </c>
      <c r="N27" s="35" t="e">
        <f t="shared" si="5"/>
        <v>#DIV/0!</v>
      </c>
      <c r="O27" s="6" t="e">
        <f t="shared" si="16"/>
        <v>#DIV/0!</v>
      </c>
      <c r="P27" s="6" t="e">
        <f t="shared" si="16"/>
        <v>#DIV/0!</v>
      </c>
      <c r="Q27" s="6" t="e">
        <f t="shared" si="16"/>
        <v>#DIV/0!</v>
      </c>
      <c r="R27" s="69">
        <v>35</v>
      </c>
      <c r="S27" s="69">
        <v>0</v>
      </c>
      <c r="T27" s="6">
        <f t="shared" si="9"/>
        <v>0</v>
      </c>
      <c r="U27" s="35" t="e">
        <f t="shared" si="10"/>
        <v>#DIV/0!</v>
      </c>
      <c r="V27" s="6" t="e">
        <f t="shared" si="15"/>
        <v>#DIV/0!</v>
      </c>
      <c r="W27" s="6" t="e">
        <f t="shared" si="15"/>
        <v>#DIV/0!</v>
      </c>
      <c r="X27" s="6" t="e">
        <f t="shared" si="15"/>
        <v>#DIV/0!</v>
      </c>
      <c r="Y27" s="6" t="e">
        <f t="shared" si="15"/>
        <v>#DIV/0!</v>
      </c>
      <c r="Z27" s="6" t="e">
        <f t="shared" si="15"/>
        <v>#DIV/0!</v>
      </c>
    </row>
    <row r="28" spans="1:26" x14ac:dyDescent="0.2">
      <c r="A28" s="7" t="s">
        <v>94</v>
      </c>
      <c r="B28" s="6">
        <f t="shared" si="12"/>
        <v>3</v>
      </c>
      <c r="C28" s="7" t="s">
        <v>153</v>
      </c>
      <c r="D28" s="68">
        <v>55</v>
      </c>
      <c r="E28" s="68">
        <v>14</v>
      </c>
      <c r="F28" s="65">
        <f t="shared" si="13"/>
        <v>0.25454545454545452</v>
      </c>
      <c r="G28" s="60" t="e">
        <f t="shared" si="6"/>
        <v>#DIV/0!</v>
      </c>
      <c r="H28" s="65" t="e">
        <f t="shared" si="7"/>
        <v>#DIV/0!</v>
      </c>
      <c r="I28" s="65" t="e">
        <f t="shared" si="7"/>
        <v>#DIV/0!</v>
      </c>
      <c r="J28" s="65" t="e">
        <f t="shared" si="7"/>
        <v>#DIV/0!</v>
      </c>
      <c r="K28" s="69">
        <v>2000</v>
      </c>
      <c r="L28" s="69">
        <f>'Monitoramento Acumulado Geral'!Q28</f>
        <v>0</v>
      </c>
      <c r="M28" s="6">
        <f>(SUM(L26:L28))/K27</f>
        <v>0.122</v>
      </c>
      <c r="N28" s="35" t="e">
        <f t="shared" si="5"/>
        <v>#DIV/0!</v>
      </c>
      <c r="O28" s="6" t="e">
        <f t="shared" si="16"/>
        <v>#DIV/0!</v>
      </c>
      <c r="P28" s="6" t="e">
        <f t="shared" si="16"/>
        <v>#DIV/0!</v>
      </c>
      <c r="Q28" s="6" t="e">
        <f t="shared" si="16"/>
        <v>#DIV/0!</v>
      </c>
      <c r="R28" s="69">
        <v>35</v>
      </c>
      <c r="S28" s="69">
        <v>0</v>
      </c>
      <c r="T28" s="6">
        <f t="shared" si="9"/>
        <v>0</v>
      </c>
      <c r="U28" s="35" t="e">
        <f t="shared" si="10"/>
        <v>#DIV/0!</v>
      </c>
      <c r="V28" s="6" t="e">
        <f t="shared" si="15"/>
        <v>#DIV/0!</v>
      </c>
      <c r="W28" s="6" t="e">
        <f t="shared" si="15"/>
        <v>#DIV/0!</v>
      </c>
      <c r="X28" s="6" t="e">
        <f t="shared" si="15"/>
        <v>#DIV/0!</v>
      </c>
      <c r="Y28" s="6" t="e">
        <f t="shared" si="15"/>
        <v>#DIV/0!</v>
      </c>
      <c r="Z28" s="6" t="e">
        <f t="shared" si="15"/>
        <v>#DIV/0!</v>
      </c>
    </row>
    <row r="29" spans="1:26" x14ac:dyDescent="0.2">
      <c r="A29" s="7" t="s">
        <v>94</v>
      </c>
      <c r="B29" s="6">
        <f t="shared" si="12"/>
        <v>4</v>
      </c>
      <c r="C29" s="7" t="s">
        <v>154</v>
      </c>
      <c r="D29" s="68">
        <v>55</v>
      </c>
      <c r="E29" s="68">
        <v>28</v>
      </c>
      <c r="F29" s="65">
        <f t="shared" si="13"/>
        <v>0.50909090909090904</v>
      </c>
      <c r="G29" s="60" t="e">
        <f t="shared" si="6"/>
        <v>#DIV/0!</v>
      </c>
      <c r="H29" s="65" t="e">
        <f t="shared" si="7"/>
        <v>#DIV/0!</v>
      </c>
      <c r="I29" s="65" t="e">
        <f t="shared" si="7"/>
        <v>#DIV/0!</v>
      </c>
      <c r="J29" s="65" t="e">
        <f t="shared" si="7"/>
        <v>#DIV/0!</v>
      </c>
      <c r="K29" s="69">
        <v>2000</v>
      </c>
      <c r="L29" s="69">
        <f>'Monitoramento Acumulado Geral'!Q29</f>
        <v>122</v>
      </c>
      <c r="M29" s="6">
        <f>(SUM(L26:L29))/K28</f>
        <v>0.183</v>
      </c>
      <c r="N29" s="35" t="e">
        <f t="shared" si="5"/>
        <v>#DIV/0!</v>
      </c>
      <c r="O29" s="6" t="e">
        <f t="shared" si="16"/>
        <v>#DIV/0!</v>
      </c>
      <c r="P29" s="6" t="e">
        <f t="shared" si="16"/>
        <v>#DIV/0!</v>
      </c>
      <c r="Q29" s="6" t="e">
        <f t="shared" si="16"/>
        <v>#DIV/0!</v>
      </c>
      <c r="R29" s="69">
        <v>35</v>
      </c>
      <c r="S29" s="69">
        <v>0</v>
      </c>
      <c r="T29" s="6">
        <f t="shared" si="9"/>
        <v>0</v>
      </c>
      <c r="U29" s="35" t="e">
        <f t="shared" si="10"/>
        <v>#DIV/0!</v>
      </c>
      <c r="V29" s="6" t="e">
        <f t="shared" si="15"/>
        <v>#DIV/0!</v>
      </c>
      <c r="W29" s="6" t="e">
        <f t="shared" si="15"/>
        <v>#DIV/0!</v>
      </c>
      <c r="X29" s="6" t="e">
        <f t="shared" si="15"/>
        <v>#DIV/0!</v>
      </c>
      <c r="Y29" s="6" t="e">
        <f t="shared" si="15"/>
        <v>#DIV/0!</v>
      </c>
      <c r="Z29" s="6" t="e">
        <f t="shared" si="15"/>
        <v>#DIV/0!</v>
      </c>
    </row>
    <row r="30" spans="1:26" x14ac:dyDescent="0.2">
      <c r="A30" s="7" t="s">
        <v>94</v>
      </c>
      <c r="B30" s="6">
        <f t="shared" si="12"/>
        <v>5</v>
      </c>
      <c r="C30" s="7" t="s">
        <v>155</v>
      </c>
      <c r="D30" s="68">
        <v>55</v>
      </c>
      <c r="E30" s="68">
        <v>28</v>
      </c>
      <c r="F30" s="65">
        <f t="shared" si="13"/>
        <v>0.50909090909090904</v>
      </c>
      <c r="G30" s="60" t="e">
        <f t="shared" si="6"/>
        <v>#DIV/0!</v>
      </c>
      <c r="H30" s="65" t="e">
        <f t="shared" si="7"/>
        <v>#DIV/0!</v>
      </c>
      <c r="I30" s="65" t="e">
        <f t="shared" si="7"/>
        <v>#DIV/0!</v>
      </c>
      <c r="J30" s="65" t="e">
        <f t="shared" si="7"/>
        <v>#DIV/0!</v>
      </c>
      <c r="K30" s="69">
        <v>2000</v>
      </c>
      <c r="L30" s="69">
        <f>'Monitoramento Acumulado Geral'!Q30</f>
        <v>0</v>
      </c>
      <c r="M30" s="6">
        <f>(SUM(L26:L30))/K29</f>
        <v>0.183</v>
      </c>
      <c r="N30" s="35" t="e">
        <f t="shared" si="5"/>
        <v>#DIV/0!</v>
      </c>
      <c r="O30" s="6" t="e">
        <f t="shared" si="16"/>
        <v>#DIV/0!</v>
      </c>
      <c r="P30" s="6" t="e">
        <f t="shared" si="16"/>
        <v>#DIV/0!</v>
      </c>
      <c r="Q30" s="6" t="e">
        <f t="shared" si="16"/>
        <v>#DIV/0!</v>
      </c>
      <c r="R30" s="69">
        <v>35</v>
      </c>
      <c r="S30" s="69">
        <v>21</v>
      </c>
      <c r="T30" s="6">
        <f t="shared" si="9"/>
        <v>0.6</v>
      </c>
      <c r="U30" s="35" t="e">
        <f t="shared" si="10"/>
        <v>#DIV/0!</v>
      </c>
      <c r="V30" s="6" t="e">
        <f t="shared" si="15"/>
        <v>#DIV/0!</v>
      </c>
      <c r="W30" s="6" t="e">
        <f t="shared" si="15"/>
        <v>#DIV/0!</v>
      </c>
      <c r="X30" s="6" t="e">
        <f t="shared" si="15"/>
        <v>#DIV/0!</v>
      </c>
      <c r="Y30" s="6" t="e">
        <f t="shared" si="15"/>
        <v>#DIV/0!</v>
      </c>
      <c r="Z30" s="6" t="e">
        <f t="shared" si="15"/>
        <v>#DIV/0!</v>
      </c>
    </row>
    <row r="31" spans="1:26" x14ac:dyDescent="0.2">
      <c r="A31" s="7" t="s">
        <v>94</v>
      </c>
      <c r="B31" s="6">
        <f t="shared" si="12"/>
        <v>6</v>
      </c>
      <c r="C31" s="7" t="s">
        <v>156</v>
      </c>
      <c r="D31" s="68">
        <v>55</v>
      </c>
      <c r="E31" s="68">
        <v>43</v>
      </c>
      <c r="F31" s="65">
        <f t="shared" si="13"/>
        <v>0.78181818181818186</v>
      </c>
      <c r="G31" s="60" t="e">
        <f t="shared" si="6"/>
        <v>#DIV/0!</v>
      </c>
      <c r="H31" s="65" t="e">
        <f t="shared" si="7"/>
        <v>#DIV/0!</v>
      </c>
      <c r="I31" s="65" t="e">
        <f t="shared" si="7"/>
        <v>#DIV/0!</v>
      </c>
      <c r="J31" s="65" t="e">
        <f t="shared" si="7"/>
        <v>#DIV/0!</v>
      </c>
      <c r="K31" s="69">
        <v>2000</v>
      </c>
      <c r="L31" s="69">
        <f>'Monitoramento Acumulado Geral'!Q31</f>
        <v>1</v>
      </c>
      <c r="M31" s="6">
        <f>(SUM(L26:L31))/K30</f>
        <v>0.1835</v>
      </c>
      <c r="N31" s="35" t="e">
        <f t="shared" si="5"/>
        <v>#DIV/0!</v>
      </c>
      <c r="O31" s="6" t="e">
        <f t="shared" si="16"/>
        <v>#DIV/0!</v>
      </c>
      <c r="P31" s="6" t="e">
        <f t="shared" si="16"/>
        <v>#DIV/0!</v>
      </c>
      <c r="Q31" s="6" t="e">
        <f t="shared" si="16"/>
        <v>#DIV/0!</v>
      </c>
      <c r="R31" s="69">
        <v>35</v>
      </c>
      <c r="S31" s="69">
        <v>21</v>
      </c>
      <c r="T31" s="6">
        <f t="shared" si="9"/>
        <v>0.6</v>
      </c>
      <c r="U31" s="35" t="e">
        <f t="shared" si="10"/>
        <v>#DIV/0!</v>
      </c>
      <c r="V31" s="6" t="e">
        <f t="shared" si="15"/>
        <v>#DIV/0!</v>
      </c>
      <c r="W31" s="6" t="e">
        <f t="shared" si="15"/>
        <v>#DIV/0!</v>
      </c>
      <c r="X31" s="6" t="e">
        <f t="shared" si="15"/>
        <v>#DIV/0!</v>
      </c>
      <c r="Y31" s="6" t="e">
        <f t="shared" si="15"/>
        <v>#DIV/0!</v>
      </c>
      <c r="Z31" s="6" t="e">
        <f t="shared" si="15"/>
        <v>#DIV/0!</v>
      </c>
    </row>
    <row r="32" spans="1:26" x14ac:dyDescent="0.2">
      <c r="A32" s="7" t="s">
        <v>94</v>
      </c>
      <c r="B32" s="6">
        <f t="shared" si="12"/>
        <v>7</v>
      </c>
      <c r="C32" s="7" t="s">
        <v>157</v>
      </c>
      <c r="D32" s="68">
        <v>55</v>
      </c>
      <c r="E32" s="68">
        <v>43</v>
      </c>
      <c r="F32" s="65">
        <f t="shared" si="13"/>
        <v>0.78181818181818186</v>
      </c>
      <c r="G32" s="60" t="e">
        <f t="shared" si="6"/>
        <v>#DIV/0!</v>
      </c>
      <c r="H32" s="65" t="e">
        <f t="shared" si="7"/>
        <v>#DIV/0!</v>
      </c>
      <c r="I32" s="65" t="e">
        <f t="shared" si="7"/>
        <v>#DIV/0!</v>
      </c>
      <c r="J32" s="65" t="e">
        <f t="shared" si="7"/>
        <v>#DIV/0!</v>
      </c>
      <c r="K32" s="69">
        <v>2000</v>
      </c>
      <c r="L32" s="69">
        <f>'Monitoramento Acumulado Geral'!Q32</f>
        <v>0</v>
      </c>
      <c r="M32" s="6">
        <f>(SUM(L26:L32))/K31</f>
        <v>0.1835</v>
      </c>
      <c r="N32" s="35" t="e">
        <f t="shared" si="5"/>
        <v>#DIV/0!</v>
      </c>
      <c r="O32" s="6" t="e">
        <f t="shared" si="16"/>
        <v>#DIV/0!</v>
      </c>
      <c r="P32" s="6" t="e">
        <f t="shared" si="16"/>
        <v>#DIV/0!</v>
      </c>
      <c r="Q32" s="6" t="e">
        <f t="shared" si="16"/>
        <v>#DIV/0!</v>
      </c>
      <c r="R32" s="69">
        <v>35</v>
      </c>
      <c r="S32" s="69">
        <v>21</v>
      </c>
      <c r="T32" s="6">
        <f t="shared" si="9"/>
        <v>0.6</v>
      </c>
      <c r="U32" s="35" t="e">
        <f t="shared" si="10"/>
        <v>#DIV/0!</v>
      </c>
      <c r="V32" s="6" t="e">
        <f t="shared" si="15"/>
        <v>#DIV/0!</v>
      </c>
      <c r="W32" s="6" t="e">
        <f t="shared" si="15"/>
        <v>#DIV/0!</v>
      </c>
      <c r="X32" s="6" t="e">
        <f t="shared" si="15"/>
        <v>#DIV/0!</v>
      </c>
      <c r="Y32" s="6" t="e">
        <f t="shared" si="15"/>
        <v>#DIV/0!</v>
      </c>
      <c r="Z32" s="6" t="e">
        <f t="shared" si="15"/>
        <v>#DIV/0!</v>
      </c>
    </row>
    <row r="33" spans="1:26" x14ac:dyDescent="0.2">
      <c r="A33" s="7" t="s">
        <v>94</v>
      </c>
      <c r="B33" s="6">
        <f t="shared" si="12"/>
        <v>8</v>
      </c>
      <c r="C33" s="7" t="s">
        <v>158</v>
      </c>
      <c r="D33" s="68">
        <v>55</v>
      </c>
      <c r="E33" s="68">
        <v>43</v>
      </c>
      <c r="F33" s="65">
        <f t="shared" si="13"/>
        <v>0.78181818181818186</v>
      </c>
      <c r="G33" s="60" t="e">
        <f t="shared" si="6"/>
        <v>#DIV/0!</v>
      </c>
      <c r="H33" s="65" t="e">
        <f t="shared" si="7"/>
        <v>#DIV/0!</v>
      </c>
      <c r="I33" s="65" t="e">
        <f t="shared" si="7"/>
        <v>#DIV/0!</v>
      </c>
      <c r="J33" s="65" t="e">
        <f t="shared" si="7"/>
        <v>#DIV/0!</v>
      </c>
      <c r="K33" s="69">
        <v>2000</v>
      </c>
      <c r="L33" s="69">
        <f>'Monitoramento Acumulado Geral'!Q33</f>
        <v>0</v>
      </c>
      <c r="M33" s="6">
        <f>(SUM(L26:L33))/K32</f>
        <v>0.1835</v>
      </c>
      <c r="N33" s="35" t="e">
        <f t="shared" si="5"/>
        <v>#DIV/0!</v>
      </c>
      <c r="O33" s="6" t="e">
        <f t="shared" si="16"/>
        <v>#DIV/0!</v>
      </c>
      <c r="P33" s="6" t="e">
        <f t="shared" si="16"/>
        <v>#DIV/0!</v>
      </c>
      <c r="Q33" s="6" t="e">
        <f t="shared" si="16"/>
        <v>#DIV/0!</v>
      </c>
      <c r="R33" s="69">
        <v>35</v>
      </c>
      <c r="S33" s="69">
        <v>21</v>
      </c>
      <c r="T33" s="6">
        <f t="shared" si="9"/>
        <v>0.6</v>
      </c>
      <c r="U33" s="35" t="e">
        <f t="shared" si="10"/>
        <v>#DIV/0!</v>
      </c>
      <c r="V33" s="6" t="e">
        <f t="shared" si="15"/>
        <v>#DIV/0!</v>
      </c>
      <c r="W33" s="6" t="e">
        <f t="shared" si="15"/>
        <v>#DIV/0!</v>
      </c>
      <c r="X33" s="6" t="e">
        <f t="shared" si="15"/>
        <v>#DIV/0!</v>
      </c>
      <c r="Y33" s="6" t="e">
        <f t="shared" si="15"/>
        <v>#DIV/0!</v>
      </c>
      <c r="Z33" s="6" t="e">
        <f t="shared" si="15"/>
        <v>#DIV/0!</v>
      </c>
    </row>
    <row r="34" spans="1:26" x14ac:dyDescent="0.2">
      <c r="A34" s="7" t="s">
        <v>94</v>
      </c>
      <c r="B34" s="6">
        <f t="shared" si="12"/>
        <v>9</v>
      </c>
      <c r="C34" s="7" t="s">
        <v>159</v>
      </c>
      <c r="D34" s="68">
        <v>55</v>
      </c>
      <c r="E34" s="68">
        <v>56</v>
      </c>
      <c r="F34" s="65">
        <f t="shared" si="13"/>
        <v>1.0181818181818181</v>
      </c>
      <c r="G34" s="60" t="e">
        <f t="shared" si="6"/>
        <v>#DIV/0!</v>
      </c>
      <c r="H34" s="65" t="e">
        <f t="shared" ref="H34:J53" si="17">H22</f>
        <v>#DIV/0!</v>
      </c>
      <c r="I34" s="65" t="e">
        <f t="shared" si="17"/>
        <v>#DIV/0!</v>
      </c>
      <c r="J34" s="65" t="e">
        <f t="shared" si="17"/>
        <v>#DIV/0!</v>
      </c>
      <c r="K34" s="69">
        <v>2000</v>
      </c>
      <c r="L34" s="69">
        <f>'Monitoramento Acumulado Geral'!Q34</f>
        <v>3900</v>
      </c>
      <c r="M34" s="6">
        <f>(SUM(L26:L34))/K33</f>
        <v>2.1335000000000002</v>
      </c>
      <c r="N34" s="35" t="e">
        <f t="shared" si="5"/>
        <v>#DIV/0!</v>
      </c>
      <c r="O34" s="6" t="e">
        <f t="shared" si="16"/>
        <v>#DIV/0!</v>
      </c>
      <c r="P34" s="6" t="e">
        <f t="shared" si="16"/>
        <v>#DIV/0!</v>
      </c>
      <c r="Q34" s="6" t="e">
        <f t="shared" si="16"/>
        <v>#DIV/0!</v>
      </c>
      <c r="R34" s="69">
        <v>35</v>
      </c>
      <c r="S34" s="69">
        <v>21</v>
      </c>
      <c r="T34" s="6">
        <f t="shared" si="9"/>
        <v>0.6</v>
      </c>
      <c r="U34" s="35" t="e">
        <f t="shared" si="10"/>
        <v>#DIV/0!</v>
      </c>
      <c r="V34" s="6" t="e">
        <f t="shared" ref="V34:Z43" si="18">V22</f>
        <v>#DIV/0!</v>
      </c>
      <c r="W34" s="6" t="e">
        <f t="shared" si="18"/>
        <v>#DIV/0!</v>
      </c>
      <c r="X34" s="6" t="e">
        <f t="shared" si="18"/>
        <v>#DIV/0!</v>
      </c>
      <c r="Y34" s="6" t="e">
        <f t="shared" si="18"/>
        <v>#DIV/0!</v>
      </c>
      <c r="Z34" s="6" t="e">
        <f t="shared" si="18"/>
        <v>#DIV/0!</v>
      </c>
    </row>
    <row r="35" spans="1:26" x14ac:dyDescent="0.2">
      <c r="A35" s="7" t="s">
        <v>94</v>
      </c>
      <c r="B35" s="6">
        <f t="shared" si="12"/>
        <v>10</v>
      </c>
      <c r="C35" s="7" t="s">
        <v>160</v>
      </c>
      <c r="D35" s="68">
        <v>55</v>
      </c>
      <c r="E35" s="68">
        <v>56</v>
      </c>
      <c r="F35" s="65">
        <f t="shared" si="13"/>
        <v>1.0181818181818181</v>
      </c>
      <c r="G35" s="60" t="e">
        <f t="shared" si="6"/>
        <v>#DIV/0!</v>
      </c>
      <c r="H35" s="65" t="e">
        <f t="shared" si="17"/>
        <v>#DIV/0!</v>
      </c>
      <c r="I35" s="65" t="e">
        <f t="shared" si="17"/>
        <v>#DIV/0!</v>
      </c>
      <c r="J35" s="65" t="e">
        <f t="shared" si="17"/>
        <v>#DIV/0!</v>
      </c>
      <c r="K35" s="69">
        <v>2000</v>
      </c>
      <c r="L35" s="69">
        <f>'Monitoramento Acumulado Geral'!Q35</f>
        <v>0</v>
      </c>
      <c r="M35" s="6">
        <f>(SUM(L26:L35))/K34</f>
        <v>2.1335000000000002</v>
      </c>
      <c r="N35" s="35" t="e">
        <f t="shared" si="5"/>
        <v>#DIV/0!</v>
      </c>
      <c r="O35" s="6" t="e">
        <f t="shared" si="16"/>
        <v>#DIV/0!</v>
      </c>
      <c r="P35" s="6" t="e">
        <f t="shared" si="16"/>
        <v>#DIV/0!</v>
      </c>
      <c r="Q35" s="6" t="e">
        <f t="shared" si="16"/>
        <v>#DIV/0!</v>
      </c>
      <c r="R35" s="69">
        <v>35</v>
      </c>
      <c r="S35" s="69">
        <v>21</v>
      </c>
      <c r="T35" s="6">
        <f t="shared" si="9"/>
        <v>0.6</v>
      </c>
      <c r="U35" s="35" t="e">
        <f t="shared" si="10"/>
        <v>#DIV/0!</v>
      </c>
      <c r="V35" s="6" t="e">
        <f t="shared" si="18"/>
        <v>#DIV/0!</v>
      </c>
      <c r="W35" s="6" t="e">
        <f t="shared" si="18"/>
        <v>#DIV/0!</v>
      </c>
      <c r="X35" s="6" t="e">
        <f t="shared" si="18"/>
        <v>#DIV/0!</v>
      </c>
      <c r="Y35" s="6" t="e">
        <f t="shared" si="18"/>
        <v>#DIV/0!</v>
      </c>
      <c r="Z35" s="6" t="e">
        <f t="shared" si="18"/>
        <v>#DIV/0!</v>
      </c>
    </row>
    <row r="36" spans="1:26" x14ac:dyDescent="0.2">
      <c r="A36" s="7" t="s">
        <v>94</v>
      </c>
      <c r="B36" s="6">
        <f t="shared" si="12"/>
        <v>11</v>
      </c>
      <c r="C36" s="7" t="s">
        <v>161</v>
      </c>
      <c r="D36" s="68">
        <v>55</v>
      </c>
      <c r="E36" s="68">
        <v>0</v>
      </c>
      <c r="F36" s="65">
        <f t="shared" si="13"/>
        <v>0</v>
      </c>
      <c r="G36" s="60" t="e">
        <f t="shared" si="6"/>
        <v>#DIV/0!</v>
      </c>
      <c r="H36" s="65" t="e">
        <f t="shared" si="17"/>
        <v>#DIV/0!</v>
      </c>
      <c r="I36" s="65" t="e">
        <f t="shared" si="17"/>
        <v>#DIV/0!</v>
      </c>
      <c r="J36" s="65" t="e">
        <f t="shared" si="17"/>
        <v>#DIV/0!</v>
      </c>
      <c r="K36" s="69">
        <v>2000</v>
      </c>
      <c r="L36" s="69">
        <f>'Monitoramento Acumulado Geral'!Q36</f>
        <v>0</v>
      </c>
      <c r="M36" s="6">
        <f>(SUM(L26:L36))/K35</f>
        <v>2.1335000000000002</v>
      </c>
      <c r="N36" s="35" t="e">
        <f t="shared" si="5"/>
        <v>#DIV/0!</v>
      </c>
      <c r="O36" s="6" t="e">
        <f t="shared" si="16"/>
        <v>#DIV/0!</v>
      </c>
      <c r="P36" s="6" t="e">
        <f t="shared" si="16"/>
        <v>#DIV/0!</v>
      </c>
      <c r="Q36" s="6" t="e">
        <f t="shared" si="16"/>
        <v>#DIV/0!</v>
      </c>
      <c r="R36" s="69">
        <v>35</v>
      </c>
      <c r="S36" s="69">
        <v>0</v>
      </c>
      <c r="T36" s="6">
        <f t="shared" si="9"/>
        <v>0</v>
      </c>
      <c r="U36" s="35" t="e">
        <f t="shared" si="10"/>
        <v>#DIV/0!</v>
      </c>
      <c r="V36" s="6" t="e">
        <f t="shared" si="18"/>
        <v>#DIV/0!</v>
      </c>
      <c r="W36" s="6" t="e">
        <f t="shared" si="18"/>
        <v>#DIV/0!</v>
      </c>
      <c r="X36" s="6" t="e">
        <f t="shared" si="18"/>
        <v>#DIV/0!</v>
      </c>
      <c r="Y36" s="6" t="e">
        <f t="shared" si="18"/>
        <v>#DIV/0!</v>
      </c>
      <c r="Z36" s="6" t="e">
        <f t="shared" si="18"/>
        <v>#DIV/0!</v>
      </c>
    </row>
    <row r="37" spans="1:26" x14ac:dyDescent="0.2">
      <c r="A37" s="7" t="s">
        <v>94</v>
      </c>
      <c r="B37" s="6">
        <f t="shared" si="12"/>
        <v>12</v>
      </c>
      <c r="C37" s="7" t="s">
        <v>162</v>
      </c>
      <c r="D37" s="68">
        <v>55</v>
      </c>
      <c r="E37" s="68">
        <v>0</v>
      </c>
      <c r="F37" s="65">
        <f t="shared" si="13"/>
        <v>0</v>
      </c>
      <c r="G37" s="60" t="e">
        <f t="shared" si="6"/>
        <v>#DIV/0!</v>
      </c>
      <c r="H37" s="65" t="e">
        <f t="shared" si="17"/>
        <v>#DIV/0!</v>
      </c>
      <c r="I37" s="65" t="e">
        <f t="shared" si="17"/>
        <v>#DIV/0!</v>
      </c>
      <c r="J37" s="65" t="e">
        <f t="shared" si="17"/>
        <v>#DIV/0!</v>
      </c>
      <c r="K37" s="69">
        <v>2000</v>
      </c>
      <c r="L37" s="69">
        <f>'Monitoramento Acumulado Geral'!Q37</f>
        <v>0</v>
      </c>
      <c r="M37" s="6">
        <f>(SUM(L27:L37))/K36</f>
        <v>2.0114999999999998</v>
      </c>
      <c r="N37" s="35" t="e">
        <f t="shared" si="5"/>
        <v>#DIV/0!</v>
      </c>
      <c r="O37" s="6" t="e">
        <f>O25</f>
        <v>#DIV/0!</v>
      </c>
      <c r="P37" s="6" t="e">
        <f t="shared" si="16"/>
        <v>#DIV/0!</v>
      </c>
      <c r="Q37" s="6" t="e">
        <f t="shared" si="16"/>
        <v>#DIV/0!</v>
      </c>
      <c r="R37" s="69">
        <v>35</v>
      </c>
      <c r="S37" s="69">
        <v>0</v>
      </c>
      <c r="T37" s="6">
        <f t="shared" si="9"/>
        <v>0</v>
      </c>
      <c r="U37" s="35" t="e">
        <f t="shared" si="10"/>
        <v>#DIV/0!</v>
      </c>
      <c r="V37" s="6" t="e">
        <f t="shared" si="18"/>
        <v>#DIV/0!</v>
      </c>
      <c r="W37" s="6" t="e">
        <f t="shared" si="18"/>
        <v>#DIV/0!</v>
      </c>
      <c r="X37" s="6" t="e">
        <f t="shared" si="18"/>
        <v>#DIV/0!</v>
      </c>
      <c r="Y37" s="6" t="e">
        <f t="shared" si="18"/>
        <v>#DIV/0!</v>
      </c>
      <c r="Z37" s="6" t="e">
        <f t="shared" si="18"/>
        <v>#DIV/0!</v>
      </c>
    </row>
    <row r="38" spans="1:26" x14ac:dyDescent="0.2">
      <c r="A38" s="7" t="s">
        <v>55</v>
      </c>
      <c r="B38" s="6">
        <f t="shared" si="12"/>
        <v>1</v>
      </c>
      <c r="C38" s="7" t="s">
        <v>151</v>
      </c>
      <c r="D38" s="68">
        <v>75</v>
      </c>
      <c r="E38" s="68">
        <v>0</v>
      </c>
      <c r="F38" s="65">
        <f t="shared" si="13"/>
        <v>0</v>
      </c>
      <c r="G38" s="60" t="e">
        <f t="shared" si="6"/>
        <v>#DIV/0!</v>
      </c>
      <c r="H38" s="65" t="e">
        <f t="shared" si="17"/>
        <v>#DIV/0!</v>
      </c>
      <c r="I38" s="65" t="e">
        <f t="shared" si="17"/>
        <v>#DIV/0!</v>
      </c>
      <c r="J38" s="65" t="e">
        <f t="shared" si="17"/>
        <v>#DIV/0!</v>
      </c>
      <c r="K38" s="69">
        <v>19817.25</v>
      </c>
      <c r="L38" s="69">
        <f>'Monitoramento Acumulado Geral'!Q38</f>
        <v>0</v>
      </c>
      <c r="M38" s="50">
        <f>L38/K38</f>
        <v>0</v>
      </c>
      <c r="N38" s="35" t="e">
        <f t="shared" si="5"/>
        <v>#DIV/0!</v>
      </c>
      <c r="O38" s="6" t="e">
        <f t="shared" ref="O38:Q53" si="19">O26</f>
        <v>#DIV/0!</v>
      </c>
      <c r="P38" s="6" t="e">
        <f t="shared" si="19"/>
        <v>#DIV/0!</v>
      </c>
      <c r="Q38" s="6" t="e">
        <f t="shared" si="19"/>
        <v>#DIV/0!</v>
      </c>
      <c r="R38" s="69">
        <v>80</v>
      </c>
      <c r="S38" s="69">
        <v>11</v>
      </c>
      <c r="T38" s="6">
        <f t="shared" si="9"/>
        <v>0.13750000000000001</v>
      </c>
      <c r="U38" s="35" t="e">
        <f t="shared" si="10"/>
        <v>#DIV/0!</v>
      </c>
      <c r="V38" s="6" t="e">
        <f t="shared" si="18"/>
        <v>#DIV/0!</v>
      </c>
      <c r="W38" s="6" t="e">
        <f t="shared" si="18"/>
        <v>#DIV/0!</v>
      </c>
      <c r="X38" s="6" t="e">
        <f t="shared" si="18"/>
        <v>#DIV/0!</v>
      </c>
      <c r="Y38" s="6" t="e">
        <f t="shared" si="18"/>
        <v>#DIV/0!</v>
      </c>
      <c r="Z38" s="6" t="e">
        <f t="shared" si="18"/>
        <v>#DIV/0!</v>
      </c>
    </row>
    <row r="39" spans="1:26" x14ac:dyDescent="0.2">
      <c r="A39" s="7" t="s">
        <v>55</v>
      </c>
      <c r="B39" s="6">
        <f t="shared" si="12"/>
        <v>2</v>
      </c>
      <c r="C39" s="7" t="s">
        <v>152</v>
      </c>
      <c r="D39" s="68">
        <v>75</v>
      </c>
      <c r="E39" s="68">
        <v>11</v>
      </c>
      <c r="F39" s="65">
        <f t="shared" si="13"/>
        <v>0.14666666666666667</v>
      </c>
      <c r="G39" s="60" t="e">
        <f t="shared" si="6"/>
        <v>#DIV/0!</v>
      </c>
      <c r="H39" s="65" t="e">
        <f t="shared" si="17"/>
        <v>#DIV/0!</v>
      </c>
      <c r="I39" s="65" t="e">
        <f t="shared" si="17"/>
        <v>#DIV/0!</v>
      </c>
      <c r="J39" s="65" t="e">
        <f t="shared" si="17"/>
        <v>#DIV/0!</v>
      </c>
      <c r="K39" s="69">
        <v>19817.25</v>
      </c>
      <c r="L39" s="69">
        <f>'Monitoramento Acumulado Geral'!Q39</f>
        <v>900</v>
      </c>
      <c r="M39" s="6">
        <f>(SUM(L38:L39))/K38</f>
        <v>4.5414979374030204E-2</v>
      </c>
      <c r="N39" s="35" t="e">
        <f t="shared" si="5"/>
        <v>#DIV/0!</v>
      </c>
      <c r="O39" s="6" t="e">
        <f t="shared" si="19"/>
        <v>#DIV/0!</v>
      </c>
      <c r="P39" s="6" t="e">
        <f t="shared" si="19"/>
        <v>#DIV/0!</v>
      </c>
      <c r="Q39" s="6" t="e">
        <f t="shared" si="19"/>
        <v>#DIV/0!</v>
      </c>
      <c r="R39" s="69">
        <v>80</v>
      </c>
      <c r="S39" s="69">
        <v>11</v>
      </c>
      <c r="T39" s="6">
        <f t="shared" si="9"/>
        <v>0.13750000000000001</v>
      </c>
      <c r="U39" s="35" t="e">
        <f t="shared" si="10"/>
        <v>#DIV/0!</v>
      </c>
      <c r="V39" s="6" t="e">
        <f t="shared" si="18"/>
        <v>#DIV/0!</v>
      </c>
      <c r="W39" s="6" t="e">
        <f t="shared" si="18"/>
        <v>#DIV/0!</v>
      </c>
      <c r="X39" s="6" t="e">
        <f t="shared" si="18"/>
        <v>#DIV/0!</v>
      </c>
      <c r="Y39" s="6" t="e">
        <f t="shared" si="18"/>
        <v>#DIV/0!</v>
      </c>
      <c r="Z39" s="6" t="e">
        <f t="shared" si="18"/>
        <v>#DIV/0!</v>
      </c>
    </row>
    <row r="40" spans="1:26" x14ac:dyDescent="0.2">
      <c r="A40" s="7" t="s">
        <v>55</v>
      </c>
      <c r="B40" s="6">
        <f t="shared" si="12"/>
        <v>3</v>
      </c>
      <c r="C40" s="7" t="s">
        <v>153</v>
      </c>
      <c r="D40" s="68">
        <v>75</v>
      </c>
      <c r="E40" s="68">
        <v>26</v>
      </c>
      <c r="F40" s="65">
        <f t="shared" si="13"/>
        <v>0.34666666666666668</v>
      </c>
      <c r="G40" s="60" t="e">
        <f t="shared" si="6"/>
        <v>#DIV/0!</v>
      </c>
      <c r="H40" s="65" t="e">
        <f t="shared" si="17"/>
        <v>#DIV/0!</v>
      </c>
      <c r="I40" s="65" t="e">
        <f t="shared" si="17"/>
        <v>#DIV/0!</v>
      </c>
      <c r="J40" s="65" t="e">
        <f t="shared" si="17"/>
        <v>#DIV/0!</v>
      </c>
      <c r="K40" s="69">
        <v>19817.25</v>
      </c>
      <c r="L40" s="69">
        <f>'Monitoramento Acumulado Geral'!Q40</f>
        <v>3464.08</v>
      </c>
      <c r="M40" s="6">
        <f>(SUM(L38:L40))/K39</f>
        <v>0.22021622576290859</v>
      </c>
      <c r="N40" s="35" t="e">
        <f t="shared" si="5"/>
        <v>#DIV/0!</v>
      </c>
      <c r="O40" s="6" t="e">
        <f t="shared" si="19"/>
        <v>#DIV/0!</v>
      </c>
      <c r="P40" s="6" t="e">
        <f t="shared" si="19"/>
        <v>#DIV/0!</v>
      </c>
      <c r="Q40" s="6" t="e">
        <f t="shared" si="19"/>
        <v>#DIV/0!</v>
      </c>
      <c r="R40" s="69">
        <v>80</v>
      </c>
      <c r="S40" s="69">
        <v>11</v>
      </c>
      <c r="T40" s="6">
        <f t="shared" si="9"/>
        <v>0.13750000000000001</v>
      </c>
      <c r="U40" s="35" t="e">
        <f t="shared" si="10"/>
        <v>#DIV/0!</v>
      </c>
      <c r="V40" s="6" t="e">
        <f t="shared" si="18"/>
        <v>#DIV/0!</v>
      </c>
      <c r="W40" s="6" t="e">
        <f t="shared" si="18"/>
        <v>#DIV/0!</v>
      </c>
      <c r="X40" s="6" t="e">
        <f t="shared" si="18"/>
        <v>#DIV/0!</v>
      </c>
      <c r="Y40" s="6" t="e">
        <f t="shared" si="18"/>
        <v>#DIV/0!</v>
      </c>
      <c r="Z40" s="6" t="e">
        <f t="shared" si="18"/>
        <v>#DIV/0!</v>
      </c>
    </row>
    <row r="41" spans="1:26" x14ac:dyDescent="0.2">
      <c r="A41" s="7" t="s">
        <v>55</v>
      </c>
      <c r="B41" s="6">
        <f t="shared" si="12"/>
        <v>4</v>
      </c>
      <c r="C41" s="7" t="s">
        <v>154</v>
      </c>
      <c r="D41" s="68">
        <v>75</v>
      </c>
      <c r="E41" s="68">
        <v>37</v>
      </c>
      <c r="F41" s="65">
        <f t="shared" si="13"/>
        <v>0.49333333333333335</v>
      </c>
      <c r="G41" s="60" t="e">
        <f t="shared" si="6"/>
        <v>#DIV/0!</v>
      </c>
      <c r="H41" s="65" t="e">
        <f t="shared" si="17"/>
        <v>#DIV/0!</v>
      </c>
      <c r="I41" s="65" t="e">
        <f t="shared" si="17"/>
        <v>#DIV/0!</v>
      </c>
      <c r="J41" s="65" t="e">
        <f t="shared" si="17"/>
        <v>#DIV/0!</v>
      </c>
      <c r="K41" s="69">
        <v>19817.25</v>
      </c>
      <c r="L41" s="69">
        <f>'Monitoramento Acumulado Geral'!Q41</f>
        <v>1454</v>
      </c>
      <c r="M41" s="6">
        <f>(SUM(L38:L41))/K40</f>
        <v>0.29358664799606404</v>
      </c>
      <c r="N41" s="35" t="e">
        <f t="shared" si="5"/>
        <v>#DIV/0!</v>
      </c>
      <c r="O41" s="6" t="e">
        <f t="shared" si="19"/>
        <v>#DIV/0!</v>
      </c>
      <c r="P41" s="6" t="e">
        <f t="shared" si="19"/>
        <v>#DIV/0!</v>
      </c>
      <c r="Q41" s="6" t="e">
        <f t="shared" si="19"/>
        <v>#DIV/0!</v>
      </c>
      <c r="R41" s="69">
        <v>80</v>
      </c>
      <c r="S41" s="69">
        <v>11</v>
      </c>
      <c r="T41" s="6">
        <f t="shared" si="9"/>
        <v>0.13750000000000001</v>
      </c>
      <c r="U41" s="35" t="e">
        <f t="shared" si="10"/>
        <v>#DIV/0!</v>
      </c>
      <c r="V41" s="6" t="e">
        <f t="shared" si="18"/>
        <v>#DIV/0!</v>
      </c>
      <c r="W41" s="6" t="e">
        <f t="shared" si="18"/>
        <v>#DIV/0!</v>
      </c>
      <c r="X41" s="6" t="e">
        <f t="shared" si="18"/>
        <v>#DIV/0!</v>
      </c>
      <c r="Y41" s="6" t="e">
        <f t="shared" si="18"/>
        <v>#DIV/0!</v>
      </c>
      <c r="Z41" s="6" t="e">
        <f t="shared" si="18"/>
        <v>#DIV/0!</v>
      </c>
    </row>
    <row r="42" spans="1:26" x14ac:dyDescent="0.2">
      <c r="A42" s="7" t="s">
        <v>55</v>
      </c>
      <c r="B42" s="6">
        <f t="shared" si="12"/>
        <v>5</v>
      </c>
      <c r="C42" s="7" t="s">
        <v>155</v>
      </c>
      <c r="D42" s="68">
        <v>75</v>
      </c>
      <c r="E42" s="68">
        <v>37</v>
      </c>
      <c r="F42" s="65">
        <f t="shared" si="13"/>
        <v>0.49333333333333335</v>
      </c>
      <c r="G42" s="60" t="e">
        <f t="shared" si="6"/>
        <v>#DIV/0!</v>
      </c>
      <c r="H42" s="65" t="e">
        <f t="shared" si="17"/>
        <v>#DIV/0!</v>
      </c>
      <c r="I42" s="65" t="e">
        <f t="shared" si="17"/>
        <v>#DIV/0!</v>
      </c>
      <c r="J42" s="65" t="e">
        <f t="shared" si="17"/>
        <v>#DIV/0!</v>
      </c>
      <c r="K42" s="69">
        <v>19817.25</v>
      </c>
      <c r="L42" s="69">
        <f>'Monitoramento Acumulado Geral'!Q42</f>
        <v>0</v>
      </c>
      <c r="M42" s="6">
        <f>(SUM(L38:L42))/K41</f>
        <v>0.29358664799606404</v>
      </c>
      <c r="N42" s="35" t="e">
        <f t="shared" si="5"/>
        <v>#DIV/0!</v>
      </c>
      <c r="O42" s="6" t="e">
        <f t="shared" si="19"/>
        <v>#DIV/0!</v>
      </c>
      <c r="P42" s="6" t="e">
        <f t="shared" si="19"/>
        <v>#DIV/0!</v>
      </c>
      <c r="Q42" s="6" t="e">
        <f t="shared" si="19"/>
        <v>#DIV/0!</v>
      </c>
      <c r="R42" s="69">
        <v>80</v>
      </c>
      <c r="S42" s="69">
        <v>53</v>
      </c>
      <c r="T42" s="6">
        <f t="shared" si="9"/>
        <v>0.66249999999999998</v>
      </c>
      <c r="U42" s="35" t="e">
        <f t="shared" si="10"/>
        <v>#DIV/0!</v>
      </c>
      <c r="V42" s="6" t="e">
        <f t="shared" si="18"/>
        <v>#DIV/0!</v>
      </c>
      <c r="W42" s="6" t="e">
        <f t="shared" si="18"/>
        <v>#DIV/0!</v>
      </c>
      <c r="X42" s="6" t="e">
        <f t="shared" si="18"/>
        <v>#DIV/0!</v>
      </c>
      <c r="Y42" s="6" t="e">
        <f t="shared" si="18"/>
        <v>#DIV/0!</v>
      </c>
      <c r="Z42" s="6" t="e">
        <f t="shared" si="18"/>
        <v>#DIV/0!</v>
      </c>
    </row>
    <row r="43" spans="1:26" x14ac:dyDescent="0.2">
      <c r="A43" s="7" t="s">
        <v>55</v>
      </c>
      <c r="B43" s="6">
        <f t="shared" si="12"/>
        <v>6</v>
      </c>
      <c r="C43" s="7" t="s">
        <v>156</v>
      </c>
      <c r="D43" s="68">
        <v>75</v>
      </c>
      <c r="E43" s="68">
        <v>37</v>
      </c>
      <c r="F43" s="65">
        <f t="shared" si="13"/>
        <v>0.49333333333333335</v>
      </c>
      <c r="G43" s="60" t="e">
        <f t="shared" si="6"/>
        <v>#DIV/0!</v>
      </c>
      <c r="H43" s="65" t="e">
        <f t="shared" si="17"/>
        <v>#DIV/0!</v>
      </c>
      <c r="I43" s="65" t="e">
        <f t="shared" si="17"/>
        <v>#DIV/0!</v>
      </c>
      <c r="J43" s="65" t="e">
        <f t="shared" si="17"/>
        <v>#DIV/0!</v>
      </c>
      <c r="K43" s="69">
        <v>19817.25</v>
      </c>
      <c r="L43" s="69">
        <f>'Monitoramento Acumulado Geral'!Q43</f>
        <v>300</v>
      </c>
      <c r="M43" s="6">
        <f>(SUM(L38:L43))/K42</f>
        <v>0.3087249744540741</v>
      </c>
      <c r="N43" s="35" t="e">
        <f t="shared" si="5"/>
        <v>#DIV/0!</v>
      </c>
      <c r="O43" s="6" t="e">
        <f t="shared" si="19"/>
        <v>#DIV/0!</v>
      </c>
      <c r="P43" s="6" t="e">
        <f t="shared" si="19"/>
        <v>#DIV/0!</v>
      </c>
      <c r="Q43" s="6" t="e">
        <f t="shared" si="19"/>
        <v>#DIV/0!</v>
      </c>
      <c r="R43" s="69">
        <v>80</v>
      </c>
      <c r="S43" s="69">
        <v>53</v>
      </c>
      <c r="T43" s="6">
        <f t="shared" si="9"/>
        <v>0.66249999999999998</v>
      </c>
      <c r="U43" s="35" t="e">
        <f t="shared" si="10"/>
        <v>#DIV/0!</v>
      </c>
      <c r="V43" s="6" t="e">
        <f t="shared" si="18"/>
        <v>#DIV/0!</v>
      </c>
      <c r="W43" s="6" t="e">
        <f t="shared" si="18"/>
        <v>#DIV/0!</v>
      </c>
      <c r="X43" s="6" t="e">
        <f t="shared" si="18"/>
        <v>#DIV/0!</v>
      </c>
      <c r="Y43" s="6" t="e">
        <f t="shared" si="18"/>
        <v>#DIV/0!</v>
      </c>
      <c r="Z43" s="6" t="e">
        <f t="shared" si="18"/>
        <v>#DIV/0!</v>
      </c>
    </row>
    <row r="44" spans="1:26" x14ac:dyDescent="0.2">
      <c r="A44" s="7" t="s">
        <v>55</v>
      </c>
      <c r="B44" s="6">
        <f t="shared" si="12"/>
        <v>7</v>
      </c>
      <c r="C44" s="7" t="s">
        <v>157</v>
      </c>
      <c r="D44" s="68">
        <v>75</v>
      </c>
      <c r="E44" s="68">
        <v>47</v>
      </c>
      <c r="F44" s="65">
        <f t="shared" si="13"/>
        <v>0.62666666666666671</v>
      </c>
      <c r="G44" s="60" t="e">
        <f t="shared" si="6"/>
        <v>#DIV/0!</v>
      </c>
      <c r="H44" s="65" t="e">
        <f t="shared" si="17"/>
        <v>#DIV/0!</v>
      </c>
      <c r="I44" s="65" t="e">
        <f t="shared" si="17"/>
        <v>#DIV/0!</v>
      </c>
      <c r="J44" s="65" t="e">
        <f t="shared" si="17"/>
        <v>#DIV/0!</v>
      </c>
      <c r="K44" s="69">
        <v>19817.25</v>
      </c>
      <c r="L44" s="69">
        <f>'Monitoramento Acumulado Geral'!Q44</f>
        <v>14140</v>
      </c>
      <c r="M44" s="6">
        <f>(SUM(L38:L44))/K43</f>
        <v>1.0222447615082819</v>
      </c>
      <c r="N44" s="35" t="e">
        <f t="shared" si="5"/>
        <v>#DIV/0!</v>
      </c>
      <c r="O44" s="6" t="e">
        <f t="shared" si="19"/>
        <v>#DIV/0!</v>
      </c>
      <c r="P44" s="6" t="e">
        <f t="shared" si="19"/>
        <v>#DIV/0!</v>
      </c>
      <c r="Q44" s="6" t="e">
        <f t="shared" si="19"/>
        <v>#DIV/0!</v>
      </c>
      <c r="R44" s="69">
        <v>80</v>
      </c>
      <c r="S44" s="69">
        <v>53</v>
      </c>
      <c r="T44" s="6">
        <f t="shared" si="9"/>
        <v>0.66249999999999998</v>
      </c>
      <c r="U44" s="35" t="e">
        <f t="shared" si="10"/>
        <v>#DIV/0!</v>
      </c>
      <c r="V44" s="6" t="e">
        <f t="shared" ref="V44:Z49" si="20">V32</f>
        <v>#DIV/0!</v>
      </c>
      <c r="W44" s="6" t="e">
        <f t="shared" si="20"/>
        <v>#DIV/0!</v>
      </c>
      <c r="X44" s="6" t="e">
        <f t="shared" si="20"/>
        <v>#DIV/0!</v>
      </c>
      <c r="Y44" s="6" t="e">
        <f t="shared" si="20"/>
        <v>#DIV/0!</v>
      </c>
      <c r="Z44" s="6" t="e">
        <f t="shared" si="20"/>
        <v>#DIV/0!</v>
      </c>
    </row>
    <row r="45" spans="1:26" x14ac:dyDescent="0.2">
      <c r="A45" s="7" t="s">
        <v>55</v>
      </c>
      <c r="B45" s="6">
        <f t="shared" si="12"/>
        <v>8</v>
      </c>
      <c r="C45" s="7" t="s">
        <v>158</v>
      </c>
      <c r="D45" s="68">
        <v>75</v>
      </c>
      <c r="E45" s="68">
        <v>47</v>
      </c>
      <c r="F45" s="65">
        <f t="shared" si="13"/>
        <v>0.62666666666666671</v>
      </c>
      <c r="G45" s="60" t="e">
        <f t="shared" si="6"/>
        <v>#DIV/0!</v>
      </c>
      <c r="H45" s="65" t="e">
        <f t="shared" si="17"/>
        <v>#DIV/0!</v>
      </c>
      <c r="I45" s="65" t="e">
        <f t="shared" si="17"/>
        <v>#DIV/0!</v>
      </c>
      <c r="J45" s="65" t="e">
        <f t="shared" si="17"/>
        <v>#DIV/0!</v>
      </c>
      <c r="K45" s="69">
        <v>19817.25</v>
      </c>
      <c r="L45" s="69">
        <f>'Monitoramento Acumulado Geral'!Q45</f>
        <v>0</v>
      </c>
      <c r="M45" s="6">
        <f>(SUM(L38:L45))/K44</f>
        <v>1.0222447615082819</v>
      </c>
      <c r="N45" s="35" t="e">
        <f t="shared" ref="N45:N76" si="21">IF(M45&gt;=P33,"Desempenho Ótimo",(IF(M45&gt;O33,"Desempenho Bom",(IF(M45&gt;Q33,"Desempenho Médio",IF(M45&lt;=Q33,"Desempenho Deficitário",0))))))</f>
        <v>#DIV/0!</v>
      </c>
      <c r="O45" s="6" t="e">
        <f t="shared" si="19"/>
        <v>#DIV/0!</v>
      </c>
      <c r="P45" s="6" t="e">
        <f t="shared" si="19"/>
        <v>#DIV/0!</v>
      </c>
      <c r="Q45" s="6" t="e">
        <f t="shared" si="19"/>
        <v>#DIV/0!</v>
      </c>
      <c r="R45" s="69">
        <v>80</v>
      </c>
      <c r="S45" s="69">
        <v>53</v>
      </c>
      <c r="T45" s="6">
        <f t="shared" si="9"/>
        <v>0.66249999999999998</v>
      </c>
      <c r="U45" s="35" t="e">
        <f t="shared" si="10"/>
        <v>#DIV/0!</v>
      </c>
      <c r="V45" s="6" t="e">
        <f t="shared" si="20"/>
        <v>#DIV/0!</v>
      </c>
      <c r="W45" s="6" t="e">
        <f t="shared" si="20"/>
        <v>#DIV/0!</v>
      </c>
      <c r="X45" s="6" t="e">
        <f t="shared" si="20"/>
        <v>#DIV/0!</v>
      </c>
      <c r="Y45" s="6" t="e">
        <f t="shared" si="20"/>
        <v>#DIV/0!</v>
      </c>
      <c r="Z45" s="6" t="e">
        <f t="shared" si="20"/>
        <v>#DIV/0!</v>
      </c>
    </row>
    <row r="46" spans="1:26" x14ac:dyDescent="0.2">
      <c r="A46" s="7" t="s">
        <v>55</v>
      </c>
      <c r="B46" s="6">
        <f t="shared" si="12"/>
        <v>9</v>
      </c>
      <c r="C46" s="7" t="s">
        <v>159</v>
      </c>
      <c r="D46" s="68">
        <v>75</v>
      </c>
      <c r="E46" s="68">
        <v>47</v>
      </c>
      <c r="F46" s="65">
        <f t="shared" si="13"/>
        <v>0.62666666666666671</v>
      </c>
      <c r="G46" s="60" t="e">
        <f t="shared" ref="G46:G73" si="22">IF(F46&gt;=I34,"Desempenho Ótimo",(IF(F46&gt;H34,"Desempenho Bom",(IF(F46&gt;J34,"Desempenho Médio",IF(F46&lt;=J34,"Desempenho Deficitário",0))))))</f>
        <v>#DIV/0!</v>
      </c>
      <c r="H46" s="65" t="e">
        <f t="shared" si="17"/>
        <v>#DIV/0!</v>
      </c>
      <c r="I46" s="65" t="e">
        <f t="shared" si="17"/>
        <v>#DIV/0!</v>
      </c>
      <c r="J46" s="65" t="e">
        <f t="shared" si="17"/>
        <v>#DIV/0!</v>
      </c>
      <c r="K46" s="69">
        <v>19817.25</v>
      </c>
      <c r="L46" s="69">
        <f>'Monitoramento Acumulado Geral'!Q46</f>
        <v>500</v>
      </c>
      <c r="M46" s="6">
        <f>(SUM(L38:L46))/K45</f>
        <v>1.0474753056049655</v>
      </c>
      <c r="N46" s="35" t="e">
        <f t="shared" si="21"/>
        <v>#DIV/0!</v>
      </c>
      <c r="O46" s="6" t="e">
        <f t="shared" si="19"/>
        <v>#DIV/0!</v>
      </c>
      <c r="P46" s="6" t="e">
        <f t="shared" si="19"/>
        <v>#DIV/0!</v>
      </c>
      <c r="Q46" s="6" t="e">
        <f t="shared" si="19"/>
        <v>#DIV/0!</v>
      </c>
      <c r="R46" s="69">
        <v>80</v>
      </c>
      <c r="S46" s="69">
        <v>53</v>
      </c>
      <c r="T46" s="6">
        <f t="shared" si="9"/>
        <v>0.66249999999999998</v>
      </c>
      <c r="U46" s="35" t="e">
        <f t="shared" si="10"/>
        <v>#DIV/0!</v>
      </c>
      <c r="V46" s="6" t="e">
        <f t="shared" si="20"/>
        <v>#DIV/0!</v>
      </c>
      <c r="W46" s="6" t="e">
        <f t="shared" si="20"/>
        <v>#DIV/0!</v>
      </c>
      <c r="X46" s="6" t="e">
        <f t="shared" si="20"/>
        <v>#DIV/0!</v>
      </c>
      <c r="Y46" s="6" t="e">
        <f t="shared" si="20"/>
        <v>#DIV/0!</v>
      </c>
      <c r="Z46" s="6" t="e">
        <f t="shared" si="20"/>
        <v>#DIV/0!</v>
      </c>
    </row>
    <row r="47" spans="1:26" x14ac:dyDescent="0.2">
      <c r="A47" s="7" t="s">
        <v>55</v>
      </c>
      <c r="B47" s="6">
        <f t="shared" si="12"/>
        <v>10</v>
      </c>
      <c r="C47" s="7" t="s">
        <v>160</v>
      </c>
      <c r="D47" s="68">
        <v>75</v>
      </c>
      <c r="E47" s="68">
        <v>47</v>
      </c>
      <c r="F47" s="65">
        <f t="shared" si="13"/>
        <v>0.62666666666666671</v>
      </c>
      <c r="G47" s="60" t="e">
        <f t="shared" si="22"/>
        <v>#DIV/0!</v>
      </c>
      <c r="H47" s="65" t="e">
        <f t="shared" si="17"/>
        <v>#DIV/0!</v>
      </c>
      <c r="I47" s="65" t="e">
        <f t="shared" si="17"/>
        <v>#DIV/0!</v>
      </c>
      <c r="J47" s="65" t="e">
        <f t="shared" si="17"/>
        <v>#DIV/0!</v>
      </c>
      <c r="K47" s="69">
        <v>19817.25</v>
      </c>
      <c r="L47" s="69">
        <f>'Monitoramento Acumulado Geral'!Q47</f>
        <v>0</v>
      </c>
      <c r="M47" s="6">
        <f>(SUM(L38:L47))/K46</f>
        <v>1.0474753056049655</v>
      </c>
      <c r="N47" s="35" t="e">
        <f t="shared" si="21"/>
        <v>#DIV/0!</v>
      </c>
      <c r="O47" s="6" t="e">
        <f t="shared" si="19"/>
        <v>#DIV/0!</v>
      </c>
      <c r="P47" s="6" t="e">
        <f t="shared" si="19"/>
        <v>#DIV/0!</v>
      </c>
      <c r="Q47" s="6" t="e">
        <f t="shared" si="19"/>
        <v>#DIV/0!</v>
      </c>
      <c r="R47" s="69">
        <v>80</v>
      </c>
      <c r="S47" s="69">
        <v>53</v>
      </c>
      <c r="T47" s="6">
        <f t="shared" si="9"/>
        <v>0.66249999999999998</v>
      </c>
      <c r="U47" s="35" t="e">
        <f t="shared" si="10"/>
        <v>#DIV/0!</v>
      </c>
      <c r="V47" s="6" t="e">
        <f t="shared" si="20"/>
        <v>#DIV/0!</v>
      </c>
      <c r="W47" s="6" t="e">
        <f t="shared" si="20"/>
        <v>#DIV/0!</v>
      </c>
      <c r="X47" s="6" t="e">
        <f t="shared" si="20"/>
        <v>#DIV/0!</v>
      </c>
      <c r="Y47" s="6" t="e">
        <f t="shared" si="20"/>
        <v>#DIV/0!</v>
      </c>
      <c r="Z47" s="6" t="e">
        <f t="shared" si="20"/>
        <v>#DIV/0!</v>
      </c>
    </row>
    <row r="48" spans="1:26" x14ac:dyDescent="0.2">
      <c r="A48" s="7" t="s">
        <v>55</v>
      </c>
      <c r="B48" s="6">
        <f t="shared" si="12"/>
        <v>11</v>
      </c>
      <c r="C48" s="7" t="s">
        <v>161</v>
      </c>
      <c r="D48" s="68">
        <v>75</v>
      </c>
      <c r="E48" s="68">
        <v>0</v>
      </c>
      <c r="F48" s="65">
        <f t="shared" si="13"/>
        <v>0</v>
      </c>
      <c r="G48" s="60" t="e">
        <f t="shared" si="22"/>
        <v>#DIV/0!</v>
      </c>
      <c r="H48" s="65" t="e">
        <f t="shared" si="17"/>
        <v>#DIV/0!</v>
      </c>
      <c r="I48" s="65" t="e">
        <f t="shared" si="17"/>
        <v>#DIV/0!</v>
      </c>
      <c r="J48" s="65" t="e">
        <f t="shared" si="17"/>
        <v>#DIV/0!</v>
      </c>
      <c r="K48" s="69">
        <v>19817.25</v>
      </c>
      <c r="L48" s="69">
        <f>'Monitoramento Acumulado Geral'!Q48</f>
        <v>0</v>
      </c>
      <c r="M48" s="6">
        <f>(SUM(L38:L48))/K47</f>
        <v>1.0474753056049655</v>
      </c>
      <c r="N48" s="35" t="e">
        <f t="shared" si="21"/>
        <v>#DIV/0!</v>
      </c>
      <c r="O48" s="6" t="e">
        <f t="shared" si="19"/>
        <v>#DIV/0!</v>
      </c>
      <c r="P48" s="6" t="e">
        <f t="shared" si="19"/>
        <v>#DIV/0!</v>
      </c>
      <c r="Q48" s="6" t="e">
        <f t="shared" si="19"/>
        <v>#DIV/0!</v>
      </c>
      <c r="R48" s="69">
        <v>80</v>
      </c>
      <c r="S48" s="69">
        <v>0</v>
      </c>
      <c r="T48" s="6">
        <f t="shared" si="9"/>
        <v>0</v>
      </c>
      <c r="U48" s="35" t="e">
        <f t="shared" si="10"/>
        <v>#DIV/0!</v>
      </c>
      <c r="V48" s="6" t="e">
        <f t="shared" si="20"/>
        <v>#DIV/0!</v>
      </c>
      <c r="W48" s="6" t="e">
        <f t="shared" si="20"/>
        <v>#DIV/0!</v>
      </c>
      <c r="X48" s="6" t="e">
        <f t="shared" si="20"/>
        <v>#DIV/0!</v>
      </c>
      <c r="Y48" s="6" t="e">
        <f t="shared" si="20"/>
        <v>#DIV/0!</v>
      </c>
      <c r="Z48" s="6" t="e">
        <f t="shared" si="20"/>
        <v>#DIV/0!</v>
      </c>
    </row>
    <row r="49" spans="1:26" x14ac:dyDescent="0.2">
      <c r="A49" s="7" t="s">
        <v>55</v>
      </c>
      <c r="B49" s="6">
        <f t="shared" si="12"/>
        <v>12</v>
      </c>
      <c r="C49" s="7" t="s">
        <v>162</v>
      </c>
      <c r="D49" s="68">
        <v>75</v>
      </c>
      <c r="E49" s="68">
        <v>0</v>
      </c>
      <c r="F49" s="65">
        <f t="shared" si="13"/>
        <v>0</v>
      </c>
      <c r="G49" s="60" t="e">
        <f t="shared" si="22"/>
        <v>#DIV/0!</v>
      </c>
      <c r="H49" s="65" t="e">
        <f t="shared" si="17"/>
        <v>#DIV/0!</v>
      </c>
      <c r="I49" s="65" t="e">
        <f t="shared" si="17"/>
        <v>#DIV/0!</v>
      </c>
      <c r="J49" s="65" t="e">
        <f t="shared" si="17"/>
        <v>#DIV/0!</v>
      </c>
      <c r="K49" s="69">
        <v>19817.25</v>
      </c>
      <c r="L49" s="69">
        <f>'Monitoramento Acumulado Geral'!Q49</f>
        <v>0</v>
      </c>
      <c r="M49" s="6">
        <f>(SUM(L38:L49))/K48</f>
        <v>1.0474753056049655</v>
      </c>
      <c r="N49" s="35" t="e">
        <f t="shared" si="21"/>
        <v>#DIV/0!</v>
      </c>
      <c r="O49" s="6" t="e">
        <f t="shared" si="19"/>
        <v>#DIV/0!</v>
      </c>
      <c r="P49" s="6" t="e">
        <f t="shared" si="19"/>
        <v>#DIV/0!</v>
      </c>
      <c r="Q49" s="6" t="e">
        <f t="shared" si="19"/>
        <v>#DIV/0!</v>
      </c>
      <c r="R49" s="69">
        <v>80</v>
      </c>
      <c r="S49" s="69">
        <v>0</v>
      </c>
      <c r="T49" s="6">
        <f t="shared" si="9"/>
        <v>0</v>
      </c>
      <c r="U49" s="35" t="e">
        <f t="shared" si="10"/>
        <v>#DIV/0!</v>
      </c>
      <c r="V49" s="6" t="e">
        <f t="shared" si="20"/>
        <v>#DIV/0!</v>
      </c>
      <c r="W49" s="6" t="e">
        <f t="shared" si="20"/>
        <v>#DIV/0!</v>
      </c>
      <c r="X49" s="6" t="e">
        <f t="shared" si="20"/>
        <v>#DIV/0!</v>
      </c>
      <c r="Y49" s="6" t="e">
        <f t="shared" si="20"/>
        <v>#DIV/0!</v>
      </c>
      <c r="Z49" s="6" t="e">
        <f t="shared" si="20"/>
        <v>#DIV/0!</v>
      </c>
    </row>
    <row r="50" spans="1:26" x14ac:dyDescent="0.2">
      <c r="A50" s="7" t="s">
        <v>142</v>
      </c>
      <c r="B50" s="6">
        <f t="shared" si="12"/>
        <v>1</v>
      </c>
      <c r="C50" s="7" t="s">
        <v>151</v>
      </c>
      <c r="D50" s="68">
        <v>75</v>
      </c>
      <c r="E50" s="68">
        <v>3</v>
      </c>
      <c r="F50" s="65">
        <f t="shared" si="13"/>
        <v>0.04</v>
      </c>
      <c r="G50" s="60" t="e">
        <f t="shared" si="22"/>
        <v>#DIV/0!</v>
      </c>
      <c r="H50" s="65" t="e">
        <f t="shared" si="17"/>
        <v>#DIV/0!</v>
      </c>
      <c r="I50" s="65" t="e">
        <f t="shared" si="17"/>
        <v>#DIV/0!</v>
      </c>
      <c r="J50" s="65" t="e">
        <f t="shared" si="17"/>
        <v>#DIV/0!</v>
      </c>
      <c r="K50" s="69">
        <v>50000</v>
      </c>
      <c r="L50" s="69">
        <f>'Monitoramento Acumulado Geral'!Q50</f>
        <v>1305</v>
      </c>
      <c r="M50" s="6">
        <f>L50/K50</f>
        <v>2.6100000000000002E-2</v>
      </c>
      <c r="N50" s="35" t="e">
        <f t="shared" si="21"/>
        <v>#DIV/0!</v>
      </c>
      <c r="O50" s="6" t="e">
        <f t="shared" si="19"/>
        <v>#DIV/0!</v>
      </c>
      <c r="P50" s="6" t="e">
        <f t="shared" si="19"/>
        <v>#DIV/0!</v>
      </c>
      <c r="Q50" s="6" t="e">
        <f t="shared" si="19"/>
        <v>#DIV/0!</v>
      </c>
      <c r="R50" s="69">
        <v>80</v>
      </c>
      <c r="S50" s="69">
        <v>17</v>
      </c>
      <c r="T50" s="6">
        <f t="shared" si="9"/>
        <v>0.21249999999999999</v>
      </c>
      <c r="U50" s="35" t="e">
        <f t="shared" ref="U50:U78" si="23">IF(T50&gt;=W50,"Desempenho Ótimo",(IF(T50&gt;V50,"Desempenho Bom",(IF(T50&gt;X50,"Desempenho Médio",IF(T50&lt;=X50,"Desempenho Deficitário",0))))))</f>
        <v>#DIV/0!</v>
      </c>
      <c r="V50" s="6" t="e">
        <f t="shared" ref="V50:Z50" si="24">V38</f>
        <v>#DIV/0!</v>
      </c>
      <c r="W50" s="6" t="e">
        <f t="shared" si="24"/>
        <v>#DIV/0!</v>
      </c>
      <c r="X50" s="6" t="e">
        <f t="shared" si="24"/>
        <v>#DIV/0!</v>
      </c>
      <c r="Y50" s="6" t="e">
        <f t="shared" si="24"/>
        <v>#DIV/0!</v>
      </c>
      <c r="Z50" s="6" t="e">
        <f t="shared" si="24"/>
        <v>#DIV/0!</v>
      </c>
    </row>
    <row r="51" spans="1:26" x14ac:dyDescent="0.2">
      <c r="A51" s="7" t="s">
        <v>142</v>
      </c>
      <c r="B51" s="6">
        <f t="shared" si="12"/>
        <v>2</v>
      </c>
      <c r="C51" s="7" t="s">
        <v>152</v>
      </c>
      <c r="D51" s="68">
        <v>75</v>
      </c>
      <c r="E51" s="68">
        <v>14</v>
      </c>
      <c r="F51" s="65">
        <f t="shared" si="13"/>
        <v>0.18666666666666668</v>
      </c>
      <c r="G51" s="60" t="e">
        <f t="shared" si="22"/>
        <v>#DIV/0!</v>
      </c>
      <c r="H51" s="65" t="e">
        <f t="shared" si="17"/>
        <v>#DIV/0!</v>
      </c>
      <c r="I51" s="65" t="e">
        <f t="shared" si="17"/>
        <v>#DIV/0!</v>
      </c>
      <c r="J51" s="65" t="e">
        <f t="shared" si="17"/>
        <v>#DIV/0!</v>
      </c>
      <c r="K51" s="69">
        <v>50000</v>
      </c>
      <c r="L51" s="69">
        <f>'Monitoramento Acumulado Geral'!Q51</f>
        <v>6368.8</v>
      </c>
      <c r="M51" s="6">
        <f>(SUM(L50:L51))/K50</f>
        <v>0.153476</v>
      </c>
      <c r="N51" s="35" t="e">
        <f t="shared" si="21"/>
        <v>#DIV/0!</v>
      </c>
      <c r="O51" s="6" t="e">
        <f t="shared" si="19"/>
        <v>#DIV/0!</v>
      </c>
      <c r="P51" s="6" t="e">
        <f t="shared" si="19"/>
        <v>#DIV/0!</v>
      </c>
      <c r="Q51" s="6" t="e">
        <f t="shared" si="19"/>
        <v>#DIV/0!</v>
      </c>
      <c r="R51" s="69">
        <v>80</v>
      </c>
      <c r="S51" s="69">
        <v>17</v>
      </c>
      <c r="T51" s="6">
        <f t="shared" si="9"/>
        <v>0.21249999999999999</v>
      </c>
      <c r="U51" s="35" t="e">
        <f t="shared" si="23"/>
        <v>#DIV/0!</v>
      </c>
      <c r="V51" s="6" t="e">
        <f t="shared" ref="V51:Z51" si="25">V39</f>
        <v>#DIV/0!</v>
      </c>
      <c r="W51" s="6" t="e">
        <f t="shared" si="25"/>
        <v>#DIV/0!</v>
      </c>
      <c r="X51" s="6" t="e">
        <f t="shared" si="25"/>
        <v>#DIV/0!</v>
      </c>
      <c r="Y51" s="6" t="e">
        <f t="shared" si="25"/>
        <v>#DIV/0!</v>
      </c>
      <c r="Z51" s="6" t="e">
        <f t="shared" si="25"/>
        <v>#DIV/0!</v>
      </c>
    </row>
    <row r="52" spans="1:26" x14ac:dyDescent="0.2">
      <c r="A52" s="7" t="s">
        <v>142</v>
      </c>
      <c r="B52" s="6">
        <f t="shared" si="12"/>
        <v>3</v>
      </c>
      <c r="C52" s="7" t="s">
        <v>153</v>
      </c>
      <c r="D52" s="68">
        <v>75</v>
      </c>
      <c r="E52" s="68">
        <v>17</v>
      </c>
      <c r="F52" s="65">
        <f t="shared" si="13"/>
        <v>0.22666666666666666</v>
      </c>
      <c r="G52" s="60" t="e">
        <f t="shared" si="22"/>
        <v>#DIV/0!</v>
      </c>
      <c r="H52" s="65" t="e">
        <f t="shared" si="17"/>
        <v>#DIV/0!</v>
      </c>
      <c r="I52" s="65" t="e">
        <f t="shared" si="17"/>
        <v>#DIV/0!</v>
      </c>
      <c r="J52" s="65" t="e">
        <f t="shared" si="17"/>
        <v>#DIV/0!</v>
      </c>
      <c r="K52" s="69">
        <v>50000</v>
      </c>
      <c r="L52" s="69">
        <f>'Monitoramento Acumulado Geral'!Q52</f>
        <v>3500</v>
      </c>
      <c r="M52" s="6">
        <f>(SUM(L50:L52))/K51</f>
        <v>0.22347599999999998</v>
      </c>
      <c r="N52" s="35" t="e">
        <f t="shared" si="21"/>
        <v>#DIV/0!</v>
      </c>
      <c r="O52" s="6" t="e">
        <f t="shared" si="19"/>
        <v>#DIV/0!</v>
      </c>
      <c r="P52" s="6" t="e">
        <f t="shared" si="19"/>
        <v>#DIV/0!</v>
      </c>
      <c r="Q52" s="6" t="e">
        <f t="shared" si="19"/>
        <v>#DIV/0!</v>
      </c>
      <c r="R52" s="69">
        <v>80</v>
      </c>
      <c r="S52" s="69">
        <v>17</v>
      </c>
      <c r="T52" s="6">
        <f t="shared" si="9"/>
        <v>0.21249999999999999</v>
      </c>
      <c r="U52" s="35" t="e">
        <f t="shared" si="23"/>
        <v>#DIV/0!</v>
      </c>
      <c r="V52" s="6" t="e">
        <f t="shared" ref="V52:Z52" si="26">V40</f>
        <v>#DIV/0!</v>
      </c>
      <c r="W52" s="6" t="e">
        <f t="shared" si="26"/>
        <v>#DIV/0!</v>
      </c>
      <c r="X52" s="6" t="e">
        <f t="shared" si="26"/>
        <v>#DIV/0!</v>
      </c>
      <c r="Y52" s="6" t="e">
        <f t="shared" si="26"/>
        <v>#DIV/0!</v>
      </c>
      <c r="Z52" s="6" t="e">
        <f t="shared" si="26"/>
        <v>#DIV/0!</v>
      </c>
    </row>
    <row r="53" spans="1:26" x14ac:dyDescent="0.2">
      <c r="A53" s="7" t="s">
        <v>142</v>
      </c>
      <c r="B53" s="6">
        <f t="shared" si="12"/>
        <v>4</v>
      </c>
      <c r="C53" s="7" t="s">
        <v>154</v>
      </c>
      <c r="D53" s="68">
        <v>75</v>
      </c>
      <c r="E53" s="68">
        <v>17</v>
      </c>
      <c r="F53" s="65">
        <f t="shared" si="13"/>
        <v>0.22666666666666666</v>
      </c>
      <c r="G53" s="60" t="e">
        <f t="shared" si="22"/>
        <v>#DIV/0!</v>
      </c>
      <c r="H53" s="65" t="e">
        <f t="shared" si="17"/>
        <v>#DIV/0!</v>
      </c>
      <c r="I53" s="65" t="e">
        <f t="shared" si="17"/>
        <v>#DIV/0!</v>
      </c>
      <c r="J53" s="65" t="e">
        <f t="shared" si="17"/>
        <v>#DIV/0!</v>
      </c>
      <c r="K53" s="69">
        <v>50000</v>
      </c>
      <c r="L53" s="69">
        <f>'Monitoramento Acumulado Geral'!Q53</f>
        <v>0</v>
      </c>
      <c r="M53" s="6">
        <f>(SUM(L50:L53))/K52</f>
        <v>0.22347599999999998</v>
      </c>
      <c r="N53" s="35" t="e">
        <f t="shared" si="21"/>
        <v>#DIV/0!</v>
      </c>
      <c r="O53" s="6" t="e">
        <f t="shared" si="19"/>
        <v>#DIV/0!</v>
      </c>
      <c r="P53" s="6" t="e">
        <f t="shared" si="19"/>
        <v>#DIV/0!</v>
      </c>
      <c r="Q53" s="6" t="e">
        <f t="shared" si="19"/>
        <v>#DIV/0!</v>
      </c>
      <c r="R53" s="69">
        <v>80</v>
      </c>
      <c r="S53" s="69">
        <v>17</v>
      </c>
      <c r="T53" s="6">
        <f t="shared" si="9"/>
        <v>0.21249999999999999</v>
      </c>
      <c r="U53" s="35" t="e">
        <f t="shared" si="23"/>
        <v>#DIV/0!</v>
      </c>
      <c r="V53" s="6" t="e">
        <f t="shared" ref="V53:Z53" si="27">V41</f>
        <v>#DIV/0!</v>
      </c>
      <c r="W53" s="6" t="e">
        <f t="shared" si="27"/>
        <v>#DIV/0!</v>
      </c>
      <c r="X53" s="6" t="e">
        <f t="shared" si="27"/>
        <v>#DIV/0!</v>
      </c>
      <c r="Y53" s="6" t="e">
        <f t="shared" si="27"/>
        <v>#DIV/0!</v>
      </c>
      <c r="Z53" s="6" t="e">
        <f t="shared" si="27"/>
        <v>#DIV/0!</v>
      </c>
    </row>
    <row r="54" spans="1:26" x14ac:dyDescent="0.2">
      <c r="A54" s="7" t="s">
        <v>142</v>
      </c>
      <c r="B54" s="6">
        <f t="shared" si="12"/>
        <v>5</v>
      </c>
      <c r="C54" s="7" t="s">
        <v>155</v>
      </c>
      <c r="D54" s="68">
        <v>75</v>
      </c>
      <c r="E54" s="68">
        <v>28</v>
      </c>
      <c r="F54" s="65">
        <f t="shared" si="13"/>
        <v>0.37333333333333335</v>
      </c>
      <c r="G54" s="60" t="e">
        <f t="shared" si="22"/>
        <v>#DIV/0!</v>
      </c>
      <c r="H54" s="65" t="e">
        <f t="shared" ref="H54:J73" si="28">H42</f>
        <v>#DIV/0!</v>
      </c>
      <c r="I54" s="65" t="e">
        <f t="shared" si="28"/>
        <v>#DIV/0!</v>
      </c>
      <c r="J54" s="65" t="e">
        <f t="shared" si="28"/>
        <v>#DIV/0!</v>
      </c>
      <c r="K54" s="69">
        <v>50000</v>
      </c>
      <c r="L54" s="69">
        <f>'Monitoramento Acumulado Geral'!Q54</f>
        <v>6900</v>
      </c>
      <c r="M54" s="6">
        <f>(SUM(L50:L54))/K53</f>
        <v>0.36147599999999996</v>
      </c>
      <c r="N54" s="35" t="e">
        <f t="shared" si="21"/>
        <v>#DIV/0!</v>
      </c>
      <c r="O54" s="6" t="e">
        <f t="shared" ref="O54:Q69" si="29">O42</f>
        <v>#DIV/0!</v>
      </c>
      <c r="P54" s="6" t="e">
        <f t="shared" si="29"/>
        <v>#DIV/0!</v>
      </c>
      <c r="Q54" s="6" t="e">
        <f t="shared" si="29"/>
        <v>#DIV/0!</v>
      </c>
      <c r="R54" s="69">
        <v>80</v>
      </c>
      <c r="S54" s="69">
        <v>97</v>
      </c>
      <c r="T54" s="6">
        <f t="shared" si="9"/>
        <v>1.2124999999999999</v>
      </c>
      <c r="U54" s="35" t="e">
        <f t="shared" si="23"/>
        <v>#DIV/0!</v>
      </c>
      <c r="V54" s="6" t="e">
        <f t="shared" ref="V54:Z54" si="30">V42</f>
        <v>#DIV/0!</v>
      </c>
      <c r="W54" s="6" t="e">
        <f t="shared" si="30"/>
        <v>#DIV/0!</v>
      </c>
      <c r="X54" s="6" t="e">
        <f t="shared" si="30"/>
        <v>#DIV/0!</v>
      </c>
      <c r="Y54" s="6" t="e">
        <f t="shared" si="30"/>
        <v>#DIV/0!</v>
      </c>
      <c r="Z54" s="6" t="e">
        <f t="shared" si="30"/>
        <v>#DIV/0!</v>
      </c>
    </row>
    <row r="55" spans="1:26" x14ac:dyDescent="0.2">
      <c r="A55" s="7" t="s">
        <v>142</v>
      </c>
      <c r="B55" s="6">
        <f t="shared" si="12"/>
        <v>6</v>
      </c>
      <c r="C55" s="7" t="s">
        <v>156</v>
      </c>
      <c r="D55" s="68">
        <v>75</v>
      </c>
      <c r="E55" s="68">
        <v>34</v>
      </c>
      <c r="F55" s="65">
        <f t="shared" si="13"/>
        <v>0.45333333333333331</v>
      </c>
      <c r="G55" s="60" t="e">
        <f t="shared" si="22"/>
        <v>#DIV/0!</v>
      </c>
      <c r="H55" s="65" t="e">
        <f t="shared" si="28"/>
        <v>#DIV/0!</v>
      </c>
      <c r="I55" s="65" t="e">
        <f t="shared" si="28"/>
        <v>#DIV/0!</v>
      </c>
      <c r="J55" s="65" t="e">
        <f t="shared" si="28"/>
        <v>#DIV/0!</v>
      </c>
      <c r="K55" s="69">
        <v>50000</v>
      </c>
      <c r="L55" s="69">
        <f>'Monitoramento Acumulado Geral'!Q55</f>
        <v>2200</v>
      </c>
      <c r="M55" s="6">
        <f>(SUM(L50:L55))/K54</f>
        <v>0.405476</v>
      </c>
      <c r="N55" s="35" t="e">
        <f t="shared" si="21"/>
        <v>#DIV/0!</v>
      </c>
      <c r="O55" s="6" t="e">
        <f t="shared" si="29"/>
        <v>#DIV/0!</v>
      </c>
      <c r="P55" s="6" t="e">
        <f t="shared" si="29"/>
        <v>#DIV/0!</v>
      </c>
      <c r="Q55" s="6" t="e">
        <f t="shared" si="29"/>
        <v>#DIV/0!</v>
      </c>
      <c r="R55" s="69">
        <v>80</v>
      </c>
      <c r="S55" s="69">
        <v>97</v>
      </c>
      <c r="T55" s="6">
        <f t="shared" si="9"/>
        <v>1.2124999999999999</v>
      </c>
      <c r="U55" s="35" t="e">
        <f t="shared" si="23"/>
        <v>#DIV/0!</v>
      </c>
      <c r="V55" s="6" t="e">
        <f t="shared" ref="V55:Z55" si="31">V43</f>
        <v>#DIV/0!</v>
      </c>
      <c r="W55" s="6" t="e">
        <f t="shared" si="31"/>
        <v>#DIV/0!</v>
      </c>
      <c r="X55" s="6" t="e">
        <f t="shared" si="31"/>
        <v>#DIV/0!</v>
      </c>
      <c r="Y55" s="6" t="e">
        <f t="shared" si="31"/>
        <v>#DIV/0!</v>
      </c>
      <c r="Z55" s="6" t="e">
        <f t="shared" si="31"/>
        <v>#DIV/0!</v>
      </c>
    </row>
    <row r="56" spans="1:26" x14ac:dyDescent="0.2">
      <c r="A56" s="7" t="s">
        <v>142</v>
      </c>
      <c r="B56" s="6">
        <f t="shared" si="12"/>
        <v>7</v>
      </c>
      <c r="C56" s="7" t="s">
        <v>157</v>
      </c>
      <c r="D56" s="68">
        <v>75</v>
      </c>
      <c r="E56" s="68">
        <v>34</v>
      </c>
      <c r="F56" s="65">
        <f t="shared" si="13"/>
        <v>0.45333333333333331</v>
      </c>
      <c r="G56" s="60" t="e">
        <f t="shared" si="22"/>
        <v>#DIV/0!</v>
      </c>
      <c r="H56" s="65" t="e">
        <f t="shared" si="28"/>
        <v>#DIV/0!</v>
      </c>
      <c r="I56" s="65" t="e">
        <f t="shared" si="28"/>
        <v>#DIV/0!</v>
      </c>
      <c r="J56" s="65" t="e">
        <f t="shared" si="28"/>
        <v>#DIV/0!</v>
      </c>
      <c r="K56" s="69">
        <v>50000</v>
      </c>
      <c r="L56" s="69">
        <f>'Monitoramento Acumulado Geral'!Q56</f>
        <v>0</v>
      </c>
      <c r="M56" s="6">
        <f>(SUM(L50:L56))/K55</f>
        <v>0.405476</v>
      </c>
      <c r="N56" s="35" t="e">
        <f t="shared" si="21"/>
        <v>#DIV/0!</v>
      </c>
      <c r="O56" s="6" t="e">
        <f t="shared" si="29"/>
        <v>#DIV/0!</v>
      </c>
      <c r="P56" s="6" t="e">
        <f t="shared" si="29"/>
        <v>#DIV/0!</v>
      </c>
      <c r="Q56" s="6" t="e">
        <f t="shared" si="29"/>
        <v>#DIV/0!</v>
      </c>
      <c r="R56" s="69">
        <v>80</v>
      </c>
      <c r="S56" s="69">
        <v>97</v>
      </c>
      <c r="T56" s="6">
        <f t="shared" si="9"/>
        <v>1.2124999999999999</v>
      </c>
      <c r="U56" s="35" t="e">
        <f t="shared" si="23"/>
        <v>#DIV/0!</v>
      </c>
      <c r="V56" s="6" t="e">
        <f t="shared" ref="V56:Z56" si="32">V44</f>
        <v>#DIV/0!</v>
      </c>
      <c r="W56" s="6" t="e">
        <f t="shared" si="32"/>
        <v>#DIV/0!</v>
      </c>
      <c r="X56" s="6" t="e">
        <f t="shared" si="32"/>
        <v>#DIV/0!</v>
      </c>
      <c r="Y56" s="6" t="e">
        <f t="shared" si="32"/>
        <v>#DIV/0!</v>
      </c>
      <c r="Z56" s="6" t="e">
        <f t="shared" si="32"/>
        <v>#DIV/0!</v>
      </c>
    </row>
    <row r="57" spans="1:26" x14ac:dyDescent="0.2">
      <c r="A57" s="7" t="s">
        <v>142</v>
      </c>
      <c r="B57" s="6">
        <f t="shared" si="12"/>
        <v>8</v>
      </c>
      <c r="C57" s="7" t="s">
        <v>158</v>
      </c>
      <c r="D57" s="68">
        <v>75</v>
      </c>
      <c r="E57" s="68">
        <v>72</v>
      </c>
      <c r="F57" s="65">
        <f t="shared" si="13"/>
        <v>0.96</v>
      </c>
      <c r="G57" s="60" t="e">
        <f t="shared" si="22"/>
        <v>#DIV/0!</v>
      </c>
      <c r="H57" s="65" t="e">
        <f t="shared" si="28"/>
        <v>#DIV/0!</v>
      </c>
      <c r="I57" s="65" t="e">
        <f t="shared" si="28"/>
        <v>#DIV/0!</v>
      </c>
      <c r="J57" s="65" t="e">
        <f t="shared" si="28"/>
        <v>#DIV/0!</v>
      </c>
      <c r="K57" s="69">
        <v>50000</v>
      </c>
      <c r="L57" s="69">
        <f>'Monitoramento Acumulado Geral'!Q57</f>
        <v>20777.5</v>
      </c>
      <c r="M57" s="6">
        <f>(SUM(L50:L57))/K56</f>
        <v>0.82102600000000003</v>
      </c>
      <c r="N57" s="35" t="e">
        <f t="shared" si="21"/>
        <v>#DIV/0!</v>
      </c>
      <c r="O57" s="6" t="e">
        <f t="shared" si="29"/>
        <v>#DIV/0!</v>
      </c>
      <c r="P57" s="6" t="e">
        <f t="shared" si="29"/>
        <v>#DIV/0!</v>
      </c>
      <c r="Q57" s="6" t="e">
        <f t="shared" si="29"/>
        <v>#DIV/0!</v>
      </c>
      <c r="R57" s="69">
        <v>80</v>
      </c>
      <c r="S57" s="69">
        <v>97</v>
      </c>
      <c r="T57" s="6">
        <f t="shared" si="9"/>
        <v>1.2124999999999999</v>
      </c>
      <c r="U57" s="35" t="e">
        <f t="shared" si="23"/>
        <v>#DIV/0!</v>
      </c>
      <c r="V57" s="6" t="e">
        <f t="shared" ref="V57:Z57" si="33">V45</f>
        <v>#DIV/0!</v>
      </c>
      <c r="W57" s="6" t="e">
        <f t="shared" si="33"/>
        <v>#DIV/0!</v>
      </c>
      <c r="X57" s="6" t="e">
        <f t="shared" si="33"/>
        <v>#DIV/0!</v>
      </c>
      <c r="Y57" s="6" t="e">
        <f t="shared" si="33"/>
        <v>#DIV/0!</v>
      </c>
      <c r="Z57" s="6" t="e">
        <f t="shared" si="33"/>
        <v>#DIV/0!</v>
      </c>
    </row>
    <row r="58" spans="1:26" x14ac:dyDescent="0.2">
      <c r="A58" s="7" t="s">
        <v>142</v>
      </c>
      <c r="B58" s="6">
        <f t="shared" si="12"/>
        <v>9</v>
      </c>
      <c r="C58" s="7" t="s">
        <v>159</v>
      </c>
      <c r="D58" s="68">
        <v>75</v>
      </c>
      <c r="E58" s="68">
        <v>86</v>
      </c>
      <c r="F58" s="65">
        <f t="shared" si="13"/>
        <v>1.1466666666666667</v>
      </c>
      <c r="G58" s="60" t="e">
        <f t="shared" si="22"/>
        <v>#DIV/0!</v>
      </c>
      <c r="H58" s="65" t="e">
        <f t="shared" si="28"/>
        <v>#DIV/0!</v>
      </c>
      <c r="I58" s="65" t="e">
        <f t="shared" si="28"/>
        <v>#DIV/0!</v>
      </c>
      <c r="J58" s="65" t="e">
        <f t="shared" si="28"/>
        <v>#DIV/0!</v>
      </c>
      <c r="K58" s="69">
        <v>50000</v>
      </c>
      <c r="L58" s="69">
        <f>'Monitoramento Acumulado Geral'!Q58</f>
        <v>11000</v>
      </c>
      <c r="M58" s="6">
        <f>(SUM(L50:L58))/K57</f>
        <v>1.041026</v>
      </c>
      <c r="N58" s="35" t="e">
        <f t="shared" si="21"/>
        <v>#DIV/0!</v>
      </c>
      <c r="O58" s="6" t="e">
        <f t="shared" si="29"/>
        <v>#DIV/0!</v>
      </c>
      <c r="P58" s="6" t="e">
        <f t="shared" si="29"/>
        <v>#DIV/0!</v>
      </c>
      <c r="Q58" s="6" t="e">
        <f t="shared" si="29"/>
        <v>#DIV/0!</v>
      </c>
      <c r="R58" s="69">
        <v>80</v>
      </c>
      <c r="S58" s="69">
        <v>97</v>
      </c>
      <c r="T58" s="6">
        <f t="shared" si="9"/>
        <v>1.2124999999999999</v>
      </c>
      <c r="U58" s="35" t="e">
        <f t="shared" si="23"/>
        <v>#DIV/0!</v>
      </c>
      <c r="V58" s="6" t="e">
        <f t="shared" ref="V58:Z58" si="34">V46</f>
        <v>#DIV/0!</v>
      </c>
      <c r="W58" s="6" t="e">
        <f t="shared" si="34"/>
        <v>#DIV/0!</v>
      </c>
      <c r="X58" s="6" t="e">
        <f t="shared" si="34"/>
        <v>#DIV/0!</v>
      </c>
      <c r="Y58" s="6" t="e">
        <f t="shared" si="34"/>
        <v>#DIV/0!</v>
      </c>
      <c r="Z58" s="6" t="e">
        <f t="shared" si="34"/>
        <v>#DIV/0!</v>
      </c>
    </row>
    <row r="59" spans="1:26" x14ac:dyDescent="0.2">
      <c r="A59" s="7" t="s">
        <v>142</v>
      </c>
      <c r="B59" s="6">
        <f t="shared" si="12"/>
        <v>10</v>
      </c>
      <c r="C59" s="7" t="s">
        <v>160</v>
      </c>
      <c r="D59" s="68">
        <v>75</v>
      </c>
      <c r="E59" s="68">
        <v>86</v>
      </c>
      <c r="F59" s="65">
        <f t="shared" si="13"/>
        <v>1.1466666666666667</v>
      </c>
      <c r="G59" s="60" t="e">
        <f t="shared" si="22"/>
        <v>#DIV/0!</v>
      </c>
      <c r="H59" s="65" t="e">
        <f t="shared" si="28"/>
        <v>#DIV/0!</v>
      </c>
      <c r="I59" s="65" t="e">
        <f t="shared" si="28"/>
        <v>#DIV/0!</v>
      </c>
      <c r="J59" s="65" t="e">
        <f t="shared" si="28"/>
        <v>#DIV/0!</v>
      </c>
      <c r="K59" s="69">
        <v>50000</v>
      </c>
      <c r="L59" s="69">
        <f>'Monitoramento Acumulado Geral'!Q59</f>
        <v>0</v>
      </c>
      <c r="M59" s="6">
        <f>(SUM(L50:L59))/K58</f>
        <v>1.041026</v>
      </c>
      <c r="N59" s="35" t="e">
        <f t="shared" si="21"/>
        <v>#DIV/0!</v>
      </c>
      <c r="O59" s="6" t="e">
        <f t="shared" si="29"/>
        <v>#DIV/0!</v>
      </c>
      <c r="P59" s="6" t="e">
        <f t="shared" si="29"/>
        <v>#DIV/0!</v>
      </c>
      <c r="Q59" s="6" t="e">
        <f t="shared" si="29"/>
        <v>#DIV/0!</v>
      </c>
      <c r="R59" s="69">
        <v>80</v>
      </c>
      <c r="S59" s="69">
        <v>97</v>
      </c>
      <c r="T59" s="6">
        <f t="shared" si="9"/>
        <v>1.2124999999999999</v>
      </c>
      <c r="U59" s="35" t="e">
        <f t="shared" si="23"/>
        <v>#DIV/0!</v>
      </c>
      <c r="V59" s="6" t="e">
        <f t="shared" ref="V59:Z59" si="35">V47</f>
        <v>#DIV/0!</v>
      </c>
      <c r="W59" s="6" t="e">
        <f t="shared" si="35"/>
        <v>#DIV/0!</v>
      </c>
      <c r="X59" s="6" t="e">
        <f t="shared" si="35"/>
        <v>#DIV/0!</v>
      </c>
      <c r="Y59" s="6" t="e">
        <f t="shared" si="35"/>
        <v>#DIV/0!</v>
      </c>
      <c r="Z59" s="6" t="e">
        <f t="shared" si="35"/>
        <v>#DIV/0!</v>
      </c>
    </row>
    <row r="60" spans="1:26" x14ac:dyDescent="0.2">
      <c r="A60" s="7" t="s">
        <v>142</v>
      </c>
      <c r="B60" s="6">
        <f t="shared" si="12"/>
        <v>11</v>
      </c>
      <c r="C60" s="7" t="s">
        <v>161</v>
      </c>
      <c r="D60" s="68">
        <v>75</v>
      </c>
      <c r="E60" s="68">
        <v>0</v>
      </c>
      <c r="F60" s="65">
        <f t="shared" si="13"/>
        <v>0</v>
      </c>
      <c r="G60" s="60" t="e">
        <f t="shared" si="22"/>
        <v>#DIV/0!</v>
      </c>
      <c r="H60" s="65" t="e">
        <f t="shared" si="28"/>
        <v>#DIV/0!</v>
      </c>
      <c r="I60" s="65" t="e">
        <f t="shared" si="28"/>
        <v>#DIV/0!</v>
      </c>
      <c r="J60" s="65" t="e">
        <f t="shared" si="28"/>
        <v>#DIV/0!</v>
      </c>
      <c r="K60" s="69">
        <v>50000</v>
      </c>
      <c r="L60" s="69">
        <f>'Monitoramento Acumulado Geral'!Q60</f>
        <v>0</v>
      </c>
      <c r="M60" s="6">
        <f>(SUM(L50:L60))/K59</f>
        <v>1.041026</v>
      </c>
      <c r="N60" s="35" t="e">
        <f t="shared" si="21"/>
        <v>#DIV/0!</v>
      </c>
      <c r="O60" s="6" t="e">
        <f t="shared" si="29"/>
        <v>#DIV/0!</v>
      </c>
      <c r="P60" s="6" t="e">
        <f t="shared" si="29"/>
        <v>#DIV/0!</v>
      </c>
      <c r="Q60" s="6" t="e">
        <f t="shared" si="29"/>
        <v>#DIV/0!</v>
      </c>
      <c r="R60" s="69">
        <v>80</v>
      </c>
      <c r="S60" s="69">
        <v>0</v>
      </c>
      <c r="T60" s="6">
        <f t="shared" si="9"/>
        <v>0</v>
      </c>
      <c r="U60" s="35" t="e">
        <f t="shared" si="23"/>
        <v>#DIV/0!</v>
      </c>
      <c r="V60" s="6" t="e">
        <f t="shared" ref="V60:Z60" si="36">V48</f>
        <v>#DIV/0!</v>
      </c>
      <c r="W60" s="6" t="e">
        <f t="shared" si="36"/>
        <v>#DIV/0!</v>
      </c>
      <c r="X60" s="6" t="e">
        <f t="shared" si="36"/>
        <v>#DIV/0!</v>
      </c>
      <c r="Y60" s="6" t="e">
        <f t="shared" si="36"/>
        <v>#DIV/0!</v>
      </c>
      <c r="Z60" s="6" t="e">
        <f t="shared" si="36"/>
        <v>#DIV/0!</v>
      </c>
    </row>
    <row r="61" spans="1:26" x14ac:dyDescent="0.2">
      <c r="A61" s="7" t="s">
        <v>142</v>
      </c>
      <c r="B61" s="6">
        <f t="shared" si="12"/>
        <v>12</v>
      </c>
      <c r="C61" s="7" t="s">
        <v>162</v>
      </c>
      <c r="D61" s="68">
        <v>75</v>
      </c>
      <c r="E61" s="68">
        <v>0</v>
      </c>
      <c r="F61" s="65">
        <f t="shared" si="13"/>
        <v>0</v>
      </c>
      <c r="G61" s="60" t="e">
        <f t="shared" si="22"/>
        <v>#DIV/0!</v>
      </c>
      <c r="H61" s="65" t="e">
        <f t="shared" si="28"/>
        <v>#DIV/0!</v>
      </c>
      <c r="I61" s="65" t="e">
        <f t="shared" si="28"/>
        <v>#DIV/0!</v>
      </c>
      <c r="J61" s="65" t="e">
        <f t="shared" si="28"/>
        <v>#DIV/0!</v>
      </c>
      <c r="K61" s="69">
        <v>50000</v>
      </c>
      <c r="L61" s="69">
        <f>'Monitoramento Acumulado Geral'!Q61</f>
        <v>0</v>
      </c>
      <c r="M61" s="6">
        <f>(SUM(L50:L61))/K60</f>
        <v>1.041026</v>
      </c>
      <c r="N61" s="35" t="e">
        <f t="shared" si="21"/>
        <v>#DIV/0!</v>
      </c>
      <c r="O61" s="6" t="e">
        <f t="shared" si="29"/>
        <v>#DIV/0!</v>
      </c>
      <c r="P61" s="6" t="e">
        <f t="shared" si="29"/>
        <v>#DIV/0!</v>
      </c>
      <c r="Q61" s="6" t="e">
        <f t="shared" si="29"/>
        <v>#DIV/0!</v>
      </c>
      <c r="R61" s="69">
        <v>80</v>
      </c>
      <c r="S61" s="69">
        <v>0</v>
      </c>
      <c r="T61" s="6">
        <f t="shared" si="9"/>
        <v>0</v>
      </c>
      <c r="U61" s="35" t="e">
        <f t="shared" si="23"/>
        <v>#DIV/0!</v>
      </c>
      <c r="V61" s="6" t="e">
        <f t="shared" ref="V61:Z61" si="37">V49</f>
        <v>#DIV/0!</v>
      </c>
      <c r="W61" s="6" t="e">
        <f t="shared" si="37"/>
        <v>#DIV/0!</v>
      </c>
      <c r="X61" s="6" t="e">
        <f t="shared" si="37"/>
        <v>#DIV/0!</v>
      </c>
      <c r="Y61" s="6" t="e">
        <f t="shared" si="37"/>
        <v>#DIV/0!</v>
      </c>
      <c r="Z61" s="6" t="e">
        <f t="shared" si="37"/>
        <v>#DIV/0!</v>
      </c>
    </row>
    <row r="62" spans="1:26" x14ac:dyDescent="0.2">
      <c r="A62" s="7" t="s">
        <v>65</v>
      </c>
      <c r="B62" s="6">
        <f t="shared" si="12"/>
        <v>1</v>
      </c>
      <c r="C62" s="7" t="s">
        <v>151</v>
      </c>
      <c r="D62" s="68">
        <v>75</v>
      </c>
      <c r="E62" s="68">
        <v>28</v>
      </c>
      <c r="F62" s="65">
        <f t="shared" si="13"/>
        <v>0.37333333333333335</v>
      </c>
      <c r="G62" s="60" t="e">
        <f t="shared" si="22"/>
        <v>#DIV/0!</v>
      </c>
      <c r="H62" s="65" t="e">
        <f t="shared" si="28"/>
        <v>#DIV/0!</v>
      </c>
      <c r="I62" s="65" t="e">
        <f t="shared" si="28"/>
        <v>#DIV/0!</v>
      </c>
      <c r="J62" s="65" t="e">
        <f t="shared" si="28"/>
        <v>#DIV/0!</v>
      </c>
      <c r="K62" s="69">
        <v>12000</v>
      </c>
      <c r="L62" s="69">
        <f>'Monitoramento Acumulado Geral'!Q62</f>
        <v>4500</v>
      </c>
      <c r="M62" s="6">
        <f>L62/K62</f>
        <v>0.375</v>
      </c>
      <c r="N62" s="35" t="e">
        <f t="shared" si="21"/>
        <v>#DIV/0!</v>
      </c>
      <c r="O62" s="6" t="e">
        <f t="shared" si="29"/>
        <v>#DIV/0!</v>
      </c>
      <c r="P62" s="6" t="e">
        <f t="shared" si="29"/>
        <v>#DIV/0!</v>
      </c>
      <c r="Q62" s="6" t="e">
        <f t="shared" si="29"/>
        <v>#DIV/0!</v>
      </c>
      <c r="R62" s="69">
        <v>67</v>
      </c>
      <c r="S62" s="69">
        <v>0</v>
      </c>
      <c r="T62" s="6">
        <f t="shared" si="9"/>
        <v>0</v>
      </c>
      <c r="U62" s="35" t="e">
        <f t="shared" si="23"/>
        <v>#DIV/0!</v>
      </c>
      <c r="V62" s="6" t="e">
        <f t="shared" ref="V62:Z62" si="38">V50</f>
        <v>#DIV/0!</v>
      </c>
      <c r="W62" s="6" t="e">
        <f t="shared" si="38"/>
        <v>#DIV/0!</v>
      </c>
      <c r="X62" s="6" t="e">
        <f t="shared" si="38"/>
        <v>#DIV/0!</v>
      </c>
      <c r="Y62" s="6" t="e">
        <f t="shared" si="38"/>
        <v>#DIV/0!</v>
      </c>
      <c r="Z62" s="6" t="e">
        <f t="shared" si="38"/>
        <v>#DIV/0!</v>
      </c>
    </row>
    <row r="63" spans="1:26" x14ac:dyDescent="0.2">
      <c r="A63" s="7" t="s">
        <v>65</v>
      </c>
      <c r="B63" s="6">
        <f t="shared" si="12"/>
        <v>2</v>
      </c>
      <c r="C63" s="7" t="s">
        <v>152</v>
      </c>
      <c r="D63" s="68">
        <v>75</v>
      </c>
      <c r="E63" s="68">
        <v>28</v>
      </c>
      <c r="F63" s="65">
        <f t="shared" si="13"/>
        <v>0.37333333333333335</v>
      </c>
      <c r="G63" s="60" t="e">
        <f t="shared" si="22"/>
        <v>#DIV/0!</v>
      </c>
      <c r="H63" s="65" t="e">
        <f t="shared" si="28"/>
        <v>#DIV/0!</v>
      </c>
      <c r="I63" s="65" t="e">
        <f t="shared" si="28"/>
        <v>#DIV/0!</v>
      </c>
      <c r="J63" s="65" t="e">
        <f t="shared" si="28"/>
        <v>#DIV/0!</v>
      </c>
      <c r="K63" s="69">
        <v>12000</v>
      </c>
      <c r="L63" s="69">
        <f>'Monitoramento Acumulado Geral'!Q63</f>
        <v>0</v>
      </c>
      <c r="M63" s="6">
        <f>(SUM(L62:L63))/K62</f>
        <v>0.375</v>
      </c>
      <c r="N63" s="35" t="e">
        <f t="shared" si="21"/>
        <v>#DIV/0!</v>
      </c>
      <c r="O63" s="6" t="e">
        <f t="shared" si="29"/>
        <v>#DIV/0!</v>
      </c>
      <c r="P63" s="6" t="e">
        <f t="shared" si="29"/>
        <v>#DIV/0!</v>
      </c>
      <c r="Q63" s="6" t="e">
        <f t="shared" si="29"/>
        <v>#DIV/0!</v>
      </c>
      <c r="R63" s="69">
        <v>67</v>
      </c>
      <c r="S63" s="69">
        <v>0</v>
      </c>
      <c r="T63" s="6">
        <f t="shared" si="9"/>
        <v>0</v>
      </c>
      <c r="U63" s="35" t="e">
        <f t="shared" si="23"/>
        <v>#DIV/0!</v>
      </c>
      <c r="V63" s="6" t="e">
        <f t="shared" ref="V63:Z63" si="39">V51</f>
        <v>#DIV/0!</v>
      </c>
      <c r="W63" s="6" t="e">
        <f t="shared" si="39"/>
        <v>#DIV/0!</v>
      </c>
      <c r="X63" s="6" t="e">
        <f t="shared" si="39"/>
        <v>#DIV/0!</v>
      </c>
      <c r="Y63" s="6" t="e">
        <f t="shared" si="39"/>
        <v>#DIV/0!</v>
      </c>
      <c r="Z63" s="6" t="e">
        <f t="shared" si="39"/>
        <v>#DIV/0!</v>
      </c>
    </row>
    <row r="64" spans="1:26" x14ac:dyDescent="0.2">
      <c r="A64" s="7" t="s">
        <v>65</v>
      </c>
      <c r="B64" s="6">
        <f t="shared" si="12"/>
        <v>3</v>
      </c>
      <c r="C64" s="7" t="s">
        <v>153</v>
      </c>
      <c r="D64" s="68">
        <v>75</v>
      </c>
      <c r="E64" s="68">
        <v>33</v>
      </c>
      <c r="F64" s="65">
        <f t="shared" si="13"/>
        <v>0.44</v>
      </c>
      <c r="G64" s="60" t="e">
        <f t="shared" si="22"/>
        <v>#DIV/0!</v>
      </c>
      <c r="H64" s="65" t="e">
        <f t="shared" si="28"/>
        <v>#DIV/0!</v>
      </c>
      <c r="I64" s="65" t="e">
        <f t="shared" si="28"/>
        <v>#DIV/0!</v>
      </c>
      <c r="J64" s="65" t="e">
        <f t="shared" si="28"/>
        <v>#DIV/0!</v>
      </c>
      <c r="K64" s="69">
        <v>12000</v>
      </c>
      <c r="L64" s="69">
        <f>'Monitoramento Acumulado Geral'!Q64</f>
        <v>700</v>
      </c>
      <c r="M64" s="6">
        <f>(SUM(L62:L64))/K63</f>
        <v>0.43333333333333335</v>
      </c>
      <c r="N64" s="35" t="e">
        <f t="shared" si="21"/>
        <v>#DIV/0!</v>
      </c>
      <c r="O64" s="6" t="e">
        <f t="shared" si="29"/>
        <v>#DIV/0!</v>
      </c>
      <c r="P64" s="6" t="e">
        <f t="shared" si="29"/>
        <v>#DIV/0!</v>
      </c>
      <c r="Q64" s="6" t="e">
        <f t="shared" si="29"/>
        <v>#DIV/0!</v>
      </c>
      <c r="R64" s="69">
        <v>67</v>
      </c>
      <c r="S64" s="69">
        <v>0</v>
      </c>
      <c r="T64" s="6">
        <f t="shared" si="9"/>
        <v>0</v>
      </c>
      <c r="U64" s="35" t="e">
        <f t="shared" si="23"/>
        <v>#DIV/0!</v>
      </c>
      <c r="V64" s="6" t="e">
        <f t="shared" ref="V64:Z64" si="40">V52</f>
        <v>#DIV/0!</v>
      </c>
      <c r="W64" s="6" t="e">
        <f t="shared" si="40"/>
        <v>#DIV/0!</v>
      </c>
      <c r="X64" s="6" t="e">
        <f t="shared" si="40"/>
        <v>#DIV/0!</v>
      </c>
      <c r="Y64" s="6" t="e">
        <f t="shared" si="40"/>
        <v>#DIV/0!</v>
      </c>
      <c r="Z64" s="6" t="e">
        <f t="shared" si="40"/>
        <v>#DIV/0!</v>
      </c>
    </row>
    <row r="65" spans="1:26" x14ac:dyDescent="0.2">
      <c r="A65" s="7" t="s">
        <v>65</v>
      </c>
      <c r="B65" s="6">
        <f t="shared" si="12"/>
        <v>4</v>
      </c>
      <c r="C65" s="7" t="s">
        <v>154</v>
      </c>
      <c r="D65" s="68">
        <v>75</v>
      </c>
      <c r="E65" s="68">
        <v>33</v>
      </c>
      <c r="F65" s="65">
        <f t="shared" si="13"/>
        <v>0.44</v>
      </c>
      <c r="G65" s="60" t="e">
        <f t="shared" si="22"/>
        <v>#DIV/0!</v>
      </c>
      <c r="H65" s="65" t="e">
        <f t="shared" si="28"/>
        <v>#DIV/0!</v>
      </c>
      <c r="I65" s="65" t="e">
        <f t="shared" si="28"/>
        <v>#DIV/0!</v>
      </c>
      <c r="J65" s="65" t="e">
        <f t="shared" si="28"/>
        <v>#DIV/0!</v>
      </c>
      <c r="K65" s="69">
        <v>12000</v>
      </c>
      <c r="L65" s="69">
        <f>'Monitoramento Acumulado Geral'!Q65</f>
        <v>0</v>
      </c>
      <c r="M65" s="6">
        <f>(SUM(L62:L65))/K64</f>
        <v>0.43333333333333335</v>
      </c>
      <c r="N65" s="35" t="e">
        <f t="shared" si="21"/>
        <v>#DIV/0!</v>
      </c>
      <c r="O65" s="6" t="e">
        <f t="shared" si="29"/>
        <v>#DIV/0!</v>
      </c>
      <c r="P65" s="6" t="e">
        <f t="shared" si="29"/>
        <v>#DIV/0!</v>
      </c>
      <c r="Q65" s="6" t="e">
        <f t="shared" si="29"/>
        <v>#DIV/0!</v>
      </c>
      <c r="R65" s="69">
        <v>67</v>
      </c>
      <c r="S65" s="69">
        <v>0</v>
      </c>
      <c r="T65" s="6">
        <f t="shared" si="9"/>
        <v>0</v>
      </c>
      <c r="U65" s="35" t="e">
        <f t="shared" si="23"/>
        <v>#DIV/0!</v>
      </c>
      <c r="V65" s="6" t="e">
        <f t="shared" ref="V65:Z65" si="41">V53</f>
        <v>#DIV/0!</v>
      </c>
      <c r="W65" s="6" t="e">
        <f t="shared" si="41"/>
        <v>#DIV/0!</v>
      </c>
      <c r="X65" s="6" t="e">
        <f t="shared" si="41"/>
        <v>#DIV/0!</v>
      </c>
      <c r="Y65" s="6" t="e">
        <f t="shared" si="41"/>
        <v>#DIV/0!</v>
      </c>
      <c r="Z65" s="6" t="e">
        <f t="shared" si="41"/>
        <v>#DIV/0!</v>
      </c>
    </row>
    <row r="66" spans="1:26" x14ac:dyDescent="0.2">
      <c r="A66" s="7" t="s">
        <v>65</v>
      </c>
      <c r="B66" s="6">
        <f t="shared" si="12"/>
        <v>5</v>
      </c>
      <c r="C66" s="7" t="s">
        <v>155</v>
      </c>
      <c r="D66" s="68">
        <v>75</v>
      </c>
      <c r="E66" s="68">
        <v>33</v>
      </c>
      <c r="F66" s="65">
        <f t="shared" si="13"/>
        <v>0.44</v>
      </c>
      <c r="G66" s="60" t="e">
        <f t="shared" si="22"/>
        <v>#DIV/0!</v>
      </c>
      <c r="H66" s="65" t="e">
        <f t="shared" si="28"/>
        <v>#DIV/0!</v>
      </c>
      <c r="I66" s="65" t="e">
        <f t="shared" si="28"/>
        <v>#DIV/0!</v>
      </c>
      <c r="J66" s="65" t="e">
        <f t="shared" si="28"/>
        <v>#DIV/0!</v>
      </c>
      <c r="K66" s="69">
        <v>12000</v>
      </c>
      <c r="L66" s="69">
        <f>'Monitoramento Acumulado Geral'!Q66</f>
        <v>0</v>
      </c>
      <c r="M66" s="6">
        <f>(SUM(L62:L66))/K65</f>
        <v>0.43333333333333335</v>
      </c>
      <c r="N66" s="35" t="e">
        <f t="shared" si="21"/>
        <v>#DIV/0!</v>
      </c>
      <c r="O66" s="6" t="e">
        <f t="shared" si="29"/>
        <v>#DIV/0!</v>
      </c>
      <c r="P66" s="6" t="e">
        <f t="shared" si="29"/>
        <v>#DIV/0!</v>
      </c>
      <c r="Q66" s="6" t="e">
        <f t="shared" si="29"/>
        <v>#DIV/0!</v>
      </c>
      <c r="R66" s="69">
        <v>67</v>
      </c>
      <c r="S66" s="69">
        <v>0</v>
      </c>
      <c r="T66" s="6">
        <f t="shared" si="9"/>
        <v>0</v>
      </c>
      <c r="U66" s="35" t="e">
        <f t="shared" si="23"/>
        <v>#DIV/0!</v>
      </c>
      <c r="V66" s="6" t="e">
        <f t="shared" ref="V66:Z66" si="42">V54</f>
        <v>#DIV/0!</v>
      </c>
      <c r="W66" s="6" t="e">
        <f t="shared" si="42"/>
        <v>#DIV/0!</v>
      </c>
      <c r="X66" s="6" t="e">
        <f t="shared" si="42"/>
        <v>#DIV/0!</v>
      </c>
      <c r="Y66" s="6" t="e">
        <f t="shared" si="42"/>
        <v>#DIV/0!</v>
      </c>
      <c r="Z66" s="6" t="e">
        <f t="shared" si="42"/>
        <v>#DIV/0!</v>
      </c>
    </row>
    <row r="67" spans="1:26" x14ac:dyDescent="0.2">
      <c r="A67" s="7" t="s">
        <v>65</v>
      </c>
      <c r="B67" s="6">
        <f t="shared" si="12"/>
        <v>6</v>
      </c>
      <c r="C67" s="7" t="s">
        <v>156</v>
      </c>
      <c r="D67" s="68">
        <v>75</v>
      </c>
      <c r="E67" s="68">
        <v>48</v>
      </c>
      <c r="F67" s="65">
        <f t="shared" si="13"/>
        <v>0.64</v>
      </c>
      <c r="G67" s="60" t="e">
        <f t="shared" si="22"/>
        <v>#DIV/0!</v>
      </c>
      <c r="H67" s="65" t="e">
        <f t="shared" si="28"/>
        <v>#DIV/0!</v>
      </c>
      <c r="I67" s="65" t="e">
        <f t="shared" si="28"/>
        <v>#DIV/0!</v>
      </c>
      <c r="J67" s="65" t="e">
        <f t="shared" si="28"/>
        <v>#DIV/0!</v>
      </c>
      <c r="K67" s="69">
        <v>12000</v>
      </c>
      <c r="L67" s="69">
        <f>'Monitoramento Acumulado Geral'!Q67</f>
        <v>1184</v>
      </c>
      <c r="M67" s="6">
        <f>(SUM(L62:L67))/K66</f>
        <v>0.53200000000000003</v>
      </c>
      <c r="N67" s="35" t="e">
        <f t="shared" si="21"/>
        <v>#DIV/0!</v>
      </c>
      <c r="O67" s="6" t="e">
        <f t="shared" si="29"/>
        <v>#DIV/0!</v>
      </c>
      <c r="P67" s="6" t="e">
        <f t="shared" si="29"/>
        <v>#DIV/0!</v>
      </c>
      <c r="Q67" s="6" t="e">
        <f t="shared" si="29"/>
        <v>#DIV/0!</v>
      </c>
      <c r="R67" s="69">
        <v>67</v>
      </c>
      <c r="S67" s="69">
        <v>0</v>
      </c>
      <c r="T67" s="6">
        <f t="shared" si="9"/>
        <v>0</v>
      </c>
      <c r="U67" s="35" t="e">
        <f t="shared" si="23"/>
        <v>#DIV/0!</v>
      </c>
      <c r="V67" s="6" t="e">
        <f t="shared" ref="V67:Z67" si="43">V55</f>
        <v>#DIV/0!</v>
      </c>
      <c r="W67" s="6" t="e">
        <f t="shared" si="43"/>
        <v>#DIV/0!</v>
      </c>
      <c r="X67" s="6" t="e">
        <f t="shared" si="43"/>
        <v>#DIV/0!</v>
      </c>
      <c r="Y67" s="6" t="e">
        <f t="shared" si="43"/>
        <v>#DIV/0!</v>
      </c>
      <c r="Z67" s="6" t="e">
        <f t="shared" si="43"/>
        <v>#DIV/0!</v>
      </c>
    </row>
    <row r="68" spans="1:26" x14ac:dyDescent="0.2">
      <c r="A68" s="7" t="s">
        <v>65</v>
      </c>
      <c r="B68" s="6">
        <f t="shared" si="12"/>
        <v>7</v>
      </c>
      <c r="C68" s="7" t="s">
        <v>157</v>
      </c>
      <c r="D68" s="68">
        <v>75</v>
      </c>
      <c r="E68" s="68">
        <v>56</v>
      </c>
      <c r="F68" s="65">
        <f t="shared" si="13"/>
        <v>0.7466666666666667</v>
      </c>
      <c r="G68" s="60" t="e">
        <f t="shared" si="22"/>
        <v>#DIV/0!</v>
      </c>
      <c r="H68" s="65" t="e">
        <f t="shared" si="28"/>
        <v>#DIV/0!</v>
      </c>
      <c r="I68" s="65" t="e">
        <f t="shared" si="28"/>
        <v>#DIV/0!</v>
      </c>
      <c r="J68" s="65" t="e">
        <f t="shared" si="28"/>
        <v>#DIV/0!</v>
      </c>
      <c r="K68" s="69">
        <v>12000</v>
      </c>
      <c r="L68" s="69">
        <f>'Monitoramento Acumulado Geral'!Q68</f>
        <v>1297.9000000000001</v>
      </c>
      <c r="M68" s="6">
        <f>(SUM(L62:L68))/K67</f>
        <v>0.64015833333333327</v>
      </c>
      <c r="N68" s="35" t="e">
        <f t="shared" si="21"/>
        <v>#DIV/0!</v>
      </c>
      <c r="O68" s="6" t="e">
        <f t="shared" si="29"/>
        <v>#DIV/0!</v>
      </c>
      <c r="P68" s="6" t="e">
        <f t="shared" si="29"/>
        <v>#DIV/0!</v>
      </c>
      <c r="Q68" s="6" t="e">
        <f t="shared" si="29"/>
        <v>#DIV/0!</v>
      </c>
      <c r="R68" s="69">
        <v>67</v>
      </c>
      <c r="S68" s="69">
        <v>0</v>
      </c>
      <c r="T68" s="6">
        <f t="shared" si="9"/>
        <v>0</v>
      </c>
      <c r="U68" s="35" t="e">
        <f t="shared" si="23"/>
        <v>#DIV/0!</v>
      </c>
      <c r="V68" s="6" t="e">
        <f t="shared" ref="V68:Z68" si="44">V56</f>
        <v>#DIV/0!</v>
      </c>
      <c r="W68" s="6" t="e">
        <f t="shared" si="44"/>
        <v>#DIV/0!</v>
      </c>
      <c r="X68" s="6" t="e">
        <f t="shared" si="44"/>
        <v>#DIV/0!</v>
      </c>
      <c r="Y68" s="6" t="e">
        <f t="shared" si="44"/>
        <v>#DIV/0!</v>
      </c>
      <c r="Z68" s="6" t="e">
        <f t="shared" si="44"/>
        <v>#DIV/0!</v>
      </c>
    </row>
    <row r="69" spans="1:26" x14ac:dyDescent="0.2">
      <c r="A69" s="7" t="s">
        <v>65</v>
      </c>
      <c r="B69" s="6">
        <f t="shared" si="12"/>
        <v>8</v>
      </c>
      <c r="C69" s="7" t="s">
        <v>158</v>
      </c>
      <c r="D69" s="68">
        <v>75</v>
      </c>
      <c r="E69" s="68">
        <v>62</v>
      </c>
      <c r="F69" s="65">
        <f t="shared" si="13"/>
        <v>0.82666666666666666</v>
      </c>
      <c r="G69" s="60" t="e">
        <f t="shared" si="22"/>
        <v>#DIV/0!</v>
      </c>
      <c r="H69" s="65" t="e">
        <f t="shared" si="28"/>
        <v>#DIV/0!</v>
      </c>
      <c r="I69" s="65" t="e">
        <f t="shared" si="28"/>
        <v>#DIV/0!</v>
      </c>
      <c r="J69" s="65" t="e">
        <f t="shared" si="28"/>
        <v>#DIV/0!</v>
      </c>
      <c r="K69" s="69">
        <v>12000</v>
      </c>
      <c r="L69" s="69">
        <f>'Monitoramento Acumulado Geral'!Q69</f>
        <v>297.89999999999998</v>
      </c>
      <c r="M69" s="6">
        <f>(SUM(L62:L69))/K68</f>
        <v>0.66498333333333326</v>
      </c>
      <c r="N69" s="35" t="e">
        <f t="shared" si="21"/>
        <v>#DIV/0!</v>
      </c>
      <c r="O69" s="6" t="e">
        <f t="shared" si="29"/>
        <v>#DIV/0!</v>
      </c>
      <c r="P69" s="6" t="e">
        <f t="shared" si="29"/>
        <v>#DIV/0!</v>
      </c>
      <c r="Q69" s="6" t="e">
        <f t="shared" si="29"/>
        <v>#DIV/0!</v>
      </c>
      <c r="R69" s="69">
        <v>67</v>
      </c>
      <c r="S69" s="69">
        <v>0</v>
      </c>
      <c r="T69" s="6">
        <f t="shared" si="9"/>
        <v>0</v>
      </c>
      <c r="U69" s="35" t="e">
        <f t="shared" si="23"/>
        <v>#DIV/0!</v>
      </c>
      <c r="V69" s="6" t="e">
        <f t="shared" ref="V69:Z69" si="45">V57</f>
        <v>#DIV/0!</v>
      </c>
      <c r="W69" s="6" t="e">
        <f t="shared" si="45"/>
        <v>#DIV/0!</v>
      </c>
      <c r="X69" s="6" t="e">
        <f t="shared" si="45"/>
        <v>#DIV/0!</v>
      </c>
      <c r="Y69" s="6" t="e">
        <f t="shared" si="45"/>
        <v>#DIV/0!</v>
      </c>
      <c r="Z69" s="6" t="e">
        <f t="shared" si="45"/>
        <v>#DIV/0!</v>
      </c>
    </row>
    <row r="70" spans="1:26" x14ac:dyDescent="0.2">
      <c r="A70" s="7" t="s">
        <v>65</v>
      </c>
      <c r="B70" s="6">
        <f t="shared" si="12"/>
        <v>9</v>
      </c>
      <c r="C70" s="7" t="s">
        <v>159</v>
      </c>
      <c r="D70" s="68">
        <v>75</v>
      </c>
      <c r="E70" s="68">
        <v>86</v>
      </c>
      <c r="F70" s="65">
        <f t="shared" si="13"/>
        <v>1.1466666666666667</v>
      </c>
      <c r="G70" s="60" t="e">
        <f t="shared" si="22"/>
        <v>#DIV/0!</v>
      </c>
      <c r="H70" s="65" t="e">
        <f t="shared" si="28"/>
        <v>#DIV/0!</v>
      </c>
      <c r="I70" s="65" t="e">
        <f t="shared" si="28"/>
        <v>#DIV/0!</v>
      </c>
      <c r="J70" s="65" t="e">
        <f t="shared" si="28"/>
        <v>#DIV/0!</v>
      </c>
      <c r="K70" s="69">
        <v>12000</v>
      </c>
      <c r="L70" s="69">
        <f>'Monitoramento Acumulado Geral'!Q70</f>
        <v>4575</v>
      </c>
      <c r="M70" s="6">
        <f>(SUM(L62:L70))/K69</f>
        <v>1.0462333333333333</v>
      </c>
      <c r="N70" s="35" t="e">
        <f t="shared" si="21"/>
        <v>#DIV/0!</v>
      </c>
      <c r="O70" s="6" t="e">
        <f t="shared" ref="O70:Q85" si="46">O58</f>
        <v>#DIV/0!</v>
      </c>
      <c r="P70" s="6" t="e">
        <f t="shared" si="46"/>
        <v>#DIV/0!</v>
      </c>
      <c r="Q70" s="6" t="e">
        <f t="shared" si="46"/>
        <v>#DIV/0!</v>
      </c>
      <c r="R70" s="69">
        <v>67</v>
      </c>
      <c r="S70" s="69">
        <v>71</v>
      </c>
      <c r="T70" s="6">
        <f t="shared" si="9"/>
        <v>1.0597014925373134</v>
      </c>
      <c r="U70" s="35" t="e">
        <f t="shared" si="23"/>
        <v>#DIV/0!</v>
      </c>
      <c r="V70" s="6" t="e">
        <f t="shared" ref="V70:Z70" si="47">V58</f>
        <v>#DIV/0!</v>
      </c>
      <c r="W70" s="6" t="e">
        <f t="shared" si="47"/>
        <v>#DIV/0!</v>
      </c>
      <c r="X70" s="6" t="e">
        <f t="shared" si="47"/>
        <v>#DIV/0!</v>
      </c>
      <c r="Y70" s="6" t="e">
        <f t="shared" si="47"/>
        <v>#DIV/0!</v>
      </c>
      <c r="Z70" s="6" t="e">
        <f t="shared" si="47"/>
        <v>#DIV/0!</v>
      </c>
    </row>
    <row r="71" spans="1:26" x14ac:dyDescent="0.2">
      <c r="A71" s="7" t="s">
        <v>65</v>
      </c>
      <c r="B71" s="6">
        <f t="shared" si="12"/>
        <v>10</v>
      </c>
      <c r="C71" s="7" t="s">
        <v>160</v>
      </c>
      <c r="D71" s="68">
        <v>75</v>
      </c>
      <c r="E71" s="68">
        <v>86</v>
      </c>
      <c r="F71" s="65">
        <f t="shared" si="13"/>
        <v>1.1466666666666667</v>
      </c>
      <c r="G71" s="60" t="e">
        <f t="shared" si="22"/>
        <v>#DIV/0!</v>
      </c>
      <c r="H71" s="65" t="e">
        <f t="shared" si="28"/>
        <v>#DIV/0!</v>
      </c>
      <c r="I71" s="65" t="e">
        <f t="shared" si="28"/>
        <v>#DIV/0!</v>
      </c>
      <c r="J71" s="65" t="e">
        <f t="shared" si="28"/>
        <v>#DIV/0!</v>
      </c>
      <c r="K71" s="69">
        <v>12000</v>
      </c>
      <c r="L71" s="69">
        <f>'Monitoramento Acumulado Geral'!Q71</f>
        <v>0</v>
      </c>
      <c r="M71" s="6">
        <f>(SUM(L62:L71))/K70</f>
        <v>1.0462333333333333</v>
      </c>
      <c r="N71" s="35" t="e">
        <f t="shared" si="21"/>
        <v>#DIV/0!</v>
      </c>
      <c r="O71" s="6" t="e">
        <f t="shared" si="46"/>
        <v>#DIV/0!</v>
      </c>
      <c r="P71" s="6" t="e">
        <f t="shared" si="46"/>
        <v>#DIV/0!</v>
      </c>
      <c r="Q71" s="6" t="e">
        <f t="shared" si="46"/>
        <v>#DIV/0!</v>
      </c>
      <c r="R71" s="69">
        <v>67</v>
      </c>
      <c r="S71" s="69">
        <v>71</v>
      </c>
      <c r="T71" s="6">
        <f t="shared" si="9"/>
        <v>1.0597014925373134</v>
      </c>
      <c r="U71" s="35" t="e">
        <f t="shared" si="23"/>
        <v>#DIV/0!</v>
      </c>
      <c r="V71" s="6" t="e">
        <f t="shared" ref="V71:Z71" si="48">V59</f>
        <v>#DIV/0!</v>
      </c>
      <c r="W71" s="6" t="e">
        <f t="shared" si="48"/>
        <v>#DIV/0!</v>
      </c>
      <c r="X71" s="6" t="e">
        <f t="shared" si="48"/>
        <v>#DIV/0!</v>
      </c>
      <c r="Y71" s="6" t="e">
        <f t="shared" si="48"/>
        <v>#DIV/0!</v>
      </c>
      <c r="Z71" s="6" t="e">
        <f t="shared" si="48"/>
        <v>#DIV/0!</v>
      </c>
    </row>
    <row r="72" spans="1:26" x14ac:dyDescent="0.2">
      <c r="A72" s="7" t="s">
        <v>65</v>
      </c>
      <c r="B72" s="6">
        <f t="shared" si="12"/>
        <v>11</v>
      </c>
      <c r="C72" s="7" t="s">
        <v>161</v>
      </c>
      <c r="D72" s="68">
        <v>75</v>
      </c>
      <c r="E72" s="68">
        <v>0</v>
      </c>
      <c r="F72" s="65">
        <f t="shared" si="13"/>
        <v>0</v>
      </c>
      <c r="G72" s="60" t="e">
        <f t="shared" si="22"/>
        <v>#DIV/0!</v>
      </c>
      <c r="H72" s="65" t="e">
        <f t="shared" si="28"/>
        <v>#DIV/0!</v>
      </c>
      <c r="I72" s="65" t="e">
        <f t="shared" si="28"/>
        <v>#DIV/0!</v>
      </c>
      <c r="J72" s="65" t="e">
        <f t="shared" si="28"/>
        <v>#DIV/0!</v>
      </c>
      <c r="K72" s="69">
        <v>12000</v>
      </c>
      <c r="L72" s="69">
        <f>'Monitoramento Acumulado Geral'!Q72</f>
        <v>0</v>
      </c>
      <c r="M72" s="6">
        <f>(SUM(L62:L72))/K71</f>
        <v>1.0462333333333333</v>
      </c>
      <c r="N72" s="35" t="e">
        <f t="shared" si="21"/>
        <v>#DIV/0!</v>
      </c>
      <c r="O72" s="6" t="e">
        <f t="shared" si="46"/>
        <v>#DIV/0!</v>
      </c>
      <c r="P72" s="6" t="e">
        <f t="shared" si="46"/>
        <v>#DIV/0!</v>
      </c>
      <c r="Q72" s="6" t="e">
        <f t="shared" si="46"/>
        <v>#DIV/0!</v>
      </c>
      <c r="R72" s="69">
        <v>67</v>
      </c>
      <c r="S72" s="69">
        <v>0</v>
      </c>
      <c r="T72" s="6">
        <f t="shared" si="9"/>
        <v>0</v>
      </c>
      <c r="U72" s="35" t="e">
        <f t="shared" si="23"/>
        <v>#DIV/0!</v>
      </c>
      <c r="V72" s="6" t="e">
        <f t="shared" ref="V72:Z72" si="49">V60</f>
        <v>#DIV/0!</v>
      </c>
      <c r="W72" s="6" t="e">
        <f t="shared" si="49"/>
        <v>#DIV/0!</v>
      </c>
      <c r="X72" s="6" t="e">
        <f t="shared" si="49"/>
        <v>#DIV/0!</v>
      </c>
      <c r="Y72" s="6" t="e">
        <f t="shared" si="49"/>
        <v>#DIV/0!</v>
      </c>
      <c r="Z72" s="6" t="e">
        <f t="shared" si="49"/>
        <v>#DIV/0!</v>
      </c>
    </row>
    <row r="73" spans="1:26" x14ac:dyDescent="0.2">
      <c r="A73" s="7" t="s">
        <v>65</v>
      </c>
      <c r="B73" s="6">
        <f t="shared" si="12"/>
        <v>12</v>
      </c>
      <c r="C73" s="7" t="s">
        <v>162</v>
      </c>
      <c r="D73" s="68">
        <v>75</v>
      </c>
      <c r="E73" s="68">
        <v>0</v>
      </c>
      <c r="F73" s="65">
        <f t="shared" si="13"/>
        <v>0</v>
      </c>
      <c r="G73" s="60" t="e">
        <f t="shared" si="22"/>
        <v>#DIV/0!</v>
      </c>
      <c r="H73" s="65" t="e">
        <f t="shared" si="28"/>
        <v>#DIV/0!</v>
      </c>
      <c r="I73" s="65" t="e">
        <f t="shared" si="28"/>
        <v>#DIV/0!</v>
      </c>
      <c r="J73" s="65" t="e">
        <f t="shared" si="28"/>
        <v>#DIV/0!</v>
      </c>
      <c r="K73" s="69">
        <v>12000</v>
      </c>
      <c r="L73" s="69">
        <f>'Monitoramento Acumulado Geral'!Q73</f>
        <v>0</v>
      </c>
      <c r="M73" s="6">
        <f>(SUM(L62:L73))/K72</f>
        <v>1.0462333333333333</v>
      </c>
      <c r="N73" s="35" t="e">
        <f t="shared" si="21"/>
        <v>#DIV/0!</v>
      </c>
      <c r="O73" s="6" t="e">
        <f t="shared" si="46"/>
        <v>#DIV/0!</v>
      </c>
      <c r="P73" s="6" t="e">
        <f t="shared" si="46"/>
        <v>#DIV/0!</v>
      </c>
      <c r="Q73" s="6" t="e">
        <f t="shared" si="46"/>
        <v>#DIV/0!</v>
      </c>
      <c r="R73" s="69">
        <v>67</v>
      </c>
      <c r="S73" s="69">
        <v>0</v>
      </c>
      <c r="T73" s="6">
        <f t="shared" si="9"/>
        <v>0</v>
      </c>
      <c r="U73" s="35" t="e">
        <f t="shared" si="23"/>
        <v>#DIV/0!</v>
      </c>
      <c r="V73" s="6" t="e">
        <f t="shared" ref="V73:Z73" si="50">V61</f>
        <v>#DIV/0!</v>
      </c>
      <c r="W73" s="6" t="e">
        <f t="shared" si="50"/>
        <v>#DIV/0!</v>
      </c>
      <c r="X73" s="6" t="e">
        <f t="shared" si="50"/>
        <v>#DIV/0!</v>
      </c>
      <c r="Y73" s="6" t="e">
        <f t="shared" si="50"/>
        <v>#DIV/0!</v>
      </c>
      <c r="Z73" s="6" t="e">
        <f t="shared" si="50"/>
        <v>#DIV/0!</v>
      </c>
    </row>
    <row r="74" spans="1:26" x14ac:dyDescent="0.2">
      <c r="A74" s="7" t="s">
        <v>41</v>
      </c>
      <c r="B74" s="6">
        <f t="shared" si="12"/>
        <v>1</v>
      </c>
      <c r="C74" s="7" t="s">
        <v>151</v>
      </c>
      <c r="D74" s="68">
        <v>75</v>
      </c>
      <c r="E74" s="68">
        <v>13</v>
      </c>
      <c r="F74" s="65">
        <f t="shared" si="13"/>
        <v>0.17333333333333334</v>
      </c>
      <c r="G74" s="60" t="e">
        <f t="shared" ref="G74:G78" si="51">IF(F74&gt;=I74,"Desempenho Ótimo",(IF(F74&gt;H74,"Desempenho Bom",(IF(F74&gt;J74,"Desempenho Médio",IF(F74&lt;=J74,"Desempenho Deficitário",0))))))</f>
        <v>#DIV/0!</v>
      </c>
      <c r="H74" s="65" t="e">
        <f t="shared" ref="H74:J74" si="52">H62</f>
        <v>#DIV/0!</v>
      </c>
      <c r="I74" s="65" t="e">
        <f t="shared" si="52"/>
        <v>#DIV/0!</v>
      </c>
      <c r="J74" s="65" t="e">
        <f t="shared" si="52"/>
        <v>#DIV/0!</v>
      </c>
      <c r="K74" s="69">
        <v>65000</v>
      </c>
      <c r="L74" s="69">
        <f>'Monitoramento Acumulado Geral'!Q74</f>
        <v>9015</v>
      </c>
      <c r="M74" s="6">
        <f>L74/K74</f>
        <v>0.1386923076923077</v>
      </c>
      <c r="N74" s="35" t="e">
        <f t="shared" si="21"/>
        <v>#DIV/0!</v>
      </c>
      <c r="O74" s="6" t="e">
        <f t="shared" si="46"/>
        <v>#DIV/0!</v>
      </c>
      <c r="P74" s="6" t="e">
        <f t="shared" si="46"/>
        <v>#DIV/0!</v>
      </c>
      <c r="Q74" s="6" t="e">
        <f t="shared" si="46"/>
        <v>#DIV/0!</v>
      </c>
      <c r="R74" s="69">
        <v>80</v>
      </c>
      <c r="S74" s="69">
        <v>9</v>
      </c>
      <c r="T74" s="6">
        <f t="shared" si="9"/>
        <v>0.1125</v>
      </c>
      <c r="U74" s="35" t="e">
        <f t="shared" si="23"/>
        <v>#DIV/0!</v>
      </c>
      <c r="V74" s="6" t="e">
        <f t="shared" ref="V74:Z74" si="53">V62</f>
        <v>#DIV/0!</v>
      </c>
      <c r="W74" s="6" t="e">
        <f t="shared" si="53"/>
        <v>#DIV/0!</v>
      </c>
      <c r="X74" s="6" t="e">
        <f t="shared" si="53"/>
        <v>#DIV/0!</v>
      </c>
      <c r="Y74" s="6" t="e">
        <f t="shared" si="53"/>
        <v>#DIV/0!</v>
      </c>
      <c r="Z74" s="6" t="e">
        <f t="shared" si="53"/>
        <v>#DIV/0!</v>
      </c>
    </row>
    <row r="75" spans="1:26" x14ac:dyDescent="0.2">
      <c r="A75" s="7" t="s">
        <v>41</v>
      </c>
      <c r="B75" s="6">
        <f t="shared" si="12"/>
        <v>2</v>
      </c>
      <c r="C75" s="7" t="s">
        <v>152</v>
      </c>
      <c r="D75" s="68">
        <v>75</v>
      </c>
      <c r="E75" s="68">
        <v>13</v>
      </c>
      <c r="F75" s="65">
        <f t="shared" si="13"/>
        <v>0.17333333333333334</v>
      </c>
      <c r="G75" s="60" t="e">
        <f t="shared" si="51"/>
        <v>#DIV/0!</v>
      </c>
      <c r="H75" s="65" t="e">
        <f t="shared" ref="H75:J75" si="54">H63</f>
        <v>#DIV/0!</v>
      </c>
      <c r="I75" s="65" t="e">
        <f t="shared" si="54"/>
        <v>#DIV/0!</v>
      </c>
      <c r="J75" s="65" t="e">
        <f t="shared" si="54"/>
        <v>#DIV/0!</v>
      </c>
      <c r="K75" s="69">
        <v>65000</v>
      </c>
      <c r="L75" s="69">
        <f>'Monitoramento Acumulado Geral'!Q75</f>
        <v>10340</v>
      </c>
      <c r="M75" s="6">
        <f>(SUM(L74:L75))/K74</f>
        <v>0.29776923076923079</v>
      </c>
      <c r="N75" s="35" t="e">
        <f t="shared" si="21"/>
        <v>#DIV/0!</v>
      </c>
      <c r="O75" s="6" t="e">
        <f t="shared" si="46"/>
        <v>#DIV/0!</v>
      </c>
      <c r="P75" s="6" t="e">
        <f t="shared" si="46"/>
        <v>#DIV/0!</v>
      </c>
      <c r="Q75" s="6" t="e">
        <f t="shared" si="46"/>
        <v>#DIV/0!</v>
      </c>
      <c r="R75" s="69">
        <v>80</v>
      </c>
      <c r="S75" s="69">
        <v>9</v>
      </c>
      <c r="T75" s="6">
        <f t="shared" si="9"/>
        <v>0.1125</v>
      </c>
      <c r="U75" s="35" t="e">
        <f t="shared" si="23"/>
        <v>#DIV/0!</v>
      </c>
      <c r="V75" s="6" t="e">
        <f t="shared" ref="V75:Z75" si="55">V63</f>
        <v>#DIV/0!</v>
      </c>
      <c r="W75" s="6" t="e">
        <f t="shared" si="55"/>
        <v>#DIV/0!</v>
      </c>
      <c r="X75" s="6" t="e">
        <f t="shared" si="55"/>
        <v>#DIV/0!</v>
      </c>
      <c r="Y75" s="6" t="e">
        <f t="shared" si="55"/>
        <v>#DIV/0!</v>
      </c>
      <c r="Z75" s="6" t="e">
        <f t="shared" si="55"/>
        <v>#DIV/0!</v>
      </c>
    </row>
    <row r="76" spans="1:26" x14ac:dyDescent="0.2">
      <c r="A76" s="7" t="s">
        <v>41</v>
      </c>
      <c r="B76" s="6">
        <f t="shared" si="12"/>
        <v>3</v>
      </c>
      <c r="C76" s="7" t="s">
        <v>153</v>
      </c>
      <c r="D76" s="68">
        <v>75</v>
      </c>
      <c r="E76" s="68">
        <v>13</v>
      </c>
      <c r="F76" s="65">
        <f t="shared" si="13"/>
        <v>0.17333333333333334</v>
      </c>
      <c r="G76" s="60" t="e">
        <f t="shared" si="51"/>
        <v>#DIV/0!</v>
      </c>
      <c r="H76" s="65" t="e">
        <f t="shared" ref="H76:J76" si="56">H64</f>
        <v>#DIV/0!</v>
      </c>
      <c r="I76" s="65" t="e">
        <f t="shared" si="56"/>
        <v>#DIV/0!</v>
      </c>
      <c r="J76" s="65" t="e">
        <f t="shared" si="56"/>
        <v>#DIV/0!</v>
      </c>
      <c r="K76" s="69">
        <v>65000</v>
      </c>
      <c r="L76" s="69">
        <f>'Monitoramento Acumulado Geral'!Q76</f>
        <v>2600</v>
      </c>
      <c r="M76" s="6">
        <f>(SUM(L74:L76))/K75</f>
        <v>0.33776923076923077</v>
      </c>
      <c r="N76" s="35" t="e">
        <f t="shared" si="21"/>
        <v>#DIV/0!</v>
      </c>
      <c r="O76" s="6" t="e">
        <f t="shared" si="46"/>
        <v>#DIV/0!</v>
      </c>
      <c r="P76" s="6" t="e">
        <f t="shared" si="46"/>
        <v>#DIV/0!</v>
      </c>
      <c r="Q76" s="6" t="e">
        <f t="shared" si="46"/>
        <v>#DIV/0!</v>
      </c>
      <c r="R76" s="69">
        <v>80</v>
      </c>
      <c r="S76" s="69">
        <v>9</v>
      </c>
      <c r="T76" s="6">
        <f t="shared" si="9"/>
        <v>0.1125</v>
      </c>
      <c r="U76" s="35" t="e">
        <f t="shared" si="23"/>
        <v>#DIV/0!</v>
      </c>
      <c r="V76" s="6" t="e">
        <f t="shared" ref="V76:Z76" si="57">V64</f>
        <v>#DIV/0!</v>
      </c>
      <c r="W76" s="6" t="e">
        <f t="shared" si="57"/>
        <v>#DIV/0!</v>
      </c>
      <c r="X76" s="6" t="e">
        <f t="shared" si="57"/>
        <v>#DIV/0!</v>
      </c>
      <c r="Y76" s="6" t="e">
        <f t="shared" si="57"/>
        <v>#DIV/0!</v>
      </c>
      <c r="Z76" s="6" t="e">
        <f t="shared" si="57"/>
        <v>#DIV/0!</v>
      </c>
    </row>
    <row r="77" spans="1:26" x14ac:dyDescent="0.2">
      <c r="A77" s="7" t="s">
        <v>41</v>
      </c>
      <c r="B77" s="6">
        <f t="shared" si="12"/>
        <v>4</v>
      </c>
      <c r="C77" s="7" t="s">
        <v>154</v>
      </c>
      <c r="D77" s="68">
        <v>75</v>
      </c>
      <c r="E77" s="68">
        <v>22</v>
      </c>
      <c r="F77" s="65">
        <f t="shared" si="13"/>
        <v>0.29333333333333333</v>
      </c>
      <c r="G77" s="60" t="e">
        <f t="shared" si="51"/>
        <v>#DIV/0!</v>
      </c>
      <c r="H77" s="65" t="e">
        <f t="shared" ref="H77:J77" si="58">H65</f>
        <v>#DIV/0!</v>
      </c>
      <c r="I77" s="65" t="e">
        <f t="shared" si="58"/>
        <v>#DIV/0!</v>
      </c>
      <c r="J77" s="65" t="e">
        <f t="shared" si="58"/>
        <v>#DIV/0!</v>
      </c>
      <c r="K77" s="69">
        <v>65000</v>
      </c>
      <c r="L77" s="69">
        <f>'Monitoramento Acumulado Geral'!Q77</f>
        <v>4240</v>
      </c>
      <c r="M77" s="6">
        <f>(SUM(L74:L77))/K76</f>
        <v>0.40300000000000002</v>
      </c>
      <c r="N77" s="35" t="e">
        <f t="shared" ref="N77:N108" si="59">IF(M77&gt;=P65,"Desempenho Ótimo",(IF(M77&gt;O65,"Desempenho Bom",(IF(M77&gt;Q65,"Desempenho Médio",IF(M77&lt;=Q65,"Desempenho Deficitário",0))))))</f>
        <v>#DIV/0!</v>
      </c>
      <c r="O77" s="6" t="e">
        <f t="shared" si="46"/>
        <v>#DIV/0!</v>
      </c>
      <c r="P77" s="6" t="e">
        <f t="shared" si="46"/>
        <v>#DIV/0!</v>
      </c>
      <c r="Q77" s="6" t="e">
        <f t="shared" si="46"/>
        <v>#DIV/0!</v>
      </c>
      <c r="R77" s="69">
        <v>80</v>
      </c>
      <c r="S77" s="69">
        <v>9</v>
      </c>
      <c r="T77" s="6">
        <f t="shared" si="9"/>
        <v>0.1125</v>
      </c>
      <c r="U77" s="35" t="e">
        <f t="shared" si="23"/>
        <v>#DIV/0!</v>
      </c>
      <c r="V77" s="6" t="e">
        <f t="shared" ref="V77:Z77" si="60">V65</f>
        <v>#DIV/0!</v>
      </c>
      <c r="W77" s="6" t="e">
        <f t="shared" si="60"/>
        <v>#DIV/0!</v>
      </c>
      <c r="X77" s="6" t="e">
        <f t="shared" si="60"/>
        <v>#DIV/0!</v>
      </c>
      <c r="Y77" s="6" t="e">
        <f t="shared" si="60"/>
        <v>#DIV/0!</v>
      </c>
      <c r="Z77" s="6" t="e">
        <f t="shared" si="60"/>
        <v>#DIV/0!</v>
      </c>
    </row>
    <row r="78" spans="1:26" x14ac:dyDescent="0.2">
      <c r="A78" s="7" t="s">
        <v>41</v>
      </c>
      <c r="B78" s="6">
        <f t="shared" si="12"/>
        <v>5</v>
      </c>
      <c r="C78" s="7" t="s">
        <v>155</v>
      </c>
      <c r="D78" s="68">
        <v>75</v>
      </c>
      <c r="E78" s="68">
        <v>43</v>
      </c>
      <c r="F78" s="65">
        <f t="shared" ref="F78:F153" si="61">E78/D78</f>
        <v>0.57333333333333336</v>
      </c>
      <c r="G78" s="60" t="e">
        <f t="shared" si="51"/>
        <v>#DIV/0!</v>
      </c>
      <c r="H78" s="65" t="e">
        <f t="shared" ref="H78:J78" si="62">H66</f>
        <v>#DIV/0!</v>
      </c>
      <c r="I78" s="65" t="e">
        <f t="shared" si="62"/>
        <v>#DIV/0!</v>
      </c>
      <c r="J78" s="65" t="e">
        <f t="shared" si="62"/>
        <v>#DIV/0!</v>
      </c>
      <c r="K78" s="69">
        <v>65000</v>
      </c>
      <c r="L78" s="69">
        <f>'Monitoramento Acumulado Geral'!Q78</f>
        <v>5510</v>
      </c>
      <c r="M78" s="6">
        <f>(SUM(L74:L78))/K77</f>
        <v>0.48776923076923079</v>
      </c>
      <c r="N78" s="35" t="e">
        <f t="shared" si="59"/>
        <v>#DIV/0!</v>
      </c>
      <c r="O78" s="6" t="e">
        <f t="shared" si="46"/>
        <v>#DIV/0!</v>
      </c>
      <c r="P78" s="6" t="e">
        <f t="shared" si="46"/>
        <v>#DIV/0!</v>
      </c>
      <c r="Q78" s="6" t="e">
        <f t="shared" si="46"/>
        <v>#DIV/0!</v>
      </c>
      <c r="R78" s="69">
        <v>80</v>
      </c>
      <c r="S78" s="69">
        <v>35</v>
      </c>
      <c r="T78" s="6">
        <f t="shared" ref="T78:T153" si="63">S78/R78</f>
        <v>0.4375</v>
      </c>
      <c r="U78" s="35" t="e">
        <f t="shared" si="23"/>
        <v>#DIV/0!</v>
      </c>
      <c r="V78" s="6" t="e">
        <f t="shared" ref="V78:Z78" si="64">V66</f>
        <v>#DIV/0!</v>
      </c>
      <c r="W78" s="6" t="e">
        <f t="shared" si="64"/>
        <v>#DIV/0!</v>
      </c>
      <c r="X78" s="6" t="e">
        <f t="shared" si="64"/>
        <v>#DIV/0!</v>
      </c>
      <c r="Y78" s="6" t="e">
        <f t="shared" si="64"/>
        <v>#DIV/0!</v>
      </c>
      <c r="Z78" s="6" t="e">
        <f t="shared" si="64"/>
        <v>#DIV/0!</v>
      </c>
    </row>
    <row r="79" spans="1:26" x14ac:dyDescent="0.2">
      <c r="A79" s="7" t="s">
        <v>41</v>
      </c>
      <c r="B79" s="6">
        <f t="shared" ref="B79:B154" si="65">_xlfn.IFS(C79="Janeiro",1,C79="Fevereiro",2,C79="Março",3,C79="Abril",4,C79="Maio",5,C79="Junho",6,C79="Julho",7,C79="Agosto",8,C79="Setembro",9,C79="Outubro",10,C79="Novembro",11,C79="Dezembro",12,TRUE,0)</f>
        <v>6</v>
      </c>
      <c r="C79" s="7" t="s">
        <v>156</v>
      </c>
      <c r="D79" s="68">
        <v>75</v>
      </c>
      <c r="E79" s="68">
        <v>48</v>
      </c>
      <c r="F79" s="65">
        <f t="shared" si="61"/>
        <v>0.64</v>
      </c>
      <c r="G79" s="60" t="e">
        <f t="shared" ref="G79:G154" si="66">IF(F79&gt;=I79,"Desempenho Ótimo",(IF(F79&gt;H79,"Desempenho Bom",(IF(F79&gt;J79,"Desempenho Médio",IF(F79&lt;=J79,"Desempenho Deficitário",0))))))</f>
        <v>#DIV/0!</v>
      </c>
      <c r="H79" s="65" t="e">
        <f t="shared" ref="H79:J79" si="67">H67</f>
        <v>#DIV/0!</v>
      </c>
      <c r="I79" s="65" t="e">
        <f t="shared" si="67"/>
        <v>#DIV/0!</v>
      </c>
      <c r="J79" s="65" t="e">
        <f t="shared" si="67"/>
        <v>#DIV/0!</v>
      </c>
      <c r="K79" s="69">
        <v>65000</v>
      </c>
      <c r="L79" s="69">
        <f>'Monitoramento Acumulado Geral'!Q79</f>
        <v>5025</v>
      </c>
      <c r="M79" s="6">
        <f>(SUM(L74:L79))/K78</f>
        <v>0.56507692307692303</v>
      </c>
      <c r="N79" s="35" t="e">
        <f t="shared" si="59"/>
        <v>#DIV/0!</v>
      </c>
      <c r="O79" s="6" t="e">
        <f t="shared" si="46"/>
        <v>#DIV/0!</v>
      </c>
      <c r="P79" s="6" t="e">
        <f t="shared" si="46"/>
        <v>#DIV/0!</v>
      </c>
      <c r="Q79" s="6" t="e">
        <f t="shared" si="46"/>
        <v>#DIV/0!</v>
      </c>
      <c r="R79" s="69">
        <v>80</v>
      </c>
      <c r="S79" s="69">
        <v>35</v>
      </c>
      <c r="T79" s="6">
        <f t="shared" si="63"/>
        <v>0.4375</v>
      </c>
      <c r="U79" s="35" t="e">
        <f t="shared" ref="U79:U154" si="68">IF(T79&gt;=W79,"Desempenho Ótimo",(IF(T79&gt;V79,"Desempenho Bom",(IF(T79&gt;X79,"Desempenho Médio",IF(T79&lt;=X79,"Desempenho Deficitário",0))))))</f>
        <v>#DIV/0!</v>
      </c>
      <c r="V79" s="6" t="e">
        <f t="shared" ref="V79:Z79" si="69">V67</f>
        <v>#DIV/0!</v>
      </c>
      <c r="W79" s="6" t="e">
        <f t="shared" si="69"/>
        <v>#DIV/0!</v>
      </c>
      <c r="X79" s="6" t="e">
        <f t="shared" si="69"/>
        <v>#DIV/0!</v>
      </c>
      <c r="Y79" s="6" t="e">
        <f t="shared" si="69"/>
        <v>#DIV/0!</v>
      </c>
      <c r="Z79" s="6" t="e">
        <f t="shared" si="69"/>
        <v>#DIV/0!</v>
      </c>
    </row>
    <row r="80" spans="1:26" x14ac:dyDescent="0.2">
      <c r="A80" s="7" t="s">
        <v>41</v>
      </c>
      <c r="B80" s="6">
        <f t="shared" si="65"/>
        <v>7</v>
      </c>
      <c r="C80" s="7" t="s">
        <v>157</v>
      </c>
      <c r="D80" s="68">
        <v>75</v>
      </c>
      <c r="E80" s="68">
        <v>56</v>
      </c>
      <c r="F80" s="65">
        <f t="shared" si="61"/>
        <v>0.7466666666666667</v>
      </c>
      <c r="G80" s="60" t="e">
        <f t="shared" si="66"/>
        <v>#DIV/0!</v>
      </c>
      <c r="H80" s="65" t="e">
        <f t="shared" ref="H80:J80" si="70">H68</f>
        <v>#DIV/0!</v>
      </c>
      <c r="I80" s="65" t="e">
        <f t="shared" si="70"/>
        <v>#DIV/0!</v>
      </c>
      <c r="J80" s="65" t="e">
        <f t="shared" si="70"/>
        <v>#DIV/0!</v>
      </c>
      <c r="K80" s="69">
        <v>65000</v>
      </c>
      <c r="L80" s="69">
        <f>'Monitoramento Acumulado Geral'!Q80</f>
        <v>9853.4</v>
      </c>
      <c r="M80" s="6">
        <f>(SUM(L74:L80))/K79</f>
        <v>0.71666769230769234</v>
      </c>
      <c r="N80" s="35" t="e">
        <f t="shared" si="59"/>
        <v>#DIV/0!</v>
      </c>
      <c r="O80" s="6" t="e">
        <f t="shared" si="46"/>
        <v>#DIV/0!</v>
      </c>
      <c r="P80" s="6" t="e">
        <f t="shared" si="46"/>
        <v>#DIV/0!</v>
      </c>
      <c r="Q80" s="6" t="e">
        <f t="shared" si="46"/>
        <v>#DIV/0!</v>
      </c>
      <c r="R80" s="69">
        <v>80</v>
      </c>
      <c r="S80" s="69">
        <v>35</v>
      </c>
      <c r="T80" s="6">
        <f t="shared" si="63"/>
        <v>0.4375</v>
      </c>
      <c r="U80" s="35" t="e">
        <f t="shared" si="68"/>
        <v>#DIV/0!</v>
      </c>
      <c r="V80" s="6" t="e">
        <f t="shared" ref="V80:Z80" si="71">V68</f>
        <v>#DIV/0!</v>
      </c>
      <c r="W80" s="6" t="e">
        <f t="shared" si="71"/>
        <v>#DIV/0!</v>
      </c>
      <c r="X80" s="6" t="e">
        <f t="shared" si="71"/>
        <v>#DIV/0!</v>
      </c>
      <c r="Y80" s="6" t="e">
        <f t="shared" si="71"/>
        <v>#DIV/0!</v>
      </c>
      <c r="Z80" s="6" t="e">
        <f t="shared" si="71"/>
        <v>#DIV/0!</v>
      </c>
    </row>
    <row r="81" spans="1:26" x14ac:dyDescent="0.2">
      <c r="A81" s="7" t="s">
        <v>41</v>
      </c>
      <c r="B81" s="6">
        <f t="shared" si="65"/>
        <v>8</v>
      </c>
      <c r="C81" s="7" t="s">
        <v>158</v>
      </c>
      <c r="D81" s="68">
        <v>75</v>
      </c>
      <c r="E81" s="68">
        <v>56</v>
      </c>
      <c r="F81" s="65">
        <f t="shared" si="61"/>
        <v>0.7466666666666667</v>
      </c>
      <c r="G81" s="60" t="e">
        <f t="shared" si="66"/>
        <v>#DIV/0!</v>
      </c>
      <c r="H81" s="65" t="e">
        <f t="shared" ref="H81:J81" si="72">H69</f>
        <v>#DIV/0!</v>
      </c>
      <c r="I81" s="65" t="e">
        <f t="shared" si="72"/>
        <v>#DIV/0!</v>
      </c>
      <c r="J81" s="65" t="e">
        <f t="shared" si="72"/>
        <v>#DIV/0!</v>
      </c>
      <c r="K81" s="69">
        <v>65000</v>
      </c>
      <c r="L81" s="69">
        <f>'Monitoramento Acumulado Geral'!Q81</f>
        <v>3702</v>
      </c>
      <c r="M81" s="6">
        <f>(SUM(L74:L81))/K80</f>
        <v>0.77362153846153847</v>
      </c>
      <c r="N81" s="35" t="e">
        <f t="shared" si="59"/>
        <v>#DIV/0!</v>
      </c>
      <c r="O81" s="6" t="e">
        <f t="shared" si="46"/>
        <v>#DIV/0!</v>
      </c>
      <c r="P81" s="6" t="e">
        <f t="shared" si="46"/>
        <v>#DIV/0!</v>
      </c>
      <c r="Q81" s="6" t="e">
        <f t="shared" si="46"/>
        <v>#DIV/0!</v>
      </c>
      <c r="R81" s="69">
        <v>80</v>
      </c>
      <c r="S81" s="69">
        <v>35</v>
      </c>
      <c r="T81" s="6">
        <f t="shared" si="63"/>
        <v>0.4375</v>
      </c>
      <c r="U81" s="35" t="e">
        <f t="shared" si="68"/>
        <v>#DIV/0!</v>
      </c>
      <c r="V81" s="6" t="e">
        <f t="shared" ref="V81:Z81" si="73">V69</f>
        <v>#DIV/0!</v>
      </c>
      <c r="W81" s="6" t="e">
        <f t="shared" si="73"/>
        <v>#DIV/0!</v>
      </c>
      <c r="X81" s="6" t="e">
        <f t="shared" si="73"/>
        <v>#DIV/0!</v>
      </c>
      <c r="Y81" s="6" t="e">
        <f t="shared" si="73"/>
        <v>#DIV/0!</v>
      </c>
      <c r="Z81" s="6" t="e">
        <f t="shared" si="73"/>
        <v>#DIV/0!</v>
      </c>
    </row>
    <row r="82" spans="1:26" x14ac:dyDescent="0.2">
      <c r="A82" s="7" t="s">
        <v>41</v>
      </c>
      <c r="B82" s="6">
        <f t="shared" si="65"/>
        <v>9</v>
      </c>
      <c r="C82" s="7" t="s">
        <v>159</v>
      </c>
      <c r="D82" s="68">
        <v>75</v>
      </c>
      <c r="E82" s="68">
        <v>74</v>
      </c>
      <c r="F82" s="65">
        <f t="shared" si="61"/>
        <v>0.98666666666666669</v>
      </c>
      <c r="G82" s="60" t="e">
        <f t="shared" si="66"/>
        <v>#DIV/0!</v>
      </c>
      <c r="H82" s="65" t="e">
        <f t="shared" ref="H82:J82" si="74">H70</f>
        <v>#DIV/0!</v>
      </c>
      <c r="I82" s="65" t="e">
        <f t="shared" si="74"/>
        <v>#DIV/0!</v>
      </c>
      <c r="J82" s="65" t="e">
        <f t="shared" si="74"/>
        <v>#DIV/0!</v>
      </c>
      <c r="K82" s="69">
        <v>65000</v>
      </c>
      <c r="L82" s="69">
        <f>'Monitoramento Acumulado Geral'!Q82</f>
        <v>3922</v>
      </c>
      <c r="M82" s="6">
        <f>(SUM(L74:L82))/K81</f>
        <v>0.83396000000000003</v>
      </c>
      <c r="N82" s="35" t="e">
        <f t="shared" si="59"/>
        <v>#DIV/0!</v>
      </c>
      <c r="O82" s="6" t="e">
        <f t="shared" si="46"/>
        <v>#DIV/0!</v>
      </c>
      <c r="P82" s="6" t="e">
        <f t="shared" si="46"/>
        <v>#DIV/0!</v>
      </c>
      <c r="Q82" s="6" t="e">
        <f t="shared" si="46"/>
        <v>#DIV/0!</v>
      </c>
      <c r="R82" s="69">
        <v>80</v>
      </c>
      <c r="S82" s="69">
        <v>35</v>
      </c>
      <c r="T82" s="6">
        <f t="shared" si="63"/>
        <v>0.4375</v>
      </c>
      <c r="U82" s="35" t="e">
        <f t="shared" si="68"/>
        <v>#DIV/0!</v>
      </c>
      <c r="V82" s="6" t="e">
        <f t="shared" ref="V82:Z82" si="75">V70</f>
        <v>#DIV/0!</v>
      </c>
      <c r="W82" s="6" t="e">
        <f t="shared" si="75"/>
        <v>#DIV/0!</v>
      </c>
      <c r="X82" s="6" t="e">
        <f t="shared" si="75"/>
        <v>#DIV/0!</v>
      </c>
      <c r="Y82" s="6" t="e">
        <f t="shared" si="75"/>
        <v>#DIV/0!</v>
      </c>
      <c r="Z82" s="6" t="e">
        <f t="shared" si="75"/>
        <v>#DIV/0!</v>
      </c>
    </row>
    <row r="83" spans="1:26" x14ac:dyDescent="0.2">
      <c r="A83" s="7" t="s">
        <v>41</v>
      </c>
      <c r="B83" s="6">
        <f t="shared" si="65"/>
        <v>10</v>
      </c>
      <c r="C83" s="7" t="s">
        <v>160</v>
      </c>
      <c r="D83" s="68">
        <v>75</v>
      </c>
      <c r="E83" s="68">
        <v>74</v>
      </c>
      <c r="F83" s="65">
        <f t="shared" si="61"/>
        <v>0.98666666666666669</v>
      </c>
      <c r="G83" s="60" t="e">
        <f t="shared" si="66"/>
        <v>#DIV/0!</v>
      </c>
      <c r="H83" s="65" t="e">
        <f t="shared" ref="H83:J83" si="76">H71</f>
        <v>#DIV/0!</v>
      </c>
      <c r="I83" s="65" t="e">
        <f t="shared" si="76"/>
        <v>#DIV/0!</v>
      </c>
      <c r="J83" s="65" t="e">
        <f t="shared" si="76"/>
        <v>#DIV/0!</v>
      </c>
      <c r="K83" s="69">
        <v>65000</v>
      </c>
      <c r="L83" s="69">
        <f>'Monitoramento Acumulado Geral'!Q83</f>
        <v>0</v>
      </c>
      <c r="M83" s="6">
        <f>(SUM(L74:L83))/K82</f>
        <v>0.83396000000000003</v>
      </c>
      <c r="N83" s="35" t="e">
        <f t="shared" si="59"/>
        <v>#DIV/0!</v>
      </c>
      <c r="O83" s="6" t="e">
        <f t="shared" si="46"/>
        <v>#DIV/0!</v>
      </c>
      <c r="P83" s="6" t="e">
        <f t="shared" si="46"/>
        <v>#DIV/0!</v>
      </c>
      <c r="Q83" s="6" t="e">
        <f t="shared" si="46"/>
        <v>#DIV/0!</v>
      </c>
      <c r="R83" s="69">
        <v>80</v>
      </c>
      <c r="S83" s="69">
        <v>35</v>
      </c>
      <c r="T83" s="6">
        <f t="shared" si="63"/>
        <v>0.4375</v>
      </c>
      <c r="U83" s="35" t="e">
        <f t="shared" si="68"/>
        <v>#DIV/0!</v>
      </c>
      <c r="V83" s="6" t="e">
        <f t="shared" ref="V83:Z83" si="77">V71</f>
        <v>#DIV/0!</v>
      </c>
      <c r="W83" s="6" t="e">
        <f t="shared" si="77"/>
        <v>#DIV/0!</v>
      </c>
      <c r="X83" s="6" t="e">
        <f t="shared" si="77"/>
        <v>#DIV/0!</v>
      </c>
      <c r="Y83" s="6" t="e">
        <f t="shared" si="77"/>
        <v>#DIV/0!</v>
      </c>
      <c r="Z83" s="6" t="e">
        <f t="shared" si="77"/>
        <v>#DIV/0!</v>
      </c>
    </row>
    <row r="84" spans="1:26" x14ac:dyDescent="0.2">
      <c r="A84" s="7" t="s">
        <v>41</v>
      </c>
      <c r="B84" s="6">
        <f t="shared" si="65"/>
        <v>11</v>
      </c>
      <c r="C84" s="7" t="s">
        <v>161</v>
      </c>
      <c r="D84" s="68">
        <v>75</v>
      </c>
      <c r="E84" s="68">
        <v>0</v>
      </c>
      <c r="F84" s="65">
        <f t="shared" si="61"/>
        <v>0</v>
      </c>
      <c r="G84" s="60" t="e">
        <f t="shared" si="66"/>
        <v>#DIV/0!</v>
      </c>
      <c r="H84" s="65" t="e">
        <f t="shared" ref="H84:J84" si="78">H72</f>
        <v>#DIV/0!</v>
      </c>
      <c r="I84" s="65" t="e">
        <f t="shared" si="78"/>
        <v>#DIV/0!</v>
      </c>
      <c r="J84" s="65" t="e">
        <f t="shared" si="78"/>
        <v>#DIV/0!</v>
      </c>
      <c r="K84" s="69">
        <v>65000</v>
      </c>
      <c r="L84" s="69">
        <f>'Monitoramento Acumulado Geral'!Q84</f>
        <v>0</v>
      </c>
      <c r="M84" s="6">
        <f>(SUM(L74:L84))/K83</f>
        <v>0.83396000000000003</v>
      </c>
      <c r="N84" s="35" t="e">
        <f t="shared" si="59"/>
        <v>#DIV/0!</v>
      </c>
      <c r="O84" s="6" t="e">
        <f t="shared" si="46"/>
        <v>#DIV/0!</v>
      </c>
      <c r="P84" s="6" t="e">
        <f t="shared" si="46"/>
        <v>#DIV/0!</v>
      </c>
      <c r="Q84" s="6" t="e">
        <f t="shared" si="46"/>
        <v>#DIV/0!</v>
      </c>
      <c r="R84" s="69">
        <v>80</v>
      </c>
      <c r="S84" s="69">
        <v>0</v>
      </c>
      <c r="T84" s="6">
        <f t="shared" si="63"/>
        <v>0</v>
      </c>
      <c r="U84" s="35" t="e">
        <f t="shared" si="68"/>
        <v>#DIV/0!</v>
      </c>
      <c r="V84" s="6" t="e">
        <f t="shared" ref="V84:Z84" si="79">V72</f>
        <v>#DIV/0!</v>
      </c>
      <c r="W84" s="6" t="e">
        <f t="shared" si="79"/>
        <v>#DIV/0!</v>
      </c>
      <c r="X84" s="6" t="e">
        <f t="shared" si="79"/>
        <v>#DIV/0!</v>
      </c>
      <c r="Y84" s="6" t="e">
        <f t="shared" si="79"/>
        <v>#DIV/0!</v>
      </c>
      <c r="Z84" s="6" t="e">
        <f t="shared" si="79"/>
        <v>#DIV/0!</v>
      </c>
    </row>
    <row r="85" spans="1:26" x14ac:dyDescent="0.2">
      <c r="A85" s="7" t="s">
        <v>41</v>
      </c>
      <c r="B85" s="6">
        <f t="shared" si="65"/>
        <v>12</v>
      </c>
      <c r="C85" s="7" t="s">
        <v>162</v>
      </c>
      <c r="D85" s="68">
        <v>75</v>
      </c>
      <c r="E85" s="68">
        <v>0</v>
      </c>
      <c r="F85" s="65">
        <f t="shared" si="61"/>
        <v>0</v>
      </c>
      <c r="G85" s="60" t="e">
        <f t="shared" si="66"/>
        <v>#DIV/0!</v>
      </c>
      <c r="H85" s="65" t="e">
        <f t="shared" ref="H85:J85" si="80">H73</f>
        <v>#DIV/0!</v>
      </c>
      <c r="I85" s="65" t="e">
        <f t="shared" si="80"/>
        <v>#DIV/0!</v>
      </c>
      <c r="J85" s="65" t="e">
        <f t="shared" si="80"/>
        <v>#DIV/0!</v>
      </c>
      <c r="K85" s="69">
        <v>65000</v>
      </c>
      <c r="L85" s="69">
        <f>'Monitoramento Acumulado Geral'!Q85</f>
        <v>0</v>
      </c>
      <c r="M85" s="6">
        <f>(SUM(L74:L85))/K84</f>
        <v>0.83396000000000003</v>
      </c>
      <c r="N85" s="35" t="e">
        <f t="shared" si="59"/>
        <v>#DIV/0!</v>
      </c>
      <c r="O85" s="6" t="e">
        <f t="shared" si="46"/>
        <v>#DIV/0!</v>
      </c>
      <c r="P85" s="6" t="e">
        <f t="shared" si="46"/>
        <v>#DIV/0!</v>
      </c>
      <c r="Q85" s="6" t="e">
        <f t="shared" si="46"/>
        <v>#DIV/0!</v>
      </c>
      <c r="R85" s="69">
        <v>80</v>
      </c>
      <c r="S85" s="69">
        <v>0</v>
      </c>
      <c r="T85" s="6">
        <f t="shared" si="63"/>
        <v>0</v>
      </c>
      <c r="U85" s="35" t="e">
        <f t="shared" si="68"/>
        <v>#DIV/0!</v>
      </c>
      <c r="V85" s="6" t="e">
        <f t="shared" ref="V85:Z85" si="81">V73</f>
        <v>#DIV/0!</v>
      </c>
      <c r="W85" s="6" t="e">
        <f t="shared" si="81"/>
        <v>#DIV/0!</v>
      </c>
      <c r="X85" s="6" t="e">
        <f t="shared" si="81"/>
        <v>#DIV/0!</v>
      </c>
      <c r="Y85" s="6" t="e">
        <f t="shared" si="81"/>
        <v>#DIV/0!</v>
      </c>
      <c r="Z85" s="6" t="e">
        <f t="shared" si="81"/>
        <v>#DIV/0!</v>
      </c>
    </row>
    <row r="86" spans="1:26" x14ac:dyDescent="0.2">
      <c r="A86" s="7" t="s">
        <v>62</v>
      </c>
      <c r="B86" s="6">
        <f t="shared" si="65"/>
        <v>1</v>
      </c>
      <c r="C86" s="7" t="s">
        <v>151</v>
      </c>
      <c r="D86" s="68">
        <v>75</v>
      </c>
      <c r="E86" s="68">
        <v>0</v>
      </c>
      <c r="F86" s="65">
        <f t="shared" si="61"/>
        <v>0</v>
      </c>
      <c r="G86" s="60" t="e">
        <f t="shared" si="66"/>
        <v>#DIV/0!</v>
      </c>
      <c r="H86" s="65" t="e">
        <f t="shared" ref="H86:J86" si="82">H74</f>
        <v>#DIV/0!</v>
      </c>
      <c r="I86" s="65" t="e">
        <f t="shared" si="82"/>
        <v>#DIV/0!</v>
      </c>
      <c r="J86" s="65" t="e">
        <f t="shared" si="82"/>
        <v>#DIV/0!</v>
      </c>
      <c r="K86" s="69">
        <v>9000</v>
      </c>
      <c r="L86" s="69">
        <f>'Monitoramento Acumulado Geral'!Q86</f>
        <v>0</v>
      </c>
      <c r="M86" s="6">
        <f>L86/K86</f>
        <v>0</v>
      </c>
      <c r="N86" s="35" t="e">
        <f t="shared" si="59"/>
        <v>#DIV/0!</v>
      </c>
      <c r="O86" s="6" t="e">
        <f t="shared" ref="O86:Q101" si="83">O74</f>
        <v>#DIV/0!</v>
      </c>
      <c r="P86" s="6" t="e">
        <f t="shared" si="83"/>
        <v>#DIV/0!</v>
      </c>
      <c r="Q86" s="6" t="e">
        <f t="shared" si="83"/>
        <v>#DIV/0!</v>
      </c>
      <c r="R86" s="69">
        <v>35</v>
      </c>
      <c r="S86" s="69">
        <v>0</v>
      </c>
      <c r="T86" s="6">
        <f t="shared" si="63"/>
        <v>0</v>
      </c>
      <c r="U86" s="35" t="e">
        <f t="shared" si="68"/>
        <v>#DIV/0!</v>
      </c>
      <c r="V86" s="6" t="e">
        <f t="shared" ref="V86:Z86" si="84">V74</f>
        <v>#DIV/0!</v>
      </c>
      <c r="W86" s="6" t="e">
        <f t="shared" si="84"/>
        <v>#DIV/0!</v>
      </c>
      <c r="X86" s="6" t="e">
        <f t="shared" si="84"/>
        <v>#DIV/0!</v>
      </c>
      <c r="Y86" s="6" t="e">
        <f t="shared" si="84"/>
        <v>#DIV/0!</v>
      </c>
      <c r="Z86" s="6" t="e">
        <f t="shared" si="84"/>
        <v>#DIV/0!</v>
      </c>
    </row>
    <row r="87" spans="1:26" x14ac:dyDescent="0.2">
      <c r="A87" s="7" t="s">
        <v>62</v>
      </c>
      <c r="B87" s="6">
        <f t="shared" si="65"/>
        <v>2</v>
      </c>
      <c r="C87" s="7" t="s">
        <v>152</v>
      </c>
      <c r="D87" s="68">
        <v>75</v>
      </c>
      <c r="E87" s="68">
        <v>11</v>
      </c>
      <c r="F87" s="65">
        <f t="shared" si="61"/>
        <v>0.14666666666666667</v>
      </c>
      <c r="G87" s="60" t="e">
        <f t="shared" si="66"/>
        <v>#DIV/0!</v>
      </c>
      <c r="H87" s="65" t="e">
        <f t="shared" ref="H87:J87" si="85">H75</f>
        <v>#DIV/0!</v>
      </c>
      <c r="I87" s="65" t="e">
        <f t="shared" si="85"/>
        <v>#DIV/0!</v>
      </c>
      <c r="J87" s="65" t="e">
        <f t="shared" si="85"/>
        <v>#DIV/0!</v>
      </c>
      <c r="K87" s="69">
        <v>9000</v>
      </c>
      <c r="L87" s="69">
        <f>'Monitoramento Acumulado Geral'!Q87</f>
        <v>600</v>
      </c>
      <c r="M87" s="6">
        <f>(SUM(L86:L87))/K86</f>
        <v>6.6666666666666666E-2</v>
      </c>
      <c r="N87" s="35" t="e">
        <f t="shared" si="59"/>
        <v>#DIV/0!</v>
      </c>
      <c r="O87" s="6" t="e">
        <f t="shared" si="83"/>
        <v>#DIV/0!</v>
      </c>
      <c r="P87" s="6" t="e">
        <f t="shared" si="83"/>
        <v>#DIV/0!</v>
      </c>
      <c r="Q87" s="6" t="e">
        <f t="shared" si="83"/>
        <v>#DIV/0!</v>
      </c>
      <c r="R87" s="69">
        <v>35</v>
      </c>
      <c r="S87" s="69">
        <v>0</v>
      </c>
      <c r="T87" s="6">
        <f t="shared" si="63"/>
        <v>0</v>
      </c>
      <c r="U87" s="35" t="e">
        <f t="shared" si="68"/>
        <v>#DIV/0!</v>
      </c>
      <c r="V87" s="6" t="e">
        <f t="shared" ref="V87:Z87" si="86">V75</f>
        <v>#DIV/0!</v>
      </c>
      <c r="W87" s="6" t="e">
        <f t="shared" si="86"/>
        <v>#DIV/0!</v>
      </c>
      <c r="X87" s="6" t="e">
        <f t="shared" si="86"/>
        <v>#DIV/0!</v>
      </c>
      <c r="Y87" s="6" t="e">
        <f t="shared" si="86"/>
        <v>#DIV/0!</v>
      </c>
      <c r="Z87" s="6" t="e">
        <f t="shared" si="86"/>
        <v>#DIV/0!</v>
      </c>
    </row>
    <row r="88" spans="1:26" x14ac:dyDescent="0.2">
      <c r="A88" s="7" t="s">
        <v>62</v>
      </c>
      <c r="B88" s="6">
        <f t="shared" si="65"/>
        <v>3</v>
      </c>
      <c r="C88" s="7" t="s">
        <v>153</v>
      </c>
      <c r="D88" s="68">
        <v>75</v>
      </c>
      <c r="E88" s="68">
        <v>11</v>
      </c>
      <c r="F88" s="65">
        <f t="shared" si="61"/>
        <v>0.14666666666666667</v>
      </c>
      <c r="G88" s="60" t="e">
        <f t="shared" si="66"/>
        <v>#DIV/0!</v>
      </c>
      <c r="H88" s="65" t="e">
        <f t="shared" ref="H88:J88" si="87">H76</f>
        <v>#DIV/0!</v>
      </c>
      <c r="I88" s="65" t="e">
        <f t="shared" si="87"/>
        <v>#DIV/0!</v>
      </c>
      <c r="J88" s="65" t="e">
        <f t="shared" si="87"/>
        <v>#DIV/0!</v>
      </c>
      <c r="K88" s="69">
        <v>9000</v>
      </c>
      <c r="L88" s="69">
        <f>'Monitoramento Acumulado Geral'!Q88</f>
        <v>0</v>
      </c>
      <c r="M88" s="6">
        <f>(SUM(L86:L88))/K87</f>
        <v>6.6666666666666666E-2</v>
      </c>
      <c r="N88" s="35" t="e">
        <f t="shared" si="59"/>
        <v>#DIV/0!</v>
      </c>
      <c r="O88" s="6" t="e">
        <f t="shared" si="83"/>
        <v>#DIV/0!</v>
      </c>
      <c r="P88" s="6" t="e">
        <f t="shared" si="83"/>
        <v>#DIV/0!</v>
      </c>
      <c r="Q88" s="6" t="e">
        <f t="shared" si="83"/>
        <v>#DIV/0!</v>
      </c>
      <c r="R88" s="69">
        <v>35</v>
      </c>
      <c r="S88" s="69">
        <v>0</v>
      </c>
      <c r="T88" s="6">
        <f t="shared" si="63"/>
        <v>0</v>
      </c>
      <c r="U88" s="35" t="e">
        <f t="shared" si="68"/>
        <v>#DIV/0!</v>
      </c>
      <c r="V88" s="6" t="e">
        <f t="shared" ref="V88:Z88" si="88">V76</f>
        <v>#DIV/0!</v>
      </c>
      <c r="W88" s="6" t="e">
        <f t="shared" si="88"/>
        <v>#DIV/0!</v>
      </c>
      <c r="X88" s="6" t="e">
        <f t="shared" si="88"/>
        <v>#DIV/0!</v>
      </c>
      <c r="Y88" s="6" t="e">
        <f t="shared" si="88"/>
        <v>#DIV/0!</v>
      </c>
      <c r="Z88" s="6" t="e">
        <f t="shared" si="88"/>
        <v>#DIV/0!</v>
      </c>
    </row>
    <row r="89" spans="1:26" x14ac:dyDescent="0.2">
      <c r="A89" s="7" t="s">
        <v>62</v>
      </c>
      <c r="B89" s="6">
        <f t="shared" si="65"/>
        <v>4</v>
      </c>
      <c r="C89" s="7" t="s">
        <v>154</v>
      </c>
      <c r="D89" s="68">
        <v>75</v>
      </c>
      <c r="E89" s="68">
        <v>11</v>
      </c>
      <c r="F89" s="65">
        <f t="shared" si="61"/>
        <v>0.14666666666666667</v>
      </c>
      <c r="G89" s="60" t="e">
        <f t="shared" si="66"/>
        <v>#DIV/0!</v>
      </c>
      <c r="H89" s="65" t="e">
        <f t="shared" ref="H89:J89" si="89">H77</f>
        <v>#DIV/0!</v>
      </c>
      <c r="I89" s="65" t="e">
        <f t="shared" si="89"/>
        <v>#DIV/0!</v>
      </c>
      <c r="J89" s="65" t="e">
        <f t="shared" si="89"/>
        <v>#DIV/0!</v>
      </c>
      <c r="K89" s="69">
        <v>9000</v>
      </c>
      <c r="L89" s="69">
        <f>'Monitoramento Acumulado Geral'!Q89</f>
        <v>0</v>
      </c>
      <c r="M89" s="6">
        <f>(SUM(L86:L89))/K88</f>
        <v>6.6666666666666666E-2</v>
      </c>
      <c r="N89" s="35" t="e">
        <f t="shared" si="59"/>
        <v>#DIV/0!</v>
      </c>
      <c r="O89" s="6" t="e">
        <f t="shared" si="83"/>
        <v>#DIV/0!</v>
      </c>
      <c r="P89" s="6" t="e">
        <f t="shared" si="83"/>
        <v>#DIV/0!</v>
      </c>
      <c r="Q89" s="6" t="e">
        <f t="shared" si="83"/>
        <v>#DIV/0!</v>
      </c>
      <c r="R89" s="69">
        <v>35</v>
      </c>
      <c r="S89" s="69">
        <v>0</v>
      </c>
      <c r="T89" s="6">
        <f t="shared" si="63"/>
        <v>0</v>
      </c>
      <c r="U89" s="35" t="e">
        <f t="shared" si="68"/>
        <v>#DIV/0!</v>
      </c>
      <c r="V89" s="6" t="e">
        <f t="shared" ref="V89:Z89" si="90">V77</f>
        <v>#DIV/0!</v>
      </c>
      <c r="W89" s="6" t="e">
        <f t="shared" si="90"/>
        <v>#DIV/0!</v>
      </c>
      <c r="X89" s="6" t="e">
        <f t="shared" si="90"/>
        <v>#DIV/0!</v>
      </c>
      <c r="Y89" s="6" t="e">
        <f t="shared" si="90"/>
        <v>#DIV/0!</v>
      </c>
      <c r="Z89" s="6" t="e">
        <f t="shared" si="90"/>
        <v>#DIV/0!</v>
      </c>
    </row>
    <row r="90" spans="1:26" x14ac:dyDescent="0.2">
      <c r="A90" s="7" t="s">
        <v>62</v>
      </c>
      <c r="B90" s="6">
        <f t="shared" si="65"/>
        <v>5</v>
      </c>
      <c r="C90" s="7" t="s">
        <v>155</v>
      </c>
      <c r="D90" s="68">
        <v>75</v>
      </c>
      <c r="E90" s="68">
        <v>11</v>
      </c>
      <c r="F90" s="65">
        <f t="shared" si="61"/>
        <v>0.14666666666666667</v>
      </c>
      <c r="G90" s="60" t="e">
        <f t="shared" si="66"/>
        <v>#DIV/0!</v>
      </c>
      <c r="H90" s="65" t="e">
        <f t="shared" ref="H90:J90" si="91">H78</f>
        <v>#DIV/0!</v>
      </c>
      <c r="I90" s="65" t="e">
        <f t="shared" si="91"/>
        <v>#DIV/0!</v>
      </c>
      <c r="J90" s="65" t="e">
        <f t="shared" si="91"/>
        <v>#DIV/0!</v>
      </c>
      <c r="K90" s="69">
        <v>9000</v>
      </c>
      <c r="L90" s="69">
        <f>'Monitoramento Acumulado Geral'!Q90</f>
        <v>0</v>
      </c>
      <c r="M90" s="6">
        <f>(SUM(L86:L90))/K89</f>
        <v>6.6666666666666666E-2</v>
      </c>
      <c r="N90" s="35" t="e">
        <f t="shared" si="59"/>
        <v>#DIV/0!</v>
      </c>
      <c r="O90" s="6" t="e">
        <f t="shared" si="83"/>
        <v>#DIV/0!</v>
      </c>
      <c r="P90" s="6" t="e">
        <f t="shared" si="83"/>
        <v>#DIV/0!</v>
      </c>
      <c r="Q90" s="6" t="e">
        <f t="shared" si="83"/>
        <v>#DIV/0!</v>
      </c>
      <c r="R90" s="69">
        <v>35</v>
      </c>
      <c r="S90" s="69">
        <v>53</v>
      </c>
      <c r="T90" s="6">
        <f t="shared" si="63"/>
        <v>1.5142857142857142</v>
      </c>
      <c r="U90" s="35" t="e">
        <f t="shared" si="68"/>
        <v>#DIV/0!</v>
      </c>
      <c r="V90" s="6" t="e">
        <f t="shared" ref="V90:Z90" si="92">V78</f>
        <v>#DIV/0!</v>
      </c>
      <c r="W90" s="6" t="e">
        <f t="shared" si="92"/>
        <v>#DIV/0!</v>
      </c>
      <c r="X90" s="6" t="e">
        <f t="shared" si="92"/>
        <v>#DIV/0!</v>
      </c>
      <c r="Y90" s="6" t="e">
        <f t="shared" si="92"/>
        <v>#DIV/0!</v>
      </c>
      <c r="Z90" s="6" t="e">
        <f t="shared" si="92"/>
        <v>#DIV/0!</v>
      </c>
    </row>
    <row r="91" spans="1:26" x14ac:dyDescent="0.2">
      <c r="A91" s="7" t="s">
        <v>62</v>
      </c>
      <c r="B91" s="6">
        <f t="shared" si="65"/>
        <v>6</v>
      </c>
      <c r="C91" s="7" t="s">
        <v>156</v>
      </c>
      <c r="D91" s="68">
        <v>75</v>
      </c>
      <c r="E91" s="68">
        <v>11</v>
      </c>
      <c r="F91" s="65">
        <f t="shared" si="61"/>
        <v>0.14666666666666667</v>
      </c>
      <c r="G91" s="60" t="e">
        <f t="shared" si="66"/>
        <v>#DIV/0!</v>
      </c>
      <c r="H91" s="65" t="e">
        <f t="shared" ref="H91:J91" si="93">H79</f>
        <v>#DIV/0!</v>
      </c>
      <c r="I91" s="65" t="e">
        <f t="shared" si="93"/>
        <v>#DIV/0!</v>
      </c>
      <c r="J91" s="65" t="e">
        <f t="shared" si="93"/>
        <v>#DIV/0!</v>
      </c>
      <c r="K91" s="69">
        <v>9000</v>
      </c>
      <c r="L91" s="69">
        <f>'Monitoramento Acumulado Geral'!Q91</f>
        <v>0</v>
      </c>
      <c r="M91" s="6">
        <f>(SUM(L86:L91))/K90</f>
        <v>6.6666666666666666E-2</v>
      </c>
      <c r="N91" s="35" t="e">
        <f t="shared" si="59"/>
        <v>#DIV/0!</v>
      </c>
      <c r="O91" s="6" t="e">
        <f t="shared" si="83"/>
        <v>#DIV/0!</v>
      </c>
      <c r="P91" s="6" t="e">
        <f t="shared" si="83"/>
        <v>#DIV/0!</v>
      </c>
      <c r="Q91" s="6" t="e">
        <f t="shared" si="83"/>
        <v>#DIV/0!</v>
      </c>
      <c r="R91" s="69">
        <v>35</v>
      </c>
      <c r="S91" s="69">
        <v>53</v>
      </c>
      <c r="T91" s="6">
        <f t="shared" si="63"/>
        <v>1.5142857142857142</v>
      </c>
      <c r="U91" s="35" t="e">
        <f t="shared" si="68"/>
        <v>#DIV/0!</v>
      </c>
      <c r="V91" s="6" t="e">
        <f t="shared" ref="V91:Z91" si="94">V79</f>
        <v>#DIV/0!</v>
      </c>
      <c r="W91" s="6" t="e">
        <f t="shared" si="94"/>
        <v>#DIV/0!</v>
      </c>
      <c r="X91" s="6" t="e">
        <f t="shared" si="94"/>
        <v>#DIV/0!</v>
      </c>
      <c r="Y91" s="6" t="e">
        <f t="shared" si="94"/>
        <v>#DIV/0!</v>
      </c>
      <c r="Z91" s="6" t="e">
        <f t="shared" si="94"/>
        <v>#DIV/0!</v>
      </c>
    </row>
    <row r="92" spans="1:26" x14ac:dyDescent="0.2">
      <c r="A92" s="7" t="s">
        <v>62</v>
      </c>
      <c r="B92" s="6">
        <f t="shared" si="65"/>
        <v>7</v>
      </c>
      <c r="C92" s="7" t="s">
        <v>157</v>
      </c>
      <c r="D92" s="68">
        <v>75</v>
      </c>
      <c r="E92" s="68">
        <v>11</v>
      </c>
      <c r="F92" s="65">
        <f t="shared" si="61"/>
        <v>0.14666666666666667</v>
      </c>
      <c r="G92" s="60" t="e">
        <f t="shared" si="66"/>
        <v>#DIV/0!</v>
      </c>
      <c r="H92" s="65" t="e">
        <f t="shared" ref="H92:J92" si="95">H80</f>
        <v>#DIV/0!</v>
      </c>
      <c r="I92" s="65" t="e">
        <f t="shared" si="95"/>
        <v>#DIV/0!</v>
      </c>
      <c r="J92" s="65" t="e">
        <f t="shared" si="95"/>
        <v>#DIV/0!</v>
      </c>
      <c r="K92" s="69">
        <v>9000</v>
      </c>
      <c r="L92" s="69">
        <f>'Monitoramento Acumulado Geral'!Q92</f>
        <v>0</v>
      </c>
      <c r="M92" s="6">
        <f>(SUM(L86:L92))/K91</f>
        <v>6.6666666666666666E-2</v>
      </c>
      <c r="N92" s="35" t="e">
        <f t="shared" si="59"/>
        <v>#DIV/0!</v>
      </c>
      <c r="O92" s="6" t="e">
        <f t="shared" si="83"/>
        <v>#DIV/0!</v>
      </c>
      <c r="P92" s="6" t="e">
        <f t="shared" si="83"/>
        <v>#DIV/0!</v>
      </c>
      <c r="Q92" s="6" t="e">
        <f t="shared" si="83"/>
        <v>#DIV/0!</v>
      </c>
      <c r="R92" s="69">
        <v>35</v>
      </c>
      <c r="S92" s="69">
        <v>53</v>
      </c>
      <c r="T92" s="6">
        <f t="shared" si="63"/>
        <v>1.5142857142857142</v>
      </c>
      <c r="U92" s="35" t="e">
        <f t="shared" si="68"/>
        <v>#DIV/0!</v>
      </c>
      <c r="V92" s="6" t="e">
        <f t="shared" ref="V92:Z92" si="96">V80</f>
        <v>#DIV/0!</v>
      </c>
      <c r="W92" s="6" t="e">
        <f t="shared" si="96"/>
        <v>#DIV/0!</v>
      </c>
      <c r="X92" s="6" t="e">
        <f t="shared" si="96"/>
        <v>#DIV/0!</v>
      </c>
      <c r="Y92" s="6" t="e">
        <f t="shared" si="96"/>
        <v>#DIV/0!</v>
      </c>
      <c r="Z92" s="6" t="e">
        <f t="shared" si="96"/>
        <v>#DIV/0!</v>
      </c>
    </row>
    <row r="93" spans="1:26" x14ac:dyDescent="0.2">
      <c r="A93" s="7" t="s">
        <v>62</v>
      </c>
      <c r="B93" s="6">
        <f t="shared" si="65"/>
        <v>8</v>
      </c>
      <c r="C93" s="7" t="s">
        <v>158</v>
      </c>
      <c r="D93" s="68">
        <v>75</v>
      </c>
      <c r="E93" s="68">
        <v>11</v>
      </c>
      <c r="F93" s="65">
        <f t="shared" si="61"/>
        <v>0.14666666666666667</v>
      </c>
      <c r="G93" s="60" t="e">
        <f t="shared" si="66"/>
        <v>#DIV/0!</v>
      </c>
      <c r="H93" s="65" t="e">
        <f t="shared" ref="H93:J93" si="97">H81</f>
        <v>#DIV/0!</v>
      </c>
      <c r="I93" s="65" t="e">
        <f t="shared" si="97"/>
        <v>#DIV/0!</v>
      </c>
      <c r="J93" s="65" t="e">
        <f t="shared" si="97"/>
        <v>#DIV/0!</v>
      </c>
      <c r="K93" s="69">
        <v>9000</v>
      </c>
      <c r="L93" s="69">
        <f>'Monitoramento Acumulado Geral'!Q93</f>
        <v>0</v>
      </c>
      <c r="M93" s="6">
        <f>(SUM(L86:L93))/K92</f>
        <v>6.6666666666666666E-2</v>
      </c>
      <c r="N93" s="35" t="e">
        <f t="shared" si="59"/>
        <v>#DIV/0!</v>
      </c>
      <c r="O93" s="6" t="e">
        <f t="shared" si="83"/>
        <v>#DIV/0!</v>
      </c>
      <c r="P93" s="6" t="e">
        <f t="shared" si="83"/>
        <v>#DIV/0!</v>
      </c>
      <c r="Q93" s="6" t="e">
        <f t="shared" si="83"/>
        <v>#DIV/0!</v>
      </c>
      <c r="R93" s="69">
        <v>35</v>
      </c>
      <c r="S93" s="69">
        <v>53</v>
      </c>
      <c r="T93" s="6">
        <f t="shared" si="63"/>
        <v>1.5142857142857142</v>
      </c>
      <c r="U93" s="35" t="e">
        <f t="shared" si="68"/>
        <v>#DIV/0!</v>
      </c>
      <c r="V93" s="6" t="e">
        <f t="shared" ref="V93:Z93" si="98">V81</f>
        <v>#DIV/0!</v>
      </c>
      <c r="W93" s="6" t="e">
        <f t="shared" si="98"/>
        <v>#DIV/0!</v>
      </c>
      <c r="X93" s="6" t="e">
        <f t="shared" si="98"/>
        <v>#DIV/0!</v>
      </c>
      <c r="Y93" s="6" t="e">
        <f t="shared" si="98"/>
        <v>#DIV/0!</v>
      </c>
      <c r="Z93" s="6" t="e">
        <f t="shared" si="98"/>
        <v>#DIV/0!</v>
      </c>
    </row>
    <row r="94" spans="1:26" x14ac:dyDescent="0.2">
      <c r="A94" s="7" t="s">
        <v>62</v>
      </c>
      <c r="B94" s="6">
        <f t="shared" si="65"/>
        <v>9</v>
      </c>
      <c r="C94" s="7" t="s">
        <v>159</v>
      </c>
      <c r="D94" s="68">
        <v>75</v>
      </c>
      <c r="E94" s="68">
        <v>11</v>
      </c>
      <c r="F94" s="65">
        <f t="shared" si="61"/>
        <v>0.14666666666666667</v>
      </c>
      <c r="G94" s="60" t="e">
        <f t="shared" si="66"/>
        <v>#DIV/0!</v>
      </c>
      <c r="H94" s="65" t="e">
        <f t="shared" ref="H94:J94" si="99">H82</f>
        <v>#DIV/0!</v>
      </c>
      <c r="I94" s="65" t="e">
        <f t="shared" si="99"/>
        <v>#DIV/0!</v>
      </c>
      <c r="J94" s="65" t="e">
        <f t="shared" si="99"/>
        <v>#DIV/0!</v>
      </c>
      <c r="K94" s="69">
        <v>9000</v>
      </c>
      <c r="L94" s="69">
        <f>'Monitoramento Acumulado Geral'!Q94</f>
        <v>0</v>
      </c>
      <c r="M94" s="6">
        <f>(SUM(L86:L94))/K93</f>
        <v>6.6666666666666666E-2</v>
      </c>
      <c r="N94" s="35" t="e">
        <f t="shared" si="59"/>
        <v>#DIV/0!</v>
      </c>
      <c r="O94" s="6" t="e">
        <f t="shared" si="83"/>
        <v>#DIV/0!</v>
      </c>
      <c r="P94" s="6" t="e">
        <f t="shared" si="83"/>
        <v>#DIV/0!</v>
      </c>
      <c r="Q94" s="6" t="e">
        <f t="shared" si="83"/>
        <v>#DIV/0!</v>
      </c>
      <c r="R94" s="69">
        <v>35</v>
      </c>
      <c r="S94" s="69">
        <v>57</v>
      </c>
      <c r="T94" s="6">
        <f t="shared" si="63"/>
        <v>1.6285714285714286</v>
      </c>
      <c r="U94" s="35" t="e">
        <f t="shared" si="68"/>
        <v>#DIV/0!</v>
      </c>
      <c r="V94" s="6" t="e">
        <f t="shared" ref="V94:Z94" si="100">V82</f>
        <v>#DIV/0!</v>
      </c>
      <c r="W94" s="6" t="e">
        <f t="shared" si="100"/>
        <v>#DIV/0!</v>
      </c>
      <c r="X94" s="6" t="e">
        <f t="shared" si="100"/>
        <v>#DIV/0!</v>
      </c>
      <c r="Y94" s="6" t="e">
        <f t="shared" si="100"/>
        <v>#DIV/0!</v>
      </c>
      <c r="Z94" s="6" t="e">
        <f t="shared" si="100"/>
        <v>#DIV/0!</v>
      </c>
    </row>
    <row r="95" spans="1:26" x14ac:dyDescent="0.2">
      <c r="A95" s="7" t="s">
        <v>62</v>
      </c>
      <c r="B95" s="6">
        <f t="shared" si="65"/>
        <v>10</v>
      </c>
      <c r="C95" s="7" t="s">
        <v>160</v>
      </c>
      <c r="D95" s="68">
        <v>75</v>
      </c>
      <c r="E95" s="68">
        <v>11</v>
      </c>
      <c r="F95" s="65">
        <f t="shared" si="61"/>
        <v>0.14666666666666667</v>
      </c>
      <c r="G95" s="60" t="e">
        <f t="shared" si="66"/>
        <v>#DIV/0!</v>
      </c>
      <c r="H95" s="65" t="e">
        <f t="shared" ref="H95:J95" si="101">H83</f>
        <v>#DIV/0!</v>
      </c>
      <c r="I95" s="65" t="e">
        <f t="shared" si="101"/>
        <v>#DIV/0!</v>
      </c>
      <c r="J95" s="65" t="e">
        <f t="shared" si="101"/>
        <v>#DIV/0!</v>
      </c>
      <c r="K95" s="69">
        <v>9000</v>
      </c>
      <c r="L95" s="69">
        <f>'Monitoramento Acumulado Geral'!Q95</f>
        <v>0</v>
      </c>
      <c r="M95" s="6">
        <f>(SUM(L86:L95))/K94</f>
        <v>6.6666666666666666E-2</v>
      </c>
      <c r="N95" s="35" t="e">
        <f t="shared" si="59"/>
        <v>#DIV/0!</v>
      </c>
      <c r="O95" s="6" t="e">
        <f t="shared" si="83"/>
        <v>#DIV/0!</v>
      </c>
      <c r="P95" s="6" t="e">
        <f t="shared" si="83"/>
        <v>#DIV/0!</v>
      </c>
      <c r="Q95" s="6" t="e">
        <f t="shared" si="83"/>
        <v>#DIV/0!</v>
      </c>
      <c r="R95" s="69">
        <v>35</v>
      </c>
      <c r="S95" s="69">
        <v>57</v>
      </c>
      <c r="T95" s="6">
        <f t="shared" si="63"/>
        <v>1.6285714285714286</v>
      </c>
      <c r="U95" s="35" t="e">
        <f t="shared" si="68"/>
        <v>#DIV/0!</v>
      </c>
      <c r="V95" s="6" t="e">
        <f t="shared" ref="V95:Z95" si="102">V83</f>
        <v>#DIV/0!</v>
      </c>
      <c r="W95" s="6" t="e">
        <f t="shared" si="102"/>
        <v>#DIV/0!</v>
      </c>
      <c r="X95" s="6" t="e">
        <f t="shared" si="102"/>
        <v>#DIV/0!</v>
      </c>
      <c r="Y95" s="6" t="e">
        <f t="shared" si="102"/>
        <v>#DIV/0!</v>
      </c>
      <c r="Z95" s="6" t="e">
        <f t="shared" si="102"/>
        <v>#DIV/0!</v>
      </c>
    </row>
    <row r="96" spans="1:26" x14ac:dyDescent="0.2">
      <c r="A96" s="7" t="s">
        <v>62</v>
      </c>
      <c r="B96" s="6">
        <f t="shared" si="65"/>
        <v>11</v>
      </c>
      <c r="C96" s="7" t="s">
        <v>161</v>
      </c>
      <c r="D96" s="68">
        <v>75</v>
      </c>
      <c r="E96" s="68">
        <v>0</v>
      </c>
      <c r="F96" s="65">
        <f t="shared" si="61"/>
        <v>0</v>
      </c>
      <c r="G96" s="60" t="e">
        <f t="shared" si="66"/>
        <v>#DIV/0!</v>
      </c>
      <c r="H96" s="65" t="e">
        <f t="shared" ref="H96:J96" si="103">H84</f>
        <v>#DIV/0!</v>
      </c>
      <c r="I96" s="65" t="e">
        <f t="shared" si="103"/>
        <v>#DIV/0!</v>
      </c>
      <c r="J96" s="65" t="e">
        <f t="shared" si="103"/>
        <v>#DIV/0!</v>
      </c>
      <c r="K96" s="69">
        <v>9000</v>
      </c>
      <c r="L96" s="69">
        <f>'Monitoramento Acumulado Geral'!Q96</f>
        <v>0</v>
      </c>
      <c r="M96" s="6">
        <f>(SUM(L86:L96))/K95</f>
        <v>6.6666666666666666E-2</v>
      </c>
      <c r="N96" s="35" t="e">
        <f t="shared" si="59"/>
        <v>#DIV/0!</v>
      </c>
      <c r="O96" s="6" t="e">
        <f t="shared" si="83"/>
        <v>#DIV/0!</v>
      </c>
      <c r="P96" s="6" t="e">
        <f t="shared" si="83"/>
        <v>#DIV/0!</v>
      </c>
      <c r="Q96" s="6" t="e">
        <f t="shared" si="83"/>
        <v>#DIV/0!</v>
      </c>
      <c r="R96" s="69">
        <v>35</v>
      </c>
      <c r="S96" s="69">
        <v>0</v>
      </c>
      <c r="T96" s="6">
        <f t="shared" si="63"/>
        <v>0</v>
      </c>
      <c r="U96" s="35" t="e">
        <f t="shared" si="68"/>
        <v>#DIV/0!</v>
      </c>
      <c r="V96" s="6" t="e">
        <f t="shared" ref="V96:Z96" si="104">V84</f>
        <v>#DIV/0!</v>
      </c>
      <c r="W96" s="6" t="e">
        <f t="shared" si="104"/>
        <v>#DIV/0!</v>
      </c>
      <c r="X96" s="6" t="e">
        <f t="shared" si="104"/>
        <v>#DIV/0!</v>
      </c>
      <c r="Y96" s="6" t="e">
        <f t="shared" si="104"/>
        <v>#DIV/0!</v>
      </c>
      <c r="Z96" s="6" t="e">
        <f t="shared" si="104"/>
        <v>#DIV/0!</v>
      </c>
    </row>
    <row r="97" spans="1:26" x14ac:dyDescent="0.2">
      <c r="A97" s="7" t="s">
        <v>62</v>
      </c>
      <c r="B97" s="6">
        <f t="shared" si="65"/>
        <v>12</v>
      </c>
      <c r="C97" s="7" t="s">
        <v>162</v>
      </c>
      <c r="D97" s="68">
        <v>75</v>
      </c>
      <c r="E97" s="68">
        <v>0</v>
      </c>
      <c r="F97" s="65">
        <f t="shared" si="61"/>
        <v>0</v>
      </c>
      <c r="G97" s="60" t="e">
        <f t="shared" si="66"/>
        <v>#DIV/0!</v>
      </c>
      <c r="H97" s="65" t="e">
        <f t="shared" ref="H97:J97" si="105">H85</f>
        <v>#DIV/0!</v>
      </c>
      <c r="I97" s="65" t="e">
        <f t="shared" si="105"/>
        <v>#DIV/0!</v>
      </c>
      <c r="J97" s="65" t="e">
        <f t="shared" si="105"/>
        <v>#DIV/0!</v>
      </c>
      <c r="K97" s="69">
        <v>9000</v>
      </c>
      <c r="L97" s="69">
        <f>'Monitoramento Acumulado Geral'!Q97</f>
        <v>0</v>
      </c>
      <c r="M97" s="6">
        <f>(SUM(L86:L97))/K96</f>
        <v>6.6666666666666666E-2</v>
      </c>
      <c r="N97" s="35" t="e">
        <f t="shared" si="59"/>
        <v>#DIV/0!</v>
      </c>
      <c r="O97" s="6" t="e">
        <f t="shared" si="83"/>
        <v>#DIV/0!</v>
      </c>
      <c r="P97" s="6" t="e">
        <f t="shared" si="83"/>
        <v>#DIV/0!</v>
      </c>
      <c r="Q97" s="6" t="e">
        <f t="shared" si="83"/>
        <v>#DIV/0!</v>
      </c>
      <c r="R97" s="69">
        <v>35</v>
      </c>
      <c r="S97" s="69">
        <v>0</v>
      </c>
      <c r="T97" s="6">
        <f t="shared" si="63"/>
        <v>0</v>
      </c>
      <c r="U97" s="35" t="e">
        <f t="shared" si="68"/>
        <v>#DIV/0!</v>
      </c>
      <c r="V97" s="6" t="e">
        <f t="shared" ref="V97:Z97" si="106">V85</f>
        <v>#DIV/0!</v>
      </c>
      <c r="W97" s="6" t="e">
        <f t="shared" si="106"/>
        <v>#DIV/0!</v>
      </c>
      <c r="X97" s="6" t="e">
        <f t="shared" si="106"/>
        <v>#DIV/0!</v>
      </c>
      <c r="Y97" s="6" t="e">
        <f t="shared" si="106"/>
        <v>#DIV/0!</v>
      </c>
      <c r="Z97" s="6" t="e">
        <f t="shared" si="106"/>
        <v>#DIV/0!</v>
      </c>
    </row>
    <row r="98" spans="1:26" x14ac:dyDescent="0.2">
      <c r="A98" s="7" t="s">
        <v>114</v>
      </c>
      <c r="B98" s="6">
        <f t="shared" si="65"/>
        <v>1</v>
      </c>
      <c r="C98" s="7" t="s">
        <v>151</v>
      </c>
      <c r="D98" s="68">
        <v>75</v>
      </c>
      <c r="E98" s="68">
        <v>0</v>
      </c>
      <c r="F98" s="65">
        <f t="shared" si="61"/>
        <v>0</v>
      </c>
      <c r="G98" s="60" t="e">
        <f t="shared" si="66"/>
        <v>#DIV/0!</v>
      </c>
      <c r="H98" s="65" t="e">
        <f t="shared" ref="H98:J98" si="107">H86</f>
        <v>#DIV/0!</v>
      </c>
      <c r="I98" s="65" t="e">
        <f t="shared" si="107"/>
        <v>#DIV/0!</v>
      </c>
      <c r="J98" s="65" t="e">
        <f t="shared" si="107"/>
        <v>#DIV/0!</v>
      </c>
      <c r="K98" s="69">
        <v>100000</v>
      </c>
      <c r="L98" s="69">
        <f>'Monitoramento Acumulado Geral'!Q98</f>
        <v>0</v>
      </c>
      <c r="M98" s="6">
        <f>L98/K98</f>
        <v>0</v>
      </c>
      <c r="N98" s="35" t="e">
        <f t="shared" si="59"/>
        <v>#DIV/0!</v>
      </c>
      <c r="O98" s="6" t="e">
        <f t="shared" si="83"/>
        <v>#DIV/0!</v>
      </c>
      <c r="P98" s="6" t="e">
        <f t="shared" si="83"/>
        <v>#DIV/0!</v>
      </c>
      <c r="Q98" s="6" t="e">
        <f t="shared" si="83"/>
        <v>#DIV/0!</v>
      </c>
      <c r="R98" s="69">
        <v>80</v>
      </c>
      <c r="S98" s="69">
        <v>0</v>
      </c>
      <c r="T98" s="6">
        <f t="shared" si="63"/>
        <v>0</v>
      </c>
      <c r="U98" s="35" t="e">
        <f t="shared" si="68"/>
        <v>#DIV/0!</v>
      </c>
      <c r="V98" s="6" t="e">
        <f t="shared" ref="V98:Z98" si="108">V86</f>
        <v>#DIV/0!</v>
      </c>
      <c r="W98" s="6" t="e">
        <f t="shared" si="108"/>
        <v>#DIV/0!</v>
      </c>
      <c r="X98" s="6" t="e">
        <f t="shared" si="108"/>
        <v>#DIV/0!</v>
      </c>
      <c r="Y98" s="6" t="e">
        <f t="shared" si="108"/>
        <v>#DIV/0!</v>
      </c>
      <c r="Z98" s="6" t="e">
        <f t="shared" si="108"/>
        <v>#DIV/0!</v>
      </c>
    </row>
    <row r="99" spans="1:26" x14ac:dyDescent="0.2">
      <c r="A99" s="7" t="s">
        <v>114</v>
      </c>
      <c r="B99" s="6">
        <f t="shared" si="65"/>
        <v>2</v>
      </c>
      <c r="C99" s="7" t="s">
        <v>152</v>
      </c>
      <c r="D99" s="68">
        <v>75</v>
      </c>
      <c r="E99" s="68">
        <v>9</v>
      </c>
      <c r="F99" s="65">
        <f t="shared" si="61"/>
        <v>0.12</v>
      </c>
      <c r="G99" s="60" t="e">
        <f t="shared" si="66"/>
        <v>#DIV/0!</v>
      </c>
      <c r="H99" s="65" t="e">
        <f t="shared" ref="H99:J99" si="109">H87</f>
        <v>#DIV/0!</v>
      </c>
      <c r="I99" s="65" t="e">
        <f t="shared" si="109"/>
        <v>#DIV/0!</v>
      </c>
      <c r="J99" s="65" t="e">
        <f t="shared" si="109"/>
        <v>#DIV/0!</v>
      </c>
      <c r="K99" s="69">
        <v>100000</v>
      </c>
      <c r="L99" s="69">
        <f>'Monitoramento Acumulado Geral'!Q99</f>
        <v>4750</v>
      </c>
      <c r="M99" s="6">
        <f>(SUM(L98:L99))/K98</f>
        <v>4.7500000000000001E-2</v>
      </c>
      <c r="N99" s="35" t="e">
        <f t="shared" si="59"/>
        <v>#DIV/0!</v>
      </c>
      <c r="O99" s="6" t="e">
        <f t="shared" si="83"/>
        <v>#DIV/0!</v>
      </c>
      <c r="P99" s="6" t="e">
        <f t="shared" si="83"/>
        <v>#DIV/0!</v>
      </c>
      <c r="Q99" s="6" t="e">
        <f t="shared" si="83"/>
        <v>#DIV/0!</v>
      </c>
      <c r="R99" s="69">
        <v>80</v>
      </c>
      <c r="S99" s="69">
        <v>0</v>
      </c>
      <c r="T99" s="6">
        <f t="shared" si="63"/>
        <v>0</v>
      </c>
      <c r="U99" s="35" t="e">
        <f t="shared" si="68"/>
        <v>#DIV/0!</v>
      </c>
      <c r="V99" s="6" t="e">
        <f t="shared" ref="V99:Z99" si="110">V87</f>
        <v>#DIV/0!</v>
      </c>
      <c r="W99" s="6" t="e">
        <f t="shared" si="110"/>
        <v>#DIV/0!</v>
      </c>
      <c r="X99" s="6" t="e">
        <f t="shared" si="110"/>
        <v>#DIV/0!</v>
      </c>
      <c r="Y99" s="6" t="e">
        <f t="shared" si="110"/>
        <v>#DIV/0!</v>
      </c>
      <c r="Z99" s="6" t="e">
        <f t="shared" si="110"/>
        <v>#DIV/0!</v>
      </c>
    </row>
    <row r="100" spans="1:26" x14ac:dyDescent="0.2">
      <c r="A100" s="7" t="s">
        <v>114</v>
      </c>
      <c r="B100" s="6">
        <f t="shared" si="65"/>
        <v>3</v>
      </c>
      <c r="C100" s="7" t="s">
        <v>153</v>
      </c>
      <c r="D100" s="68">
        <v>75</v>
      </c>
      <c r="E100" s="68">
        <v>9</v>
      </c>
      <c r="F100" s="65">
        <f t="shared" si="61"/>
        <v>0.12</v>
      </c>
      <c r="G100" s="60" t="e">
        <f t="shared" si="66"/>
        <v>#DIV/0!</v>
      </c>
      <c r="H100" s="65" t="e">
        <f t="shared" ref="H100:J100" si="111">H88</f>
        <v>#DIV/0!</v>
      </c>
      <c r="I100" s="65" t="e">
        <f t="shared" si="111"/>
        <v>#DIV/0!</v>
      </c>
      <c r="J100" s="65" t="e">
        <f t="shared" si="111"/>
        <v>#DIV/0!</v>
      </c>
      <c r="K100" s="69">
        <v>100000</v>
      </c>
      <c r="L100" s="69">
        <f>'Monitoramento Acumulado Geral'!Q100</f>
        <v>0</v>
      </c>
      <c r="M100" s="6">
        <f>(SUM(L98:L100))/K99</f>
        <v>4.7500000000000001E-2</v>
      </c>
      <c r="N100" s="35" t="e">
        <f t="shared" si="59"/>
        <v>#DIV/0!</v>
      </c>
      <c r="O100" s="6" t="e">
        <f t="shared" si="83"/>
        <v>#DIV/0!</v>
      </c>
      <c r="P100" s="6" t="e">
        <f t="shared" si="83"/>
        <v>#DIV/0!</v>
      </c>
      <c r="Q100" s="6" t="e">
        <f t="shared" si="83"/>
        <v>#DIV/0!</v>
      </c>
      <c r="R100" s="69">
        <v>80</v>
      </c>
      <c r="S100" s="69">
        <v>0</v>
      </c>
      <c r="T100" s="6">
        <f t="shared" si="63"/>
        <v>0</v>
      </c>
      <c r="U100" s="35" t="e">
        <f t="shared" si="68"/>
        <v>#DIV/0!</v>
      </c>
      <c r="V100" s="6" t="e">
        <f t="shared" ref="V100:Z100" si="112">V88</f>
        <v>#DIV/0!</v>
      </c>
      <c r="W100" s="6" t="e">
        <f t="shared" si="112"/>
        <v>#DIV/0!</v>
      </c>
      <c r="X100" s="6" t="e">
        <f t="shared" si="112"/>
        <v>#DIV/0!</v>
      </c>
      <c r="Y100" s="6" t="e">
        <f t="shared" si="112"/>
        <v>#DIV/0!</v>
      </c>
      <c r="Z100" s="6" t="e">
        <f t="shared" si="112"/>
        <v>#DIV/0!</v>
      </c>
    </row>
    <row r="101" spans="1:26" x14ac:dyDescent="0.2">
      <c r="A101" s="7" t="s">
        <v>114</v>
      </c>
      <c r="B101" s="6">
        <f t="shared" si="65"/>
        <v>4</v>
      </c>
      <c r="C101" s="7" t="s">
        <v>154</v>
      </c>
      <c r="D101" s="68">
        <v>75</v>
      </c>
      <c r="E101" s="68">
        <v>9</v>
      </c>
      <c r="F101" s="65">
        <f t="shared" si="61"/>
        <v>0.12</v>
      </c>
      <c r="G101" s="60" t="e">
        <f t="shared" si="66"/>
        <v>#DIV/0!</v>
      </c>
      <c r="H101" s="65" t="e">
        <f t="shared" ref="H101:J101" si="113">H89</f>
        <v>#DIV/0!</v>
      </c>
      <c r="I101" s="65" t="e">
        <f t="shared" si="113"/>
        <v>#DIV/0!</v>
      </c>
      <c r="J101" s="65" t="e">
        <f t="shared" si="113"/>
        <v>#DIV/0!</v>
      </c>
      <c r="K101" s="69">
        <v>100000</v>
      </c>
      <c r="L101" s="69">
        <f>'Monitoramento Acumulado Geral'!Q101</f>
        <v>0</v>
      </c>
      <c r="M101" s="6">
        <f>(SUM(L98:L101))/K100</f>
        <v>4.7500000000000001E-2</v>
      </c>
      <c r="N101" s="35" t="e">
        <f t="shared" si="59"/>
        <v>#DIV/0!</v>
      </c>
      <c r="O101" s="6" t="e">
        <f t="shared" si="83"/>
        <v>#DIV/0!</v>
      </c>
      <c r="P101" s="6" t="e">
        <f t="shared" si="83"/>
        <v>#DIV/0!</v>
      </c>
      <c r="Q101" s="6" t="e">
        <f t="shared" si="83"/>
        <v>#DIV/0!</v>
      </c>
      <c r="R101" s="69">
        <v>80</v>
      </c>
      <c r="S101" s="69">
        <v>0</v>
      </c>
      <c r="T101" s="6">
        <f t="shared" si="63"/>
        <v>0</v>
      </c>
      <c r="U101" s="35" t="e">
        <f t="shared" si="68"/>
        <v>#DIV/0!</v>
      </c>
      <c r="V101" s="6" t="e">
        <f t="shared" ref="V101:Z101" si="114">V89</f>
        <v>#DIV/0!</v>
      </c>
      <c r="W101" s="6" t="e">
        <f t="shared" si="114"/>
        <v>#DIV/0!</v>
      </c>
      <c r="X101" s="6" t="e">
        <f t="shared" si="114"/>
        <v>#DIV/0!</v>
      </c>
      <c r="Y101" s="6" t="e">
        <f t="shared" si="114"/>
        <v>#DIV/0!</v>
      </c>
      <c r="Z101" s="6" t="e">
        <f t="shared" si="114"/>
        <v>#DIV/0!</v>
      </c>
    </row>
    <row r="102" spans="1:26" x14ac:dyDescent="0.2">
      <c r="A102" s="7" t="s">
        <v>114</v>
      </c>
      <c r="B102" s="6">
        <f t="shared" si="65"/>
        <v>5</v>
      </c>
      <c r="C102" s="7" t="s">
        <v>155</v>
      </c>
      <c r="D102" s="68">
        <v>75</v>
      </c>
      <c r="E102" s="68">
        <v>38</v>
      </c>
      <c r="F102" s="65">
        <f t="shared" si="61"/>
        <v>0.50666666666666671</v>
      </c>
      <c r="G102" s="60" t="e">
        <f t="shared" si="66"/>
        <v>#DIV/0!</v>
      </c>
      <c r="H102" s="65" t="e">
        <f t="shared" ref="H102:J102" si="115">H90</f>
        <v>#DIV/0!</v>
      </c>
      <c r="I102" s="65" t="e">
        <f t="shared" si="115"/>
        <v>#DIV/0!</v>
      </c>
      <c r="J102" s="65" t="e">
        <f t="shared" si="115"/>
        <v>#DIV/0!</v>
      </c>
      <c r="K102" s="69">
        <v>100000</v>
      </c>
      <c r="L102" s="69">
        <f>'Monitoramento Acumulado Geral'!Q102</f>
        <v>14306.91</v>
      </c>
      <c r="M102" s="6">
        <f>(SUM(L98:L102))/K101</f>
        <v>0.19056909999999999</v>
      </c>
      <c r="N102" s="35" t="e">
        <f t="shared" si="59"/>
        <v>#DIV/0!</v>
      </c>
      <c r="O102" s="6" t="e">
        <f t="shared" ref="O102:Q109" si="116">O90</f>
        <v>#DIV/0!</v>
      </c>
      <c r="P102" s="6" t="e">
        <f t="shared" si="116"/>
        <v>#DIV/0!</v>
      </c>
      <c r="Q102" s="6" t="e">
        <f t="shared" si="116"/>
        <v>#DIV/0!</v>
      </c>
      <c r="R102" s="69">
        <v>80</v>
      </c>
      <c r="S102" s="69">
        <v>21</v>
      </c>
      <c r="T102" s="6">
        <f t="shared" si="63"/>
        <v>0.26250000000000001</v>
      </c>
      <c r="U102" s="35" t="e">
        <f t="shared" si="68"/>
        <v>#DIV/0!</v>
      </c>
      <c r="V102" s="6" t="e">
        <f t="shared" ref="V102:Z102" si="117">V90</f>
        <v>#DIV/0!</v>
      </c>
      <c r="W102" s="6" t="e">
        <f t="shared" si="117"/>
        <v>#DIV/0!</v>
      </c>
      <c r="X102" s="6" t="e">
        <f t="shared" si="117"/>
        <v>#DIV/0!</v>
      </c>
      <c r="Y102" s="6" t="e">
        <f t="shared" si="117"/>
        <v>#DIV/0!</v>
      </c>
      <c r="Z102" s="6" t="e">
        <f t="shared" si="117"/>
        <v>#DIV/0!</v>
      </c>
    </row>
    <row r="103" spans="1:26" x14ac:dyDescent="0.2">
      <c r="A103" s="7" t="s">
        <v>114</v>
      </c>
      <c r="B103" s="6">
        <f t="shared" si="65"/>
        <v>6</v>
      </c>
      <c r="C103" s="7" t="s">
        <v>156</v>
      </c>
      <c r="D103" s="68">
        <v>75</v>
      </c>
      <c r="E103" s="68">
        <v>62</v>
      </c>
      <c r="F103" s="65">
        <f t="shared" si="61"/>
        <v>0.82666666666666666</v>
      </c>
      <c r="G103" s="60" t="e">
        <f t="shared" si="66"/>
        <v>#DIV/0!</v>
      </c>
      <c r="H103" s="65" t="e">
        <f t="shared" ref="H103:J103" si="118">H91</f>
        <v>#DIV/0!</v>
      </c>
      <c r="I103" s="65" t="e">
        <f t="shared" si="118"/>
        <v>#DIV/0!</v>
      </c>
      <c r="J103" s="65" t="e">
        <f t="shared" si="118"/>
        <v>#DIV/0!</v>
      </c>
      <c r="K103" s="69">
        <v>100000</v>
      </c>
      <c r="L103" s="69">
        <f>'Monitoramento Acumulado Geral'!Q103</f>
        <v>37297.32</v>
      </c>
      <c r="M103" s="6">
        <f>(SUM(L98:L103))/K102</f>
        <v>0.56354229999999994</v>
      </c>
      <c r="N103" s="35" t="e">
        <f t="shared" si="59"/>
        <v>#DIV/0!</v>
      </c>
      <c r="O103" s="6" t="e">
        <f t="shared" si="116"/>
        <v>#DIV/0!</v>
      </c>
      <c r="P103" s="6" t="e">
        <f t="shared" si="116"/>
        <v>#DIV/0!</v>
      </c>
      <c r="Q103" s="6" t="e">
        <f t="shared" si="116"/>
        <v>#DIV/0!</v>
      </c>
      <c r="R103" s="69">
        <v>80</v>
      </c>
      <c r="S103" s="69">
        <v>21</v>
      </c>
      <c r="T103" s="6">
        <f t="shared" si="63"/>
        <v>0.26250000000000001</v>
      </c>
      <c r="U103" s="35" t="e">
        <f t="shared" si="68"/>
        <v>#DIV/0!</v>
      </c>
      <c r="V103" s="6" t="e">
        <f t="shared" ref="V103:Z103" si="119">V91</f>
        <v>#DIV/0!</v>
      </c>
      <c r="W103" s="6" t="e">
        <f t="shared" si="119"/>
        <v>#DIV/0!</v>
      </c>
      <c r="X103" s="6" t="e">
        <f t="shared" si="119"/>
        <v>#DIV/0!</v>
      </c>
      <c r="Y103" s="6" t="e">
        <f t="shared" si="119"/>
        <v>#DIV/0!</v>
      </c>
      <c r="Z103" s="6" t="e">
        <f t="shared" si="119"/>
        <v>#DIV/0!</v>
      </c>
    </row>
    <row r="104" spans="1:26" x14ac:dyDescent="0.2">
      <c r="A104" s="7" t="s">
        <v>114</v>
      </c>
      <c r="B104" s="6">
        <f t="shared" si="65"/>
        <v>7</v>
      </c>
      <c r="C104" s="7" t="s">
        <v>157</v>
      </c>
      <c r="D104" s="68">
        <v>75</v>
      </c>
      <c r="E104" s="68">
        <v>65</v>
      </c>
      <c r="F104" s="65">
        <f t="shared" si="61"/>
        <v>0.8666666666666667</v>
      </c>
      <c r="G104" s="60" t="e">
        <f t="shared" si="66"/>
        <v>#DIV/0!</v>
      </c>
      <c r="H104" s="65" t="e">
        <f t="shared" ref="H104:J104" si="120">H92</f>
        <v>#DIV/0!</v>
      </c>
      <c r="I104" s="65" t="e">
        <f t="shared" si="120"/>
        <v>#DIV/0!</v>
      </c>
      <c r="J104" s="65" t="e">
        <f t="shared" si="120"/>
        <v>#DIV/0!</v>
      </c>
      <c r="K104" s="69">
        <v>100000</v>
      </c>
      <c r="L104" s="69">
        <f>'Monitoramento Acumulado Geral'!Q104</f>
        <v>14600</v>
      </c>
      <c r="M104" s="6">
        <f>(SUM(L98:L104))/K103</f>
        <v>0.70954229999999996</v>
      </c>
      <c r="N104" s="35" t="e">
        <f t="shared" si="59"/>
        <v>#DIV/0!</v>
      </c>
      <c r="O104" s="6" t="e">
        <f t="shared" si="116"/>
        <v>#DIV/0!</v>
      </c>
      <c r="P104" s="6" t="e">
        <f t="shared" si="116"/>
        <v>#DIV/0!</v>
      </c>
      <c r="Q104" s="6" t="e">
        <f t="shared" si="116"/>
        <v>#DIV/0!</v>
      </c>
      <c r="R104" s="69">
        <v>80</v>
      </c>
      <c r="S104" s="69">
        <v>21</v>
      </c>
      <c r="T104" s="6">
        <f t="shared" si="63"/>
        <v>0.26250000000000001</v>
      </c>
      <c r="U104" s="35" t="e">
        <f t="shared" si="68"/>
        <v>#DIV/0!</v>
      </c>
      <c r="V104" s="6" t="e">
        <f t="shared" ref="V104:Z104" si="121">V92</f>
        <v>#DIV/0!</v>
      </c>
      <c r="W104" s="6" t="e">
        <f t="shared" si="121"/>
        <v>#DIV/0!</v>
      </c>
      <c r="X104" s="6" t="e">
        <f t="shared" si="121"/>
        <v>#DIV/0!</v>
      </c>
      <c r="Y104" s="6" t="e">
        <f t="shared" si="121"/>
        <v>#DIV/0!</v>
      </c>
      <c r="Z104" s="6" t="e">
        <f t="shared" si="121"/>
        <v>#DIV/0!</v>
      </c>
    </row>
    <row r="105" spans="1:26" x14ac:dyDescent="0.2">
      <c r="A105" s="7" t="s">
        <v>114</v>
      </c>
      <c r="B105" s="6">
        <f t="shared" si="65"/>
        <v>8</v>
      </c>
      <c r="C105" s="7" t="s">
        <v>158</v>
      </c>
      <c r="D105" s="68">
        <v>75</v>
      </c>
      <c r="E105" s="68">
        <v>79</v>
      </c>
      <c r="F105" s="65">
        <f t="shared" si="61"/>
        <v>1.0533333333333332</v>
      </c>
      <c r="G105" s="60" t="e">
        <f t="shared" si="66"/>
        <v>#DIV/0!</v>
      </c>
      <c r="H105" s="65" t="e">
        <f t="shared" ref="H105:J105" si="122">H93</f>
        <v>#DIV/0!</v>
      </c>
      <c r="I105" s="65" t="e">
        <f t="shared" si="122"/>
        <v>#DIV/0!</v>
      </c>
      <c r="J105" s="65" t="e">
        <f t="shared" si="122"/>
        <v>#DIV/0!</v>
      </c>
      <c r="K105" s="69">
        <v>100000</v>
      </c>
      <c r="L105" s="69">
        <f>'Monitoramento Acumulado Geral'!Q105</f>
        <v>14200</v>
      </c>
      <c r="M105" s="6">
        <f>(SUM(L98:L105))/K104</f>
        <v>0.85154229999999997</v>
      </c>
      <c r="N105" s="35" t="e">
        <f t="shared" si="59"/>
        <v>#DIV/0!</v>
      </c>
      <c r="O105" s="6" t="e">
        <f t="shared" si="116"/>
        <v>#DIV/0!</v>
      </c>
      <c r="P105" s="6" t="e">
        <f t="shared" si="116"/>
        <v>#DIV/0!</v>
      </c>
      <c r="Q105" s="6" t="e">
        <f t="shared" si="116"/>
        <v>#DIV/0!</v>
      </c>
      <c r="R105" s="69">
        <v>80</v>
      </c>
      <c r="S105" s="69">
        <v>21</v>
      </c>
      <c r="T105" s="6">
        <f t="shared" si="63"/>
        <v>0.26250000000000001</v>
      </c>
      <c r="U105" s="35" t="e">
        <f t="shared" si="68"/>
        <v>#DIV/0!</v>
      </c>
      <c r="V105" s="6" t="e">
        <f t="shared" ref="V105:Z105" si="123">V93</f>
        <v>#DIV/0!</v>
      </c>
      <c r="W105" s="6" t="e">
        <f t="shared" si="123"/>
        <v>#DIV/0!</v>
      </c>
      <c r="X105" s="6" t="e">
        <f t="shared" si="123"/>
        <v>#DIV/0!</v>
      </c>
      <c r="Y105" s="6" t="e">
        <f t="shared" si="123"/>
        <v>#DIV/0!</v>
      </c>
      <c r="Z105" s="6" t="e">
        <f t="shared" si="123"/>
        <v>#DIV/0!</v>
      </c>
    </row>
    <row r="106" spans="1:26" x14ac:dyDescent="0.2">
      <c r="A106" s="7" t="s">
        <v>114</v>
      </c>
      <c r="B106" s="6">
        <f t="shared" si="65"/>
        <v>9</v>
      </c>
      <c r="C106" s="7" t="s">
        <v>159</v>
      </c>
      <c r="D106" s="68">
        <v>75</v>
      </c>
      <c r="E106" s="68">
        <v>79</v>
      </c>
      <c r="F106" s="65">
        <f t="shared" si="61"/>
        <v>1.0533333333333332</v>
      </c>
      <c r="G106" s="60" t="e">
        <f t="shared" si="66"/>
        <v>#DIV/0!</v>
      </c>
      <c r="H106" s="65" t="e">
        <f t="shared" ref="H106:J106" si="124">H94</f>
        <v>#DIV/0!</v>
      </c>
      <c r="I106" s="65" t="e">
        <f t="shared" si="124"/>
        <v>#DIV/0!</v>
      </c>
      <c r="J106" s="65" t="e">
        <f t="shared" si="124"/>
        <v>#DIV/0!</v>
      </c>
      <c r="K106" s="69">
        <v>100000</v>
      </c>
      <c r="L106" s="69">
        <f>'Monitoramento Acumulado Geral'!Q106</f>
        <v>33500</v>
      </c>
      <c r="M106" s="6">
        <f>(SUM(L98:L106))/K105</f>
        <v>1.1865422999999999</v>
      </c>
      <c r="N106" s="35" t="e">
        <f t="shared" si="59"/>
        <v>#DIV/0!</v>
      </c>
      <c r="O106" s="6" t="e">
        <f t="shared" si="116"/>
        <v>#DIV/0!</v>
      </c>
      <c r="P106" s="6" t="e">
        <f t="shared" si="116"/>
        <v>#DIV/0!</v>
      </c>
      <c r="Q106" s="6" t="e">
        <f t="shared" si="116"/>
        <v>#DIV/0!</v>
      </c>
      <c r="R106" s="69">
        <v>80</v>
      </c>
      <c r="S106" s="69">
        <v>21</v>
      </c>
      <c r="T106" s="6">
        <f t="shared" si="63"/>
        <v>0.26250000000000001</v>
      </c>
      <c r="U106" s="35" t="e">
        <f t="shared" si="68"/>
        <v>#DIV/0!</v>
      </c>
      <c r="V106" s="6" t="e">
        <f t="shared" ref="V106:Z106" si="125">V94</f>
        <v>#DIV/0!</v>
      </c>
      <c r="W106" s="6" t="e">
        <f t="shared" si="125"/>
        <v>#DIV/0!</v>
      </c>
      <c r="X106" s="6" t="e">
        <f t="shared" si="125"/>
        <v>#DIV/0!</v>
      </c>
      <c r="Y106" s="6" t="e">
        <f t="shared" si="125"/>
        <v>#DIV/0!</v>
      </c>
      <c r="Z106" s="6" t="e">
        <f t="shared" si="125"/>
        <v>#DIV/0!</v>
      </c>
    </row>
    <row r="107" spans="1:26" x14ac:dyDescent="0.2">
      <c r="A107" s="7" t="s">
        <v>114</v>
      </c>
      <c r="B107" s="6">
        <f t="shared" si="65"/>
        <v>10</v>
      </c>
      <c r="C107" s="7" t="s">
        <v>160</v>
      </c>
      <c r="D107" s="68">
        <v>75</v>
      </c>
      <c r="E107" s="68">
        <v>79</v>
      </c>
      <c r="F107" s="65">
        <f t="shared" si="61"/>
        <v>1.0533333333333332</v>
      </c>
      <c r="G107" s="60" t="e">
        <f t="shared" si="66"/>
        <v>#DIV/0!</v>
      </c>
      <c r="H107" s="65" t="e">
        <f t="shared" ref="H107:J107" si="126">H95</f>
        <v>#DIV/0!</v>
      </c>
      <c r="I107" s="65" t="e">
        <f t="shared" si="126"/>
        <v>#DIV/0!</v>
      </c>
      <c r="J107" s="65" t="e">
        <f t="shared" si="126"/>
        <v>#DIV/0!</v>
      </c>
      <c r="K107" s="69">
        <v>100000</v>
      </c>
      <c r="L107" s="69">
        <f>'Monitoramento Acumulado Geral'!Q107</f>
        <v>0</v>
      </c>
      <c r="M107" s="6">
        <f>(SUM(L98:L107))/K106</f>
        <v>1.1865422999999999</v>
      </c>
      <c r="N107" s="35" t="e">
        <f t="shared" si="59"/>
        <v>#DIV/0!</v>
      </c>
      <c r="O107" s="6" t="e">
        <f t="shared" si="116"/>
        <v>#DIV/0!</v>
      </c>
      <c r="P107" s="6" t="e">
        <f t="shared" si="116"/>
        <v>#DIV/0!</v>
      </c>
      <c r="Q107" s="6" t="e">
        <f t="shared" si="116"/>
        <v>#DIV/0!</v>
      </c>
      <c r="R107" s="69">
        <v>80</v>
      </c>
      <c r="S107" s="69">
        <v>21</v>
      </c>
      <c r="T107" s="6">
        <f t="shared" si="63"/>
        <v>0.26250000000000001</v>
      </c>
      <c r="U107" s="35" t="e">
        <f t="shared" si="68"/>
        <v>#DIV/0!</v>
      </c>
      <c r="V107" s="6" t="e">
        <f t="shared" ref="V107:Z107" si="127">V95</f>
        <v>#DIV/0!</v>
      </c>
      <c r="W107" s="6" t="e">
        <f t="shared" si="127"/>
        <v>#DIV/0!</v>
      </c>
      <c r="X107" s="6" t="e">
        <f t="shared" si="127"/>
        <v>#DIV/0!</v>
      </c>
      <c r="Y107" s="6" t="e">
        <f t="shared" si="127"/>
        <v>#DIV/0!</v>
      </c>
      <c r="Z107" s="6" t="e">
        <f t="shared" si="127"/>
        <v>#DIV/0!</v>
      </c>
    </row>
    <row r="108" spans="1:26" x14ac:dyDescent="0.2">
      <c r="A108" s="7" t="s">
        <v>114</v>
      </c>
      <c r="B108" s="6">
        <f t="shared" si="65"/>
        <v>11</v>
      </c>
      <c r="C108" s="7" t="s">
        <v>161</v>
      </c>
      <c r="D108" s="68">
        <v>75</v>
      </c>
      <c r="E108" s="68">
        <v>0</v>
      </c>
      <c r="F108" s="65">
        <f t="shared" si="61"/>
        <v>0</v>
      </c>
      <c r="G108" s="60" t="e">
        <f t="shared" si="66"/>
        <v>#DIV/0!</v>
      </c>
      <c r="H108" s="65" t="e">
        <f t="shared" ref="H108:J108" si="128">H96</f>
        <v>#DIV/0!</v>
      </c>
      <c r="I108" s="65" t="e">
        <f t="shared" si="128"/>
        <v>#DIV/0!</v>
      </c>
      <c r="J108" s="65" t="e">
        <f t="shared" si="128"/>
        <v>#DIV/0!</v>
      </c>
      <c r="K108" s="69">
        <v>100000</v>
      </c>
      <c r="L108" s="69">
        <f>'Monitoramento Acumulado Geral'!Q108</f>
        <v>0</v>
      </c>
      <c r="M108" s="6">
        <f>(SUM(L98:L108))/K107</f>
        <v>1.1865422999999999</v>
      </c>
      <c r="N108" s="35" t="e">
        <f t="shared" si="59"/>
        <v>#DIV/0!</v>
      </c>
      <c r="O108" s="6" t="e">
        <f t="shared" si="116"/>
        <v>#DIV/0!</v>
      </c>
      <c r="P108" s="6" t="e">
        <f t="shared" si="116"/>
        <v>#DIV/0!</v>
      </c>
      <c r="Q108" s="6" t="e">
        <f t="shared" si="116"/>
        <v>#DIV/0!</v>
      </c>
      <c r="R108" s="69">
        <v>80</v>
      </c>
      <c r="S108" s="69">
        <v>0</v>
      </c>
      <c r="T108" s="6">
        <f t="shared" si="63"/>
        <v>0</v>
      </c>
      <c r="U108" s="35" t="e">
        <f t="shared" si="68"/>
        <v>#DIV/0!</v>
      </c>
      <c r="V108" s="6" t="e">
        <f t="shared" ref="V108:Z108" si="129">V96</f>
        <v>#DIV/0!</v>
      </c>
      <c r="W108" s="6" t="e">
        <f t="shared" si="129"/>
        <v>#DIV/0!</v>
      </c>
      <c r="X108" s="6" t="e">
        <f t="shared" si="129"/>
        <v>#DIV/0!</v>
      </c>
      <c r="Y108" s="6" t="e">
        <f t="shared" si="129"/>
        <v>#DIV/0!</v>
      </c>
      <c r="Z108" s="6" t="e">
        <f t="shared" si="129"/>
        <v>#DIV/0!</v>
      </c>
    </row>
    <row r="109" spans="1:26" x14ac:dyDescent="0.2">
      <c r="A109" s="7" t="s">
        <v>114</v>
      </c>
      <c r="B109" s="6">
        <f t="shared" si="65"/>
        <v>12</v>
      </c>
      <c r="C109" s="7" t="s">
        <v>162</v>
      </c>
      <c r="D109" s="68">
        <v>75</v>
      </c>
      <c r="E109" s="68">
        <v>0</v>
      </c>
      <c r="F109" s="65">
        <f t="shared" si="61"/>
        <v>0</v>
      </c>
      <c r="G109" s="60" t="e">
        <f t="shared" si="66"/>
        <v>#DIV/0!</v>
      </c>
      <c r="H109" s="65" t="e">
        <f t="shared" ref="H109:J109" si="130">H97</f>
        <v>#DIV/0!</v>
      </c>
      <c r="I109" s="65" t="e">
        <f t="shared" si="130"/>
        <v>#DIV/0!</v>
      </c>
      <c r="J109" s="65" t="e">
        <f t="shared" si="130"/>
        <v>#DIV/0!</v>
      </c>
      <c r="K109" s="69">
        <v>100000</v>
      </c>
      <c r="L109" s="69">
        <f>'Monitoramento Acumulado Geral'!Q109</f>
        <v>0</v>
      </c>
      <c r="M109" s="6">
        <f>(SUM(L98:L109))/K108</f>
        <v>1.1865422999999999</v>
      </c>
      <c r="N109" s="35" t="e">
        <f t="shared" ref="N109:N140" si="131">IF(M109&gt;=P97,"Desempenho Ótimo",(IF(M109&gt;O97,"Desempenho Bom",(IF(M109&gt;Q97,"Desempenho Médio",IF(M109&lt;=Q97,"Desempenho Deficitário",0))))))</f>
        <v>#DIV/0!</v>
      </c>
      <c r="O109" s="6" t="e">
        <f t="shared" si="116"/>
        <v>#DIV/0!</v>
      </c>
      <c r="P109" s="6" t="e">
        <f t="shared" si="116"/>
        <v>#DIV/0!</v>
      </c>
      <c r="Q109" s="6" t="e">
        <f t="shared" si="116"/>
        <v>#DIV/0!</v>
      </c>
      <c r="R109" s="69">
        <v>80</v>
      </c>
      <c r="S109" s="69">
        <v>0</v>
      </c>
      <c r="T109" s="6">
        <f t="shared" si="63"/>
        <v>0</v>
      </c>
      <c r="U109" s="35" t="e">
        <f t="shared" si="68"/>
        <v>#DIV/0!</v>
      </c>
      <c r="V109" s="6" t="e">
        <f t="shared" ref="V109:Z109" si="132">V97</f>
        <v>#DIV/0!</v>
      </c>
      <c r="W109" s="6" t="e">
        <f t="shared" si="132"/>
        <v>#DIV/0!</v>
      </c>
      <c r="X109" s="6" t="e">
        <f t="shared" si="132"/>
        <v>#DIV/0!</v>
      </c>
      <c r="Y109" s="6" t="e">
        <f t="shared" si="132"/>
        <v>#DIV/0!</v>
      </c>
      <c r="Z109" s="6" t="e">
        <f t="shared" si="132"/>
        <v>#DIV/0!</v>
      </c>
    </row>
    <row r="110" spans="1:26" x14ac:dyDescent="0.2">
      <c r="A110" s="7" t="s">
        <v>47</v>
      </c>
      <c r="B110" s="6">
        <f t="shared" si="65"/>
        <v>1</v>
      </c>
      <c r="C110" s="7" t="s">
        <v>151</v>
      </c>
      <c r="D110" s="68">
        <v>75</v>
      </c>
      <c r="E110" s="68">
        <v>13</v>
      </c>
      <c r="F110" s="65">
        <f t="shared" si="61"/>
        <v>0.17333333333333334</v>
      </c>
      <c r="G110" s="60" t="e">
        <f t="shared" si="66"/>
        <v>#DIV/0!</v>
      </c>
      <c r="H110" s="65" t="e">
        <f t="shared" ref="H110:J110" si="133">H98</f>
        <v>#DIV/0!</v>
      </c>
      <c r="I110" s="65" t="e">
        <f t="shared" si="133"/>
        <v>#DIV/0!</v>
      </c>
      <c r="J110" s="65" t="e">
        <f t="shared" si="133"/>
        <v>#DIV/0!</v>
      </c>
      <c r="K110" s="69">
        <v>27305.1</v>
      </c>
      <c r="L110" s="69">
        <f>'Monitoramento Acumulado Geral'!Q110</f>
        <v>2880</v>
      </c>
      <c r="M110" s="6">
        <f>L110/K110</f>
        <v>0.10547480141072547</v>
      </c>
      <c r="N110" s="35" t="e">
        <f t="shared" si="131"/>
        <v>#DIV/0!</v>
      </c>
      <c r="O110" s="6" t="e">
        <f t="shared" ref="O110:Q110" si="134">O98</f>
        <v>#DIV/0!</v>
      </c>
      <c r="P110" s="6" t="e">
        <f t="shared" si="134"/>
        <v>#DIV/0!</v>
      </c>
      <c r="Q110" s="6" t="e">
        <f t="shared" si="134"/>
        <v>#DIV/0!</v>
      </c>
      <c r="R110" s="69">
        <v>80</v>
      </c>
      <c r="S110" s="69">
        <v>13</v>
      </c>
      <c r="T110" s="6">
        <f t="shared" si="63"/>
        <v>0.16250000000000001</v>
      </c>
      <c r="U110" s="35" t="e">
        <f t="shared" si="68"/>
        <v>#DIV/0!</v>
      </c>
      <c r="V110" s="6" t="e">
        <f t="shared" ref="V110:Z110" si="135">V98</f>
        <v>#DIV/0!</v>
      </c>
      <c r="W110" s="6" t="e">
        <f t="shared" si="135"/>
        <v>#DIV/0!</v>
      </c>
      <c r="X110" s="6" t="e">
        <f t="shared" si="135"/>
        <v>#DIV/0!</v>
      </c>
      <c r="Y110" s="6" t="e">
        <f t="shared" si="135"/>
        <v>#DIV/0!</v>
      </c>
      <c r="Z110" s="6" t="e">
        <f t="shared" si="135"/>
        <v>#DIV/0!</v>
      </c>
    </row>
    <row r="111" spans="1:26" x14ac:dyDescent="0.2">
      <c r="A111" s="7" t="s">
        <v>47</v>
      </c>
      <c r="B111" s="6">
        <f t="shared" si="65"/>
        <v>2</v>
      </c>
      <c r="C111" s="7" t="s">
        <v>152</v>
      </c>
      <c r="D111" s="68">
        <v>75</v>
      </c>
      <c r="E111" s="68">
        <v>50</v>
      </c>
      <c r="F111" s="65">
        <f t="shared" si="61"/>
        <v>0.66666666666666663</v>
      </c>
      <c r="G111" s="60" t="e">
        <f t="shared" si="66"/>
        <v>#DIV/0!</v>
      </c>
      <c r="H111" s="65" t="e">
        <f t="shared" ref="H111:J111" si="136">H99</f>
        <v>#DIV/0!</v>
      </c>
      <c r="I111" s="65" t="e">
        <f t="shared" si="136"/>
        <v>#DIV/0!</v>
      </c>
      <c r="J111" s="65" t="e">
        <f t="shared" si="136"/>
        <v>#DIV/0!</v>
      </c>
      <c r="K111" s="69">
        <v>27305.1</v>
      </c>
      <c r="L111" s="69">
        <f>'Monitoramento Acumulado Geral'!Q111</f>
        <v>3071</v>
      </c>
      <c r="M111" s="6">
        <f>(SUM(L110:L111))/K110</f>
        <v>0.21794463305389836</v>
      </c>
      <c r="N111" s="35" t="e">
        <f t="shared" si="131"/>
        <v>#DIV/0!</v>
      </c>
      <c r="O111" s="6" t="e">
        <f t="shared" ref="O111:Q111" si="137">O99</f>
        <v>#DIV/0!</v>
      </c>
      <c r="P111" s="6" t="e">
        <f t="shared" si="137"/>
        <v>#DIV/0!</v>
      </c>
      <c r="Q111" s="6" t="e">
        <f t="shared" si="137"/>
        <v>#DIV/0!</v>
      </c>
      <c r="R111" s="69">
        <v>80</v>
      </c>
      <c r="S111" s="69">
        <v>13</v>
      </c>
      <c r="T111" s="6">
        <f t="shared" si="63"/>
        <v>0.16250000000000001</v>
      </c>
      <c r="U111" s="35" t="e">
        <f t="shared" si="68"/>
        <v>#DIV/0!</v>
      </c>
      <c r="V111" s="6" t="e">
        <f t="shared" ref="V111:Z111" si="138">V99</f>
        <v>#DIV/0!</v>
      </c>
      <c r="W111" s="6" t="e">
        <f t="shared" si="138"/>
        <v>#DIV/0!</v>
      </c>
      <c r="X111" s="6" t="e">
        <f t="shared" si="138"/>
        <v>#DIV/0!</v>
      </c>
      <c r="Y111" s="6" t="e">
        <f t="shared" si="138"/>
        <v>#DIV/0!</v>
      </c>
      <c r="Z111" s="6" t="e">
        <f t="shared" si="138"/>
        <v>#DIV/0!</v>
      </c>
    </row>
    <row r="112" spans="1:26" x14ac:dyDescent="0.2">
      <c r="A112" s="7" t="s">
        <v>47</v>
      </c>
      <c r="B112" s="6">
        <f t="shared" si="65"/>
        <v>3</v>
      </c>
      <c r="C112" s="7" t="s">
        <v>153</v>
      </c>
      <c r="D112" s="68">
        <v>75</v>
      </c>
      <c r="E112" s="68">
        <v>50</v>
      </c>
      <c r="F112" s="65">
        <f t="shared" si="61"/>
        <v>0.66666666666666663</v>
      </c>
      <c r="G112" s="60" t="e">
        <f t="shared" si="66"/>
        <v>#DIV/0!</v>
      </c>
      <c r="H112" s="65" t="e">
        <f t="shared" ref="H112:J112" si="139">H100</f>
        <v>#DIV/0!</v>
      </c>
      <c r="I112" s="65" t="e">
        <f t="shared" si="139"/>
        <v>#DIV/0!</v>
      </c>
      <c r="J112" s="65" t="e">
        <f t="shared" si="139"/>
        <v>#DIV/0!</v>
      </c>
      <c r="K112" s="69">
        <v>27305.1</v>
      </c>
      <c r="L112" s="69">
        <f>'Monitoramento Acumulado Geral'!Q112</f>
        <v>240</v>
      </c>
      <c r="M112" s="6">
        <f>(SUM(L110:L112))/K111</f>
        <v>0.22673419983812548</v>
      </c>
      <c r="N112" s="35" t="e">
        <f t="shared" si="131"/>
        <v>#DIV/0!</v>
      </c>
      <c r="O112" s="6" t="e">
        <f t="shared" ref="O112:Q112" si="140">O100</f>
        <v>#DIV/0!</v>
      </c>
      <c r="P112" s="6" t="e">
        <f t="shared" si="140"/>
        <v>#DIV/0!</v>
      </c>
      <c r="Q112" s="6" t="e">
        <f t="shared" si="140"/>
        <v>#DIV/0!</v>
      </c>
      <c r="R112" s="69">
        <v>80</v>
      </c>
      <c r="S112" s="69">
        <v>13</v>
      </c>
      <c r="T112" s="6">
        <f t="shared" si="63"/>
        <v>0.16250000000000001</v>
      </c>
      <c r="U112" s="35" t="e">
        <f t="shared" si="68"/>
        <v>#DIV/0!</v>
      </c>
      <c r="V112" s="6" t="e">
        <f t="shared" ref="V112:Z112" si="141">V100</f>
        <v>#DIV/0!</v>
      </c>
      <c r="W112" s="6" t="e">
        <f t="shared" si="141"/>
        <v>#DIV/0!</v>
      </c>
      <c r="X112" s="6" t="e">
        <f t="shared" si="141"/>
        <v>#DIV/0!</v>
      </c>
      <c r="Y112" s="6" t="e">
        <f t="shared" si="141"/>
        <v>#DIV/0!</v>
      </c>
      <c r="Z112" s="6" t="e">
        <f t="shared" si="141"/>
        <v>#DIV/0!</v>
      </c>
    </row>
    <row r="113" spans="1:26" x14ac:dyDescent="0.2">
      <c r="A113" s="7" t="s">
        <v>47</v>
      </c>
      <c r="B113" s="6">
        <f t="shared" si="65"/>
        <v>4</v>
      </c>
      <c r="C113" s="7" t="s">
        <v>154</v>
      </c>
      <c r="D113" s="68">
        <v>75</v>
      </c>
      <c r="E113" s="68">
        <v>50</v>
      </c>
      <c r="F113" s="65">
        <f t="shared" si="61"/>
        <v>0.66666666666666663</v>
      </c>
      <c r="G113" s="60" t="e">
        <f t="shared" si="66"/>
        <v>#DIV/0!</v>
      </c>
      <c r="H113" s="65" t="e">
        <f t="shared" ref="H113:J113" si="142">H101</f>
        <v>#DIV/0!</v>
      </c>
      <c r="I113" s="65" t="e">
        <f t="shared" si="142"/>
        <v>#DIV/0!</v>
      </c>
      <c r="J113" s="65" t="e">
        <f t="shared" si="142"/>
        <v>#DIV/0!</v>
      </c>
      <c r="K113" s="69">
        <v>27305.1</v>
      </c>
      <c r="L113" s="69">
        <f>'Monitoramento Acumulado Geral'!Q113</f>
        <v>1425</v>
      </c>
      <c r="M113" s="6">
        <f>(SUM(L110:L113))/K112</f>
        <v>0.27892225261947401</v>
      </c>
      <c r="N113" s="35" t="e">
        <f t="shared" si="131"/>
        <v>#DIV/0!</v>
      </c>
      <c r="O113" s="6" t="e">
        <f t="shared" ref="O113:Q113" si="143">O101</f>
        <v>#DIV/0!</v>
      </c>
      <c r="P113" s="6" t="e">
        <f t="shared" si="143"/>
        <v>#DIV/0!</v>
      </c>
      <c r="Q113" s="6" t="e">
        <f t="shared" si="143"/>
        <v>#DIV/0!</v>
      </c>
      <c r="R113" s="69">
        <v>80</v>
      </c>
      <c r="S113" s="69">
        <v>13</v>
      </c>
      <c r="T113" s="6">
        <f t="shared" si="63"/>
        <v>0.16250000000000001</v>
      </c>
      <c r="U113" s="35" t="e">
        <f t="shared" si="68"/>
        <v>#DIV/0!</v>
      </c>
      <c r="V113" s="6" t="e">
        <f t="shared" ref="V113:Z113" si="144">V101</f>
        <v>#DIV/0!</v>
      </c>
      <c r="W113" s="6" t="e">
        <f t="shared" si="144"/>
        <v>#DIV/0!</v>
      </c>
      <c r="X113" s="6" t="e">
        <f t="shared" si="144"/>
        <v>#DIV/0!</v>
      </c>
      <c r="Y113" s="6" t="e">
        <f t="shared" si="144"/>
        <v>#DIV/0!</v>
      </c>
      <c r="Z113" s="6" t="e">
        <f t="shared" si="144"/>
        <v>#DIV/0!</v>
      </c>
    </row>
    <row r="114" spans="1:26" x14ac:dyDescent="0.2">
      <c r="A114" s="7" t="s">
        <v>47</v>
      </c>
      <c r="B114" s="6">
        <f t="shared" si="65"/>
        <v>5</v>
      </c>
      <c r="C114" s="7" t="s">
        <v>155</v>
      </c>
      <c r="D114" s="68">
        <v>75</v>
      </c>
      <c r="E114" s="68">
        <v>55</v>
      </c>
      <c r="F114" s="65">
        <f t="shared" si="61"/>
        <v>0.73333333333333328</v>
      </c>
      <c r="G114" s="60" t="e">
        <f t="shared" si="66"/>
        <v>#DIV/0!</v>
      </c>
      <c r="H114" s="65" t="e">
        <f t="shared" ref="H114:J114" si="145">H102</f>
        <v>#DIV/0!</v>
      </c>
      <c r="I114" s="65" t="e">
        <f t="shared" si="145"/>
        <v>#DIV/0!</v>
      </c>
      <c r="J114" s="65" t="e">
        <f t="shared" si="145"/>
        <v>#DIV/0!</v>
      </c>
      <c r="K114" s="69">
        <v>27305.1</v>
      </c>
      <c r="L114" s="69">
        <f>'Monitoramento Acumulado Geral'!Q114</f>
        <v>2668</v>
      </c>
      <c r="M114" s="6">
        <f>(SUM(L110:L114))/K113</f>
        <v>0.37663293670413223</v>
      </c>
      <c r="N114" s="35" t="e">
        <f t="shared" si="131"/>
        <v>#DIV/0!</v>
      </c>
      <c r="O114" s="6" t="e">
        <f t="shared" ref="O114:Q114" si="146">O102</f>
        <v>#DIV/0!</v>
      </c>
      <c r="P114" s="6" t="e">
        <f t="shared" si="146"/>
        <v>#DIV/0!</v>
      </c>
      <c r="Q114" s="6" t="e">
        <f t="shared" si="146"/>
        <v>#DIV/0!</v>
      </c>
      <c r="R114" s="69">
        <v>80</v>
      </c>
      <c r="S114" s="69">
        <v>26</v>
      </c>
      <c r="T114" s="6">
        <f t="shared" si="63"/>
        <v>0.32500000000000001</v>
      </c>
      <c r="U114" s="35" t="e">
        <f t="shared" si="68"/>
        <v>#DIV/0!</v>
      </c>
      <c r="V114" s="6" t="e">
        <f t="shared" ref="V114:Z114" si="147">V102</f>
        <v>#DIV/0!</v>
      </c>
      <c r="W114" s="6" t="e">
        <f t="shared" si="147"/>
        <v>#DIV/0!</v>
      </c>
      <c r="X114" s="6" t="e">
        <f t="shared" si="147"/>
        <v>#DIV/0!</v>
      </c>
      <c r="Y114" s="6" t="e">
        <f t="shared" si="147"/>
        <v>#DIV/0!</v>
      </c>
      <c r="Z114" s="6" t="e">
        <f t="shared" si="147"/>
        <v>#DIV/0!</v>
      </c>
    </row>
    <row r="115" spans="1:26" x14ac:dyDescent="0.2">
      <c r="A115" s="7" t="s">
        <v>47</v>
      </c>
      <c r="B115" s="6">
        <f t="shared" si="65"/>
        <v>6</v>
      </c>
      <c r="C115" s="7" t="s">
        <v>156</v>
      </c>
      <c r="D115" s="68">
        <v>75</v>
      </c>
      <c r="E115" s="68">
        <v>61</v>
      </c>
      <c r="F115" s="65">
        <f t="shared" si="61"/>
        <v>0.81333333333333335</v>
      </c>
      <c r="G115" s="60" t="e">
        <f t="shared" si="66"/>
        <v>#DIV/0!</v>
      </c>
      <c r="H115" s="65" t="e">
        <f t="shared" ref="H115:J115" si="148">H103</f>
        <v>#DIV/0!</v>
      </c>
      <c r="I115" s="65" t="e">
        <f t="shared" si="148"/>
        <v>#DIV/0!</v>
      </c>
      <c r="J115" s="65" t="e">
        <f t="shared" si="148"/>
        <v>#DIV/0!</v>
      </c>
      <c r="K115" s="69">
        <v>27305.1</v>
      </c>
      <c r="L115" s="69">
        <f>'Monitoramento Acumulado Geral'!Q115</f>
        <v>1844</v>
      </c>
      <c r="M115" s="6">
        <f>(SUM(L110:L115))/K114</f>
        <v>0.44416610816294394</v>
      </c>
      <c r="N115" s="35" t="e">
        <f t="shared" si="131"/>
        <v>#DIV/0!</v>
      </c>
      <c r="O115" s="6" t="e">
        <f t="shared" ref="O115:Q115" si="149">O103</f>
        <v>#DIV/0!</v>
      </c>
      <c r="P115" s="6" t="e">
        <f t="shared" si="149"/>
        <v>#DIV/0!</v>
      </c>
      <c r="Q115" s="6" t="e">
        <f t="shared" si="149"/>
        <v>#DIV/0!</v>
      </c>
      <c r="R115" s="69">
        <v>80</v>
      </c>
      <c r="S115" s="69">
        <v>26</v>
      </c>
      <c r="T115" s="6">
        <f t="shared" si="63"/>
        <v>0.32500000000000001</v>
      </c>
      <c r="U115" s="35" t="e">
        <f t="shared" si="68"/>
        <v>#DIV/0!</v>
      </c>
      <c r="V115" s="6" t="e">
        <f t="shared" ref="V115:Z115" si="150">V103</f>
        <v>#DIV/0!</v>
      </c>
      <c r="W115" s="6" t="e">
        <f t="shared" si="150"/>
        <v>#DIV/0!</v>
      </c>
      <c r="X115" s="6" t="e">
        <f t="shared" si="150"/>
        <v>#DIV/0!</v>
      </c>
      <c r="Y115" s="6" t="e">
        <f t="shared" si="150"/>
        <v>#DIV/0!</v>
      </c>
      <c r="Z115" s="6" t="e">
        <f t="shared" si="150"/>
        <v>#DIV/0!</v>
      </c>
    </row>
    <row r="116" spans="1:26" x14ac:dyDescent="0.2">
      <c r="A116" s="7" t="s">
        <v>47</v>
      </c>
      <c r="B116" s="6">
        <f t="shared" si="65"/>
        <v>7</v>
      </c>
      <c r="C116" s="7" t="s">
        <v>157</v>
      </c>
      <c r="D116" s="68">
        <v>75</v>
      </c>
      <c r="E116" s="68">
        <v>61</v>
      </c>
      <c r="F116" s="65">
        <f t="shared" si="61"/>
        <v>0.81333333333333335</v>
      </c>
      <c r="G116" s="60" t="e">
        <f t="shared" si="66"/>
        <v>#DIV/0!</v>
      </c>
      <c r="H116" s="65" t="e">
        <f t="shared" ref="H116:J116" si="151">H104</f>
        <v>#DIV/0!</v>
      </c>
      <c r="I116" s="65" t="e">
        <f t="shared" si="151"/>
        <v>#DIV/0!</v>
      </c>
      <c r="J116" s="65" t="e">
        <f t="shared" si="151"/>
        <v>#DIV/0!</v>
      </c>
      <c r="K116" s="69">
        <v>27305.1</v>
      </c>
      <c r="L116" s="69">
        <f>'Monitoramento Acumulado Geral'!Q116</f>
        <v>4069.2</v>
      </c>
      <c r="M116" s="6">
        <f>(SUM(L110:L116))/K115</f>
        <v>0.59319321298951488</v>
      </c>
      <c r="N116" s="35" t="e">
        <f t="shared" si="131"/>
        <v>#DIV/0!</v>
      </c>
      <c r="O116" s="6" t="e">
        <f t="shared" ref="O116:Q116" si="152">O104</f>
        <v>#DIV/0!</v>
      </c>
      <c r="P116" s="6" t="e">
        <f t="shared" si="152"/>
        <v>#DIV/0!</v>
      </c>
      <c r="Q116" s="6" t="e">
        <f t="shared" si="152"/>
        <v>#DIV/0!</v>
      </c>
      <c r="R116" s="69">
        <v>80</v>
      </c>
      <c r="S116" s="69">
        <v>26</v>
      </c>
      <c r="T116" s="6">
        <f t="shared" si="63"/>
        <v>0.32500000000000001</v>
      </c>
      <c r="U116" s="35" t="e">
        <f t="shared" si="68"/>
        <v>#DIV/0!</v>
      </c>
      <c r="V116" s="6" t="e">
        <f t="shared" ref="V116:Z116" si="153">V104</f>
        <v>#DIV/0!</v>
      </c>
      <c r="W116" s="6" t="e">
        <f t="shared" si="153"/>
        <v>#DIV/0!</v>
      </c>
      <c r="X116" s="6" t="e">
        <f t="shared" si="153"/>
        <v>#DIV/0!</v>
      </c>
      <c r="Y116" s="6" t="e">
        <f t="shared" si="153"/>
        <v>#DIV/0!</v>
      </c>
      <c r="Z116" s="6" t="e">
        <f t="shared" si="153"/>
        <v>#DIV/0!</v>
      </c>
    </row>
    <row r="117" spans="1:26" x14ac:dyDescent="0.2">
      <c r="A117" s="7" t="s">
        <v>47</v>
      </c>
      <c r="B117" s="6">
        <f t="shared" si="65"/>
        <v>8</v>
      </c>
      <c r="C117" s="7" t="s">
        <v>158</v>
      </c>
      <c r="D117" s="68">
        <v>75</v>
      </c>
      <c r="E117" s="68">
        <v>89</v>
      </c>
      <c r="F117" s="65">
        <f t="shared" si="61"/>
        <v>1.1866666666666668</v>
      </c>
      <c r="G117" s="60" t="e">
        <f t="shared" si="66"/>
        <v>#DIV/0!</v>
      </c>
      <c r="H117" s="65" t="e">
        <f t="shared" ref="H117:J117" si="154">H105</f>
        <v>#DIV/0!</v>
      </c>
      <c r="I117" s="65" t="e">
        <f t="shared" si="154"/>
        <v>#DIV/0!</v>
      </c>
      <c r="J117" s="65" t="e">
        <f t="shared" si="154"/>
        <v>#DIV/0!</v>
      </c>
      <c r="K117" s="69">
        <v>27305.1</v>
      </c>
      <c r="L117" s="69">
        <f>'Monitoramento Acumulado Geral'!Q117</f>
        <v>4940</v>
      </c>
      <c r="M117" s="6">
        <f>(SUM(L110:L117))/K116</f>
        <v>0.77411179596485646</v>
      </c>
      <c r="N117" s="35" t="e">
        <f t="shared" si="131"/>
        <v>#DIV/0!</v>
      </c>
      <c r="O117" s="6" t="e">
        <f t="shared" ref="O117:Q117" si="155">O105</f>
        <v>#DIV/0!</v>
      </c>
      <c r="P117" s="6" t="e">
        <f t="shared" si="155"/>
        <v>#DIV/0!</v>
      </c>
      <c r="Q117" s="6" t="e">
        <f t="shared" si="155"/>
        <v>#DIV/0!</v>
      </c>
      <c r="R117" s="69">
        <v>80</v>
      </c>
      <c r="S117" s="69">
        <v>26</v>
      </c>
      <c r="T117" s="6">
        <f t="shared" si="63"/>
        <v>0.32500000000000001</v>
      </c>
      <c r="U117" s="35" t="e">
        <f t="shared" si="68"/>
        <v>#DIV/0!</v>
      </c>
      <c r="V117" s="6" t="e">
        <f t="shared" ref="V117:Z117" si="156">V105</f>
        <v>#DIV/0!</v>
      </c>
      <c r="W117" s="6" t="e">
        <f t="shared" si="156"/>
        <v>#DIV/0!</v>
      </c>
      <c r="X117" s="6" t="e">
        <f t="shared" si="156"/>
        <v>#DIV/0!</v>
      </c>
      <c r="Y117" s="6" t="e">
        <f t="shared" si="156"/>
        <v>#DIV/0!</v>
      </c>
      <c r="Z117" s="6" t="e">
        <f t="shared" si="156"/>
        <v>#DIV/0!</v>
      </c>
    </row>
    <row r="118" spans="1:26" x14ac:dyDescent="0.2">
      <c r="A118" s="7" t="s">
        <v>47</v>
      </c>
      <c r="B118" s="6">
        <f t="shared" si="65"/>
        <v>9</v>
      </c>
      <c r="C118" s="7" t="s">
        <v>159</v>
      </c>
      <c r="D118" s="68">
        <v>75</v>
      </c>
      <c r="E118" s="68">
        <v>100</v>
      </c>
      <c r="F118" s="65">
        <f t="shared" si="61"/>
        <v>1.3333333333333333</v>
      </c>
      <c r="G118" s="60" t="e">
        <f t="shared" si="66"/>
        <v>#DIV/0!</v>
      </c>
      <c r="H118" s="65" t="e">
        <f t="shared" ref="H118:J118" si="157">H106</f>
        <v>#DIV/0!</v>
      </c>
      <c r="I118" s="65" t="e">
        <f t="shared" si="157"/>
        <v>#DIV/0!</v>
      </c>
      <c r="J118" s="65" t="e">
        <f t="shared" si="157"/>
        <v>#DIV/0!</v>
      </c>
      <c r="K118" s="69">
        <v>27305.1</v>
      </c>
      <c r="L118" s="69">
        <f>'Monitoramento Acumulado Geral'!Q118</f>
        <v>8184</v>
      </c>
      <c r="M118" s="6">
        <f>(SUM(L110:L118))/K117</f>
        <v>1.0738360233070012</v>
      </c>
      <c r="N118" s="35" t="e">
        <f t="shared" si="131"/>
        <v>#DIV/0!</v>
      </c>
      <c r="O118" s="6" t="e">
        <f t="shared" ref="O118:Q118" si="158">O106</f>
        <v>#DIV/0!</v>
      </c>
      <c r="P118" s="6" t="e">
        <f t="shared" si="158"/>
        <v>#DIV/0!</v>
      </c>
      <c r="Q118" s="6" t="e">
        <f t="shared" si="158"/>
        <v>#DIV/0!</v>
      </c>
      <c r="R118" s="69">
        <v>80</v>
      </c>
      <c r="S118" s="69">
        <v>26</v>
      </c>
      <c r="T118" s="6">
        <f t="shared" si="63"/>
        <v>0.32500000000000001</v>
      </c>
      <c r="U118" s="35" t="e">
        <f t="shared" si="68"/>
        <v>#DIV/0!</v>
      </c>
      <c r="V118" s="6" t="e">
        <f t="shared" ref="V118:Z118" si="159">V106</f>
        <v>#DIV/0!</v>
      </c>
      <c r="W118" s="6" t="e">
        <f t="shared" si="159"/>
        <v>#DIV/0!</v>
      </c>
      <c r="X118" s="6" t="e">
        <f t="shared" si="159"/>
        <v>#DIV/0!</v>
      </c>
      <c r="Y118" s="6" t="e">
        <f t="shared" si="159"/>
        <v>#DIV/0!</v>
      </c>
      <c r="Z118" s="6" t="e">
        <f t="shared" si="159"/>
        <v>#DIV/0!</v>
      </c>
    </row>
    <row r="119" spans="1:26" x14ac:dyDescent="0.2">
      <c r="A119" s="7" t="s">
        <v>47</v>
      </c>
      <c r="B119" s="6">
        <f t="shared" si="65"/>
        <v>10</v>
      </c>
      <c r="C119" s="7" t="s">
        <v>160</v>
      </c>
      <c r="D119" s="68">
        <v>75</v>
      </c>
      <c r="E119" s="68">
        <v>100</v>
      </c>
      <c r="F119" s="65">
        <f t="shared" si="61"/>
        <v>1.3333333333333333</v>
      </c>
      <c r="G119" s="60" t="e">
        <f t="shared" si="66"/>
        <v>#DIV/0!</v>
      </c>
      <c r="H119" s="65" t="e">
        <f t="shared" ref="H119:J119" si="160">H107</f>
        <v>#DIV/0!</v>
      </c>
      <c r="I119" s="65" t="e">
        <f t="shared" si="160"/>
        <v>#DIV/0!</v>
      </c>
      <c r="J119" s="65" t="e">
        <f t="shared" si="160"/>
        <v>#DIV/0!</v>
      </c>
      <c r="K119" s="69">
        <v>27305.1</v>
      </c>
      <c r="L119" s="69">
        <f>'Monitoramento Acumulado Geral'!Q119</f>
        <v>0</v>
      </c>
      <c r="M119" s="6">
        <f>(SUM(L110:L119))/K118</f>
        <v>1.0738360233070012</v>
      </c>
      <c r="N119" s="35" t="e">
        <f t="shared" si="131"/>
        <v>#DIV/0!</v>
      </c>
      <c r="O119" s="6" t="e">
        <f t="shared" ref="O119:Q119" si="161">O107</f>
        <v>#DIV/0!</v>
      </c>
      <c r="P119" s="6" t="e">
        <f t="shared" si="161"/>
        <v>#DIV/0!</v>
      </c>
      <c r="Q119" s="6" t="e">
        <f t="shared" si="161"/>
        <v>#DIV/0!</v>
      </c>
      <c r="R119" s="69">
        <v>80</v>
      </c>
      <c r="S119" s="69">
        <v>26</v>
      </c>
      <c r="T119" s="6">
        <f t="shared" si="63"/>
        <v>0.32500000000000001</v>
      </c>
      <c r="U119" s="35" t="e">
        <f t="shared" si="68"/>
        <v>#DIV/0!</v>
      </c>
      <c r="V119" s="6" t="e">
        <f t="shared" ref="V119:Z119" si="162">V107</f>
        <v>#DIV/0!</v>
      </c>
      <c r="W119" s="6" t="e">
        <f t="shared" si="162"/>
        <v>#DIV/0!</v>
      </c>
      <c r="X119" s="6" t="e">
        <f t="shared" si="162"/>
        <v>#DIV/0!</v>
      </c>
      <c r="Y119" s="6" t="e">
        <f t="shared" si="162"/>
        <v>#DIV/0!</v>
      </c>
      <c r="Z119" s="6" t="e">
        <f t="shared" si="162"/>
        <v>#DIV/0!</v>
      </c>
    </row>
    <row r="120" spans="1:26" x14ac:dyDescent="0.2">
      <c r="A120" s="7" t="s">
        <v>47</v>
      </c>
      <c r="B120" s="6">
        <f t="shared" si="65"/>
        <v>11</v>
      </c>
      <c r="C120" s="7" t="s">
        <v>161</v>
      </c>
      <c r="D120" s="68">
        <v>75</v>
      </c>
      <c r="E120" s="68">
        <v>0</v>
      </c>
      <c r="F120" s="65">
        <f t="shared" si="61"/>
        <v>0</v>
      </c>
      <c r="G120" s="60" t="e">
        <f t="shared" si="66"/>
        <v>#DIV/0!</v>
      </c>
      <c r="H120" s="65" t="e">
        <f t="shared" ref="H120:J120" si="163">H108</f>
        <v>#DIV/0!</v>
      </c>
      <c r="I120" s="65" t="e">
        <f t="shared" si="163"/>
        <v>#DIV/0!</v>
      </c>
      <c r="J120" s="65" t="e">
        <f t="shared" si="163"/>
        <v>#DIV/0!</v>
      </c>
      <c r="K120" s="69">
        <v>27305.1</v>
      </c>
      <c r="L120" s="69">
        <f>'Monitoramento Acumulado Geral'!Q120</f>
        <v>0</v>
      </c>
      <c r="M120" s="6">
        <f>(SUM(L110:L120))/K119</f>
        <v>1.0738360233070012</v>
      </c>
      <c r="N120" s="35" t="e">
        <f t="shared" si="131"/>
        <v>#DIV/0!</v>
      </c>
      <c r="O120" s="6" t="e">
        <f t="shared" ref="O120:Q120" si="164">O108</f>
        <v>#DIV/0!</v>
      </c>
      <c r="P120" s="6" t="e">
        <f t="shared" si="164"/>
        <v>#DIV/0!</v>
      </c>
      <c r="Q120" s="6" t="e">
        <f t="shared" si="164"/>
        <v>#DIV/0!</v>
      </c>
      <c r="R120" s="69">
        <v>80</v>
      </c>
      <c r="S120" s="69">
        <v>0</v>
      </c>
      <c r="T120" s="6">
        <f t="shared" si="63"/>
        <v>0</v>
      </c>
      <c r="U120" s="35" t="e">
        <f t="shared" si="68"/>
        <v>#DIV/0!</v>
      </c>
      <c r="V120" s="6" t="e">
        <f t="shared" ref="V120:Z120" si="165">V108</f>
        <v>#DIV/0!</v>
      </c>
      <c r="W120" s="6" t="e">
        <f t="shared" si="165"/>
        <v>#DIV/0!</v>
      </c>
      <c r="X120" s="6" t="e">
        <f t="shared" si="165"/>
        <v>#DIV/0!</v>
      </c>
      <c r="Y120" s="6" t="e">
        <f t="shared" si="165"/>
        <v>#DIV/0!</v>
      </c>
      <c r="Z120" s="6" t="e">
        <f t="shared" si="165"/>
        <v>#DIV/0!</v>
      </c>
    </row>
    <row r="121" spans="1:26" x14ac:dyDescent="0.2">
      <c r="A121" s="7" t="s">
        <v>47</v>
      </c>
      <c r="B121" s="6">
        <f t="shared" si="65"/>
        <v>12</v>
      </c>
      <c r="C121" s="7" t="s">
        <v>162</v>
      </c>
      <c r="D121" s="68">
        <v>75</v>
      </c>
      <c r="E121" s="68">
        <v>0</v>
      </c>
      <c r="F121" s="65">
        <f t="shared" si="61"/>
        <v>0</v>
      </c>
      <c r="G121" s="60" t="e">
        <f t="shared" si="66"/>
        <v>#DIV/0!</v>
      </c>
      <c r="H121" s="65" t="e">
        <f t="shared" ref="H121:J121" si="166">H109</f>
        <v>#DIV/0!</v>
      </c>
      <c r="I121" s="65" t="e">
        <f t="shared" si="166"/>
        <v>#DIV/0!</v>
      </c>
      <c r="J121" s="65" t="e">
        <f t="shared" si="166"/>
        <v>#DIV/0!</v>
      </c>
      <c r="K121" s="69">
        <v>27305.1</v>
      </c>
      <c r="L121" s="69">
        <f>'Monitoramento Acumulado Geral'!Q121</f>
        <v>0</v>
      </c>
      <c r="M121" s="6">
        <f>(SUM(L110:L121))/K120</f>
        <v>1.0738360233070012</v>
      </c>
      <c r="N121" s="35" t="e">
        <f t="shared" si="131"/>
        <v>#DIV/0!</v>
      </c>
      <c r="O121" s="6" t="e">
        <f t="shared" ref="O121:Q121" si="167">O109</f>
        <v>#DIV/0!</v>
      </c>
      <c r="P121" s="6" t="e">
        <f t="shared" si="167"/>
        <v>#DIV/0!</v>
      </c>
      <c r="Q121" s="6" t="e">
        <f t="shared" si="167"/>
        <v>#DIV/0!</v>
      </c>
      <c r="R121" s="69">
        <v>80</v>
      </c>
      <c r="S121" s="69">
        <v>0</v>
      </c>
      <c r="T121" s="6">
        <f t="shared" si="63"/>
        <v>0</v>
      </c>
      <c r="U121" s="35" t="e">
        <f t="shared" si="68"/>
        <v>#DIV/0!</v>
      </c>
      <c r="V121" s="6" t="e">
        <f t="shared" ref="V121:Z121" si="168">V109</f>
        <v>#DIV/0!</v>
      </c>
      <c r="W121" s="6" t="e">
        <f t="shared" si="168"/>
        <v>#DIV/0!</v>
      </c>
      <c r="X121" s="6" t="e">
        <f t="shared" si="168"/>
        <v>#DIV/0!</v>
      </c>
      <c r="Y121" s="6" t="e">
        <f t="shared" si="168"/>
        <v>#DIV/0!</v>
      </c>
      <c r="Z121" s="6" t="e">
        <f t="shared" si="168"/>
        <v>#DIV/0!</v>
      </c>
    </row>
    <row r="122" spans="1:26" x14ac:dyDescent="0.2">
      <c r="A122" t="s">
        <v>302</v>
      </c>
      <c r="B122" s="6">
        <f t="shared" ref="B122:B133" si="169">_xlfn.IFS(C122="Janeiro",1,C122="Fevereiro",2,C122="Março",3,C122="Abril",4,C122="Maio",5,C122="Junho",6,C122="Julho",7,C122="Agosto",8,C122="Setembro",9,C122="Outubro",10,C122="Novembro",11,C122="Dezembro",12,TRUE,0)</f>
        <v>1</v>
      </c>
      <c r="C122" s="7" t="s">
        <v>151</v>
      </c>
      <c r="D122" s="68">
        <v>0</v>
      </c>
      <c r="E122" s="68">
        <v>0</v>
      </c>
      <c r="F122" s="65" t="e">
        <f t="shared" si="61"/>
        <v>#DIV/0!</v>
      </c>
      <c r="G122" s="60" t="e">
        <f t="shared" ref="G122:G133" si="170">IF(F122&gt;=I122,"Desempenho Ótimo",(IF(F122&gt;H122,"Desempenho Bom",(IF(F122&gt;J122,"Desempenho Médio",IF(F122&lt;=J122,"Desempenho Deficitário",0))))))</f>
        <v>#DIV/0!</v>
      </c>
      <c r="H122" s="65" t="e">
        <f t="shared" ref="H122:J122" si="171">H110</f>
        <v>#DIV/0!</v>
      </c>
      <c r="I122" s="65" t="e">
        <f t="shared" si="171"/>
        <v>#DIV/0!</v>
      </c>
      <c r="J122" s="65" t="e">
        <f t="shared" si="171"/>
        <v>#DIV/0!</v>
      </c>
      <c r="K122" s="69">
        <v>0</v>
      </c>
      <c r="L122" s="69">
        <f>'Monitoramento Acumulado Geral'!Q122</f>
        <v>0</v>
      </c>
      <c r="M122" s="6">
        <f>(SUM(L119:L122))/K121</f>
        <v>0</v>
      </c>
      <c r="N122" s="35" t="e">
        <f t="shared" si="131"/>
        <v>#DIV/0!</v>
      </c>
      <c r="O122" s="6" t="e">
        <f t="shared" ref="O122:Q133" si="172">O98</f>
        <v>#DIV/0!</v>
      </c>
      <c r="P122" s="6" t="e">
        <f t="shared" si="172"/>
        <v>#DIV/0!</v>
      </c>
      <c r="Q122" s="6" t="e">
        <f t="shared" si="172"/>
        <v>#DIV/0!</v>
      </c>
      <c r="R122" s="69">
        <v>0</v>
      </c>
      <c r="S122" s="69">
        <v>0</v>
      </c>
      <c r="T122" s="6" t="e">
        <f t="shared" ref="T122:T133" si="173">S122/R122</f>
        <v>#DIV/0!</v>
      </c>
      <c r="U122" s="35" t="e">
        <f t="shared" ref="U122:U133" si="174">IF(T122&gt;=W122,"Desempenho Ótimo",(IF(T122&gt;V122,"Desempenho Bom",(IF(T122&gt;X122,"Desempenho Médio",IF(T122&lt;=X122,"Desempenho Deficitário",0))))))</f>
        <v>#DIV/0!</v>
      </c>
      <c r="V122" s="6" t="e">
        <f t="shared" ref="V122:Z122" si="175">V110</f>
        <v>#DIV/0!</v>
      </c>
      <c r="W122" s="6" t="e">
        <f t="shared" si="175"/>
        <v>#DIV/0!</v>
      </c>
      <c r="X122" s="6" t="e">
        <f t="shared" si="175"/>
        <v>#DIV/0!</v>
      </c>
      <c r="Y122" s="6" t="e">
        <f t="shared" si="175"/>
        <v>#DIV/0!</v>
      </c>
      <c r="Z122" s="6" t="e">
        <f t="shared" si="175"/>
        <v>#DIV/0!</v>
      </c>
    </row>
    <row r="123" spans="1:26" x14ac:dyDescent="0.2">
      <c r="A123" t="s">
        <v>302</v>
      </c>
      <c r="B123" s="6">
        <f t="shared" si="169"/>
        <v>2</v>
      </c>
      <c r="C123" s="7" t="s">
        <v>152</v>
      </c>
      <c r="D123" s="68">
        <v>0</v>
      </c>
      <c r="E123" s="68">
        <v>0</v>
      </c>
      <c r="F123" s="65" t="e">
        <f t="shared" si="61"/>
        <v>#DIV/0!</v>
      </c>
      <c r="G123" s="60" t="e">
        <f t="shared" si="170"/>
        <v>#DIV/0!</v>
      </c>
      <c r="H123" s="65" t="e">
        <f t="shared" ref="H123:J123" si="176">H111</f>
        <v>#DIV/0!</v>
      </c>
      <c r="I123" s="65" t="e">
        <f t="shared" si="176"/>
        <v>#DIV/0!</v>
      </c>
      <c r="J123" s="65" t="e">
        <f t="shared" si="176"/>
        <v>#DIV/0!</v>
      </c>
      <c r="K123" s="69">
        <v>0</v>
      </c>
      <c r="L123" s="69">
        <f>'Monitoramento Acumulado Geral'!Q123</f>
        <v>0</v>
      </c>
      <c r="M123" s="6" t="e">
        <f>(SUM(L119:L123))/K122</f>
        <v>#DIV/0!</v>
      </c>
      <c r="N123" s="35" t="e">
        <f t="shared" si="131"/>
        <v>#DIV/0!</v>
      </c>
      <c r="O123" s="6" t="e">
        <f t="shared" si="172"/>
        <v>#DIV/0!</v>
      </c>
      <c r="P123" s="6" t="e">
        <f t="shared" si="172"/>
        <v>#DIV/0!</v>
      </c>
      <c r="Q123" s="6" t="e">
        <f t="shared" si="172"/>
        <v>#DIV/0!</v>
      </c>
      <c r="R123" s="69">
        <v>0</v>
      </c>
      <c r="S123" s="69">
        <v>0</v>
      </c>
      <c r="T123" s="6" t="e">
        <f t="shared" si="173"/>
        <v>#DIV/0!</v>
      </c>
      <c r="U123" s="35" t="e">
        <f t="shared" si="174"/>
        <v>#DIV/0!</v>
      </c>
      <c r="V123" s="6" t="e">
        <f t="shared" ref="V123:Z123" si="177">V111</f>
        <v>#DIV/0!</v>
      </c>
      <c r="W123" s="6" t="e">
        <f t="shared" si="177"/>
        <v>#DIV/0!</v>
      </c>
      <c r="X123" s="6" t="e">
        <f t="shared" si="177"/>
        <v>#DIV/0!</v>
      </c>
      <c r="Y123" s="6" t="e">
        <f t="shared" si="177"/>
        <v>#DIV/0!</v>
      </c>
      <c r="Z123" s="6" t="e">
        <f t="shared" si="177"/>
        <v>#DIV/0!</v>
      </c>
    </row>
    <row r="124" spans="1:26" x14ac:dyDescent="0.2">
      <c r="A124" t="s">
        <v>302</v>
      </c>
      <c r="B124" s="6">
        <f t="shared" si="169"/>
        <v>3</v>
      </c>
      <c r="C124" s="7" t="s">
        <v>153</v>
      </c>
      <c r="D124" s="68">
        <v>0</v>
      </c>
      <c r="E124" s="68">
        <v>0</v>
      </c>
      <c r="F124" s="65" t="e">
        <f t="shared" si="61"/>
        <v>#DIV/0!</v>
      </c>
      <c r="G124" s="60" t="e">
        <f t="shared" si="170"/>
        <v>#DIV/0!</v>
      </c>
      <c r="H124" s="65" t="e">
        <f t="shared" ref="H124:J124" si="178">H112</f>
        <v>#DIV/0!</v>
      </c>
      <c r="I124" s="65" t="e">
        <f t="shared" si="178"/>
        <v>#DIV/0!</v>
      </c>
      <c r="J124" s="65" t="e">
        <f t="shared" si="178"/>
        <v>#DIV/0!</v>
      </c>
      <c r="K124" s="69">
        <v>0</v>
      </c>
      <c r="L124" s="69">
        <f>'Monitoramento Acumulado Geral'!Q124</f>
        <v>0</v>
      </c>
      <c r="M124" s="6" t="e">
        <f>(SUM(L119:L124))/K123</f>
        <v>#DIV/0!</v>
      </c>
      <c r="N124" s="35" t="e">
        <f t="shared" si="131"/>
        <v>#DIV/0!</v>
      </c>
      <c r="O124" s="6" t="e">
        <f t="shared" si="172"/>
        <v>#DIV/0!</v>
      </c>
      <c r="P124" s="6" t="e">
        <f t="shared" si="172"/>
        <v>#DIV/0!</v>
      </c>
      <c r="Q124" s="6" t="e">
        <f t="shared" si="172"/>
        <v>#DIV/0!</v>
      </c>
      <c r="R124" s="69">
        <v>0</v>
      </c>
      <c r="S124" s="69">
        <v>0</v>
      </c>
      <c r="T124" s="6" t="e">
        <f t="shared" si="173"/>
        <v>#DIV/0!</v>
      </c>
      <c r="U124" s="35" t="e">
        <f t="shared" si="174"/>
        <v>#DIV/0!</v>
      </c>
      <c r="V124" s="6" t="e">
        <f t="shared" ref="V124:Z124" si="179">V112</f>
        <v>#DIV/0!</v>
      </c>
      <c r="W124" s="6" t="e">
        <f t="shared" si="179"/>
        <v>#DIV/0!</v>
      </c>
      <c r="X124" s="6" t="e">
        <f t="shared" si="179"/>
        <v>#DIV/0!</v>
      </c>
      <c r="Y124" s="6" t="e">
        <f t="shared" si="179"/>
        <v>#DIV/0!</v>
      </c>
      <c r="Z124" s="6" t="e">
        <f t="shared" si="179"/>
        <v>#DIV/0!</v>
      </c>
    </row>
    <row r="125" spans="1:26" x14ac:dyDescent="0.2">
      <c r="A125" t="s">
        <v>302</v>
      </c>
      <c r="B125" s="6">
        <f t="shared" si="169"/>
        <v>4</v>
      </c>
      <c r="C125" s="7" t="s">
        <v>154</v>
      </c>
      <c r="D125" s="68">
        <v>0</v>
      </c>
      <c r="E125" s="68">
        <v>0</v>
      </c>
      <c r="F125" s="65" t="e">
        <f t="shared" si="61"/>
        <v>#DIV/0!</v>
      </c>
      <c r="G125" s="60" t="e">
        <f t="shared" si="170"/>
        <v>#DIV/0!</v>
      </c>
      <c r="H125" s="65" t="e">
        <f t="shared" ref="H125:J125" si="180">H113</f>
        <v>#DIV/0!</v>
      </c>
      <c r="I125" s="65" t="e">
        <f t="shared" si="180"/>
        <v>#DIV/0!</v>
      </c>
      <c r="J125" s="65" t="e">
        <f t="shared" si="180"/>
        <v>#DIV/0!</v>
      </c>
      <c r="K125" s="69">
        <v>0</v>
      </c>
      <c r="L125" s="69">
        <f>'Monitoramento Acumulado Geral'!Q125</f>
        <v>0</v>
      </c>
      <c r="M125" s="6" t="e">
        <f>(SUM(L119:L125))/K124</f>
        <v>#DIV/0!</v>
      </c>
      <c r="N125" s="35" t="e">
        <f t="shared" si="131"/>
        <v>#DIV/0!</v>
      </c>
      <c r="O125" s="6" t="e">
        <f t="shared" si="172"/>
        <v>#DIV/0!</v>
      </c>
      <c r="P125" s="6" t="e">
        <f t="shared" si="172"/>
        <v>#DIV/0!</v>
      </c>
      <c r="Q125" s="6" t="e">
        <f t="shared" si="172"/>
        <v>#DIV/0!</v>
      </c>
      <c r="R125" s="69">
        <v>0</v>
      </c>
      <c r="S125" s="69">
        <v>0</v>
      </c>
      <c r="T125" s="6" t="e">
        <f t="shared" si="173"/>
        <v>#DIV/0!</v>
      </c>
      <c r="U125" s="35" t="e">
        <f t="shared" si="174"/>
        <v>#DIV/0!</v>
      </c>
      <c r="V125" s="6" t="e">
        <f t="shared" ref="V125:Z125" si="181">V113</f>
        <v>#DIV/0!</v>
      </c>
      <c r="W125" s="6" t="e">
        <f t="shared" si="181"/>
        <v>#DIV/0!</v>
      </c>
      <c r="X125" s="6" t="e">
        <f t="shared" si="181"/>
        <v>#DIV/0!</v>
      </c>
      <c r="Y125" s="6" t="e">
        <f t="shared" si="181"/>
        <v>#DIV/0!</v>
      </c>
      <c r="Z125" s="6" t="e">
        <f t="shared" si="181"/>
        <v>#DIV/0!</v>
      </c>
    </row>
    <row r="126" spans="1:26" x14ac:dyDescent="0.2">
      <c r="A126" t="s">
        <v>302</v>
      </c>
      <c r="B126" s="6">
        <f t="shared" si="169"/>
        <v>5</v>
      </c>
      <c r="C126" s="7" t="s">
        <v>155</v>
      </c>
      <c r="D126" s="68">
        <v>0</v>
      </c>
      <c r="E126" s="68">
        <v>0</v>
      </c>
      <c r="F126" s="65" t="e">
        <f t="shared" si="61"/>
        <v>#DIV/0!</v>
      </c>
      <c r="G126" s="60" t="e">
        <f t="shared" si="170"/>
        <v>#DIV/0!</v>
      </c>
      <c r="H126" s="65" t="e">
        <f t="shared" ref="H126:J126" si="182">H114</f>
        <v>#DIV/0!</v>
      </c>
      <c r="I126" s="65" t="e">
        <f t="shared" si="182"/>
        <v>#DIV/0!</v>
      </c>
      <c r="J126" s="65" t="e">
        <f t="shared" si="182"/>
        <v>#DIV/0!</v>
      </c>
      <c r="K126" s="69">
        <v>0</v>
      </c>
      <c r="L126" s="69">
        <f>'Monitoramento Acumulado Geral'!Q126</f>
        <v>0</v>
      </c>
      <c r="M126" s="6" t="e">
        <f>(SUM(L119:L126))/K125</f>
        <v>#DIV/0!</v>
      </c>
      <c r="N126" s="35" t="e">
        <f t="shared" si="131"/>
        <v>#DIV/0!</v>
      </c>
      <c r="O126" s="6" t="e">
        <f t="shared" si="172"/>
        <v>#DIV/0!</v>
      </c>
      <c r="P126" s="6" t="e">
        <f t="shared" si="172"/>
        <v>#DIV/0!</v>
      </c>
      <c r="Q126" s="6" t="e">
        <f t="shared" si="172"/>
        <v>#DIV/0!</v>
      </c>
      <c r="R126" s="69">
        <v>0</v>
      </c>
      <c r="S126" s="69">
        <v>0</v>
      </c>
      <c r="T126" s="6" t="e">
        <f t="shared" si="173"/>
        <v>#DIV/0!</v>
      </c>
      <c r="U126" s="35" t="e">
        <f t="shared" si="174"/>
        <v>#DIV/0!</v>
      </c>
      <c r="V126" s="6" t="e">
        <f t="shared" ref="V126:Z126" si="183">V114</f>
        <v>#DIV/0!</v>
      </c>
      <c r="W126" s="6" t="e">
        <f t="shared" si="183"/>
        <v>#DIV/0!</v>
      </c>
      <c r="X126" s="6" t="e">
        <f t="shared" si="183"/>
        <v>#DIV/0!</v>
      </c>
      <c r="Y126" s="6" t="e">
        <f t="shared" si="183"/>
        <v>#DIV/0!</v>
      </c>
      <c r="Z126" s="6" t="e">
        <f t="shared" si="183"/>
        <v>#DIV/0!</v>
      </c>
    </row>
    <row r="127" spans="1:26" x14ac:dyDescent="0.2">
      <c r="A127" t="s">
        <v>302</v>
      </c>
      <c r="B127" s="6">
        <f t="shared" si="169"/>
        <v>6</v>
      </c>
      <c r="C127" s="7" t="s">
        <v>156</v>
      </c>
      <c r="D127" s="68">
        <v>0</v>
      </c>
      <c r="E127" s="68">
        <v>0</v>
      </c>
      <c r="F127" s="65" t="e">
        <f t="shared" si="61"/>
        <v>#DIV/0!</v>
      </c>
      <c r="G127" s="60" t="e">
        <f t="shared" si="170"/>
        <v>#DIV/0!</v>
      </c>
      <c r="H127" s="65" t="e">
        <f t="shared" ref="H127:J127" si="184">H115</f>
        <v>#DIV/0!</v>
      </c>
      <c r="I127" s="65" t="e">
        <f t="shared" si="184"/>
        <v>#DIV/0!</v>
      </c>
      <c r="J127" s="65" t="e">
        <f t="shared" si="184"/>
        <v>#DIV/0!</v>
      </c>
      <c r="K127" s="69">
        <v>0</v>
      </c>
      <c r="L127" s="69">
        <f>'Monitoramento Acumulado Geral'!Q127</f>
        <v>0</v>
      </c>
      <c r="M127" s="6" t="e">
        <f>(SUM(L119:L127))/K126</f>
        <v>#DIV/0!</v>
      </c>
      <c r="N127" s="35" t="e">
        <f t="shared" si="131"/>
        <v>#DIV/0!</v>
      </c>
      <c r="O127" s="6" t="e">
        <f t="shared" si="172"/>
        <v>#DIV/0!</v>
      </c>
      <c r="P127" s="6" t="e">
        <f t="shared" si="172"/>
        <v>#DIV/0!</v>
      </c>
      <c r="Q127" s="6" t="e">
        <f t="shared" si="172"/>
        <v>#DIV/0!</v>
      </c>
      <c r="R127" s="69">
        <v>0</v>
      </c>
      <c r="S127" s="69">
        <v>0</v>
      </c>
      <c r="T127" s="6" t="e">
        <f t="shared" si="173"/>
        <v>#DIV/0!</v>
      </c>
      <c r="U127" s="35" t="e">
        <f t="shared" si="174"/>
        <v>#DIV/0!</v>
      </c>
      <c r="V127" s="6" t="e">
        <f t="shared" ref="V127:Z127" si="185">V115</f>
        <v>#DIV/0!</v>
      </c>
      <c r="W127" s="6" t="e">
        <f t="shared" si="185"/>
        <v>#DIV/0!</v>
      </c>
      <c r="X127" s="6" t="e">
        <f t="shared" si="185"/>
        <v>#DIV/0!</v>
      </c>
      <c r="Y127" s="6" t="e">
        <f t="shared" si="185"/>
        <v>#DIV/0!</v>
      </c>
      <c r="Z127" s="6" t="e">
        <f t="shared" si="185"/>
        <v>#DIV/0!</v>
      </c>
    </row>
    <row r="128" spans="1:26" x14ac:dyDescent="0.2">
      <c r="A128" t="s">
        <v>302</v>
      </c>
      <c r="B128" s="6">
        <f t="shared" si="169"/>
        <v>7</v>
      </c>
      <c r="C128" s="7" t="s">
        <v>157</v>
      </c>
      <c r="D128" s="68">
        <v>0</v>
      </c>
      <c r="E128" s="68">
        <v>0</v>
      </c>
      <c r="F128" s="65" t="e">
        <f t="shared" si="61"/>
        <v>#DIV/0!</v>
      </c>
      <c r="G128" s="60" t="e">
        <f t="shared" si="170"/>
        <v>#DIV/0!</v>
      </c>
      <c r="H128" s="65" t="e">
        <f t="shared" ref="H128:J128" si="186">H116</f>
        <v>#DIV/0!</v>
      </c>
      <c r="I128" s="65" t="e">
        <f t="shared" si="186"/>
        <v>#DIV/0!</v>
      </c>
      <c r="J128" s="65" t="e">
        <f t="shared" si="186"/>
        <v>#DIV/0!</v>
      </c>
      <c r="K128" s="69">
        <v>0</v>
      </c>
      <c r="L128" s="69">
        <f>'Monitoramento Acumulado Geral'!Q128</f>
        <v>0</v>
      </c>
      <c r="M128" s="6" t="e">
        <f>(SUM(L119:L128))/K127</f>
        <v>#DIV/0!</v>
      </c>
      <c r="N128" s="35" t="e">
        <f t="shared" si="131"/>
        <v>#DIV/0!</v>
      </c>
      <c r="O128" s="6" t="e">
        <f t="shared" si="172"/>
        <v>#DIV/0!</v>
      </c>
      <c r="P128" s="6" t="e">
        <f t="shared" si="172"/>
        <v>#DIV/0!</v>
      </c>
      <c r="Q128" s="6" t="e">
        <f t="shared" si="172"/>
        <v>#DIV/0!</v>
      </c>
      <c r="R128" s="69">
        <v>0</v>
      </c>
      <c r="S128" s="69">
        <v>0</v>
      </c>
      <c r="T128" s="6" t="e">
        <f t="shared" si="173"/>
        <v>#DIV/0!</v>
      </c>
      <c r="U128" s="35" t="e">
        <f t="shared" si="174"/>
        <v>#DIV/0!</v>
      </c>
      <c r="V128" s="6" t="e">
        <f t="shared" ref="V128:Z128" si="187">V116</f>
        <v>#DIV/0!</v>
      </c>
      <c r="W128" s="6" t="e">
        <f t="shared" si="187"/>
        <v>#DIV/0!</v>
      </c>
      <c r="X128" s="6" t="e">
        <f t="shared" si="187"/>
        <v>#DIV/0!</v>
      </c>
      <c r="Y128" s="6" t="e">
        <f t="shared" si="187"/>
        <v>#DIV/0!</v>
      </c>
      <c r="Z128" s="6" t="e">
        <f t="shared" si="187"/>
        <v>#DIV/0!</v>
      </c>
    </row>
    <row r="129" spans="1:26" x14ac:dyDescent="0.2">
      <c r="A129" t="s">
        <v>302</v>
      </c>
      <c r="B129" s="6">
        <f t="shared" si="169"/>
        <v>8</v>
      </c>
      <c r="C129" s="7" t="s">
        <v>158</v>
      </c>
      <c r="D129" s="68">
        <v>0</v>
      </c>
      <c r="E129" s="68">
        <v>0</v>
      </c>
      <c r="F129" s="65" t="e">
        <f t="shared" si="61"/>
        <v>#DIV/0!</v>
      </c>
      <c r="G129" s="60" t="e">
        <f t="shared" si="170"/>
        <v>#DIV/0!</v>
      </c>
      <c r="H129" s="65" t="e">
        <f t="shared" ref="H129:J129" si="188">H117</f>
        <v>#DIV/0!</v>
      </c>
      <c r="I129" s="65" t="e">
        <f t="shared" si="188"/>
        <v>#DIV/0!</v>
      </c>
      <c r="J129" s="65" t="e">
        <f t="shared" si="188"/>
        <v>#DIV/0!</v>
      </c>
      <c r="K129" s="69">
        <v>0</v>
      </c>
      <c r="L129" s="69">
        <f>'Monitoramento Acumulado Geral'!Q129</f>
        <v>0</v>
      </c>
      <c r="M129" s="6" t="e">
        <f>(SUM(L119:L129))/K128</f>
        <v>#DIV/0!</v>
      </c>
      <c r="N129" s="35" t="e">
        <f t="shared" si="131"/>
        <v>#DIV/0!</v>
      </c>
      <c r="O129" s="6" t="e">
        <f t="shared" si="172"/>
        <v>#DIV/0!</v>
      </c>
      <c r="P129" s="6" t="e">
        <f t="shared" si="172"/>
        <v>#DIV/0!</v>
      </c>
      <c r="Q129" s="6" t="e">
        <f t="shared" si="172"/>
        <v>#DIV/0!</v>
      </c>
      <c r="R129" s="69">
        <v>0</v>
      </c>
      <c r="S129" s="69">
        <v>0</v>
      </c>
      <c r="T129" s="6" t="e">
        <f t="shared" si="173"/>
        <v>#DIV/0!</v>
      </c>
      <c r="U129" s="35" t="e">
        <f t="shared" si="174"/>
        <v>#DIV/0!</v>
      </c>
      <c r="V129" s="6" t="e">
        <f t="shared" ref="V129:Z129" si="189">V117</f>
        <v>#DIV/0!</v>
      </c>
      <c r="W129" s="6" t="e">
        <f t="shared" si="189"/>
        <v>#DIV/0!</v>
      </c>
      <c r="X129" s="6" t="e">
        <f t="shared" si="189"/>
        <v>#DIV/0!</v>
      </c>
      <c r="Y129" s="6" t="e">
        <f t="shared" si="189"/>
        <v>#DIV/0!</v>
      </c>
      <c r="Z129" s="6" t="e">
        <f t="shared" si="189"/>
        <v>#DIV/0!</v>
      </c>
    </row>
    <row r="130" spans="1:26" x14ac:dyDescent="0.2">
      <c r="A130" t="s">
        <v>302</v>
      </c>
      <c r="B130" s="6">
        <f t="shared" si="169"/>
        <v>9</v>
      </c>
      <c r="C130" s="7" t="s">
        <v>159</v>
      </c>
      <c r="D130" s="68">
        <v>0</v>
      </c>
      <c r="E130" s="68">
        <v>0</v>
      </c>
      <c r="F130" s="65" t="e">
        <f t="shared" si="61"/>
        <v>#DIV/0!</v>
      </c>
      <c r="G130" s="60" t="e">
        <f t="shared" si="170"/>
        <v>#DIV/0!</v>
      </c>
      <c r="H130" s="65" t="e">
        <f t="shared" ref="H130:J130" si="190">H118</f>
        <v>#DIV/0!</v>
      </c>
      <c r="I130" s="65" t="e">
        <f t="shared" si="190"/>
        <v>#DIV/0!</v>
      </c>
      <c r="J130" s="65" t="e">
        <f t="shared" si="190"/>
        <v>#DIV/0!</v>
      </c>
      <c r="K130" s="69">
        <v>0</v>
      </c>
      <c r="L130" s="69">
        <f>'Monitoramento Acumulado Geral'!Q130</f>
        <v>0</v>
      </c>
      <c r="M130" s="6" t="e">
        <f>(SUM(L119:L130))/K129</f>
        <v>#DIV/0!</v>
      </c>
      <c r="N130" s="35" t="e">
        <f t="shared" si="131"/>
        <v>#DIV/0!</v>
      </c>
      <c r="O130" s="6" t="e">
        <f t="shared" si="172"/>
        <v>#DIV/0!</v>
      </c>
      <c r="P130" s="6" t="e">
        <f t="shared" si="172"/>
        <v>#DIV/0!</v>
      </c>
      <c r="Q130" s="6" t="e">
        <f t="shared" si="172"/>
        <v>#DIV/0!</v>
      </c>
      <c r="R130" s="69">
        <v>0</v>
      </c>
      <c r="S130" s="69">
        <v>0</v>
      </c>
      <c r="T130" s="6" t="e">
        <f t="shared" si="173"/>
        <v>#DIV/0!</v>
      </c>
      <c r="U130" s="35" t="e">
        <f t="shared" si="174"/>
        <v>#DIV/0!</v>
      </c>
      <c r="V130" s="6" t="e">
        <f t="shared" ref="V130:Z130" si="191">V118</f>
        <v>#DIV/0!</v>
      </c>
      <c r="W130" s="6" t="e">
        <f t="shared" si="191"/>
        <v>#DIV/0!</v>
      </c>
      <c r="X130" s="6" t="e">
        <f t="shared" si="191"/>
        <v>#DIV/0!</v>
      </c>
      <c r="Y130" s="6" t="e">
        <f t="shared" si="191"/>
        <v>#DIV/0!</v>
      </c>
      <c r="Z130" s="6" t="e">
        <f t="shared" si="191"/>
        <v>#DIV/0!</v>
      </c>
    </row>
    <row r="131" spans="1:26" x14ac:dyDescent="0.2">
      <c r="A131" t="s">
        <v>302</v>
      </c>
      <c r="B131" s="6">
        <f t="shared" si="169"/>
        <v>10</v>
      </c>
      <c r="C131" s="7" t="s">
        <v>160</v>
      </c>
      <c r="D131" s="68">
        <v>0</v>
      </c>
      <c r="E131" s="68">
        <v>0</v>
      </c>
      <c r="F131" s="65" t="e">
        <f t="shared" si="61"/>
        <v>#DIV/0!</v>
      </c>
      <c r="G131" s="60" t="e">
        <f t="shared" si="170"/>
        <v>#DIV/0!</v>
      </c>
      <c r="H131" s="65" t="e">
        <f t="shared" ref="H131:J131" si="192">H119</f>
        <v>#DIV/0!</v>
      </c>
      <c r="I131" s="65" t="e">
        <f t="shared" si="192"/>
        <v>#DIV/0!</v>
      </c>
      <c r="J131" s="65" t="e">
        <f t="shared" si="192"/>
        <v>#DIV/0!</v>
      </c>
      <c r="K131" s="69">
        <v>0</v>
      </c>
      <c r="L131" s="69">
        <f>'Monitoramento Acumulado Geral'!Q131</f>
        <v>0</v>
      </c>
      <c r="M131" s="6" t="e">
        <f>L131/K131</f>
        <v>#DIV/0!</v>
      </c>
      <c r="N131" s="35" t="e">
        <f t="shared" si="131"/>
        <v>#DIV/0!</v>
      </c>
      <c r="O131" s="6" t="e">
        <f t="shared" si="172"/>
        <v>#DIV/0!</v>
      </c>
      <c r="P131" s="6" t="e">
        <f t="shared" si="172"/>
        <v>#DIV/0!</v>
      </c>
      <c r="Q131" s="6" t="e">
        <f t="shared" si="172"/>
        <v>#DIV/0!</v>
      </c>
      <c r="R131" s="69">
        <v>0</v>
      </c>
      <c r="S131" s="69">
        <v>0</v>
      </c>
      <c r="T131" s="6" t="e">
        <f t="shared" si="173"/>
        <v>#DIV/0!</v>
      </c>
      <c r="U131" s="35" t="e">
        <f t="shared" si="174"/>
        <v>#DIV/0!</v>
      </c>
      <c r="V131" s="6" t="e">
        <f t="shared" ref="V131:Z131" si="193">V119</f>
        <v>#DIV/0!</v>
      </c>
      <c r="W131" s="6" t="e">
        <f t="shared" si="193"/>
        <v>#DIV/0!</v>
      </c>
      <c r="X131" s="6" t="e">
        <f t="shared" si="193"/>
        <v>#DIV/0!</v>
      </c>
      <c r="Y131" s="6" t="e">
        <f t="shared" si="193"/>
        <v>#DIV/0!</v>
      </c>
      <c r="Z131" s="6" t="e">
        <f t="shared" si="193"/>
        <v>#DIV/0!</v>
      </c>
    </row>
    <row r="132" spans="1:26" x14ac:dyDescent="0.2">
      <c r="A132" t="s">
        <v>302</v>
      </c>
      <c r="B132" s="6">
        <f t="shared" si="169"/>
        <v>11</v>
      </c>
      <c r="C132" s="7" t="s">
        <v>161</v>
      </c>
      <c r="D132" s="68">
        <v>0</v>
      </c>
      <c r="E132" s="68">
        <v>0</v>
      </c>
      <c r="F132" s="65" t="e">
        <f t="shared" si="61"/>
        <v>#DIV/0!</v>
      </c>
      <c r="G132" s="60" t="e">
        <f t="shared" si="170"/>
        <v>#DIV/0!</v>
      </c>
      <c r="H132" s="65" t="e">
        <f t="shared" ref="H132:J132" si="194">H120</f>
        <v>#DIV/0!</v>
      </c>
      <c r="I132" s="65" t="e">
        <f t="shared" si="194"/>
        <v>#DIV/0!</v>
      </c>
      <c r="J132" s="65" t="e">
        <f t="shared" si="194"/>
        <v>#DIV/0!</v>
      </c>
      <c r="K132" s="69">
        <v>0</v>
      </c>
      <c r="L132" s="69">
        <f>'Monitoramento Acumulado Geral'!Q132</f>
        <v>0</v>
      </c>
      <c r="M132" s="6" t="e">
        <f>(SUM(L131:L132))/K131</f>
        <v>#DIV/0!</v>
      </c>
      <c r="N132" s="35" t="e">
        <f t="shared" si="131"/>
        <v>#DIV/0!</v>
      </c>
      <c r="O132" s="6" t="e">
        <f t="shared" si="172"/>
        <v>#DIV/0!</v>
      </c>
      <c r="P132" s="6" t="e">
        <f t="shared" si="172"/>
        <v>#DIV/0!</v>
      </c>
      <c r="Q132" s="6" t="e">
        <f t="shared" si="172"/>
        <v>#DIV/0!</v>
      </c>
      <c r="R132" s="69">
        <v>0</v>
      </c>
      <c r="S132" s="69">
        <v>0</v>
      </c>
      <c r="T132" s="6" t="e">
        <f t="shared" si="173"/>
        <v>#DIV/0!</v>
      </c>
      <c r="U132" s="35" t="e">
        <f t="shared" si="174"/>
        <v>#DIV/0!</v>
      </c>
      <c r="V132" s="6" t="e">
        <f t="shared" ref="V132:Z132" si="195">V120</f>
        <v>#DIV/0!</v>
      </c>
      <c r="W132" s="6" t="e">
        <f t="shared" si="195"/>
        <v>#DIV/0!</v>
      </c>
      <c r="X132" s="6" t="e">
        <f t="shared" si="195"/>
        <v>#DIV/0!</v>
      </c>
      <c r="Y132" s="6" t="e">
        <f t="shared" si="195"/>
        <v>#DIV/0!</v>
      </c>
      <c r="Z132" s="6" t="e">
        <f t="shared" si="195"/>
        <v>#DIV/0!</v>
      </c>
    </row>
    <row r="133" spans="1:26" x14ac:dyDescent="0.2">
      <c r="A133" t="s">
        <v>302</v>
      </c>
      <c r="B133" s="6">
        <f t="shared" si="169"/>
        <v>12</v>
      </c>
      <c r="C133" s="7" t="s">
        <v>162</v>
      </c>
      <c r="D133" s="68">
        <v>0</v>
      </c>
      <c r="E133" s="68">
        <v>0</v>
      </c>
      <c r="F133" s="65" t="e">
        <f t="shared" si="61"/>
        <v>#DIV/0!</v>
      </c>
      <c r="G133" s="60" t="e">
        <f t="shared" si="170"/>
        <v>#DIV/0!</v>
      </c>
      <c r="H133" s="65" t="e">
        <f t="shared" ref="H133:J133" si="196">H121</f>
        <v>#DIV/0!</v>
      </c>
      <c r="I133" s="65" t="e">
        <f t="shared" si="196"/>
        <v>#DIV/0!</v>
      </c>
      <c r="J133" s="65" t="e">
        <f t="shared" si="196"/>
        <v>#DIV/0!</v>
      </c>
      <c r="K133" s="69">
        <v>0</v>
      </c>
      <c r="L133" s="69">
        <f>'Monitoramento Acumulado Geral'!Q133</f>
        <v>0</v>
      </c>
      <c r="M133" s="6" t="e">
        <f>(SUM(L131:L133))/K132</f>
        <v>#DIV/0!</v>
      </c>
      <c r="N133" s="35" t="e">
        <f t="shared" si="131"/>
        <v>#DIV/0!</v>
      </c>
      <c r="O133" s="6" t="e">
        <f t="shared" si="172"/>
        <v>#DIV/0!</v>
      </c>
      <c r="P133" s="6" t="e">
        <f t="shared" si="172"/>
        <v>#DIV/0!</v>
      </c>
      <c r="Q133" s="6" t="e">
        <f t="shared" si="172"/>
        <v>#DIV/0!</v>
      </c>
      <c r="R133" s="69">
        <v>0</v>
      </c>
      <c r="S133" s="69">
        <v>0</v>
      </c>
      <c r="T133" s="6" t="e">
        <f t="shared" si="173"/>
        <v>#DIV/0!</v>
      </c>
      <c r="U133" s="35" t="e">
        <f t="shared" si="174"/>
        <v>#DIV/0!</v>
      </c>
      <c r="V133" s="6" t="e">
        <f t="shared" ref="V133:Z133" si="197">V121</f>
        <v>#DIV/0!</v>
      </c>
      <c r="W133" s="6" t="e">
        <f t="shared" si="197"/>
        <v>#DIV/0!</v>
      </c>
      <c r="X133" s="6" t="e">
        <f t="shared" si="197"/>
        <v>#DIV/0!</v>
      </c>
      <c r="Y133" s="6" t="e">
        <f t="shared" si="197"/>
        <v>#DIV/0!</v>
      </c>
      <c r="Z133" s="6" t="e">
        <f t="shared" si="197"/>
        <v>#DIV/0!</v>
      </c>
    </row>
    <row r="134" spans="1:26" x14ac:dyDescent="0.2">
      <c r="A134" s="7" t="s">
        <v>89</v>
      </c>
      <c r="B134" s="6">
        <f>_xlfn.IFS(C134="Janeiro",1,C134="Fevereiro",2,C134="Março",3,C134="Abril",4,C134="Maio",5,C134="Junho",6,C134="Julho",7,C134="Agosto",8,C134="Setembro",9,C134="Outubro",10,C134="Novembro",11,C134="Dezembro",12,TRUE,0)</f>
        <v>1</v>
      </c>
      <c r="C134" s="7" t="s">
        <v>151</v>
      </c>
      <c r="D134" s="68">
        <v>75</v>
      </c>
      <c r="E134" s="68">
        <v>15</v>
      </c>
      <c r="F134" s="65">
        <f t="shared" si="61"/>
        <v>0.2</v>
      </c>
      <c r="G134" s="60" t="e">
        <f t="shared" si="66"/>
        <v>#DIV/0!</v>
      </c>
      <c r="H134" s="65" t="e">
        <f t="shared" ref="H134:J134" si="198">H122</f>
        <v>#DIV/0!</v>
      </c>
      <c r="I134" s="65" t="e">
        <f t="shared" si="198"/>
        <v>#DIV/0!</v>
      </c>
      <c r="J134" s="65" t="e">
        <f t="shared" si="198"/>
        <v>#DIV/0!</v>
      </c>
      <c r="K134" s="69">
        <v>26800</v>
      </c>
      <c r="L134" s="69">
        <f>'Monitoramento Acumulado Geral'!Q134</f>
        <v>1040</v>
      </c>
      <c r="M134" s="6">
        <f>L134/K134</f>
        <v>3.880597014925373E-2</v>
      </c>
      <c r="N134" s="35" t="e">
        <f t="shared" si="131"/>
        <v>#DIV/0!</v>
      </c>
      <c r="O134" s="6" t="e">
        <f t="shared" ref="O134:Q134" si="199">O122</f>
        <v>#DIV/0!</v>
      </c>
      <c r="P134" s="6" t="e">
        <f t="shared" si="199"/>
        <v>#DIV/0!</v>
      </c>
      <c r="Q134" s="6" t="e">
        <f t="shared" si="199"/>
        <v>#DIV/0!</v>
      </c>
      <c r="R134" s="69">
        <v>74</v>
      </c>
      <c r="S134" s="69">
        <v>25</v>
      </c>
      <c r="T134" s="6">
        <f t="shared" si="63"/>
        <v>0.33783783783783783</v>
      </c>
      <c r="U134" s="35" t="e">
        <f t="shared" si="68"/>
        <v>#DIV/0!</v>
      </c>
      <c r="V134" s="6" t="e">
        <f t="shared" ref="V134:Z134" si="200">V122</f>
        <v>#DIV/0!</v>
      </c>
      <c r="W134" s="6" t="e">
        <f t="shared" si="200"/>
        <v>#DIV/0!</v>
      </c>
      <c r="X134" s="6" t="e">
        <f t="shared" si="200"/>
        <v>#DIV/0!</v>
      </c>
      <c r="Y134" s="6" t="e">
        <f t="shared" si="200"/>
        <v>#DIV/0!</v>
      </c>
      <c r="Z134" s="6" t="e">
        <f t="shared" si="200"/>
        <v>#DIV/0!</v>
      </c>
    </row>
    <row r="135" spans="1:26" x14ac:dyDescent="0.2">
      <c r="A135" s="7" t="s">
        <v>89</v>
      </c>
      <c r="B135" s="6">
        <f t="shared" si="65"/>
        <v>2</v>
      </c>
      <c r="C135" s="7" t="s">
        <v>152</v>
      </c>
      <c r="D135" s="68">
        <v>75</v>
      </c>
      <c r="E135" s="68">
        <v>15</v>
      </c>
      <c r="F135" s="65">
        <f t="shared" si="61"/>
        <v>0.2</v>
      </c>
      <c r="G135" s="60" t="e">
        <f t="shared" si="66"/>
        <v>#DIV/0!</v>
      </c>
      <c r="H135" s="65" t="e">
        <f t="shared" ref="H135:J135" si="201">H123</f>
        <v>#DIV/0!</v>
      </c>
      <c r="I135" s="65" t="e">
        <f t="shared" si="201"/>
        <v>#DIV/0!</v>
      </c>
      <c r="J135" s="65" t="e">
        <f t="shared" si="201"/>
        <v>#DIV/0!</v>
      </c>
      <c r="K135" s="69">
        <v>26800</v>
      </c>
      <c r="L135" s="69">
        <f>'Monitoramento Acumulado Geral'!Q135</f>
        <v>0</v>
      </c>
      <c r="M135" s="6">
        <f>(SUM(L134:L135))/K134</f>
        <v>3.880597014925373E-2</v>
      </c>
      <c r="N135" s="35" t="e">
        <f t="shared" si="131"/>
        <v>#DIV/0!</v>
      </c>
      <c r="O135" s="6" t="e">
        <f t="shared" ref="O135:Q135" si="202">O123</f>
        <v>#DIV/0!</v>
      </c>
      <c r="P135" s="6" t="e">
        <f t="shared" si="202"/>
        <v>#DIV/0!</v>
      </c>
      <c r="Q135" s="6" t="e">
        <f t="shared" si="202"/>
        <v>#DIV/0!</v>
      </c>
      <c r="R135" s="69">
        <v>74</v>
      </c>
      <c r="S135" s="69">
        <v>25</v>
      </c>
      <c r="T135" s="6">
        <f t="shared" si="63"/>
        <v>0.33783783783783783</v>
      </c>
      <c r="U135" s="35" t="e">
        <f t="shared" si="68"/>
        <v>#DIV/0!</v>
      </c>
      <c r="V135" s="6" t="e">
        <f t="shared" ref="V135:Z135" si="203">V123</f>
        <v>#DIV/0!</v>
      </c>
      <c r="W135" s="6" t="e">
        <f t="shared" si="203"/>
        <v>#DIV/0!</v>
      </c>
      <c r="X135" s="6" t="e">
        <f t="shared" si="203"/>
        <v>#DIV/0!</v>
      </c>
      <c r="Y135" s="6" t="e">
        <f t="shared" si="203"/>
        <v>#DIV/0!</v>
      </c>
      <c r="Z135" s="6" t="e">
        <f t="shared" si="203"/>
        <v>#DIV/0!</v>
      </c>
    </row>
    <row r="136" spans="1:26" x14ac:dyDescent="0.2">
      <c r="A136" s="7" t="s">
        <v>89</v>
      </c>
      <c r="B136" s="6">
        <f t="shared" si="65"/>
        <v>3</v>
      </c>
      <c r="C136" s="7" t="s">
        <v>153</v>
      </c>
      <c r="D136" s="68">
        <v>75</v>
      </c>
      <c r="E136" s="68">
        <v>15</v>
      </c>
      <c r="F136" s="65">
        <f t="shared" si="61"/>
        <v>0.2</v>
      </c>
      <c r="G136" s="60" t="e">
        <f t="shared" si="66"/>
        <v>#DIV/0!</v>
      </c>
      <c r="H136" s="65" t="e">
        <f t="shared" ref="H136:J136" si="204">H124</f>
        <v>#DIV/0!</v>
      </c>
      <c r="I136" s="65" t="e">
        <f t="shared" si="204"/>
        <v>#DIV/0!</v>
      </c>
      <c r="J136" s="65" t="e">
        <f t="shared" si="204"/>
        <v>#DIV/0!</v>
      </c>
      <c r="K136" s="69">
        <v>26800</v>
      </c>
      <c r="L136" s="69">
        <f>'Monitoramento Acumulado Geral'!Q136</f>
        <v>0</v>
      </c>
      <c r="M136" s="6">
        <f>(SUM(L134:L136))/K135</f>
        <v>3.880597014925373E-2</v>
      </c>
      <c r="N136" s="35" t="e">
        <f t="shared" si="131"/>
        <v>#DIV/0!</v>
      </c>
      <c r="O136" s="6" t="e">
        <f t="shared" ref="O136:Q136" si="205">O124</f>
        <v>#DIV/0!</v>
      </c>
      <c r="P136" s="6" t="e">
        <f t="shared" si="205"/>
        <v>#DIV/0!</v>
      </c>
      <c r="Q136" s="6" t="e">
        <f t="shared" si="205"/>
        <v>#DIV/0!</v>
      </c>
      <c r="R136" s="69">
        <v>74</v>
      </c>
      <c r="S136" s="69">
        <v>25</v>
      </c>
      <c r="T136" s="6">
        <f t="shared" si="63"/>
        <v>0.33783783783783783</v>
      </c>
      <c r="U136" s="35" t="e">
        <f t="shared" si="68"/>
        <v>#DIV/0!</v>
      </c>
      <c r="V136" s="6" t="e">
        <f t="shared" ref="V136:Z136" si="206">V124</f>
        <v>#DIV/0!</v>
      </c>
      <c r="W136" s="6" t="e">
        <f t="shared" si="206"/>
        <v>#DIV/0!</v>
      </c>
      <c r="X136" s="6" t="e">
        <f t="shared" si="206"/>
        <v>#DIV/0!</v>
      </c>
      <c r="Y136" s="6" t="e">
        <f t="shared" si="206"/>
        <v>#DIV/0!</v>
      </c>
      <c r="Z136" s="6" t="e">
        <f t="shared" si="206"/>
        <v>#DIV/0!</v>
      </c>
    </row>
    <row r="137" spans="1:26" x14ac:dyDescent="0.2">
      <c r="A137" s="7" t="s">
        <v>89</v>
      </c>
      <c r="B137" s="6">
        <f t="shared" si="65"/>
        <v>4</v>
      </c>
      <c r="C137" s="7" t="s">
        <v>154</v>
      </c>
      <c r="D137" s="68">
        <v>75</v>
      </c>
      <c r="E137" s="68">
        <v>15</v>
      </c>
      <c r="F137" s="65">
        <f t="shared" si="61"/>
        <v>0.2</v>
      </c>
      <c r="G137" s="60" t="e">
        <f t="shared" si="66"/>
        <v>#DIV/0!</v>
      </c>
      <c r="H137" s="65" t="e">
        <f t="shared" ref="H137:J137" si="207">H125</f>
        <v>#DIV/0!</v>
      </c>
      <c r="I137" s="65" t="e">
        <f t="shared" si="207"/>
        <v>#DIV/0!</v>
      </c>
      <c r="J137" s="65" t="e">
        <f t="shared" si="207"/>
        <v>#DIV/0!</v>
      </c>
      <c r="K137" s="69">
        <v>26800</v>
      </c>
      <c r="L137" s="69">
        <f>'Monitoramento Acumulado Geral'!Q137</f>
        <v>0</v>
      </c>
      <c r="M137" s="6">
        <f>(SUM(L134:L137))/K136</f>
        <v>3.880597014925373E-2</v>
      </c>
      <c r="N137" s="35" t="e">
        <f t="shared" si="131"/>
        <v>#DIV/0!</v>
      </c>
      <c r="O137" s="6" t="e">
        <f t="shared" ref="O137:Q137" si="208">O125</f>
        <v>#DIV/0!</v>
      </c>
      <c r="P137" s="6" t="e">
        <f t="shared" si="208"/>
        <v>#DIV/0!</v>
      </c>
      <c r="Q137" s="6" t="e">
        <f t="shared" si="208"/>
        <v>#DIV/0!</v>
      </c>
      <c r="R137" s="69">
        <v>74</v>
      </c>
      <c r="S137" s="69">
        <v>25</v>
      </c>
      <c r="T137" s="6">
        <f t="shared" si="63"/>
        <v>0.33783783783783783</v>
      </c>
      <c r="U137" s="35" t="e">
        <f t="shared" si="68"/>
        <v>#DIV/0!</v>
      </c>
      <c r="V137" s="6" t="e">
        <f t="shared" ref="V137:Z137" si="209">V125</f>
        <v>#DIV/0!</v>
      </c>
      <c r="W137" s="6" t="e">
        <f t="shared" si="209"/>
        <v>#DIV/0!</v>
      </c>
      <c r="X137" s="6" t="e">
        <f t="shared" si="209"/>
        <v>#DIV/0!</v>
      </c>
      <c r="Y137" s="6" t="e">
        <f t="shared" si="209"/>
        <v>#DIV/0!</v>
      </c>
      <c r="Z137" s="6" t="e">
        <f t="shared" si="209"/>
        <v>#DIV/0!</v>
      </c>
    </row>
    <row r="138" spans="1:26" x14ac:dyDescent="0.2">
      <c r="A138" s="7" t="s">
        <v>89</v>
      </c>
      <c r="B138" s="6">
        <f t="shared" si="65"/>
        <v>5</v>
      </c>
      <c r="C138" s="7" t="s">
        <v>155</v>
      </c>
      <c r="D138" s="68">
        <v>75</v>
      </c>
      <c r="E138" s="68">
        <v>35</v>
      </c>
      <c r="F138" s="65">
        <f t="shared" si="61"/>
        <v>0.46666666666666667</v>
      </c>
      <c r="G138" s="60" t="e">
        <f t="shared" si="66"/>
        <v>#DIV/0!</v>
      </c>
      <c r="H138" s="65" t="e">
        <f t="shared" ref="H138:J138" si="210">H126</f>
        <v>#DIV/0!</v>
      </c>
      <c r="I138" s="65" t="e">
        <f t="shared" si="210"/>
        <v>#DIV/0!</v>
      </c>
      <c r="J138" s="65" t="e">
        <f t="shared" si="210"/>
        <v>#DIV/0!</v>
      </c>
      <c r="K138" s="69">
        <v>26800</v>
      </c>
      <c r="L138" s="69">
        <f>'Monitoramento Acumulado Geral'!Q138</f>
        <v>4100</v>
      </c>
      <c r="M138" s="6">
        <f>(SUM(L134:L138))/K137</f>
        <v>0.19179104477611941</v>
      </c>
      <c r="N138" s="35" t="e">
        <f t="shared" si="131"/>
        <v>#DIV/0!</v>
      </c>
      <c r="O138" s="6" t="e">
        <f t="shared" ref="O138:Q138" si="211">O126</f>
        <v>#DIV/0!</v>
      </c>
      <c r="P138" s="6" t="e">
        <f t="shared" si="211"/>
        <v>#DIV/0!</v>
      </c>
      <c r="Q138" s="6" t="e">
        <f t="shared" si="211"/>
        <v>#DIV/0!</v>
      </c>
      <c r="R138" s="69">
        <v>74</v>
      </c>
      <c r="S138" s="69">
        <v>60</v>
      </c>
      <c r="T138" s="6">
        <f t="shared" si="63"/>
        <v>0.81081081081081086</v>
      </c>
      <c r="U138" s="35" t="e">
        <f t="shared" si="68"/>
        <v>#DIV/0!</v>
      </c>
      <c r="V138" s="6" t="e">
        <f t="shared" ref="V138:Z138" si="212">V126</f>
        <v>#DIV/0!</v>
      </c>
      <c r="W138" s="6" t="e">
        <f t="shared" si="212"/>
        <v>#DIV/0!</v>
      </c>
      <c r="X138" s="6" t="e">
        <f t="shared" si="212"/>
        <v>#DIV/0!</v>
      </c>
      <c r="Y138" s="6" t="e">
        <f t="shared" si="212"/>
        <v>#DIV/0!</v>
      </c>
      <c r="Z138" s="6" t="e">
        <f t="shared" si="212"/>
        <v>#DIV/0!</v>
      </c>
    </row>
    <row r="139" spans="1:26" x14ac:dyDescent="0.2">
      <c r="A139" s="7" t="s">
        <v>89</v>
      </c>
      <c r="B139" s="6">
        <f t="shared" si="65"/>
        <v>6</v>
      </c>
      <c r="C139" s="7" t="s">
        <v>156</v>
      </c>
      <c r="D139" s="68">
        <v>75</v>
      </c>
      <c r="E139" s="68">
        <v>35</v>
      </c>
      <c r="F139" s="65">
        <f t="shared" si="61"/>
        <v>0.46666666666666667</v>
      </c>
      <c r="G139" s="60" t="e">
        <f t="shared" si="66"/>
        <v>#DIV/0!</v>
      </c>
      <c r="H139" s="65" t="e">
        <f t="shared" ref="H139:J139" si="213">H127</f>
        <v>#DIV/0!</v>
      </c>
      <c r="I139" s="65" t="e">
        <f t="shared" si="213"/>
        <v>#DIV/0!</v>
      </c>
      <c r="J139" s="65" t="e">
        <f t="shared" si="213"/>
        <v>#DIV/0!</v>
      </c>
      <c r="K139" s="69">
        <v>26800</v>
      </c>
      <c r="L139" s="69">
        <f>'Monitoramento Acumulado Geral'!Q139</f>
        <v>0</v>
      </c>
      <c r="M139" s="6">
        <f>(SUM(L134:L139))/K138</f>
        <v>0.19179104477611941</v>
      </c>
      <c r="N139" s="35" t="e">
        <f t="shared" si="131"/>
        <v>#DIV/0!</v>
      </c>
      <c r="O139" s="6" t="e">
        <f t="shared" ref="O139:Q139" si="214">O127</f>
        <v>#DIV/0!</v>
      </c>
      <c r="P139" s="6" t="e">
        <f t="shared" si="214"/>
        <v>#DIV/0!</v>
      </c>
      <c r="Q139" s="6" t="e">
        <f t="shared" si="214"/>
        <v>#DIV/0!</v>
      </c>
      <c r="R139" s="69">
        <v>74</v>
      </c>
      <c r="S139" s="69">
        <v>60</v>
      </c>
      <c r="T139" s="6">
        <f t="shared" si="63"/>
        <v>0.81081081081081086</v>
      </c>
      <c r="U139" s="35" t="e">
        <f t="shared" si="68"/>
        <v>#DIV/0!</v>
      </c>
      <c r="V139" s="6" t="e">
        <f t="shared" ref="V139:Z139" si="215">V127</f>
        <v>#DIV/0!</v>
      </c>
      <c r="W139" s="6" t="e">
        <f t="shared" si="215"/>
        <v>#DIV/0!</v>
      </c>
      <c r="X139" s="6" t="e">
        <f t="shared" si="215"/>
        <v>#DIV/0!</v>
      </c>
      <c r="Y139" s="6" t="e">
        <f t="shared" si="215"/>
        <v>#DIV/0!</v>
      </c>
      <c r="Z139" s="6" t="e">
        <f t="shared" si="215"/>
        <v>#DIV/0!</v>
      </c>
    </row>
    <row r="140" spans="1:26" x14ac:dyDescent="0.2">
      <c r="A140" s="7" t="s">
        <v>89</v>
      </c>
      <c r="B140" s="6">
        <f t="shared" si="65"/>
        <v>7</v>
      </c>
      <c r="C140" s="7" t="s">
        <v>157</v>
      </c>
      <c r="D140" s="68">
        <v>75</v>
      </c>
      <c r="E140" s="68">
        <v>65</v>
      </c>
      <c r="F140" s="65">
        <f t="shared" si="61"/>
        <v>0.8666666666666667</v>
      </c>
      <c r="G140" s="60" t="e">
        <f t="shared" si="66"/>
        <v>#DIV/0!</v>
      </c>
      <c r="H140" s="65" t="e">
        <f t="shared" ref="H140:J140" si="216">H128</f>
        <v>#DIV/0!</v>
      </c>
      <c r="I140" s="65" t="e">
        <f t="shared" si="216"/>
        <v>#DIV/0!</v>
      </c>
      <c r="J140" s="65" t="e">
        <f t="shared" si="216"/>
        <v>#DIV/0!</v>
      </c>
      <c r="K140" s="69">
        <v>26800</v>
      </c>
      <c r="L140" s="69">
        <f>'Monitoramento Acumulado Geral'!Q140</f>
        <v>12773.35</v>
      </c>
      <c r="M140" s="6">
        <f>(SUM(L134:L140))/K139</f>
        <v>0.66840858208955223</v>
      </c>
      <c r="N140" s="35" t="e">
        <f t="shared" si="131"/>
        <v>#DIV/0!</v>
      </c>
      <c r="O140" s="6" t="e">
        <f t="shared" ref="O140:Q140" si="217">O128</f>
        <v>#DIV/0!</v>
      </c>
      <c r="P140" s="6" t="e">
        <f t="shared" si="217"/>
        <v>#DIV/0!</v>
      </c>
      <c r="Q140" s="6" t="e">
        <f t="shared" si="217"/>
        <v>#DIV/0!</v>
      </c>
      <c r="R140" s="69">
        <v>74</v>
      </c>
      <c r="S140" s="69">
        <v>60</v>
      </c>
      <c r="T140" s="6">
        <f t="shared" si="63"/>
        <v>0.81081081081081086</v>
      </c>
      <c r="U140" s="35" t="e">
        <f t="shared" si="68"/>
        <v>#DIV/0!</v>
      </c>
      <c r="V140" s="6" t="e">
        <f t="shared" ref="V140:Z140" si="218">V128</f>
        <v>#DIV/0!</v>
      </c>
      <c r="W140" s="6" t="e">
        <f t="shared" si="218"/>
        <v>#DIV/0!</v>
      </c>
      <c r="X140" s="6" t="e">
        <f t="shared" si="218"/>
        <v>#DIV/0!</v>
      </c>
      <c r="Y140" s="6" t="e">
        <f t="shared" si="218"/>
        <v>#DIV/0!</v>
      </c>
      <c r="Z140" s="6" t="e">
        <f t="shared" si="218"/>
        <v>#DIV/0!</v>
      </c>
    </row>
    <row r="141" spans="1:26" x14ac:dyDescent="0.2">
      <c r="A141" s="7" t="s">
        <v>89</v>
      </c>
      <c r="B141" s="6">
        <f t="shared" si="65"/>
        <v>8</v>
      </c>
      <c r="C141" s="7" t="s">
        <v>158</v>
      </c>
      <c r="D141" s="68">
        <v>75</v>
      </c>
      <c r="E141" s="68">
        <v>80</v>
      </c>
      <c r="F141" s="65">
        <f t="shared" si="61"/>
        <v>1.0666666666666667</v>
      </c>
      <c r="G141" s="60" t="e">
        <f t="shared" si="66"/>
        <v>#DIV/0!</v>
      </c>
      <c r="H141" s="65" t="e">
        <f t="shared" ref="H141:J141" si="219">H129</f>
        <v>#DIV/0!</v>
      </c>
      <c r="I141" s="65" t="e">
        <f t="shared" si="219"/>
        <v>#DIV/0!</v>
      </c>
      <c r="J141" s="65" t="e">
        <f t="shared" si="219"/>
        <v>#DIV/0!</v>
      </c>
      <c r="K141" s="69">
        <v>26800</v>
      </c>
      <c r="L141" s="69">
        <f>'Monitoramento Acumulado Geral'!Q141</f>
        <v>2143</v>
      </c>
      <c r="M141" s="6">
        <f>(SUM(L134:L141))/K140</f>
        <v>0.74837126865671633</v>
      </c>
      <c r="N141" s="35" t="e">
        <f t="shared" ref="N141:N145" si="220">IF(M141&gt;=P129,"Desempenho Ótimo",(IF(M141&gt;O129,"Desempenho Bom",(IF(M141&gt;Q129,"Desempenho Médio",IF(M141&lt;=Q129,"Desempenho Deficitário",0))))))</f>
        <v>#DIV/0!</v>
      </c>
      <c r="O141" s="6" t="e">
        <f t="shared" ref="O141:Q141" si="221">O129</f>
        <v>#DIV/0!</v>
      </c>
      <c r="P141" s="6" t="e">
        <f t="shared" si="221"/>
        <v>#DIV/0!</v>
      </c>
      <c r="Q141" s="6" t="e">
        <f t="shared" si="221"/>
        <v>#DIV/0!</v>
      </c>
      <c r="R141" s="69">
        <v>74</v>
      </c>
      <c r="S141" s="69">
        <v>60</v>
      </c>
      <c r="T141" s="6">
        <f t="shared" si="63"/>
        <v>0.81081081081081086</v>
      </c>
      <c r="U141" s="35" t="e">
        <f t="shared" si="68"/>
        <v>#DIV/0!</v>
      </c>
      <c r="V141" s="6" t="e">
        <f t="shared" ref="V141:Z141" si="222">V129</f>
        <v>#DIV/0!</v>
      </c>
      <c r="W141" s="6" t="e">
        <f t="shared" si="222"/>
        <v>#DIV/0!</v>
      </c>
      <c r="X141" s="6" t="e">
        <f t="shared" si="222"/>
        <v>#DIV/0!</v>
      </c>
      <c r="Y141" s="6" t="e">
        <f t="shared" si="222"/>
        <v>#DIV/0!</v>
      </c>
      <c r="Z141" s="6" t="e">
        <f t="shared" si="222"/>
        <v>#DIV/0!</v>
      </c>
    </row>
    <row r="142" spans="1:26" x14ac:dyDescent="0.2">
      <c r="A142" s="7" t="s">
        <v>89</v>
      </c>
      <c r="B142" s="6">
        <f t="shared" si="65"/>
        <v>9</v>
      </c>
      <c r="C142" s="7" t="s">
        <v>159</v>
      </c>
      <c r="D142" s="68">
        <v>75</v>
      </c>
      <c r="E142" s="68">
        <v>80</v>
      </c>
      <c r="F142" s="65">
        <f t="shared" si="61"/>
        <v>1.0666666666666667</v>
      </c>
      <c r="G142" s="60" t="e">
        <f t="shared" si="66"/>
        <v>#DIV/0!</v>
      </c>
      <c r="H142" s="65" t="e">
        <f t="shared" ref="H142:J142" si="223">H130</f>
        <v>#DIV/0!</v>
      </c>
      <c r="I142" s="65" t="e">
        <f t="shared" si="223"/>
        <v>#DIV/0!</v>
      </c>
      <c r="J142" s="65" t="e">
        <f t="shared" si="223"/>
        <v>#DIV/0!</v>
      </c>
      <c r="K142" s="69">
        <v>26800</v>
      </c>
      <c r="L142" s="69">
        <f>'Monitoramento Acumulado Geral'!Q142</f>
        <v>450</v>
      </c>
      <c r="M142" s="6">
        <f>(SUM(L134:L142))/K141</f>
        <v>0.76516231343283581</v>
      </c>
      <c r="N142" s="35" t="e">
        <f t="shared" si="220"/>
        <v>#DIV/0!</v>
      </c>
      <c r="O142" s="6" t="e">
        <f t="shared" ref="O142:Q142" si="224">O130</f>
        <v>#DIV/0!</v>
      </c>
      <c r="P142" s="6" t="e">
        <f t="shared" si="224"/>
        <v>#DIV/0!</v>
      </c>
      <c r="Q142" s="6" t="e">
        <f t="shared" si="224"/>
        <v>#DIV/0!</v>
      </c>
      <c r="R142" s="69">
        <v>74</v>
      </c>
      <c r="S142" s="69">
        <v>60</v>
      </c>
      <c r="T142" s="6">
        <f t="shared" si="63"/>
        <v>0.81081081081081086</v>
      </c>
      <c r="U142" s="35" t="e">
        <f t="shared" si="68"/>
        <v>#DIV/0!</v>
      </c>
      <c r="V142" s="6" t="e">
        <f t="shared" ref="V142:Z142" si="225">V130</f>
        <v>#DIV/0!</v>
      </c>
      <c r="W142" s="6" t="e">
        <f t="shared" si="225"/>
        <v>#DIV/0!</v>
      </c>
      <c r="X142" s="6" t="e">
        <f t="shared" si="225"/>
        <v>#DIV/0!</v>
      </c>
      <c r="Y142" s="6" t="e">
        <f t="shared" si="225"/>
        <v>#DIV/0!</v>
      </c>
      <c r="Z142" s="6" t="e">
        <f t="shared" si="225"/>
        <v>#DIV/0!</v>
      </c>
    </row>
    <row r="143" spans="1:26" x14ac:dyDescent="0.2">
      <c r="A143" s="7" t="s">
        <v>89</v>
      </c>
      <c r="B143" s="6">
        <f t="shared" si="65"/>
        <v>10</v>
      </c>
      <c r="C143" s="7" t="s">
        <v>160</v>
      </c>
      <c r="D143" s="68">
        <v>75</v>
      </c>
      <c r="E143" s="68">
        <v>80</v>
      </c>
      <c r="F143" s="65">
        <f t="shared" si="61"/>
        <v>1.0666666666666667</v>
      </c>
      <c r="G143" s="60" t="e">
        <f t="shared" si="66"/>
        <v>#DIV/0!</v>
      </c>
      <c r="H143" s="65" t="e">
        <f t="shared" ref="H143:J143" si="226">H131</f>
        <v>#DIV/0!</v>
      </c>
      <c r="I143" s="65" t="e">
        <f t="shared" si="226"/>
        <v>#DIV/0!</v>
      </c>
      <c r="J143" s="65" t="e">
        <f t="shared" si="226"/>
        <v>#DIV/0!</v>
      </c>
      <c r="K143" s="69">
        <v>26800</v>
      </c>
      <c r="L143" s="69">
        <f>'Monitoramento Acumulado Geral'!Q143</f>
        <v>0</v>
      </c>
      <c r="M143" s="6">
        <f>(SUM(L134:L143))/K142</f>
        <v>0.76516231343283581</v>
      </c>
      <c r="N143" s="35" t="e">
        <f t="shared" si="220"/>
        <v>#DIV/0!</v>
      </c>
      <c r="O143" s="6" t="e">
        <f t="shared" ref="O143:Q143" si="227">O131</f>
        <v>#DIV/0!</v>
      </c>
      <c r="P143" s="6" t="e">
        <f t="shared" si="227"/>
        <v>#DIV/0!</v>
      </c>
      <c r="Q143" s="6" t="e">
        <f t="shared" si="227"/>
        <v>#DIV/0!</v>
      </c>
      <c r="R143" s="69">
        <v>74</v>
      </c>
      <c r="S143" s="69">
        <v>60</v>
      </c>
      <c r="T143" s="6">
        <f t="shared" si="63"/>
        <v>0.81081081081081086</v>
      </c>
      <c r="U143" s="35" t="e">
        <f t="shared" si="68"/>
        <v>#DIV/0!</v>
      </c>
      <c r="V143" s="6" t="e">
        <f t="shared" ref="V143:Z143" si="228">V131</f>
        <v>#DIV/0!</v>
      </c>
      <c r="W143" s="6" t="e">
        <f t="shared" si="228"/>
        <v>#DIV/0!</v>
      </c>
      <c r="X143" s="6" t="e">
        <f t="shared" si="228"/>
        <v>#DIV/0!</v>
      </c>
      <c r="Y143" s="6" t="e">
        <f t="shared" si="228"/>
        <v>#DIV/0!</v>
      </c>
      <c r="Z143" s="6" t="e">
        <f t="shared" si="228"/>
        <v>#DIV/0!</v>
      </c>
    </row>
    <row r="144" spans="1:26" x14ac:dyDescent="0.2">
      <c r="A144" s="7" t="s">
        <v>89</v>
      </c>
      <c r="B144" s="6">
        <f t="shared" si="65"/>
        <v>11</v>
      </c>
      <c r="C144" s="7" t="s">
        <v>161</v>
      </c>
      <c r="D144" s="68">
        <v>75</v>
      </c>
      <c r="E144" s="68">
        <v>0</v>
      </c>
      <c r="F144" s="65">
        <f t="shared" si="61"/>
        <v>0</v>
      </c>
      <c r="G144" s="60" t="e">
        <f t="shared" si="66"/>
        <v>#DIV/0!</v>
      </c>
      <c r="H144" s="65" t="e">
        <f t="shared" ref="H144:J144" si="229">H132</f>
        <v>#DIV/0!</v>
      </c>
      <c r="I144" s="65" t="e">
        <f t="shared" si="229"/>
        <v>#DIV/0!</v>
      </c>
      <c r="J144" s="65" t="e">
        <f t="shared" si="229"/>
        <v>#DIV/0!</v>
      </c>
      <c r="K144" s="69">
        <v>26800</v>
      </c>
      <c r="L144" s="69">
        <f>'Monitoramento Acumulado Geral'!Q144</f>
        <v>0</v>
      </c>
      <c r="M144" s="6">
        <f>(SUM(L134:L144))/K143</f>
        <v>0.76516231343283581</v>
      </c>
      <c r="N144" s="35" t="e">
        <f t="shared" si="220"/>
        <v>#DIV/0!</v>
      </c>
      <c r="O144" s="6" t="e">
        <f t="shared" ref="O144:Q144" si="230">O132</f>
        <v>#DIV/0!</v>
      </c>
      <c r="P144" s="6" t="e">
        <f t="shared" si="230"/>
        <v>#DIV/0!</v>
      </c>
      <c r="Q144" s="6" t="e">
        <f t="shared" si="230"/>
        <v>#DIV/0!</v>
      </c>
      <c r="R144" s="69">
        <v>74</v>
      </c>
      <c r="S144" s="69">
        <v>0</v>
      </c>
      <c r="T144" s="6">
        <f t="shared" si="63"/>
        <v>0</v>
      </c>
      <c r="U144" s="35" t="e">
        <f t="shared" si="68"/>
        <v>#DIV/0!</v>
      </c>
      <c r="V144" s="6" t="e">
        <f t="shared" ref="V144:Z144" si="231">V132</f>
        <v>#DIV/0!</v>
      </c>
      <c r="W144" s="6" t="e">
        <f t="shared" si="231"/>
        <v>#DIV/0!</v>
      </c>
      <c r="X144" s="6" t="e">
        <f t="shared" si="231"/>
        <v>#DIV/0!</v>
      </c>
      <c r="Y144" s="6" t="e">
        <f t="shared" si="231"/>
        <v>#DIV/0!</v>
      </c>
      <c r="Z144" s="6" t="e">
        <f t="shared" si="231"/>
        <v>#DIV/0!</v>
      </c>
    </row>
    <row r="145" spans="1:26" x14ac:dyDescent="0.2">
      <c r="A145" s="7" t="s">
        <v>89</v>
      </c>
      <c r="B145" s="6">
        <f t="shared" si="65"/>
        <v>12</v>
      </c>
      <c r="C145" s="7" t="s">
        <v>162</v>
      </c>
      <c r="D145" s="68">
        <v>75</v>
      </c>
      <c r="E145" s="68">
        <v>0</v>
      </c>
      <c r="F145" s="65">
        <f t="shared" si="61"/>
        <v>0</v>
      </c>
      <c r="G145" s="60" t="e">
        <f t="shared" si="66"/>
        <v>#DIV/0!</v>
      </c>
      <c r="H145" s="65" t="e">
        <f t="shared" ref="H145:J145" si="232">H133</f>
        <v>#DIV/0!</v>
      </c>
      <c r="I145" s="65" t="e">
        <f t="shared" si="232"/>
        <v>#DIV/0!</v>
      </c>
      <c r="J145" s="65" t="e">
        <f t="shared" si="232"/>
        <v>#DIV/0!</v>
      </c>
      <c r="K145" s="69">
        <v>26800</v>
      </c>
      <c r="L145" s="69">
        <f>'Monitoramento Acumulado Geral'!Q145</f>
        <v>0</v>
      </c>
      <c r="M145" s="6">
        <f>(SUM(L134:L145))/K144</f>
        <v>0.76516231343283581</v>
      </c>
      <c r="N145" s="35" t="e">
        <f t="shared" si="220"/>
        <v>#DIV/0!</v>
      </c>
      <c r="O145" s="6" t="e">
        <f t="shared" ref="O145:Q145" si="233">O133</f>
        <v>#DIV/0!</v>
      </c>
      <c r="P145" s="6" t="e">
        <f t="shared" si="233"/>
        <v>#DIV/0!</v>
      </c>
      <c r="Q145" s="6" t="e">
        <f t="shared" si="233"/>
        <v>#DIV/0!</v>
      </c>
      <c r="R145" s="69">
        <v>74</v>
      </c>
      <c r="S145" s="69">
        <v>0</v>
      </c>
      <c r="T145" s="6">
        <f t="shared" si="63"/>
        <v>0</v>
      </c>
      <c r="U145" s="35" t="e">
        <f t="shared" si="68"/>
        <v>#DIV/0!</v>
      </c>
      <c r="V145" s="6" t="e">
        <f t="shared" ref="V145:Z145" si="234">V133</f>
        <v>#DIV/0!</v>
      </c>
      <c r="W145" s="6" t="e">
        <f t="shared" si="234"/>
        <v>#DIV/0!</v>
      </c>
      <c r="X145" s="6" t="e">
        <f t="shared" si="234"/>
        <v>#DIV/0!</v>
      </c>
      <c r="Y145" s="6" t="e">
        <f t="shared" si="234"/>
        <v>#DIV/0!</v>
      </c>
      <c r="Z145" s="6" t="e">
        <f t="shared" si="234"/>
        <v>#DIV/0!</v>
      </c>
    </row>
    <row r="146" spans="1:26" x14ac:dyDescent="0.2">
      <c r="A146" s="7" t="s">
        <v>113</v>
      </c>
      <c r="B146" s="6">
        <f t="shared" si="65"/>
        <v>1</v>
      </c>
      <c r="C146" s="7" t="s">
        <v>151</v>
      </c>
      <c r="D146" s="68">
        <v>58</v>
      </c>
      <c r="E146" s="68">
        <v>0</v>
      </c>
      <c r="F146" s="65">
        <f t="shared" si="61"/>
        <v>0</v>
      </c>
      <c r="G146" s="60" t="e">
        <f t="shared" si="66"/>
        <v>#DIV/0!</v>
      </c>
      <c r="H146" s="65" t="e">
        <f t="shared" ref="H146:J146" si="235">H134</f>
        <v>#DIV/0!</v>
      </c>
      <c r="I146" s="65" t="e">
        <f t="shared" si="235"/>
        <v>#DIV/0!</v>
      </c>
      <c r="J146" s="65" t="e">
        <f t="shared" si="235"/>
        <v>#DIV/0!</v>
      </c>
      <c r="K146" s="69">
        <v>1500</v>
      </c>
      <c r="L146" s="69">
        <f>'Monitoramento Acumulado Geral'!Q146</f>
        <v>0</v>
      </c>
      <c r="M146" s="6">
        <f>L146/K146</f>
        <v>0</v>
      </c>
      <c r="N146" s="35" t="e">
        <f t="shared" ref="N146:N154" si="236">IF(M146&gt;=P146,"Desempenho Ótimo",(IF(M146&gt;O146,"Desempenho Bom",(IF(M146&gt;Q146,"Desempenho Médio",IF(M146&lt;=Q146,"Desempenho Deficitário",0))))))</f>
        <v>#DIV/0!</v>
      </c>
      <c r="O146" s="6" t="e">
        <f t="shared" ref="O146:Q146" si="237">O134</f>
        <v>#DIV/0!</v>
      </c>
      <c r="P146" s="6" t="e">
        <f t="shared" si="237"/>
        <v>#DIV/0!</v>
      </c>
      <c r="Q146" s="6" t="e">
        <f t="shared" si="237"/>
        <v>#DIV/0!</v>
      </c>
      <c r="R146" s="69">
        <v>50</v>
      </c>
      <c r="S146" s="69">
        <v>0</v>
      </c>
      <c r="T146" s="6">
        <f t="shared" si="63"/>
        <v>0</v>
      </c>
      <c r="U146" s="35" t="e">
        <f t="shared" si="68"/>
        <v>#DIV/0!</v>
      </c>
      <c r="V146" s="6" t="e">
        <f t="shared" ref="V146:Z146" si="238">V134</f>
        <v>#DIV/0!</v>
      </c>
      <c r="W146" s="6" t="e">
        <f t="shared" si="238"/>
        <v>#DIV/0!</v>
      </c>
      <c r="X146" s="6" t="e">
        <f t="shared" si="238"/>
        <v>#DIV/0!</v>
      </c>
      <c r="Y146" s="6" t="e">
        <f t="shared" si="238"/>
        <v>#DIV/0!</v>
      </c>
      <c r="Z146" s="6" t="e">
        <f t="shared" si="238"/>
        <v>#DIV/0!</v>
      </c>
    </row>
    <row r="147" spans="1:26" x14ac:dyDescent="0.2">
      <c r="A147" s="7" t="s">
        <v>113</v>
      </c>
      <c r="B147" s="6">
        <f t="shared" si="65"/>
        <v>2</v>
      </c>
      <c r="C147" s="7" t="s">
        <v>152</v>
      </c>
      <c r="D147" s="68">
        <v>58</v>
      </c>
      <c r="E147" s="68">
        <v>0</v>
      </c>
      <c r="F147" s="65">
        <f t="shared" si="61"/>
        <v>0</v>
      </c>
      <c r="G147" s="60" t="e">
        <f t="shared" si="66"/>
        <v>#DIV/0!</v>
      </c>
      <c r="H147" s="65" t="e">
        <f t="shared" ref="H147:J147" si="239">H135</f>
        <v>#DIV/0!</v>
      </c>
      <c r="I147" s="65" t="e">
        <f t="shared" si="239"/>
        <v>#DIV/0!</v>
      </c>
      <c r="J147" s="65" t="e">
        <f t="shared" si="239"/>
        <v>#DIV/0!</v>
      </c>
      <c r="K147" s="69">
        <v>1500</v>
      </c>
      <c r="L147" s="69">
        <f>'Monitoramento Acumulado Geral'!Q147</f>
        <v>0</v>
      </c>
      <c r="M147" s="6">
        <f>(SUM(L146:L147))/K146</f>
        <v>0</v>
      </c>
      <c r="N147" s="35" t="e">
        <f t="shared" si="236"/>
        <v>#DIV/0!</v>
      </c>
      <c r="O147" s="6" t="e">
        <f t="shared" ref="O147:Q147" si="240">O135</f>
        <v>#DIV/0!</v>
      </c>
      <c r="P147" s="6" t="e">
        <f t="shared" si="240"/>
        <v>#DIV/0!</v>
      </c>
      <c r="Q147" s="6" t="e">
        <f t="shared" si="240"/>
        <v>#DIV/0!</v>
      </c>
      <c r="R147" s="69">
        <v>50</v>
      </c>
      <c r="S147" s="69">
        <v>0</v>
      </c>
      <c r="T147" s="6">
        <f t="shared" si="63"/>
        <v>0</v>
      </c>
      <c r="U147" s="35" t="e">
        <f t="shared" si="68"/>
        <v>#DIV/0!</v>
      </c>
      <c r="V147" s="6" t="e">
        <f t="shared" ref="V147:Z147" si="241">V135</f>
        <v>#DIV/0!</v>
      </c>
      <c r="W147" s="6" t="e">
        <f t="shared" si="241"/>
        <v>#DIV/0!</v>
      </c>
      <c r="X147" s="6" t="e">
        <f t="shared" si="241"/>
        <v>#DIV/0!</v>
      </c>
      <c r="Y147" s="6" t="e">
        <f t="shared" si="241"/>
        <v>#DIV/0!</v>
      </c>
      <c r="Z147" s="6" t="e">
        <f t="shared" si="241"/>
        <v>#DIV/0!</v>
      </c>
    </row>
    <row r="148" spans="1:26" x14ac:dyDescent="0.2">
      <c r="A148" s="7" t="s">
        <v>113</v>
      </c>
      <c r="B148" s="6">
        <f t="shared" si="65"/>
        <v>3</v>
      </c>
      <c r="C148" s="7" t="s">
        <v>153</v>
      </c>
      <c r="D148" s="68">
        <v>58</v>
      </c>
      <c r="E148" s="68">
        <v>0</v>
      </c>
      <c r="F148" s="65">
        <f t="shared" si="61"/>
        <v>0</v>
      </c>
      <c r="G148" s="60" t="e">
        <f t="shared" si="66"/>
        <v>#DIV/0!</v>
      </c>
      <c r="H148" s="65" t="e">
        <f t="shared" ref="H148:J148" si="242">H136</f>
        <v>#DIV/0!</v>
      </c>
      <c r="I148" s="65" t="e">
        <f t="shared" si="242"/>
        <v>#DIV/0!</v>
      </c>
      <c r="J148" s="65" t="e">
        <f t="shared" si="242"/>
        <v>#DIV/0!</v>
      </c>
      <c r="K148" s="69">
        <v>1500</v>
      </c>
      <c r="L148" s="69">
        <f>'Monitoramento Acumulado Geral'!Q148</f>
        <v>0</v>
      </c>
      <c r="M148" s="6">
        <f>(SUM(L146:L148))/K147</f>
        <v>0</v>
      </c>
      <c r="N148" s="35" t="e">
        <f t="shared" si="236"/>
        <v>#DIV/0!</v>
      </c>
      <c r="O148" s="6" t="e">
        <f t="shared" ref="O148:Q148" si="243">O136</f>
        <v>#DIV/0!</v>
      </c>
      <c r="P148" s="6" t="e">
        <f t="shared" si="243"/>
        <v>#DIV/0!</v>
      </c>
      <c r="Q148" s="6" t="e">
        <f t="shared" si="243"/>
        <v>#DIV/0!</v>
      </c>
      <c r="R148" s="69">
        <v>50</v>
      </c>
      <c r="S148" s="69">
        <v>0</v>
      </c>
      <c r="T148" s="6">
        <f t="shared" si="63"/>
        <v>0</v>
      </c>
      <c r="U148" s="35" t="e">
        <f t="shared" si="68"/>
        <v>#DIV/0!</v>
      </c>
      <c r="V148" s="6" t="e">
        <f t="shared" ref="V148:Z148" si="244">V136</f>
        <v>#DIV/0!</v>
      </c>
      <c r="W148" s="6" t="e">
        <f t="shared" si="244"/>
        <v>#DIV/0!</v>
      </c>
      <c r="X148" s="6" t="e">
        <f t="shared" si="244"/>
        <v>#DIV/0!</v>
      </c>
      <c r="Y148" s="6" t="e">
        <f t="shared" si="244"/>
        <v>#DIV/0!</v>
      </c>
      <c r="Z148" s="6" t="e">
        <f t="shared" si="244"/>
        <v>#DIV/0!</v>
      </c>
    </row>
    <row r="149" spans="1:26" x14ac:dyDescent="0.2">
      <c r="A149" s="7" t="s">
        <v>113</v>
      </c>
      <c r="B149" s="6">
        <f t="shared" si="65"/>
        <v>4</v>
      </c>
      <c r="C149" s="7" t="s">
        <v>154</v>
      </c>
      <c r="D149" s="68">
        <v>58</v>
      </c>
      <c r="E149" s="68">
        <v>0</v>
      </c>
      <c r="F149" s="65">
        <f t="shared" si="61"/>
        <v>0</v>
      </c>
      <c r="G149" s="60" t="e">
        <f t="shared" si="66"/>
        <v>#DIV/0!</v>
      </c>
      <c r="H149" s="65" t="e">
        <f t="shared" ref="H149:J149" si="245">H137</f>
        <v>#DIV/0!</v>
      </c>
      <c r="I149" s="65" t="e">
        <f t="shared" si="245"/>
        <v>#DIV/0!</v>
      </c>
      <c r="J149" s="65" t="e">
        <f t="shared" si="245"/>
        <v>#DIV/0!</v>
      </c>
      <c r="K149" s="69">
        <v>1500</v>
      </c>
      <c r="L149" s="69">
        <f>'Monitoramento Acumulado Geral'!Q149</f>
        <v>0</v>
      </c>
      <c r="M149" s="6">
        <f>(SUM(L146:L149))/K148</f>
        <v>0</v>
      </c>
      <c r="N149" s="35" t="e">
        <f t="shared" si="236"/>
        <v>#DIV/0!</v>
      </c>
      <c r="O149" s="6" t="e">
        <f t="shared" ref="O149:Q149" si="246">O137</f>
        <v>#DIV/0!</v>
      </c>
      <c r="P149" s="6" t="e">
        <f t="shared" si="246"/>
        <v>#DIV/0!</v>
      </c>
      <c r="Q149" s="6" t="e">
        <f t="shared" si="246"/>
        <v>#DIV/0!</v>
      </c>
      <c r="R149" s="69">
        <v>50</v>
      </c>
      <c r="S149" s="69">
        <v>0</v>
      </c>
      <c r="T149" s="6">
        <f t="shared" si="63"/>
        <v>0</v>
      </c>
      <c r="U149" s="35" t="e">
        <f t="shared" si="68"/>
        <v>#DIV/0!</v>
      </c>
      <c r="V149" s="6" t="e">
        <f t="shared" ref="V149:Z149" si="247">V137</f>
        <v>#DIV/0!</v>
      </c>
      <c r="W149" s="6" t="e">
        <f t="shared" si="247"/>
        <v>#DIV/0!</v>
      </c>
      <c r="X149" s="6" t="e">
        <f t="shared" si="247"/>
        <v>#DIV/0!</v>
      </c>
      <c r="Y149" s="6" t="e">
        <f t="shared" si="247"/>
        <v>#DIV/0!</v>
      </c>
      <c r="Z149" s="6" t="e">
        <f t="shared" si="247"/>
        <v>#DIV/0!</v>
      </c>
    </row>
    <row r="150" spans="1:26" x14ac:dyDescent="0.2">
      <c r="A150" s="7" t="s">
        <v>113</v>
      </c>
      <c r="B150" s="6">
        <f t="shared" si="65"/>
        <v>5</v>
      </c>
      <c r="C150" s="7" t="s">
        <v>155</v>
      </c>
      <c r="D150" s="68">
        <v>58</v>
      </c>
      <c r="E150" s="68">
        <v>0</v>
      </c>
      <c r="F150" s="65">
        <f t="shared" si="61"/>
        <v>0</v>
      </c>
      <c r="G150" s="60" t="e">
        <f t="shared" si="66"/>
        <v>#DIV/0!</v>
      </c>
      <c r="H150" s="65" t="e">
        <f t="shared" ref="H150:J150" si="248">H138</f>
        <v>#DIV/0!</v>
      </c>
      <c r="I150" s="65" t="e">
        <f t="shared" si="248"/>
        <v>#DIV/0!</v>
      </c>
      <c r="J150" s="65" t="e">
        <f t="shared" si="248"/>
        <v>#DIV/0!</v>
      </c>
      <c r="K150" s="69">
        <v>1500</v>
      </c>
      <c r="L150" s="69">
        <f>'Monitoramento Acumulado Geral'!Q150</f>
        <v>0</v>
      </c>
      <c r="M150" s="6">
        <f>(SUM(L146:L150))/K149</f>
        <v>0</v>
      </c>
      <c r="N150" s="35" t="e">
        <f t="shared" si="236"/>
        <v>#DIV/0!</v>
      </c>
      <c r="O150" s="6" t="e">
        <f t="shared" ref="O150:Q150" si="249">O138</f>
        <v>#DIV/0!</v>
      </c>
      <c r="P150" s="6" t="e">
        <f t="shared" si="249"/>
        <v>#DIV/0!</v>
      </c>
      <c r="Q150" s="6" t="e">
        <f t="shared" si="249"/>
        <v>#DIV/0!</v>
      </c>
      <c r="R150" s="69">
        <v>50</v>
      </c>
      <c r="S150" s="69">
        <v>71</v>
      </c>
      <c r="T150" s="6">
        <f t="shared" si="63"/>
        <v>1.42</v>
      </c>
      <c r="U150" s="35" t="e">
        <f t="shared" si="68"/>
        <v>#DIV/0!</v>
      </c>
      <c r="V150" s="6" t="e">
        <f t="shared" ref="V150:Z150" si="250">V138</f>
        <v>#DIV/0!</v>
      </c>
      <c r="W150" s="6" t="e">
        <f t="shared" si="250"/>
        <v>#DIV/0!</v>
      </c>
      <c r="X150" s="6" t="e">
        <f t="shared" si="250"/>
        <v>#DIV/0!</v>
      </c>
      <c r="Y150" s="6" t="e">
        <f t="shared" si="250"/>
        <v>#DIV/0!</v>
      </c>
      <c r="Z150" s="6" t="e">
        <f t="shared" si="250"/>
        <v>#DIV/0!</v>
      </c>
    </row>
    <row r="151" spans="1:26" x14ac:dyDescent="0.2">
      <c r="A151" s="7" t="s">
        <v>113</v>
      </c>
      <c r="B151" s="6">
        <f t="shared" si="65"/>
        <v>6</v>
      </c>
      <c r="C151" s="7" t="s">
        <v>156</v>
      </c>
      <c r="D151" s="68">
        <v>58</v>
      </c>
      <c r="E151" s="68">
        <v>0</v>
      </c>
      <c r="F151" s="65">
        <f t="shared" si="61"/>
        <v>0</v>
      </c>
      <c r="G151" s="60" t="e">
        <f t="shared" si="66"/>
        <v>#DIV/0!</v>
      </c>
      <c r="H151" s="65" t="e">
        <f t="shared" ref="H151:J151" si="251">H139</f>
        <v>#DIV/0!</v>
      </c>
      <c r="I151" s="65" t="e">
        <f t="shared" si="251"/>
        <v>#DIV/0!</v>
      </c>
      <c r="J151" s="65" t="e">
        <f t="shared" si="251"/>
        <v>#DIV/0!</v>
      </c>
      <c r="K151" s="69">
        <v>1500</v>
      </c>
      <c r="L151" s="69">
        <f>'Monitoramento Acumulado Geral'!Q151</f>
        <v>0</v>
      </c>
      <c r="M151" s="6">
        <f>(SUM(L146:L151))/K150</f>
        <v>0</v>
      </c>
      <c r="N151" s="35" t="e">
        <f t="shared" si="236"/>
        <v>#DIV/0!</v>
      </c>
      <c r="O151" s="6" t="e">
        <f t="shared" ref="O151:Q151" si="252">O139</f>
        <v>#DIV/0!</v>
      </c>
      <c r="P151" s="6" t="e">
        <f t="shared" si="252"/>
        <v>#DIV/0!</v>
      </c>
      <c r="Q151" s="6" t="e">
        <f t="shared" si="252"/>
        <v>#DIV/0!</v>
      </c>
      <c r="R151" s="69">
        <v>50</v>
      </c>
      <c r="S151" s="69">
        <v>71</v>
      </c>
      <c r="T151" s="6">
        <f t="shared" si="63"/>
        <v>1.42</v>
      </c>
      <c r="U151" s="35" t="e">
        <f t="shared" si="68"/>
        <v>#DIV/0!</v>
      </c>
      <c r="V151" s="6" t="e">
        <f t="shared" ref="V151:Z151" si="253">V139</f>
        <v>#DIV/0!</v>
      </c>
      <c r="W151" s="6" t="e">
        <f t="shared" si="253"/>
        <v>#DIV/0!</v>
      </c>
      <c r="X151" s="6" t="e">
        <f t="shared" si="253"/>
        <v>#DIV/0!</v>
      </c>
      <c r="Y151" s="6" t="e">
        <f t="shared" si="253"/>
        <v>#DIV/0!</v>
      </c>
      <c r="Z151" s="6" t="e">
        <f t="shared" si="253"/>
        <v>#DIV/0!</v>
      </c>
    </row>
    <row r="152" spans="1:26" x14ac:dyDescent="0.2">
      <c r="A152" s="7" t="s">
        <v>113</v>
      </c>
      <c r="B152" s="6">
        <f t="shared" si="65"/>
        <v>7</v>
      </c>
      <c r="C152" s="7" t="s">
        <v>157</v>
      </c>
      <c r="D152" s="68">
        <v>58</v>
      </c>
      <c r="E152" s="68">
        <v>0</v>
      </c>
      <c r="F152" s="65">
        <f t="shared" si="61"/>
        <v>0</v>
      </c>
      <c r="G152" s="60" t="e">
        <f t="shared" si="66"/>
        <v>#DIV/0!</v>
      </c>
      <c r="H152" s="65" t="e">
        <f t="shared" ref="H152:J152" si="254">H140</f>
        <v>#DIV/0!</v>
      </c>
      <c r="I152" s="65" t="e">
        <f t="shared" si="254"/>
        <v>#DIV/0!</v>
      </c>
      <c r="J152" s="65" t="e">
        <f t="shared" si="254"/>
        <v>#DIV/0!</v>
      </c>
      <c r="K152" s="69">
        <v>1500</v>
      </c>
      <c r="L152" s="69">
        <f>'Monitoramento Acumulado Geral'!Q152</f>
        <v>0</v>
      </c>
      <c r="M152" s="6">
        <f>(SUM(L146:L152))/K151</f>
        <v>0</v>
      </c>
      <c r="N152" s="35" t="e">
        <f t="shared" si="236"/>
        <v>#DIV/0!</v>
      </c>
      <c r="O152" s="6" t="e">
        <f t="shared" ref="O152:Q152" si="255">O140</f>
        <v>#DIV/0!</v>
      </c>
      <c r="P152" s="6" t="e">
        <f t="shared" si="255"/>
        <v>#DIV/0!</v>
      </c>
      <c r="Q152" s="6" t="e">
        <f t="shared" si="255"/>
        <v>#DIV/0!</v>
      </c>
      <c r="R152" s="69">
        <v>50</v>
      </c>
      <c r="S152" s="69">
        <v>71</v>
      </c>
      <c r="T152" s="6">
        <f t="shared" si="63"/>
        <v>1.42</v>
      </c>
      <c r="U152" s="35" t="e">
        <f t="shared" si="68"/>
        <v>#DIV/0!</v>
      </c>
      <c r="V152" s="6" t="e">
        <f t="shared" ref="V152:Z152" si="256">V140</f>
        <v>#DIV/0!</v>
      </c>
      <c r="W152" s="6" t="e">
        <f t="shared" si="256"/>
        <v>#DIV/0!</v>
      </c>
      <c r="X152" s="6" t="e">
        <f t="shared" si="256"/>
        <v>#DIV/0!</v>
      </c>
      <c r="Y152" s="6" t="e">
        <f t="shared" si="256"/>
        <v>#DIV/0!</v>
      </c>
      <c r="Z152" s="6" t="e">
        <f t="shared" si="256"/>
        <v>#DIV/0!</v>
      </c>
    </row>
    <row r="153" spans="1:26" x14ac:dyDescent="0.2">
      <c r="A153" s="7" t="s">
        <v>113</v>
      </c>
      <c r="B153" s="6">
        <f t="shared" si="65"/>
        <v>8</v>
      </c>
      <c r="C153" s="7" t="s">
        <v>158</v>
      </c>
      <c r="D153" s="68">
        <v>58</v>
      </c>
      <c r="E153" s="68">
        <v>0</v>
      </c>
      <c r="F153" s="65">
        <f t="shared" si="61"/>
        <v>0</v>
      </c>
      <c r="G153" s="60" t="e">
        <f t="shared" si="66"/>
        <v>#DIV/0!</v>
      </c>
      <c r="H153" s="65" t="e">
        <f t="shared" ref="H153:J153" si="257">H141</f>
        <v>#DIV/0!</v>
      </c>
      <c r="I153" s="65" t="e">
        <f t="shared" si="257"/>
        <v>#DIV/0!</v>
      </c>
      <c r="J153" s="65" t="e">
        <f t="shared" si="257"/>
        <v>#DIV/0!</v>
      </c>
      <c r="K153" s="69">
        <v>1500</v>
      </c>
      <c r="L153" s="69">
        <f>'Monitoramento Acumulado Geral'!Q153</f>
        <v>0</v>
      </c>
      <c r="M153" s="6">
        <f>(SUM(L146:L153))/K152</f>
        <v>0</v>
      </c>
      <c r="N153" s="35" t="e">
        <f t="shared" si="236"/>
        <v>#DIV/0!</v>
      </c>
      <c r="O153" s="6" t="e">
        <f t="shared" ref="O153:Q153" si="258">O141</f>
        <v>#DIV/0!</v>
      </c>
      <c r="P153" s="6" t="e">
        <f t="shared" si="258"/>
        <v>#DIV/0!</v>
      </c>
      <c r="Q153" s="6" t="e">
        <f t="shared" si="258"/>
        <v>#DIV/0!</v>
      </c>
      <c r="R153" s="69">
        <v>50</v>
      </c>
      <c r="S153" s="69">
        <v>71</v>
      </c>
      <c r="T153" s="6">
        <f t="shared" si="63"/>
        <v>1.42</v>
      </c>
      <c r="U153" s="35" t="e">
        <f t="shared" si="68"/>
        <v>#DIV/0!</v>
      </c>
      <c r="V153" s="6" t="e">
        <f t="shared" ref="V153:Z153" si="259">V141</f>
        <v>#DIV/0!</v>
      </c>
      <c r="W153" s="6" t="e">
        <f t="shared" si="259"/>
        <v>#DIV/0!</v>
      </c>
      <c r="X153" s="6" t="e">
        <f t="shared" si="259"/>
        <v>#DIV/0!</v>
      </c>
      <c r="Y153" s="6" t="e">
        <f t="shared" si="259"/>
        <v>#DIV/0!</v>
      </c>
      <c r="Z153" s="6" t="e">
        <f t="shared" si="259"/>
        <v>#DIV/0!</v>
      </c>
    </row>
    <row r="154" spans="1:26" x14ac:dyDescent="0.2">
      <c r="A154" s="7" t="s">
        <v>113</v>
      </c>
      <c r="B154" s="6">
        <f t="shared" si="65"/>
        <v>9</v>
      </c>
      <c r="C154" s="7" t="s">
        <v>159</v>
      </c>
      <c r="D154" s="68">
        <v>58</v>
      </c>
      <c r="E154" s="68">
        <v>86</v>
      </c>
      <c r="F154" s="65">
        <f t="shared" ref="F154:F217" si="260">E154/D154</f>
        <v>1.4827586206896552</v>
      </c>
      <c r="G154" s="60" t="e">
        <f t="shared" si="66"/>
        <v>#DIV/0!</v>
      </c>
      <c r="H154" s="65" t="e">
        <f t="shared" ref="H154:J154" si="261">H142</f>
        <v>#DIV/0!</v>
      </c>
      <c r="I154" s="65" t="e">
        <f t="shared" si="261"/>
        <v>#DIV/0!</v>
      </c>
      <c r="J154" s="65" t="e">
        <f t="shared" si="261"/>
        <v>#DIV/0!</v>
      </c>
      <c r="K154" s="69">
        <v>1500</v>
      </c>
      <c r="L154" s="69">
        <f>'Monitoramento Acumulado Geral'!Q154</f>
        <v>10343</v>
      </c>
      <c r="M154" s="6">
        <f>(SUM(L146:L154))/K153</f>
        <v>6.8953333333333333</v>
      </c>
      <c r="N154" s="35" t="e">
        <f t="shared" si="236"/>
        <v>#DIV/0!</v>
      </c>
      <c r="O154" s="6" t="e">
        <f t="shared" ref="O154:Q154" si="262">O142</f>
        <v>#DIV/0!</v>
      </c>
      <c r="P154" s="6" t="e">
        <f t="shared" si="262"/>
        <v>#DIV/0!</v>
      </c>
      <c r="Q154" s="6" t="e">
        <f t="shared" si="262"/>
        <v>#DIV/0!</v>
      </c>
      <c r="R154" s="69">
        <v>50</v>
      </c>
      <c r="S154" s="69">
        <v>71</v>
      </c>
      <c r="T154" s="6">
        <f t="shared" ref="T154:T217" si="263">S154/R154</f>
        <v>1.42</v>
      </c>
      <c r="U154" s="35" t="e">
        <f t="shared" si="68"/>
        <v>#DIV/0!</v>
      </c>
      <c r="V154" s="6" t="e">
        <f t="shared" ref="V154:Z154" si="264">V142</f>
        <v>#DIV/0!</v>
      </c>
      <c r="W154" s="6" t="e">
        <f t="shared" si="264"/>
        <v>#DIV/0!</v>
      </c>
      <c r="X154" s="6" t="e">
        <f t="shared" si="264"/>
        <v>#DIV/0!</v>
      </c>
      <c r="Y154" s="6" t="e">
        <f t="shared" si="264"/>
        <v>#DIV/0!</v>
      </c>
      <c r="Z154" s="6" t="e">
        <f t="shared" si="264"/>
        <v>#DIV/0!</v>
      </c>
    </row>
    <row r="155" spans="1:26" x14ac:dyDescent="0.2">
      <c r="A155" s="7" t="s">
        <v>113</v>
      </c>
      <c r="B155" s="6">
        <f t="shared" ref="B155:B218" si="265">_xlfn.IFS(C155="Janeiro",1,C155="Fevereiro",2,C155="Março",3,C155="Abril",4,C155="Maio",5,C155="Junho",6,C155="Julho",7,C155="Agosto",8,C155="Setembro",9,C155="Outubro",10,C155="Novembro",11,C155="Dezembro",12,TRUE,0)</f>
        <v>10</v>
      </c>
      <c r="C155" s="7" t="s">
        <v>160</v>
      </c>
      <c r="D155" s="68">
        <v>58</v>
      </c>
      <c r="E155" s="68">
        <v>86</v>
      </c>
      <c r="F155" s="65">
        <f t="shared" si="260"/>
        <v>1.4827586206896552</v>
      </c>
      <c r="G155" s="60" t="e">
        <f t="shared" ref="G155:G218" si="266">IF(F155&gt;=I155,"Desempenho Ótimo",(IF(F155&gt;H155,"Desempenho Bom",(IF(F155&gt;J155,"Desempenho Médio",IF(F155&lt;=J155,"Desempenho Deficitário",0))))))</f>
        <v>#DIV/0!</v>
      </c>
      <c r="H155" s="65" t="e">
        <f t="shared" ref="H155:J155" si="267">H143</f>
        <v>#DIV/0!</v>
      </c>
      <c r="I155" s="65" t="e">
        <f t="shared" si="267"/>
        <v>#DIV/0!</v>
      </c>
      <c r="J155" s="65" t="e">
        <f t="shared" si="267"/>
        <v>#DIV/0!</v>
      </c>
      <c r="K155" s="69">
        <v>1500</v>
      </c>
      <c r="L155" s="69">
        <f>'Monitoramento Acumulado Geral'!Q155</f>
        <v>0</v>
      </c>
      <c r="M155" s="6">
        <f>(SUM(L146:L155))/K154</f>
        <v>6.8953333333333333</v>
      </c>
      <c r="N155" s="35" t="e">
        <f t="shared" ref="N155:N218" si="268">IF(M155&gt;=P155,"Desempenho Ótimo",(IF(M155&gt;O155,"Desempenho Bom",(IF(M155&gt;Q155,"Desempenho Médio",IF(M155&lt;=Q155,"Desempenho Deficitário",0))))))</f>
        <v>#DIV/0!</v>
      </c>
      <c r="O155" s="6" t="e">
        <f t="shared" ref="O155:Q155" si="269">O143</f>
        <v>#DIV/0!</v>
      </c>
      <c r="P155" s="6" t="e">
        <f t="shared" si="269"/>
        <v>#DIV/0!</v>
      </c>
      <c r="Q155" s="6" t="e">
        <f t="shared" si="269"/>
        <v>#DIV/0!</v>
      </c>
      <c r="R155" s="69">
        <v>50</v>
      </c>
      <c r="S155" s="69">
        <v>71</v>
      </c>
      <c r="T155" s="6">
        <f t="shared" si="263"/>
        <v>1.42</v>
      </c>
      <c r="U155" s="35" t="e">
        <f t="shared" ref="U155:U218" si="270">IF(T155&gt;=W155,"Desempenho Ótimo",(IF(T155&gt;V155,"Desempenho Bom",(IF(T155&gt;X155,"Desempenho Médio",IF(T155&lt;=X155,"Desempenho Deficitário",0))))))</f>
        <v>#DIV/0!</v>
      </c>
      <c r="V155" s="6" t="e">
        <f t="shared" ref="V155:Z155" si="271">V143</f>
        <v>#DIV/0!</v>
      </c>
      <c r="W155" s="6" t="e">
        <f t="shared" si="271"/>
        <v>#DIV/0!</v>
      </c>
      <c r="X155" s="6" t="e">
        <f t="shared" si="271"/>
        <v>#DIV/0!</v>
      </c>
      <c r="Y155" s="6" t="e">
        <f t="shared" si="271"/>
        <v>#DIV/0!</v>
      </c>
      <c r="Z155" s="6" t="e">
        <f t="shared" si="271"/>
        <v>#DIV/0!</v>
      </c>
    </row>
    <row r="156" spans="1:26" x14ac:dyDescent="0.2">
      <c r="A156" s="7" t="s">
        <v>113</v>
      </c>
      <c r="B156" s="6">
        <f t="shared" si="265"/>
        <v>11</v>
      </c>
      <c r="C156" s="7" t="s">
        <v>161</v>
      </c>
      <c r="D156" s="68">
        <v>58</v>
      </c>
      <c r="E156" s="68">
        <v>0</v>
      </c>
      <c r="F156" s="65">
        <f t="shared" si="260"/>
        <v>0</v>
      </c>
      <c r="G156" s="60" t="e">
        <f t="shared" si="266"/>
        <v>#DIV/0!</v>
      </c>
      <c r="H156" s="65" t="e">
        <f t="shared" ref="H156:J156" si="272">H144</f>
        <v>#DIV/0!</v>
      </c>
      <c r="I156" s="65" t="e">
        <f t="shared" si="272"/>
        <v>#DIV/0!</v>
      </c>
      <c r="J156" s="65" t="e">
        <f t="shared" si="272"/>
        <v>#DIV/0!</v>
      </c>
      <c r="K156" s="69">
        <v>1500</v>
      </c>
      <c r="L156" s="69">
        <f>'Monitoramento Acumulado Geral'!Q156</f>
        <v>0</v>
      </c>
      <c r="M156" s="6">
        <f>(SUM(L146:L156))/K155</f>
        <v>6.8953333333333333</v>
      </c>
      <c r="N156" s="35" t="e">
        <f t="shared" si="268"/>
        <v>#DIV/0!</v>
      </c>
      <c r="O156" s="6" t="e">
        <f t="shared" ref="O156:Q156" si="273">O144</f>
        <v>#DIV/0!</v>
      </c>
      <c r="P156" s="6" t="e">
        <f t="shared" si="273"/>
        <v>#DIV/0!</v>
      </c>
      <c r="Q156" s="6" t="e">
        <f t="shared" si="273"/>
        <v>#DIV/0!</v>
      </c>
      <c r="R156" s="69">
        <v>50</v>
      </c>
      <c r="S156" s="69">
        <v>0</v>
      </c>
      <c r="T156" s="6">
        <f t="shared" si="263"/>
        <v>0</v>
      </c>
      <c r="U156" s="35" t="e">
        <f t="shared" si="270"/>
        <v>#DIV/0!</v>
      </c>
      <c r="V156" s="6" t="e">
        <f t="shared" ref="V156:Z156" si="274">V144</f>
        <v>#DIV/0!</v>
      </c>
      <c r="W156" s="6" t="e">
        <f t="shared" si="274"/>
        <v>#DIV/0!</v>
      </c>
      <c r="X156" s="6" t="e">
        <f t="shared" si="274"/>
        <v>#DIV/0!</v>
      </c>
      <c r="Y156" s="6" t="e">
        <f t="shared" si="274"/>
        <v>#DIV/0!</v>
      </c>
      <c r="Z156" s="6" t="e">
        <f t="shared" si="274"/>
        <v>#DIV/0!</v>
      </c>
    </row>
    <row r="157" spans="1:26" x14ac:dyDescent="0.2">
      <c r="A157" s="7" t="s">
        <v>113</v>
      </c>
      <c r="B157" s="6">
        <f t="shared" si="265"/>
        <v>12</v>
      </c>
      <c r="C157" s="7" t="s">
        <v>162</v>
      </c>
      <c r="D157" s="68">
        <v>58</v>
      </c>
      <c r="E157" s="68">
        <v>0</v>
      </c>
      <c r="F157" s="65">
        <f t="shared" si="260"/>
        <v>0</v>
      </c>
      <c r="G157" s="60" t="e">
        <f t="shared" si="266"/>
        <v>#DIV/0!</v>
      </c>
      <c r="H157" s="65" t="e">
        <f t="shared" ref="H157:J157" si="275">H145</f>
        <v>#DIV/0!</v>
      </c>
      <c r="I157" s="65" t="e">
        <f t="shared" si="275"/>
        <v>#DIV/0!</v>
      </c>
      <c r="J157" s="65" t="e">
        <f t="shared" si="275"/>
        <v>#DIV/0!</v>
      </c>
      <c r="K157" s="69">
        <v>1500</v>
      </c>
      <c r="L157" s="69">
        <f>'Monitoramento Acumulado Geral'!Q157</f>
        <v>0</v>
      </c>
      <c r="M157" s="6">
        <f>(SUM(L146:L157))/K156</f>
        <v>6.8953333333333333</v>
      </c>
      <c r="N157" s="35" t="e">
        <f t="shared" si="268"/>
        <v>#DIV/0!</v>
      </c>
      <c r="O157" s="6" t="e">
        <f t="shared" ref="O157:Q157" si="276">O145</f>
        <v>#DIV/0!</v>
      </c>
      <c r="P157" s="6" t="e">
        <f t="shared" si="276"/>
        <v>#DIV/0!</v>
      </c>
      <c r="Q157" s="6" t="e">
        <f t="shared" si="276"/>
        <v>#DIV/0!</v>
      </c>
      <c r="R157" s="69">
        <v>50</v>
      </c>
      <c r="S157" s="69">
        <v>0</v>
      </c>
      <c r="T157" s="6">
        <f t="shared" si="263"/>
        <v>0</v>
      </c>
      <c r="U157" s="35" t="e">
        <f t="shared" si="270"/>
        <v>#DIV/0!</v>
      </c>
      <c r="V157" s="6" t="e">
        <f t="shared" ref="V157:Z157" si="277">V145</f>
        <v>#DIV/0!</v>
      </c>
      <c r="W157" s="6" t="e">
        <f t="shared" si="277"/>
        <v>#DIV/0!</v>
      </c>
      <c r="X157" s="6" t="e">
        <f t="shared" si="277"/>
        <v>#DIV/0!</v>
      </c>
      <c r="Y157" s="6" t="e">
        <f t="shared" si="277"/>
        <v>#DIV/0!</v>
      </c>
      <c r="Z157" s="6" t="e">
        <f t="shared" si="277"/>
        <v>#DIV/0!</v>
      </c>
    </row>
    <row r="158" spans="1:26" x14ac:dyDescent="0.2">
      <c r="A158" s="7" t="s">
        <v>117</v>
      </c>
      <c r="B158" s="6">
        <f t="shared" si="265"/>
        <v>1</v>
      </c>
      <c r="C158" s="7" t="s">
        <v>151</v>
      </c>
      <c r="D158" s="68">
        <v>75</v>
      </c>
      <c r="E158" s="68">
        <v>0</v>
      </c>
      <c r="F158" s="65">
        <f t="shared" si="260"/>
        <v>0</v>
      </c>
      <c r="G158" s="60" t="e">
        <f t="shared" si="266"/>
        <v>#DIV/0!</v>
      </c>
      <c r="H158" s="65" t="e">
        <f t="shared" ref="H158:J158" si="278">H146</f>
        <v>#DIV/0!</v>
      </c>
      <c r="I158" s="65" t="e">
        <f t="shared" si="278"/>
        <v>#DIV/0!</v>
      </c>
      <c r="J158" s="65" t="e">
        <f t="shared" si="278"/>
        <v>#DIV/0!</v>
      </c>
      <c r="K158" s="69">
        <v>37047.75</v>
      </c>
      <c r="L158" s="69">
        <f>'Monitoramento Acumulado Geral'!Q158</f>
        <v>0</v>
      </c>
      <c r="M158" s="6">
        <f>L158/K158</f>
        <v>0</v>
      </c>
      <c r="N158" s="35" t="e">
        <f t="shared" si="268"/>
        <v>#DIV/0!</v>
      </c>
      <c r="O158" s="6" t="e">
        <f t="shared" ref="O158:Q158" si="279">O146</f>
        <v>#DIV/0!</v>
      </c>
      <c r="P158" s="6" t="e">
        <f t="shared" si="279"/>
        <v>#DIV/0!</v>
      </c>
      <c r="Q158" s="6" t="e">
        <f t="shared" si="279"/>
        <v>#DIV/0!</v>
      </c>
      <c r="R158" s="69">
        <v>80</v>
      </c>
      <c r="S158" s="69">
        <v>0</v>
      </c>
      <c r="T158" s="6">
        <f t="shared" si="263"/>
        <v>0</v>
      </c>
      <c r="U158" s="35" t="e">
        <f t="shared" si="270"/>
        <v>#DIV/0!</v>
      </c>
      <c r="V158" s="6" t="e">
        <f t="shared" ref="V158:Z158" si="280">V146</f>
        <v>#DIV/0!</v>
      </c>
      <c r="W158" s="6" t="e">
        <f t="shared" si="280"/>
        <v>#DIV/0!</v>
      </c>
      <c r="X158" s="6" t="e">
        <f t="shared" si="280"/>
        <v>#DIV/0!</v>
      </c>
      <c r="Y158" s="6" t="e">
        <f t="shared" si="280"/>
        <v>#DIV/0!</v>
      </c>
      <c r="Z158" s="6" t="e">
        <f t="shared" si="280"/>
        <v>#DIV/0!</v>
      </c>
    </row>
    <row r="159" spans="1:26" x14ac:dyDescent="0.2">
      <c r="A159" s="7" t="s">
        <v>117</v>
      </c>
      <c r="B159" s="6">
        <f t="shared" si="265"/>
        <v>2</v>
      </c>
      <c r="C159" s="7" t="s">
        <v>152</v>
      </c>
      <c r="D159" s="68">
        <v>75</v>
      </c>
      <c r="E159" s="68">
        <v>8</v>
      </c>
      <c r="F159" s="65">
        <f t="shared" si="260"/>
        <v>0.10666666666666667</v>
      </c>
      <c r="G159" s="60" t="e">
        <f t="shared" si="266"/>
        <v>#DIV/0!</v>
      </c>
      <c r="H159" s="65" t="e">
        <f t="shared" ref="H159:J159" si="281">H147</f>
        <v>#DIV/0!</v>
      </c>
      <c r="I159" s="65" t="e">
        <f t="shared" si="281"/>
        <v>#DIV/0!</v>
      </c>
      <c r="J159" s="65" t="e">
        <f t="shared" si="281"/>
        <v>#DIV/0!</v>
      </c>
      <c r="K159" s="69">
        <v>37047.75</v>
      </c>
      <c r="L159" s="69">
        <f>'Monitoramento Acumulado Geral'!Q159</f>
        <v>100</v>
      </c>
      <c r="M159" s="6">
        <f>(SUM(L158:L159))/K158</f>
        <v>2.6992192508316971E-3</v>
      </c>
      <c r="N159" s="35" t="e">
        <f t="shared" si="268"/>
        <v>#DIV/0!</v>
      </c>
      <c r="O159" s="6" t="e">
        <f t="shared" ref="O159:Q159" si="282">O147</f>
        <v>#DIV/0!</v>
      </c>
      <c r="P159" s="6" t="e">
        <f t="shared" si="282"/>
        <v>#DIV/0!</v>
      </c>
      <c r="Q159" s="6" t="e">
        <f t="shared" si="282"/>
        <v>#DIV/0!</v>
      </c>
      <c r="R159" s="69">
        <v>80</v>
      </c>
      <c r="S159" s="69">
        <v>0</v>
      </c>
      <c r="T159" s="6">
        <f t="shared" si="263"/>
        <v>0</v>
      </c>
      <c r="U159" s="35" t="e">
        <f t="shared" si="270"/>
        <v>#DIV/0!</v>
      </c>
      <c r="V159" s="6" t="e">
        <f t="shared" ref="V159:Z159" si="283">V147</f>
        <v>#DIV/0!</v>
      </c>
      <c r="W159" s="6" t="e">
        <f t="shared" si="283"/>
        <v>#DIV/0!</v>
      </c>
      <c r="X159" s="6" t="e">
        <f t="shared" si="283"/>
        <v>#DIV/0!</v>
      </c>
      <c r="Y159" s="6" t="e">
        <f t="shared" si="283"/>
        <v>#DIV/0!</v>
      </c>
      <c r="Z159" s="6" t="e">
        <f t="shared" si="283"/>
        <v>#DIV/0!</v>
      </c>
    </row>
    <row r="160" spans="1:26" x14ac:dyDescent="0.2">
      <c r="A160" s="7" t="s">
        <v>117</v>
      </c>
      <c r="B160" s="6">
        <f t="shared" si="265"/>
        <v>3</v>
      </c>
      <c r="C160" s="7" t="s">
        <v>153</v>
      </c>
      <c r="D160" s="68">
        <v>75</v>
      </c>
      <c r="E160" s="68">
        <v>24</v>
      </c>
      <c r="F160" s="65">
        <f t="shared" si="260"/>
        <v>0.32</v>
      </c>
      <c r="G160" s="60" t="e">
        <f t="shared" si="266"/>
        <v>#DIV/0!</v>
      </c>
      <c r="H160" s="65" t="e">
        <f t="shared" ref="H160:J160" si="284">H148</f>
        <v>#DIV/0!</v>
      </c>
      <c r="I160" s="65" t="e">
        <f t="shared" si="284"/>
        <v>#DIV/0!</v>
      </c>
      <c r="J160" s="65" t="e">
        <f t="shared" si="284"/>
        <v>#DIV/0!</v>
      </c>
      <c r="K160" s="69">
        <v>37047.75</v>
      </c>
      <c r="L160" s="69">
        <f>'Monitoramento Acumulado Geral'!Q160</f>
        <v>1425.88</v>
      </c>
      <c r="M160" s="6">
        <f>(SUM(L158:L160))/K159</f>
        <v>4.1186846704590697E-2</v>
      </c>
      <c r="N160" s="35" t="e">
        <f t="shared" si="268"/>
        <v>#DIV/0!</v>
      </c>
      <c r="O160" s="6" t="e">
        <f t="shared" ref="O160:Q160" si="285">O148</f>
        <v>#DIV/0!</v>
      </c>
      <c r="P160" s="6" t="e">
        <f t="shared" si="285"/>
        <v>#DIV/0!</v>
      </c>
      <c r="Q160" s="6" t="e">
        <f t="shared" si="285"/>
        <v>#DIV/0!</v>
      </c>
      <c r="R160" s="69">
        <v>80</v>
      </c>
      <c r="S160" s="69">
        <v>0</v>
      </c>
      <c r="T160" s="6">
        <f t="shared" si="263"/>
        <v>0</v>
      </c>
      <c r="U160" s="35" t="e">
        <f t="shared" si="270"/>
        <v>#DIV/0!</v>
      </c>
      <c r="V160" s="6" t="e">
        <f t="shared" ref="V160:Z160" si="286">V148</f>
        <v>#DIV/0!</v>
      </c>
      <c r="W160" s="6" t="e">
        <f t="shared" si="286"/>
        <v>#DIV/0!</v>
      </c>
      <c r="X160" s="6" t="e">
        <f t="shared" si="286"/>
        <v>#DIV/0!</v>
      </c>
      <c r="Y160" s="6" t="e">
        <f t="shared" si="286"/>
        <v>#DIV/0!</v>
      </c>
      <c r="Z160" s="6" t="e">
        <f t="shared" si="286"/>
        <v>#DIV/0!</v>
      </c>
    </row>
    <row r="161" spans="1:26" x14ac:dyDescent="0.2">
      <c r="A161" s="7" t="s">
        <v>117</v>
      </c>
      <c r="B161" s="6">
        <f t="shared" si="265"/>
        <v>4</v>
      </c>
      <c r="C161" s="7" t="s">
        <v>154</v>
      </c>
      <c r="D161" s="68">
        <v>75</v>
      </c>
      <c r="E161" s="68">
        <v>28</v>
      </c>
      <c r="F161" s="65">
        <f t="shared" si="260"/>
        <v>0.37333333333333335</v>
      </c>
      <c r="G161" s="60" t="e">
        <f t="shared" si="266"/>
        <v>#DIV/0!</v>
      </c>
      <c r="H161" s="65" t="e">
        <f t="shared" ref="H161:J161" si="287">H149</f>
        <v>#DIV/0!</v>
      </c>
      <c r="I161" s="65" t="e">
        <f t="shared" si="287"/>
        <v>#DIV/0!</v>
      </c>
      <c r="J161" s="65" t="e">
        <f t="shared" si="287"/>
        <v>#DIV/0!</v>
      </c>
      <c r="K161" s="69">
        <v>37047.75</v>
      </c>
      <c r="L161" s="69">
        <f>'Monitoramento Acumulado Geral'!Q161</f>
        <v>113</v>
      </c>
      <c r="M161" s="6">
        <f>(SUM(L158:L161))/K160</f>
        <v>4.423696445803052E-2</v>
      </c>
      <c r="N161" s="35" t="e">
        <f t="shared" si="268"/>
        <v>#DIV/0!</v>
      </c>
      <c r="O161" s="6" t="e">
        <f t="shared" ref="O161:Q161" si="288">O149</f>
        <v>#DIV/0!</v>
      </c>
      <c r="P161" s="6" t="e">
        <f t="shared" si="288"/>
        <v>#DIV/0!</v>
      </c>
      <c r="Q161" s="6" t="e">
        <f t="shared" si="288"/>
        <v>#DIV/0!</v>
      </c>
      <c r="R161" s="69">
        <v>80</v>
      </c>
      <c r="S161" s="69">
        <v>0</v>
      </c>
      <c r="T161" s="6">
        <f t="shared" si="263"/>
        <v>0</v>
      </c>
      <c r="U161" s="35" t="e">
        <f t="shared" si="270"/>
        <v>#DIV/0!</v>
      </c>
      <c r="V161" s="6" t="e">
        <f t="shared" ref="V161:Z161" si="289">V149</f>
        <v>#DIV/0!</v>
      </c>
      <c r="W161" s="6" t="e">
        <f t="shared" si="289"/>
        <v>#DIV/0!</v>
      </c>
      <c r="X161" s="6" t="e">
        <f t="shared" si="289"/>
        <v>#DIV/0!</v>
      </c>
      <c r="Y161" s="6" t="e">
        <f t="shared" si="289"/>
        <v>#DIV/0!</v>
      </c>
      <c r="Z161" s="6" t="e">
        <f t="shared" si="289"/>
        <v>#DIV/0!</v>
      </c>
    </row>
    <row r="162" spans="1:26" x14ac:dyDescent="0.2">
      <c r="A162" s="7" t="s">
        <v>117</v>
      </c>
      <c r="B162" s="6">
        <f t="shared" si="265"/>
        <v>5</v>
      </c>
      <c r="C162" s="7" t="s">
        <v>155</v>
      </c>
      <c r="D162" s="68">
        <v>75</v>
      </c>
      <c r="E162" s="68">
        <v>44</v>
      </c>
      <c r="F162" s="65">
        <f t="shared" si="260"/>
        <v>0.58666666666666667</v>
      </c>
      <c r="G162" s="60" t="e">
        <f t="shared" si="266"/>
        <v>#DIV/0!</v>
      </c>
      <c r="H162" s="65" t="e">
        <f t="shared" ref="H162:J162" si="290">H150</f>
        <v>#DIV/0!</v>
      </c>
      <c r="I162" s="65" t="e">
        <f t="shared" si="290"/>
        <v>#DIV/0!</v>
      </c>
      <c r="J162" s="65" t="e">
        <f t="shared" si="290"/>
        <v>#DIV/0!</v>
      </c>
      <c r="K162" s="69">
        <v>37047.75</v>
      </c>
      <c r="L162" s="69">
        <f>'Monitoramento Acumulado Geral'!Q162</f>
        <v>1445</v>
      </c>
      <c r="M162" s="6">
        <f>(SUM(L158:L162))/K161</f>
        <v>8.3240682632548538E-2</v>
      </c>
      <c r="N162" s="35" t="e">
        <f t="shared" si="268"/>
        <v>#DIV/0!</v>
      </c>
      <c r="O162" s="6" t="e">
        <f t="shared" ref="O162:Q162" si="291">O150</f>
        <v>#DIV/0!</v>
      </c>
      <c r="P162" s="6" t="e">
        <f t="shared" si="291"/>
        <v>#DIV/0!</v>
      </c>
      <c r="Q162" s="6" t="e">
        <f t="shared" si="291"/>
        <v>#DIV/0!</v>
      </c>
      <c r="R162" s="69">
        <v>80</v>
      </c>
      <c r="S162" s="69">
        <v>56</v>
      </c>
      <c r="T162" s="6">
        <f t="shared" si="263"/>
        <v>0.7</v>
      </c>
      <c r="U162" s="35" t="e">
        <f t="shared" si="270"/>
        <v>#DIV/0!</v>
      </c>
      <c r="V162" s="6" t="e">
        <f t="shared" ref="V162:Z162" si="292">V150</f>
        <v>#DIV/0!</v>
      </c>
      <c r="W162" s="6" t="e">
        <f t="shared" si="292"/>
        <v>#DIV/0!</v>
      </c>
      <c r="X162" s="6" t="e">
        <f t="shared" si="292"/>
        <v>#DIV/0!</v>
      </c>
      <c r="Y162" s="6" t="e">
        <f t="shared" si="292"/>
        <v>#DIV/0!</v>
      </c>
      <c r="Z162" s="6" t="e">
        <f t="shared" si="292"/>
        <v>#DIV/0!</v>
      </c>
    </row>
    <row r="163" spans="1:26" x14ac:dyDescent="0.2">
      <c r="A163" s="7" t="s">
        <v>117</v>
      </c>
      <c r="B163" s="6">
        <f t="shared" si="265"/>
        <v>6</v>
      </c>
      <c r="C163" s="7" t="s">
        <v>156</v>
      </c>
      <c r="D163" s="68">
        <v>75</v>
      </c>
      <c r="E163" s="68">
        <v>52</v>
      </c>
      <c r="F163" s="65">
        <f t="shared" si="260"/>
        <v>0.69333333333333336</v>
      </c>
      <c r="G163" s="60" t="e">
        <f t="shared" si="266"/>
        <v>#DIV/0!</v>
      </c>
      <c r="H163" s="65" t="e">
        <f t="shared" ref="H163:J163" si="293">H151</f>
        <v>#DIV/0!</v>
      </c>
      <c r="I163" s="65" t="e">
        <f t="shared" si="293"/>
        <v>#DIV/0!</v>
      </c>
      <c r="J163" s="65" t="e">
        <f t="shared" si="293"/>
        <v>#DIV/0!</v>
      </c>
      <c r="K163" s="69">
        <v>37047.75</v>
      </c>
      <c r="L163" s="69">
        <f>'Monitoramento Acumulado Geral'!Q163</f>
        <v>1884</v>
      </c>
      <c r="M163" s="6">
        <f>(SUM(L158:L163))/K162</f>
        <v>0.13409397331821771</v>
      </c>
      <c r="N163" s="35" t="e">
        <f t="shared" si="268"/>
        <v>#DIV/0!</v>
      </c>
      <c r="O163" s="6" t="e">
        <f t="shared" ref="O163:Q163" si="294">O151</f>
        <v>#DIV/0!</v>
      </c>
      <c r="P163" s="6" t="e">
        <f t="shared" si="294"/>
        <v>#DIV/0!</v>
      </c>
      <c r="Q163" s="6" t="e">
        <f t="shared" si="294"/>
        <v>#DIV/0!</v>
      </c>
      <c r="R163" s="69">
        <v>80</v>
      </c>
      <c r="S163" s="69">
        <v>56</v>
      </c>
      <c r="T163" s="6">
        <f t="shared" si="263"/>
        <v>0.7</v>
      </c>
      <c r="U163" s="35" t="e">
        <f t="shared" si="270"/>
        <v>#DIV/0!</v>
      </c>
      <c r="V163" s="6" t="e">
        <f t="shared" ref="V163:Z163" si="295">V151</f>
        <v>#DIV/0!</v>
      </c>
      <c r="W163" s="6" t="e">
        <f t="shared" si="295"/>
        <v>#DIV/0!</v>
      </c>
      <c r="X163" s="6" t="e">
        <f t="shared" si="295"/>
        <v>#DIV/0!</v>
      </c>
      <c r="Y163" s="6" t="e">
        <f t="shared" si="295"/>
        <v>#DIV/0!</v>
      </c>
      <c r="Z163" s="6" t="e">
        <f t="shared" si="295"/>
        <v>#DIV/0!</v>
      </c>
    </row>
    <row r="164" spans="1:26" x14ac:dyDescent="0.2">
      <c r="A164" s="7" t="s">
        <v>117</v>
      </c>
      <c r="B164" s="6">
        <f t="shared" si="265"/>
        <v>7</v>
      </c>
      <c r="C164" s="7" t="s">
        <v>157</v>
      </c>
      <c r="D164" s="68">
        <v>75</v>
      </c>
      <c r="E164" s="68">
        <v>84</v>
      </c>
      <c r="F164" s="65">
        <f t="shared" si="260"/>
        <v>1.1200000000000001</v>
      </c>
      <c r="G164" s="60" t="e">
        <f t="shared" si="266"/>
        <v>#DIV/0!</v>
      </c>
      <c r="H164" s="65" t="e">
        <f t="shared" ref="H164:J164" si="296">H152</f>
        <v>#DIV/0!</v>
      </c>
      <c r="I164" s="65" t="e">
        <f t="shared" si="296"/>
        <v>#DIV/0!</v>
      </c>
      <c r="J164" s="65" t="e">
        <f t="shared" si="296"/>
        <v>#DIV/0!</v>
      </c>
      <c r="K164" s="69">
        <v>37047.75</v>
      </c>
      <c r="L164" s="69">
        <f>'Monitoramento Acumulado Geral'!Q164</f>
        <v>5875</v>
      </c>
      <c r="M164" s="6">
        <f>(SUM(L158:L164))/K163</f>
        <v>0.29267310430457993</v>
      </c>
      <c r="N164" s="35" t="e">
        <f t="shared" si="268"/>
        <v>#DIV/0!</v>
      </c>
      <c r="O164" s="6" t="e">
        <f t="shared" ref="O164:Q164" si="297">O152</f>
        <v>#DIV/0!</v>
      </c>
      <c r="P164" s="6" t="e">
        <f t="shared" si="297"/>
        <v>#DIV/0!</v>
      </c>
      <c r="Q164" s="6" t="e">
        <f t="shared" si="297"/>
        <v>#DIV/0!</v>
      </c>
      <c r="R164" s="69">
        <v>80</v>
      </c>
      <c r="S164" s="69">
        <v>56</v>
      </c>
      <c r="T164" s="6">
        <f t="shared" si="263"/>
        <v>0.7</v>
      </c>
      <c r="U164" s="35" t="e">
        <f t="shared" si="270"/>
        <v>#DIV/0!</v>
      </c>
      <c r="V164" s="6" t="e">
        <f t="shared" ref="V164:Z164" si="298">V152</f>
        <v>#DIV/0!</v>
      </c>
      <c r="W164" s="6" t="e">
        <f t="shared" si="298"/>
        <v>#DIV/0!</v>
      </c>
      <c r="X164" s="6" t="e">
        <f t="shared" si="298"/>
        <v>#DIV/0!</v>
      </c>
      <c r="Y164" s="6" t="e">
        <f t="shared" si="298"/>
        <v>#DIV/0!</v>
      </c>
      <c r="Z164" s="6" t="e">
        <f t="shared" si="298"/>
        <v>#DIV/0!</v>
      </c>
    </row>
    <row r="165" spans="1:26" x14ac:dyDescent="0.2">
      <c r="A165" s="7" t="s">
        <v>117</v>
      </c>
      <c r="B165" s="6">
        <f t="shared" si="265"/>
        <v>8</v>
      </c>
      <c r="C165" s="7" t="s">
        <v>158</v>
      </c>
      <c r="D165" s="68">
        <v>75</v>
      </c>
      <c r="E165" s="68">
        <v>88</v>
      </c>
      <c r="F165" s="65">
        <f t="shared" si="260"/>
        <v>1.1733333333333333</v>
      </c>
      <c r="G165" s="60" t="e">
        <f t="shared" si="266"/>
        <v>#DIV/0!</v>
      </c>
      <c r="H165" s="65" t="e">
        <f t="shared" ref="H165:J165" si="299">H153</f>
        <v>#DIV/0!</v>
      </c>
      <c r="I165" s="65" t="e">
        <f t="shared" si="299"/>
        <v>#DIV/0!</v>
      </c>
      <c r="J165" s="65" t="e">
        <f t="shared" si="299"/>
        <v>#DIV/0!</v>
      </c>
      <c r="K165" s="69">
        <v>37047.75</v>
      </c>
      <c r="L165" s="69">
        <f>'Monitoramento Acumulado Geral'!Q165</f>
        <v>3625</v>
      </c>
      <c r="M165" s="6">
        <f>(SUM(L158:L165))/K164</f>
        <v>0.39051980214722892</v>
      </c>
      <c r="N165" s="35" t="e">
        <f t="shared" si="268"/>
        <v>#DIV/0!</v>
      </c>
      <c r="O165" s="6" t="e">
        <f t="shared" ref="O165:Q165" si="300">O153</f>
        <v>#DIV/0!</v>
      </c>
      <c r="P165" s="6" t="e">
        <f t="shared" si="300"/>
        <v>#DIV/0!</v>
      </c>
      <c r="Q165" s="6" t="e">
        <f t="shared" si="300"/>
        <v>#DIV/0!</v>
      </c>
      <c r="R165" s="69">
        <v>80</v>
      </c>
      <c r="S165" s="69">
        <v>56</v>
      </c>
      <c r="T165" s="6">
        <f t="shared" si="263"/>
        <v>0.7</v>
      </c>
      <c r="U165" s="35" t="e">
        <f t="shared" si="270"/>
        <v>#DIV/0!</v>
      </c>
      <c r="V165" s="6" t="e">
        <f t="shared" ref="V165:Z165" si="301">V153</f>
        <v>#DIV/0!</v>
      </c>
      <c r="W165" s="6" t="e">
        <f t="shared" si="301"/>
        <v>#DIV/0!</v>
      </c>
      <c r="X165" s="6" t="e">
        <f t="shared" si="301"/>
        <v>#DIV/0!</v>
      </c>
      <c r="Y165" s="6" t="e">
        <f t="shared" si="301"/>
        <v>#DIV/0!</v>
      </c>
      <c r="Z165" s="6" t="e">
        <f t="shared" si="301"/>
        <v>#DIV/0!</v>
      </c>
    </row>
    <row r="166" spans="1:26" x14ac:dyDescent="0.2">
      <c r="A166" s="7" t="s">
        <v>117</v>
      </c>
      <c r="B166" s="6">
        <f t="shared" si="265"/>
        <v>9</v>
      </c>
      <c r="C166" s="7" t="s">
        <v>159</v>
      </c>
      <c r="D166" s="68">
        <v>75</v>
      </c>
      <c r="E166" s="68">
        <v>88</v>
      </c>
      <c r="F166" s="65">
        <f t="shared" si="260"/>
        <v>1.1733333333333333</v>
      </c>
      <c r="G166" s="60" t="e">
        <f t="shared" si="266"/>
        <v>#DIV/0!</v>
      </c>
      <c r="H166" s="65" t="e">
        <f t="shared" ref="H166:J166" si="302">H154</f>
        <v>#DIV/0!</v>
      </c>
      <c r="I166" s="65" t="e">
        <f t="shared" si="302"/>
        <v>#DIV/0!</v>
      </c>
      <c r="J166" s="65" t="e">
        <f t="shared" si="302"/>
        <v>#DIV/0!</v>
      </c>
      <c r="K166" s="69">
        <v>37047.75</v>
      </c>
      <c r="L166" s="69">
        <f>'Monitoramento Acumulado Geral'!Q166</f>
        <v>14405.85</v>
      </c>
      <c r="M166" s="6">
        <f>(SUM(L158:L166))/K165</f>
        <v>0.77936527859316707</v>
      </c>
      <c r="N166" s="35" t="e">
        <f t="shared" si="268"/>
        <v>#DIV/0!</v>
      </c>
      <c r="O166" s="6" t="e">
        <f t="shared" ref="O166:Q166" si="303">O154</f>
        <v>#DIV/0!</v>
      </c>
      <c r="P166" s="6" t="e">
        <f t="shared" si="303"/>
        <v>#DIV/0!</v>
      </c>
      <c r="Q166" s="6" t="e">
        <f t="shared" si="303"/>
        <v>#DIV/0!</v>
      </c>
      <c r="R166" s="69">
        <v>80</v>
      </c>
      <c r="S166" s="69">
        <v>56</v>
      </c>
      <c r="T166" s="6">
        <f t="shared" si="263"/>
        <v>0.7</v>
      </c>
      <c r="U166" s="35" t="e">
        <f t="shared" si="270"/>
        <v>#DIV/0!</v>
      </c>
      <c r="V166" s="6" t="e">
        <f t="shared" ref="V166:Z166" si="304">V154</f>
        <v>#DIV/0!</v>
      </c>
      <c r="W166" s="6" t="e">
        <f t="shared" si="304"/>
        <v>#DIV/0!</v>
      </c>
      <c r="X166" s="6" t="e">
        <f t="shared" si="304"/>
        <v>#DIV/0!</v>
      </c>
      <c r="Y166" s="6" t="e">
        <f t="shared" si="304"/>
        <v>#DIV/0!</v>
      </c>
      <c r="Z166" s="6" t="e">
        <f t="shared" si="304"/>
        <v>#DIV/0!</v>
      </c>
    </row>
    <row r="167" spans="1:26" x14ac:dyDescent="0.2">
      <c r="A167" s="7" t="s">
        <v>117</v>
      </c>
      <c r="B167" s="6">
        <f t="shared" si="265"/>
        <v>10</v>
      </c>
      <c r="C167" s="7" t="s">
        <v>160</v>
      </c>
      <c r="D167" s="68">
        <v>75</v>
      </c>
      <c r="E167" s="68">
        <v>88</v>
      </c>
      <c r="F167" s="65">
        <f t="shared" si="260"/>
        <v>1.1733333333333333</v>
      </c>
      <c r="G167" s="60" t="e">
        <f t="shared" si="266"/>
        <v>#DIV/0!</v>
      </c>
      <c r="H167" s="65" t="e">
        <f t="shared" ref="H167:J167" si="305">H155</f>
        <v>#DIV/0!</v>
      </c>
      <c r="I167" s="65" t="e">
        <f t="shared" si="305"/>
        <v>#DIV/0!</v>
      </c>
      <c r="J167" s="65" t="e">
        <f t="shared" si="305"/>
        <v>#DIV/0!</v>
      </c>
      <c r="K167" s="69">
        <v>37047.75</v>
      </c>
      <c r="L167" s="69">
        <f>'Monitoramento Acumulado Geral'!Q167</f>
        <v>0</v>
      </c>
      <c r="M167" s="6">
        <f>(SUM(L158:L167))/K166</f>
        <v>0.77936527859316707</v>
      </c>
      <c r="N167" s="35" t="e">
        <f t="shared" si="268"/>
        <v>#DIV/0!</v>
      </c>
      <c r="O167" s="6" t="e">
        <f t="shared" ref="O167:Q167" si="306">O155</f>
        <v>#DIV/0!</v>
      </c>
      <c r="P167" s="6" t="e">
        <f t="shared" si="306"/>
        <v>#DIV/0!</v>
      </c>
      <c r="Q167" s="6" t="e">
        <f t="shared" si="306"/>
        <v>#DIV/0!</v>
      </c>
      <c r="R167" s="69">
        <v>80</v>
      </c>
      <c r="S167" s="69">
        <v>56</v>
      </c>
      <c r="T167" s="6">
        <f t="shared" si="263"/>
        <v>0.7</v>
      </c>
      <c r="U167" s="35" t="e">
        <f t="shared" si="270"/>
        <v>#DIV/0!</v>
      </c>
      <c r="V167" s="6" t="e">
        <f t="shared" ref="V167:Z167" si="307">V155</f>
        <v>#DIV/0!</v>
      </c>
      <c r="W167" s="6" t="e">
        <f t="shared" si="307"/>
        <v>#DIV/0!</v>
      </c>
      <c r="X167" s="6" t="e">
        <f t="shared" si="307"/>
        <v>#DIV/0!</v>
      </c>
      <c r="Y167" s="6" t="e">
        <f t="shared" si="307"/>
        <v>#DIV/0!</v>
      </c>
      <c r="Z167" s="6" t="e">
        <f t="shared" si="307"/>
        <v>#DIV/0!</v>
      </c>
    </row>
    <row r="168" spans="1:26" x14ac:dyDescent="0.2">
      <c r="A168" s="7" t="s">
        <v>117</v>
      </c>
      <c r="B168" s="6">
        <f t="shared" si="265"/>
        <v>11</v>
      </c>
      <c r="C168" s="7" t="s">
        <v>161</v>
      </c>
      <c r="D168" s="68">
        <v>75</v>
      </c>
      <c r="E168" s="68">
        <v>0</v>
      </c>
      <c r="F168" s="65">
        <f t="shared" si="260"/>
        <v>0</v>
      </c>
      <c r="G168" s="60" t="e">
        <f t="shared" si="266"/>
        <v>#DIV/0!</v>
      </c>
      <c r="H168" s="65" t="e">
        <f t="shared" ref="H168:J168" si="308">H156</f>
        <v>#DIV/0!</v>
      </c>
      <c r="I168" s="65" t="e">
        <f t="shared" si="308"/>
        <v>#DIV/0!</v>
      </c>
      <c r="J168" s="65" t="e">
        <f t="shared" si="308"/>
        <v>#DIV/0!</v>
      </c>
      <c r="K168" s="69">
        <v>37047.75</v>
      </c>
      <c r="L168" s="69">
        <f>'Monitoramento Acumulado Geral'!Q168</f>
        <v>0</v>
      </c>
      <c r="M168" s="6">
        <f>(SUM(L158:L168))/K167</f>
        <v>0.77936527859316707</v>
      </c>
      <c r="N168" s="35" t="e">
        <f t="shared" si="268"/>
        <v>#DIV/0!</v>
      </c>
      <c r="O168" s="6" t="e">
        <f t="shared" ref="O168:Q168" si="309">O156</f>
        <v>#DIV/0!</v>
      </c>
      <c r="P168" s="6" t="e">
        <f t="shared" si="309"/>
        <v>#DIV/0!</v>
      </c>
      <c r="Q168" s="6" t="e">
        <f t="shared" si="309"/>
        <v>#DIV/0!</v>
      </c>
      <c r="R168" s="69">
        <v>80</v>
      </c>
      <c r="S168" s="69">
        <v>0</v>
      </c>
      <c r="T168" s="6">
        <f t="shared" si="263"/>
        <v>0</v>
      </c>
      <c r="U168" s="35" t="e">
        <f t="shared" si="270"/>
        <v>#DIV/0!</v>
      </c>
      <c r="V168" s="6" t="e">
        <f t="shared" ref="V168:Z168" si="310">V156</f>
        <v>#DIV/0!</v>
      </c>
      <c r="W168" s="6" t="e">
        <f t="shared" si="310"/>
        <v>#DIV/0!</v>
      </c>
      <c r="X168" s="6" t="e">
        <f t="shared" si="310"/>
        <v>#DIV/0!</v>
      </c>
      <c r="Y168" s="6" t="e">
        <f t="shared" si="310"/>
        <v>#DIV/0!</v>
      </c>
      <c r="Z168" s="6" t="e">
        <f t="shared" si="310"/>
        <v>#DIV/0!</v>
      </c>
    </row>
    <row r="169" spans="1:26" x14ac:dyDescent="0.2">
      <c r="A169" s="7" t="s">
        <v>117</v>
      </c>
      <c r="B169" s="6">
        <f t="shared" si="265"/>
        <v>12</v>
      </c>
      <c r="C169" s="7" t="s">
        <v>162</v>
      </c>
      <c r="D169" s="68">
        <v>75</v>
      </c>
      <c r="E169" s="68">
        <v>0</v>
      </c>
      <c r="F169" s="65">
        <f t="shared" si="260"/>
        <v>0</v>
      </c>
      <c r="G169" s="60" t="e">
        <f t="shared" si="266"/>
        <v>#DIV/0!</v>
      </c>
      <c r="H169" s="65" t="e">
        <f t="shared" ref="H169:J169" si="311">H157</f>
        <v>#DIV/0!</v>
      </c>
      <c r="I169" s="65" t="e">
        <f t="shared" si="311"/>
        <v>#DIV/0!</v>
      </c>
      <c r="J169" s="65" t="e">
        <f t="shared" si="311"/>
        <v>#DIV/0!</v>
      </c>
      <c r="K169" s="69">
        <v>37047.75</v>
      </c>
      <c r="L169" s="69">
        <f>'Monitoramento Acumulado Geral'!Q169</f>
        <v>0</v>
      </c>
      <c r="M169" s="6">
        <f>(SUM(L158:L169))/K168</f>
        <v>0.77936527859316707</v>
      </c>
      <c r="N169" s="35" t="e">
        <f t="shared" si="268"/>
        <v>#DIV/0!</v>
      </c>
      <c r="O169" s="6" t="e">
        <f t="shared" ref="O169:Q169" si="312">O157</f>
        <v>#DIV/0!</v>
      </c>
      <c r="P169" s="6" t="e">
        <f t="shared" si="312"/>
        <v>#DIV/0!</v>
      </c>
      <c r="Q169" s="6" t="e">
        <f t="shared" si="312"/>
        <v>#DIV/0!</v>
      </c>
      <c r="R169" s="69">
        <v>80</v>
      </c>
      <c r="S169" s="69">
        <v>0</v>
      </c>
      <c r="T169" s="6">
        <f t="shared" si="263"/>
        <v>0</v>
      </c>
      <c r="U169" s="35" t="e">
        <f t="shared" si="270"/>
        <v>#DIV/0!</v>
      </c>
      <c r="V169" s="6" t="e">
        <f t="shared" ref="V169:Z169" si="313">V157</f>
        <v>#DIV/0!</v>
      </c>
      <c r="W169" s="6" t="e">
        <f t="shared" si="313"/>
        <v>#DIV/0!</v>
      </c>
      <c r="X169" s="6" t="e">
        <f t="shared" si="313"/>
        <v>#DIV/0!</v>
      </c>
      <c r="Y169" s="6" t="e">
        <f t="shared" si="313"/>
        <v>#DIV/0!</v>
      </c>
      <c r="Z169" s="6" t="e">
        <f t="shared" si="313"/>
        <v>#DIV/0!</v>
      </c>
    </row>
    <row r="170" spans="1:26" x14ac:dyDescent="0.2">
      <c r="A170" s="7" t="s">
        <v>99</v>
      </c>
      <c r="B170" s="6">
        <f t="shared" si="265"/>
        <v>1</v>
      </c>
      <c r="C170" s="7" t="s">
        <v>151</v>
      </c>
      <c r="D170" s="68">
        <v>67</v>
      </c>
      <c r="E170" s="68">
        <v>18</v>
      </c>
      <c r="F170" s="65">
        <f t="shared" si="260"/>
        <v>0.26865671641791045</v>
      </c>
      <c r="G170" s="60" t="e">
        <f t="shared" si="266"/>
        <v>#DIV/0!</v>
      </c>
      <c r="H170" s="65" t="e">
        <f t="shared" ref="H170:J170" si="314">H158</f>
        <v>#DIV/0!</v>
      </c>
      <c r="I170" s="65" t="e">
        <f t="shared" si="314"/>
        <v>#DIV/0!</v>
      </c>
      <c r="J170" s="65" t="e">
        <f t="shared" si="314"/>
        <v>#DIV/0!</v>
      </c>
      <c r="K170" s="69">
        <v>7200</v>
      </c>
      <c r="L170" s="69">
        <f>'Monitoramento Acumulado Geral'!Q170</f>
        <v>60</v>
      </c>
      <c r="M170" s="6">
        <f>L170/K170</f>
        <v>8.3333333333333332E-3</v>
      </c>
      <c r="N170" s="35" t="e">
        <f t="shared" si="268"/>
        <v>#DIV/0!</v>
      </c>
      <c r="O170" s="6" t="e">
        <f t="shared" ref="O170:Q170" si="315">O158</f>
        <v>#DIV/0!</v>
      </c>
      <c r="P170" s="6" t="e">
        <f t="shared" si="315"/>
        <v>#DIV/0!</v>
      </c>
      <c r="Q170" s="6" t="e">
        <f t="shared" si="315"/>
        <v>#DIV/0!</v>
      </c>
      <c r="R170" s="69">
        <v>50</v>
      </c>
      <c r="S170" s="69">
        <v>0</v>
      </c>
      <c r="T170" s="6">
        <f t="shared" si="263"/>
        <v>0</v>
      </c>
      <c r="U170" s="35" t="e">
        <f t="shared" si="270"/>
        <v>#DIV/0!</v>
      </c>
      <c r="V170" s="6" t="e">
        <f t="shared" ref="V170:Z170" si="316">V158</f>
        <v>#DIV/0!</v>
      </c>
      <c r="W170" s="6" t="e">
        <f t="shared" si="316"/>
        <v>#DIV/0!</v>
      </c>
      <c r="X170" s="6" t="e">
        <f t="shared" si="316"/>
        <v>#DIV/0!</v>
      </c>
      <c r="Y170" s="6" t="e">
        <f t="shared" si="316"/>
        <v>#DIV/0!</v>
      </c>
      <c r="Z170" s="6" t="e">
        <f t="shared" si="316"/>
        <v>#DIV/0!</v>
      </c>
    </row>
    <row r="171" spans="1:26" x14ac:dyDescent="0.2">
      <c r="A171" s="7" t="s">
        <v>99</v>
      </c>
      <c r="B171" s="6">
        <f t="shared" si="265"/>
        <v>2</v>
      </c>
      <c r="C171" s="7" t="s">
        <v>152</v>
      </c>
      <c r="D171" s="68">
        <v>67</v>
      </c>
      <c r="E171" s="68">
        <v>18</v>
      </c>
      <c r="F171" s="65">
        <f t="shared" si="260"/>
        <v>0.26865671641791045</v>
      </c>
      <c r="G171" s="60" t="e">
        <f t="shared" si="266"/>
        <v>#DIV/0!</v>
      </c>
      <c r="H171" s="65" t="e">
        <f t="shared" ref="H171:J171" si="317">H159</f>
        <v>#DIV/0!</v>
      </c>
      <c r="I171" s="65" t="e">
        <f t="shared" si="317"/>
        <v>#DIV/0!</v>
      </c>
      <c r="J171" s="65" t="e">
        <f t="shared" si="317"/>
        <v>#DIV/0!</v>
      </c>
      <c r="K171" s="69">
        <v>7200</v>
      </c>
      <c r="L171" s="69">
        <f>'Monitoramento Acumulado Geral'!Q171</f>
        <v>0</v>
      </c>
      <c r="M171" s="6">
        <f>(SUM(L170:L171))/K170</f>
        <v>8.3333333333333332E-3</v>
      </c>
      <c r="N171" s="35" t="e">
        <f t="shared" si="268"/>
        <v>#DIV/0!</v>
      </c>
      <c r="O171" s="6" t="e">
        <f t="shared" ref="O171:Q171" si="318">O159</f>
        <v>#DIV/0!</v>
      </c>
      <c r="P171" s="6" t="e">
        <f t="shared" si="318"/>
        <v>#DIV/0!</v>
      </c>
      <c r="Q171" s="6" t="e">
        <f t="shared" si="318"/>
        <v>#DIV/0!</v>
      </c>
      <c r="R171" s="69">
        <v>50</v>
      </c>
      <c r="S171" s="69">
        <v>0</v>
      </c>
      <c r="T171" s="6">
        <f t="shared" si="263"/>
        <v>0</v>
      </c>
      <c r="U171" s="35" t="e">
        <f t="shared" si="270"/>
        <v>#DIV/0!</v>
      </c>
      <c r="V171" s="6" t="e">
        <f t="shared" ref="V171:Z171" si="319">V159</f>
        <v>#DIV/0!</v>
      </c>
      <c r="W171" s="6" t="e">
        <f t="shared" si="319"/>
        <v>#DIV/0!</v>
      </c>
      <c r="X171" s="6" t="e">
        <f t="shared" si="319"/>
        <v>#DIV/0!</v>
      </c>
      <c r="Y171" s="6" t="e">
        <f t="shared" si="319"/>
        <v>#DIV/0!</v>
      </c>
      <c r="Z171" s="6" t="e">
        <f t="shared" si="319"/>
        <v>#DIV/0!</v>
      </c>
    </row>
    <row r="172" spans="1:26" x14ac:dyDescent="0.2">
      <c r="A172" s="7" t="s">
        <v>99</v>
      </c>
      <c r="B172" s="6">
        <f t="shared" si="265"/>
        <v>3</v>
      </c>
      <c r="C172" s="7" t="s">
        <v>153</v>
      </c>
      <c r="D172" s="68">
        <v>67</v>
      </c>
      <c r="E172" s="68">
        <v>18</v>
      </c>
      <c r="F172" s="65">
        <f t="shared" si="260"/>
        <v>0.26865671641791045</v>
      </c>
      <c r="G172" s="60" t="e">
        <f t="shared" si="266"/>
        <v>#DIV/0!</v>
      </c>
      <c r="H172" s="65" t="e">
        <f t="shared" ref="H172:J172" si="320">H160</f>
        <v>#DIV/0!</v>
      </c>
      <c r="I172" s="65" t="e">
        <f t="shared" si="320"/>
        <v>#DIV/0!</v>
      </c>
      <c r="J172" s="65" t="e">
        <f t="shared" si="320"/>
        <v>#DIV/0!</v>
      </c>
      <c r="K172" s="69">
        <v>7200</v>
      </c>
      <c r="L172" s="69">
        <f>'Monitoramento Acumulado Geral'!Q172</f>
        <v>0</v>
      </c>
      <c r="M172" s="6">
        <f>(SUM(L170:L172))/K171</f>
        <v>8.3333333333333332E-3</v>
      </c>
      <c r="N172" s="35" t="e">
        <f t="shared" si="268"/>
        <v>#DIV/0!</v>
      </c>
      <c r="O172" s="6" t="e">
        <f t="shared" ref="O172:Q172" si="321">O160</f>
        <v>#DIV/0!</v>
      </c>
      <c r="P172" s="6" t="e">
        <f t="shared" si="321"/>
        <v>#DIV/0!</v>
      </c>
      <c r="Q172" s="6" t="e">
        <f t="shared" si="321"/>
        <v>#DIV/0!</v>
      </c>
      <c r="R172" s="69">
        <v>50</v>
      </c>
      <c r="S172" s="69">
        <v>0</v>
      </c>
      <c r="T172" s="6">
        <f t="shared" si="263"/>
        <v>0</v>
      </c>
      <c r="U172" s="35" t="e">
        <f t="shared" si="270"/>
        <v>#DIV/0!</v>
      </c>
      <c r="V172" s="6" t="e">
        <f t="shared" ref="V172:Z172" si="322">V160</f>
        <v>#DIV/0!</v>
      </c>
      <c r="W172" s="6" t="e">
        <f t="shared" si="322"/>
        <v>#DIV/0!</v>
      </c>
      <c r="X172" s="6" t="e">
        <f t="shared" si="322"/>
        <v>#DIV/0!</v>
      </c>
      <c r="Y172" s="6" t="e">
        <f t="shared" si="322"/>
        <v>#DIV/0!</v>
      </c>
      <c r="Z172" s="6" t="e">
        <f t="shared" si="322"/>
        <v>#DIV/0!</v>
      </c>
    </row>
    <row r="173" spans="1:26" x14ac:dyDescent="0.2">
      <c r="A173" s="7" t="s">
        <v>99</v>
      </c>
      <c r="B173" s="6">
        <f t="shared" si="265"/>
        <v>4</v>
      </c>
      <c r="C173" s="7" t="s">
        <v>154</v>
      </c>
      <c r="D173" s="68">
        <v>67</v>
      </c>
      <c r="E173" s="68">
        <v>47</v>
      </c>
      <c r="F173" s="65">
        <f t="shared" si="260"/>
        <v>0.70149253731343286</v>
      </c>
      <c r="G173" s="60" t="e">
        <f t="shared" si="266"/>
        <v>#DIV/0!</v>
      </c>
      <c r="H173" s="65" t="e">
        <f t="shared" ref="H173:J173" si="323">H161</f>
        <v>#DIV/0!</v>
      </c>
      <c r="I173" s="65" t="e">
        <f t="shared" si="323"/>
        <v>#DIV/0!</v>
      </c>
      <c r="J173" s="65" t="e">
        <f t="shared" si="323"/>
        <v>#DIV/0!</v>
      </c>
      <c r="K173" s="69">
        <v>7200</v>
      </c>
      <c r="L173" s="69">
        <f>'Monitoramento Acumulado Geral'!Q173</f>
        <v>245</v>
      </c>
      <c r="M173" s="6">
        <f>(SUM(L170:L173))/K172</f>
        <v>4.2361111111111113E-2</v>
      </c>
      <c r="N173" s="35" t="e">
        <f t="shared" si="268"/>
        <v>#DIV/0!</v>
      </c>
      <c r="O173" s="6" t="e">
        <f t="shared" ref="O173:Q173" si="324">O161</f>
        <v>#DIV/0!</v>
      </c>
      <c r="P173" s="6" t="e">
        <f t="shared" si="324"/>
        <v>#DIV/0!</v>
      </c>
      <c r="Q173" s="6" t="e">
        <f t="shared" si="324"/>
        <v>#DIV/0!</v>
      </c>
      <c r="R173" s="69">
        <v>50</v>
      </c>
      <c r="S173" s="69">
        <v>0</v>
      </c>
      <c r="T173" s="6">
        <f t="shared" si="263"/>
        <v>0</v>
      </c>
      <c r="U173" s="35" t="e">
        <f t="shared" si="270"/>
        <v>#DIV/0!</v>
      </c>
      <c r="V173" s="6" t="e">
        <f t="shared" ref="V173:Z173" si="325">V161</f>
        <v>#DIV/0!</v>
      </c>
      <c r="W173" s="6" t="e">
        <f t="shared" si="325"/>
        <v>#DIV/0!</v>
      </c>
      <c r="X173" s="6" t="e">
        <f t="shared" si="325"/>
        <v>#DIV/0!</v>
      </c>
      <c r="Y173" s="6" t="e">
        <f t="shared" si="325"/>
        <v>#DIV/0!</v>
      </c>
      <c r="Z173" s="6" t="e">
        <f t="shared" si="325"/>
        <v>#DIV/0!</v>
      </c>
    </row>
    <row r="174" spans="1:26" x14ac:dyDescent="0.2">
      <c r="A174" s="7" t="s">
        <v>99</v>
      </c>
      <c r="B174" s="6">
        <f t="shared" si="265"/>
        <v>5</v>
      </c>
      <c r="C174" s="7" t="s">
        <v>155</v>
      </c>
      <c r="D174" s="68">
        <v>67</v>
      </c>
      <c r="E174" s="68">
        <v>53</v>
      </c>
      <c r="F174" s="65">
        <f t="shared" si="260"/>
        <v>0.79104477611940294</v>
      </c>
      <c r="G174" s="60" t="e">
        <f t="shared" si="266"/>
        <v>#DIV/0!</v>
      </c>
      <c r="H174" s="65" t="e">
        <f t="shared" ref="H174:J174" si="326">H162</f>
        <v>#DIV/0!</v>
      </c>
      <c r="I174" s="65" t="e">
        <f t="shared" si="326"/>
        <v>#DIV/0!</v>
      </c>
      <c r="J174" s="65" t="e">
        <f t="shared" si="326"/>
        <v>#DIV/0!</v>
      </c>
      <c r="K174" s="69">
        <v>7200</v>
      </c>
      <c r="L174" s="69">
        <f>'Monitoramento Acumulado Geral'!Q174</f>
        <v>577.5</v>
      </c>
      <c r="M174" s="6">
        <f>(SUM(L170:L174))/K173</f>
        <v>0.12256944444444444</v>
      </c>
      <c r="N174" s="35" t="e">
        <f t="shared" si="268"/>
        <v>#DIV/0!</v>
      </c>
      <c r="O174" s="6" t="e">
        <f t="shared" ref="O174:Q174" si="327">O162</f>
        <v>#DIV/0!</v>
      </c>
      <c r="P174" s="6" t="e">
        <f t="shared" si="327"/>
        <v>#DIV/0!</v>
      </c>
      <c r="Q174" s="6" t="e">
        <f t="shared" si="327"/>
        <v>#DIV/0!</v>
      </c>
      <c r="R174" s="69">
        <v>50</v>
      </c>
      <c r="S174" s="69">
        <v>28</v>
      </c>
      <c r="T174" s="6">
        <f t="shared" si="263"/>
        <v>0.56000000000000005</v>
      </c>
      <c r="U174" s="35" t="e">
        <f t="shared" si="270"/>
        <v>#DIV/0!</v>
      </c>
      <c r="V174" s="6" t="e">
        <f t="shared" ref="V174:Z174" si="328">V162</f>
        <v>#DIV/0!</v>
      </c>
      <c r="W174" s="6" t="e">
        <f t="shared" si="328"/>
        <v>#DIV/0!</v>
      </c>
      <c r="X174" s="6" t="e">
        <f t="shared" si="328"/>
        <v>#DIV/0!</v>
      </c>
      <c r="Y174" s="6" t="e">
        <f t="shared" si="328"/>
        <v>#DIV/0!</v>
      </c>
      <c r="Z174" s="6" t="e">
        <f t="shared" si="328"/>
        <v>#DIV/0!</v>
      </c>
    </row>
    <row r="175" spans="1:26" x14ac:dyDescent="0.2">
      <c r="A175" s="7" t="s">
        <v>99</v>
      </c>
      <c r="B175" s="6">
        <f t="shared" si="265"/>
        <v>6</v>
      </c>
      <c r="C175" s="7" t="s">
        <v>156</v>
      </c>
      <c r="D175" s="68">
        <v>67</v>
      </c>
      <c r="E175" s="68">
        <v>53</v>
      </c>
      <c r="F175" s="65">
        <f t="shared" si="260"/>
        <v>0.79104477611940294</v>
      </c>
      <c r="G175" s="60" t="e">
        <f t="shared" si="266"/>
        <v>#DIV/0!</v>
      </c>
      <c r="H175" s="65" t="e">
        <f t="shared" ref="H175:J175" si="329">H163</f>
        <v>#DIV/0!</v>
      </c>
      <c r="I175" s="65" t="e">
        <f t="shared" si="329"/>
        <v>#DIV/0!</v>
      </c>
      <c r="J175" s="65" t="e">
        <f t="shared" si="329"/>
        <v>#DIV/0!</v>
      </c>
      <c r="K175" s="69">
        <v>7200</v>
      </c>
      <c r="L175" s="69">
        <f>'Monitoramento Acumulado Geral'!Q175</f>
        <v>350</v>
      </c>
      <c r="M175" s="6">
        <f>(SUM(L170:L175))/K174</f>
        <v>0.17118055555555556</v>
      </c>
      <c r="N175" s="35" t="e">
        <f t="shared" si="268"/>
        <v>#DIV/0!</v>
      </c>
      <c r="O175" s="6" t="e">
        <f t="shared" ref="O175:Q175" si="330">O163</f>
        <v>#DIV/0!</v>
      </c>
      <c r="P175" s="6" t="e">
        <f t="shared" si="330"/>
        <v>#DIV/0!</v>
      </c>
      <c r="Q175" s="6" t="e">
        <f t="shared" si="330"/>
        <v>#DIV/0!</v>
      </c>
      <c r="R175" s="69">
        <v>50</v>
      </c>
      <c r="S175" s="69">
        <v>28</v>
      </c>
      <c r="T175" s="6">
        <f t="shared" si="263"/>
        <v>0.56000000000000005</v>
      </c>
      <c r="U175" s="35" t="e">
        <f t="shared" si="270"/>
        <v>#DIV/0!</v>
      </c>
      <c r="V175" s="6" t="e">
        <f t="shared" ref="V175:Z175" si="331">V163</f>
        <v>#DIV/0!</v>
      </c>
      <c r="W175" s="6" t="e">
        <f t="shared" si="331"/>
        <v>#DIV/0!</v>
      </c>
      <c r="X175" s="6" t="e">
        <f t="shared" si="331"/>
        <v>#DIV/0!</v>
      </c>
      <c r="Y175" s="6" t="e">
        <f t="shared" si="331"/>
        <v>#DIV/0!</v>
      </c>
      <c r="Z175" s="6" t="e">
        <f t="shared" si="331"/>
        <v>#DIV/0!</v>
      </c>
    </row>
    <row r="176" spans="1:26" x14ac:dyDescent="0.2">
      <c r="A176" s="7" t="s">
        <v>99</v>
      </c>
      <c r="B176" s="6">
        <f t="shared" si="265"/>
        <v>7</v>
      </c>
      <c r="C176" s="7" t="s">
        <v>157</v>
      </c>
      <c r="D176" s="68">
        <v>67</v>
      </c>
      <c r="E176" s="68">
        <v>65</v>
      </c>
      <c r="F176" s="65">
        <f t="shared" si="260"/>
        <v>0.97014925373134331</v>
      </c>
      <c r="G176" s="60" t="e">
        <f t="shared" si="266"/>
        <v>#DIV/0!</v>
      </c>
      <c r="H176" s="65" t="e">
        <f t="shared" ref="H176:J176" si="332">H164</f>
        <v>#DIV/0!</v>
      </c>
      <c r="I176" s="65" t="e">
        <f t="shared" si="332"/>
        <v>#DIV/0!</v>
      </c>
      <c r="J176" s="65" t="e">
        <f t="shared" si="332"/>
        <v>#DIV/0!</v>
      </c>
      <c r="K176" s="69">
        <v>7200</v>
      </c>
      <c r="L176" s="69">
        <f>'Monitoramento Acumulado Geral'!Q176</f>
        <v>1400</v>
      </c>
      <c r="M176" s="6">
        <f>(SUM(L170:L176))/K175</f>
        <v>0.36562499999999998</v>
      </c>
      <c r="N176" s="35" t="e">
        <f t="shared" si="268"/>
        <v>#DIV/0!</v>
      </c>
      <c r="O176" s="6" t="e">
        <f t="shared" ref="O176:Q176" si="333">O164</f>
        <v>#DIV/0!</v>
      </c>
      <c r="P176" s="6" t="e">
        <f t="shared" si="333"/>
        <v>#DIV/0!</v>
      </c>
      <c r="Q176" s="6" t="e">
        <f t="shared" si="333"/>
        <v>#DIV/0!</v>
      </c>
      <c r="R176" s="69">
        <v>50</v>
      </c>
      <c r="S176" s="69">
        <v>28</v>
      </c>
      <c r="T176" s="6">
        <f t="shared" si="263"/>
        <v>0.56000000000000005</v>
      </c>
      <c r="U176" s="35" t="e">
        <f t="shared" si="270"/>
        <v>#DIV/0!</v>
      </c>
      <c r="V176" s="6" t="e">
        <f t="shared" ref="V176:Z176" si="334">V164</f>
        <v>#DIV/0!</v>
      </c>
      <c r="W176" s="6" t="e">
        <f t="shared" si="334"/>
        <v>#DIV/0!</v>
      </c>
      <c r="X176" s="6" t="e">
        <f t="shared" si="334"/>
        <v>#DIV/0!</v>
      </c>
      <c r="Y176" s="6" t="e">
        <f t="shared" si="334"/>
        <v>#DIV/0!</v>
      </c>
      <c r="Z176" s="6" t="e">
        <f t="shared" si="334"/>
        <v>#DIV/0!</v>
      </c>
    </row>
    <row r="177" spans="1:26" x14ac:dyDescent="0.2">
      <c r="A177" s="7" t="s">
        <v>99</v>
      </c>
      <c r="B177" s="6">
        <f t="shared" si="265"/>
        <v>8</v>
      </c>
      <c r="C177" s="7" t="s">
        <v>158</v>
      </c>
      <c r="D177" s="68">
        <v>67</v>
      </c>
      <c r="E177" s="68">
        <v>65</v>
      </c>
      <c r="F177" s="65">
        <f t="shared" si="260"/>
        <v>0.97014925373134331</v>
      </c>
      <c r="G177" s="60" t="e">
        <f t="shared" si="266"/>
        <v>#DIV/0!</v>
      </c>
      <c r="H177" s="65" t="e">
        <f t="shared" ref="H177:J177" si="335">H165</f>
        <v>#DIV/0!</v>
      </c>
      <c r="I177" s="65" t="e">
        <f t="shared" si="335"/>
        <v>#DIV/0!</v>
      </c>
      <c r="J177" s="65" t="e">
        <f t="shared" si="335"/>
        <v>#DIV/0!</v>
      </c>
      <c r="K177" s="69">
        <v>7200</v>
      </c>
      <c r="L177" s="69">
        <f>'Monitoramento Acumulado Geral'!Q177</f>
        <v>0</v>
      </c>
      <c r="M177" s="6">
        <f>(SUM(L170:L177))/K176</f>
        <v>0.36562499999999998</v>
      </c>
      <c r="N177" s="35" t="e">
        <f t="shared" si="268"/>
        <v>#DIV/0!</v>
      </c>
      <c r="O177" s="6" t="e">
        <f t="shared" ref="O177:Q177" si="336">O165</f>
        <v>#DIV/0!</v>
      </c>
      <c r="P177" s="6" t="e">
        <f t="shared" si="336"/>
        <v>#DIV/0!</v>
      </c>
      <c r="Q177" s="6" t="e">
        <f t="shared" si="336"/>
        <v>#DIV/0!</v>
      </c>
      <c r="R177" s="69">
        <v>50</v>
      </c>
      <c r="S177" s="69">
        <v>28</v>
      </c>
      <c r="T177" s="6">
        <f t="shared" si="263"/>
        <v>0.56000000000000005</v>
      </c>
      <c r="U177" s="35" t="e">
        <f t="shared" si="270"/>
        <v>#DIV/0!</v>
      </c>
      <c r="V177" s="6" t="e">
        <f t="shared" ref="V177:Z177" si="337">V165</f>
        <v>#DIV/0!</v>
      </c>
      <c r="W177" s="6" t="e">
        <f t="shared" si="337"/>
        <v>#DIV/0!</v>
      </c>
      <c r="X177" s="6" t="e">
        <f t="shared" si="337"/>
        <v>#DIV/0!</v>
      </c>
      <c r="Y177" s="6" t="e">
        <f t="shared" si="337"/>
        <v>#DIV/0!</v>
      </c>
      <c r="Z177" s="6" t="e">
        <f t="shared" si="337"/>
        <v>#DIV/0!</v>
      </c>
    </row>
    <row r="178" spans="1:26" x14ac:dyDescent="0.2">
      <c r="A178" s="7" t="s">
        <v>99</v>
      </c>
      <c r="B178" s="6">
        <f t="shared" si="265"/>
        <v>9</v>
      </c>
      <c r="C178" s="7" t="s">
        <v>159</v>
      </c>
      <c r="D178" s="68">
        <v>67</v>
      </c>
      <c r="E178" s="68">
        <v>65</v>
      </c>
      <c r="F178" s="65">
        <f t="shared" si="260"/>
        <v>0.97014925373134331</v>
      </c>
      <c r="G178" s="60" t="e">
        <f t="shared" si="266"/>
        <v>#DIV/0!</v>
      </c>
      <c r="H178" s="65" t="e">
        <f t="shared" ref="H178:J178" si="338">H166</f>
        <v>#DIV/0!</v>
      </c>
      <c r="I178" s="65" t="e">
        <f t="shared" si="338"/>
        <v>#DIV/0!</v>
      </c>
      <c r="J178" s="65" t="e">
        <f t="shared" si="338"/>
        <v>#DIV/0!</v>
      </c>
      <c r="K178" s="69">
        <v>7200</v>
      </c>
      <c r="L178" s="69">
        <f>'Monitoramento Acumulado Geral'!Q178</f>
        <v>0</v>
      </c>
      <c r="M178" s="6">
        <f>(SUM(L170:L178))/K177</f>
        <v>0.36562499999999998</v>
      </c>
      <c r="N178" s="35" t="e">
        <f t="shared" si="268"/>
        <v>#DIV/0!</v>
      </c>
      <c r="O178" s="6" t="e">
        <f t="shared" ref="O178:Q178" si="339">O166</f>
        <v>#DIV/0!</v>
      </c>
      <c r="P178" s="6" t="e">
        <f t="shared" si="339"/>
        <v>#DIV/0!</v>
      </c>
      <c r="Q178" s="6" t="e">
        <f t="shared" si="339"/>
        <v>#DIV/0!</v>
      </c>
      <c r="R178" s="69">
        <v>50</v>
      </c>
      <c r="S178" s="69">
        <v>28</v>
      </c>
      <c r="T178" s="6">
        <f t="shared" si="263"/>
        <v>0.56000000000000005</v>
      </c>
      <c r="U178" s="35" t="e">
        <f t="shared" si="270"/>
        <v>#DIV/0!</v>
      </c>
      <c r="V178" s="6" t="e">
        <f t="shared" ref="V178:Z178" si="340">V166</f>
        <v>#DIV/0!</v>
      </c>
      <c r="W178" s="6" t="e">
        <f t="shared" si="340"/>
        <v>#DIV/0!</v>
      </c>
      <c r="X178" s="6" t="e">
        <f t="shared" si="340"/>
        <v>#DIV/0!</v>
      </c>
      <c r="Y178" s="6" t="e">
        <f t="shared" si="340"/>
        <v>#DIV/0!</v>
      </c>
      <c r="Z178" s="6" t="e">
        <f t="shared" si="340"/>
        <v>#DIV/0!</v>
      </c>
    </row>
    <row r="179" spans="1:26" x14ac:dyDescent="0.2">
      <c r="A179" s="7" t="s">
        <v>99</v>
      </c>
      <c r="B179" s="6">
        <f t="shared" si="265"/>
        <v>10</v>
      </c>
      <c r="C179" s="7" t="s">
        <v>160</v>
      </c>
      <c r="D179" s="68">
        <v>67</v>
      </c>
      <c r="E179" s="68">
        <v>65</v>
      </c>
      <c r="F179" s="65">
        <f t="shared" si="260"/>
        <v>0.97014925373134331</v>
      </c>
      <c r="G179" s="60" t="e">
        <f t="shared" si="266"/>
        <v>#DIV/0!</v>
      </c>
      <c r="H179" s="65" t="e">
        <f t="shared" ref="H179:J179" si="341">H167</f>
        <v>#DIV/0!</v>
      </c>
      <c r="I179" s="65" t="e">
        <f t="shared" si="341"/>
        <v>#DIV/0!</v>
      </c>
      <c r="J179" s="65" t="e">
        <f t="shared" si="341"/>
        <v>#DIV/0!</v>
      </c>
      <c r="K179" s="69">
        <v>7200</v>
      </c>
      <c r="L179" s="69">
        <f>'Monitoramento Acumulado Geral'!Q179</f>
        <v>0</v>
      </c>
      <c r="M179" s="6">
        <f>(SUM(L170:L179))/K178</f>
        <v>0.36562499999999998</v>
      </c>
      <c r="N179" s="35" t="e">
        <f t="shared" si="268"/>
        <v>#DIV/0!</v>
      </c>
      <c r="O179" s="6" t="e">
        <f t="shared" ref="O179:Q179" si="342">O167</f>
        <v>#DIV/0!</v>
      </c>
      <c r="P179" s="6" t="e">
        <f t="shared" si="342"/>
        <v>#DIV/0!</v>
      </c>
      <c r="Q179" s="6" t="e">
        <f t="shared" si="342"/>
        <v>#DIV/0!</v>
      </c>
      <c r="R179" s="69">
        <v>50</v>
      </c>
      <c r="S179" s="69">
        <v>28</v>
      </c>
      <c r="T179" s="6">
        <f t="shared" si="263"/>
        <v>0.56000000000000005</v>
      </c>
      <c r="U179" s="35" t="e">
        <f t="shared" si="270"/>
        <v>#DIV/0!</v>
      </c>
      <c r="V179" s="6" t="e">
        <f t="shared" ref="V179:Z179" si="343">V167</f>
        <v>#DIV/0!</v>
      </c>
      <c r="W179" s="6" t="e">
        <f t="shared" si="343"/>
        <v>#DIV/0!</v>
      </c>
      <c r="X179" s="6" t="e">
        <f t="shared" si="343"/>
        <v>#DIV/0!</v>
      </c>
      <c r="Y179" s="6" t="e">
        <f t="shared" si="343"/>
        <v>#DIV/0!</v>
      </c>
      <c r="Z179" s="6" t="e">
        <f t="shared" si="343"/>
        <v>#DIV/0!</v>
      </c>
    </row>
    <row r="180" spans="1:26" x14ac:dyDescent="0.2">
      <c r="A180" s="7" t="s">
        <v>99</v>
      </c>
      <c r="B180" s="6">
        <f t="shared" si="265"/>
        <v>11</v>
      </c>
      <c r="C180" s="7" t="s">
        <v>161</v>
      </c>
      <c r="D180" s="68">
        <v>67</v>
      </c>
      <c r="E180" s="68">
        <v>0</v>
      </c>
      <c r="F180" s="65">
        <f t="shared" si="260"/>
        <v>0</v>
      </c>
      <c r="G180" s="60" t="e">
        <f t="shared" si="266"/>
        <v>#DIV/0!</v>
      </c>
      <c r="H180" s="65" t="e">
        <f t="shared" ref="H180:J180" si="344">H168</f>
        <v>#DIV/0!</v>
      </c>
      <c r="I180" s="65" t="e">
        <f t="shared" si="344"/>
        <v>#DIV/0!</v>
      </c>
      <c r="J180" s="65" t="e">
        <f t="shared" si="344"/>
        <v>#DIV/0!</v>
      </c>
      <c r="K180" s="69">
        <v>7200</v>
      </c>
      <c r="L180" s="69">
        <f>'Monitoramento Acumulado Geral'!Q180</f>
        <v>0</v>
      </c>
      <c r="M180" s="6">
        <f>(SUM(L170:L180))/K179</f>
        <v>0.36562499999999998</v>
      </c>
      <c r="N180" s="35" t="e">
        <f t="shared" si="268"/>
        <v>#DIV/0!</v>
      </c>
      <c r="O180" s="6" t="e">
        <f t="shared" ref="O180:Q180" si="345">O168</f>
        <v>#DIV/0!</v>
      </c>
      <c r="P180" s="6" t="e">
        <f t="shared" si="345"/>
        <v>#DIV/0!</v>
      </c>
      <c r="Q180" s="6" t="e">
        <f t="shared" si="345"/>
        <v>#DIV/0!</v>
      </c>
      <c r="R180" s="69">
        <v>50</v>
      </c>
      <c r="S180" s="69">
        <v>0</v>
      </c>
      <c r="T180" s="6">
        <f t="shared" si="263"/>
        <v>0</v>
      </c>
      <c r="U180" s="35" t="e">
        <f t="shared" si="270"/>
        <v>#DIV/0!</v>
      </c>
      <c r="V180" s="6" t="e">
        <f t="shared" ref="V180:Z180" si="346">V168</f>
        <v>#DIV/0!</v>
      </c>
      <c r="W180" s="6" t="e">
        <f t="shared" si="346"/>
        <v>#DIV/0!</v>
      </c>
      <c r="X180" s="6" t="e">
        <f t="shared" si="346"/>
        <v>#DIV/0!</v>
      </c>
      <c r="Y180" s="6" t="e">
        <f t="shared" si="346"/>
        <v>#DIV/0!</v>
      </c>
      <c r="Z180" s="6" t="e">
        <f t="shared" si="346"/>
        <v>#DIV/0!</v>
      </c>
    </row>
    <row r="181" spans="1:26" x14ac:dyDescent="0.2">
      <c r="A181" s="7" t="s">
        <v>99</v>
      </c>
      <c r="B181" s="6">
        <f t="shared" si="265"/>
        <v>12</v>
      </c>
      <c r="C181" s="7" t="s">
        <v>162</v>
      </c>
      <c r="D181" s="68">
        <v>67</v>
      </c>
      <c r="E181" s="68">
        <v>0</v>
      </c>
      <c r="F181" s="65">
        <f t="shared" si="260"/>
        <v>0</v>
      </c>
      <c r="G181" s="60" t="e">
        <f t="shared" si="266"/>
        <v>#DIV/0!</v>
      </c>
      <c r="H181" s="65" t="e">
        <f t="shared" ref="H181:J181" si="347">H169</f>
        <v>#DIV/0!</v>
      </c>
      <c r="I181" s="65" t="e">
        <f t="shared" si="347"/>
        <v>#DIV/0!</v>
      </c>
      <c r="J181" s="65" t="e">
        <f t="shared" si="347"/>
        <v>#DIV/0!</v>
      </c>
      <c r="K181" s="69">
        <v>7200</v>
      </c>
      <c r="L181" s="69">
        <f>'Monitoramento Acumulado Geral'!Q181</f>
        <v>0</v>
      </c>
      <c r="M181" s="6">
        <f>(SUM(L170:L181))/K180</f>
        <v>0.36562499999999998</v>
      </c>
      <c r="N181" s="35" t="e">
        <f t="shared" si="268"/>
        <v>#DIV/0!</v>
      </c>
      <c r="O181" s="6" t="e">
        <f t="shared" ref="O181:Q181" si="348">O169</f>
        <v>#DIV/0!</v>
      </c>
      <c r="P181" s="6" t="e">
        <f t="shared" si="348"/>
        <v>#DIV/0!</v>
      </c>
      <c r="Q181" s="6" t="e">
        <f t="shared" si="348"/>
        <v>#DIV/0!</v>
      </c>
      <c r="R181" s="69">
        <v>50</v>
      </c>
      <c r="S181" s="69">
        <v>0</v>
      </c>
      <c r="T181" s="6">
        <f t="shared" si="263"/>
        <v>0</v>
      </c>
      <c r="U181" s="35" t="e">
        <f t="shared" si="270"/>
        <v>#DIV/0!</v>
      </c>
      <c r="V181" s="6" t="e">
        <f t="shared" ref="V181:Z181" si="349">V169</f>
        <v>#DIV/0!</v>
      </c>
      <c r="W181" s="6" t="e">
        <f t="shared" si="349"/>
        <v>#DIV/0!</v>
      </c>
      <c r="X181" s="6" t="e">
        <f t="shared" si="349"/>
        <v>#DIV/0!</v>
      </c>
      <c r="Y181" s="6" t="e">
        <f t="shared" si="349"/>
        <v>#DIV/0!</v>
      </c>
      <c r="Z181" s="6" t="e">
        <f t="shared" si="349"/>
        <v>#DIV/0!</v>
      </c>
    </row>
    <row r="182" spans="1:26" x14ac:dyDescent="0.2">
      <c r="A182" s="7" t="s">
        <v>123</v>
      </c>
      <c r="B182" s="6">
        <f t="shared" si="265"/>
        <v>1</v>
      </c>
      <c r="C182" s="7" t="s">
        <v>151</v>
      </c>
      <c r="D182" s="68">
        <v>75</v>
      </c>
      <c r="E182" s="68">
        <v>21</v>
      </c>
      <c r="F182" s="65">
        <f t="shared" si="260"/>
        <v>0.28000000000000003</v>
      </c>
      <c r="G182" s="60" t="e">
        <f t="shared" si="266"/>
        <v>#DIV/0!</v>
      </c>
      <c r="H182" s="65" t="e">
        <f t="shared" ref="H182:J182" si="350">H170</f>
        <v>#DIV/0!</v>
      </c>
      <c r="I182" s="65" t="e">
        <f t="shared" si="350"/>
        <v>#DIV/0!</v>
      </c>
      <c r="J182" s="65" t="e">
        <f t="shared" si="350"/>
        <v>#DIV/0!</v>
      </c>
      <c r="K182" s="69">
        <v>34200</v>
      </c>
      <c r="L182" s="69">
        <f>'Monitoramento Acumulado Geral'!Q182</f>
        <v>1400</v>
      </c>
      <c r="M182" s="6">
        <f>L182/K182</f>
        <v>4.0935672514619881E-2</v>
      </c>
      <c r="N182" s="35" t="e">
        <f t="shared" si="268"/>
        <v>#DIV/0!</v>
      </c>
      <c r="O182" s="6" t="e">
        <f t="shared" ref="O182:Q182" si="351">O170</f>
        <v>#DIV/0!</v>
      </c>
      <c r="P182" s="6" t="e">
        <f t="shared" si="351"/>
        <v>#DIV/0!</v>
      </c>
      <c r="Q182" s="6" t="e">
        <f t="shared" si="351"/>
        <v>#DIV/0!</v>
      </c>
      <c r="R182" s="69">
        <v>80</v>
      </c>
      <c r="S182" s="69">
        <v>0</v>
      </c>
      <c r="T182" s="6">
        <f t="shared" si="263"/>
        <v>0</v>
      </c>
      <c r="U182" s="35" t="e">
        <f t="shared" si="270"/>
        <v>#DIV/0!</v>
      </c>
      <c r="V182" s="6" t="e">
        <f t="shared" ref="V182:Z182" si="352">V170</f>
        <v>#DIV/0!</v>
      </c>
      <c r="W182" s="6" t="e">
        <f t="shared" si="352"/>
        <v>#DIV/0!</v>
      </c>
      <c r="X182" s="6" t="e">
        <f t="shared" si="352"/>
        <v>#DIV/0!</v>
      </c>
      <c r="Y182" s="6" t="e">
        <f t="shared" si="352"/>
        <v>#DIV/0!</v>
      </c>
      <c r="Z182" s="6" t="e">
        <f t="shared" si="352"/>
        <v>#DIV/0!</v>
      </c>
    </row>
    <row r="183" spans="1:26" x14ac:dyDescent="0.2">
      <c r="A183" s="7" t="s">
        <v>123</v>
      </c>
      <c r="B183" s="6">
        <f t="shared" si="265"/>
        <v>2</v>
      </c>
      <c r="C183" s="7" t="s">
        <v>152</v>
      </c>
      <c r="D183" s="68">
        <v>75</v>
      </c>
      <c r="E183" s="68">
        <v>21</v>
      </c>
      <c r="F183" s="65">
        <f t="shared" si="260"/>
        <v>0.28000000000000003</v>
      </c>
      <c r="G183" s="60" t="e">
        <f t="shared" si="266"/>
        <v>#DIV/0!</v>
      </c>
      <c r="H183" s="65" t="e">
        <f t="shared" ref="H183:J183" si="353">H171</f>
        <v>#DIV/0!</v>
      </c>
      <c r="I183" s="65" t="e">
        <f t="shared" si="353"/>
        <v>#DIV/0!</v>
      </c>
      <c r="J183" s="65" t="e">
        <f t="shared" si="353"/>
        <v>#DIV/0!</v>
      </c>
      <c r="K183" s="69">
        <v>34200</v>
      </c>
      <c r="L183" s="69">
        <f>'Monitoramento Acumulado Geral'!Q183</f>
        <v>0</v>
      </c>
      <c r="M183" s="6">
        <f>(SUM(L182:L183))/K182</f>
        <v>4.0935672514619881E-2</v>
      </c>
      <c r="N183" s="35" t="e">
        <f t="shared" si="268"/>
        <v>#DIV/0!</v>
      </c>
      <c r="O183" s="6" t="e">
        <f t="shared" ref="O183:Q183" si="354">O171</f>
        <v>#DIV/0!</v>
      </c>
      <c r="P183" s="6" t="e">
        <f t="shared" si="354"/>
        <v>#DIV/0!</v>
      </c>
      <c r="Q183" s="6" t="e">
        <f t="shared" si="354"/>
        <v>#DIV/0!</v>
      </c>
      <c r="R183" s="69">
        <v>80</v>
      </c>
      <c r="S183" s="69">
        <v>0</v>
      </c>
      <c r="T183" s="6">
        <f t="shared" si="263"/>
        <v>0</v>
      </c>
      <c r="U183" s="35" t="e">
        <f t="shared" si="270"/>
        <v>#DIV/0!</v>
      </c>
      <c r="V183" s="6" t="e">
        <f t="shared" ref="V183:Z183" si="355">V171</f>
        <v>#DIV/0!</v>
      </c>
      <c r="W183" s="6" t="e">
        <f t="shared" si="355"/>
        <v>#DIV/0!</v>
      </c>
      <c r="X183" s="6" t="e">
        <f t="shared" si="355"/>
        <v>#DIV/0!</v>
      </c>
      <c r="Y183" s="6" t="e">
        <f t="shared" si="355"/>
        <v>#DIV/0!</v>
      </c>
      <c r="Z183" s="6" t="e">
        <f t="shared" si="355"/>
        <v>#DIV/0!</v>
      </c>
    </row>
    <row r="184" spans="1:26" x14ac:dyDescent="0.2">
      <c r="A184" s="7" t="s">
        <v>123</v>
      </c>
      <c r="B184" s="6">
        <f t="shared" si="265"/>
        <v>3</v>
      </c>
      <c r="C184" s="7" t="s">
        <v>153</v>
      </c>
      <c r="D184" s="68">
        <v>75</v>
      </c>
      <c r="E184" s="68">
        <v>21</v>
      </c>
      <c r="F184" s="65">
        <f t="shared" si="260"/>
        <v>0.28000000000000003</v>
      </c>
      <c r="G184" s="60" t="e">
        <f t="shared" si="266"/>
        <v>#DIV/0!</v>
      </c>
      <c r="H184" s="65" t="e">
        <f t="shared" ref="H184:J184" si="356">H172</f>
        <v>#DIV/0!</v>
      </c>
      <c r="I184" s="65" t="e">
        <f t="shared" si="356"/>
        <v>#DIV/0!</v>
      </c>
      <c r="J184" s="65" t="e">
        <f t="shared" si="356"/>
        <v>#DIV/0!</v>
      </c>
      <c r="K184" s="69">
        <v>34200</v>
      </c>
      <c r="L184" s="69">
        <f>'Monitoramento Acumulado Geral'!Q184</f>
        <v>0</v>
      </c>
      <c r="M184" s="6">
        <f>(SUM(L182:L184))/K183</f>
        <v>4.0935672514619881E-2</v>
      </c>
      <c r="N184" s="35" t="e">
        <f t="shared" si="268"/>
        <v>#DIV/0!</v>
      </c>
      <c r="O184" s="6" t="e">
        <f t="shared" ref="O184:Q184" si="357">O172</f>
        <v>#DIV/0!</v>
      </c>
      <c r="P184" s="6" t="e">
        <f t="shared" si="357"/>
        <v>#DIV/0!</v>
      </c>
      <c r="Q184" s="6" t="e">
        <f t="shared" si="357"/>
        <v>#DIV/0!</v>
      </c>
      <c r="R184" s="69">
        <v>80</v>
      </c>
      <c r="S184" s="69">
        <v>0</v>
      </c>
      <c r="T184" s="6">
        <f t="shared" si="263"/>
        <v>0</v>
      </c>
      <c r="U184" s="35" t="e">
        <f t="shared" si="270"/>
        <v>#DIV/0!</v>
      </c>
      <c r="V184" s="6" t="e">
        <f t="shared" ref="V184:Z184" si="358">V172</f>
        <v>#DIV/0!</v>
      </c>
      <c r="W184" s="6" t="e">
        <f t="shared" si="358"/>
        <v>#DIV/0!</v>
      </c>
      <c r="X184" s="6" t="e">
        <f t="shared" si="358"/>
        <v>#DIV/0!</v>
      </c>
      <c r="Y184" s="6" t="e">
        <f t="shared" si="358"/>
        <v>#DIV/0!</v>
      </c>
      <c r="Z184" s="6" t="e">
        <f t="shared" si="358"/>
        <v>#DIV/0!</v>
      </c>
    </row>
    <row r="185" spans="1:26" x14ac:dyDescent="0.2">
      <c r="A185" s="7" t="s">
        <v>123</v>
      </c>
      <c r="B185" s="6">
        <f t="shared" si="265"/>
        <v>4</v>
      </c>
      <c r="C185" s="7" t="s">
        <v>154</v>
      </c>
      <c r="D185" s="68">
        <v>75</v>
      </c>
      <c r="E185" s="68">
        <v>21</v>
      </c>
      <c r="F185" s="65">
        <f t="shared" si="260"/>
        <v>0.28000000000000003</v>
      </c>
      <c r="G185" s="60" t="e">
        <f t="shared" si="266"/>
        <v>#DIV/0!</v>
      </c>
      <c r="H185" s="65" t="e">
        <f t="shared" ref="H185:J185" si="359">H173</f>
        <v>#DIV/0!</v>
      </c>
      <c r="I185" s="65" t="e">
        <f t="shared" si="359"/>
        <v>#DIV/0!</v>
      </c>
      <c r="J185" s="65" t="e">
        <f t="shared" si="359"/>
        <v>#DIV/0!</v>
      </c>
      <c r="K185" s="69">
        <v>34200</v>
      </c>
      <c r="L185" s="69">
        <f>'Monitoramento Acumulado Geral'!Q185</f>
        <v>0</v>
      </c>
      <c r="M185" s="6">
        <f>(SUM(L182:L185))/K184</f>
        <v>4.0935672514619881E-2</v>
      </c>
      <c r="N185" s="35" t="e">
        <f t="shared" si="268"/>
        <v>#DIV/0!</v>
      </c>
      <c r="O185" s="6" t="e">
        <f t="shared" ref="O185:Q185" si="360">O173</f>
        <v>#DIV/0!</v>
      </c>
      <c r="P185" s="6" t="e">
        <f t="shared" si="360"/>
        <v>#DIV/0!</v>
      </c>
      <c r="Q185" s="6" t="e">
        <f t="shared" si="360"/>
        <v>#DIV/0!</v>
      </c>
      <c r="R185" s="69">
        <v>80</v>
      </c>
      <c r="S185" s="69">
        <v>0</v>
      </c>
      <c r="T185" s="6">
        <f t="shared" si="263"/>
        <v>0</v>
      </c>
      <c r="U185" s="35" t="e">
        <f t="shared" si="270"/>
        <v>#DIV/0!</v>
      </c>
      <c r="V185" s="6" t="e">
        <f t="shared" ref="V185:Z185" si="361">V173</f>
        <v>#DIV/0!</v>
      </c>
      <c r="W185" s="6" t="e">
        <f t="shared" si="361"/>
        <v>#DIV/0!</v>
      </c>
      <c r="X185" s="6" t="e">
        <f t="shared" si="361"/>
        <v>#DIV/0!</v>
      </c>
      <c r="Y185" s="6" t="e">
        <f t="shared" si="361"/>
        <v>#DIV/0!</v>
      </c>
      <c r="Z185" s="6" t="e">
        <f t="shared" si="361"/>
        <v>#DIV/0!</v>
      </c>
    </row>
    <row r="186" spans="1:26" x14ac:dyDescent="0.2">
      <c r="A186" s="7" t="s">
        <v>123</v>
      </c>
      <c r="B186" s="6">
        <f t="shared" si="265"/>
        <v>5</v>
      </c>
      <c r="C186" s="7" t="s">
        <v>155</v>
      </c>
      <c r="D186" s="68">
        <v>75</v>
      </c>
      <c r="E186" s="68">
        <v>21</v>
      </c>
      <c r="F186" s="65">
        <f t="shared" si="260"/>
        <v>0.28000000000000003</v>
      </c>
      <c r="G186" s="60" t="e">
        <f t="shared" si="266"/>
        <v>#DIV/0!</v>
      </c>
      <c r="H186" s="65" t="e">
        <f t="shared" ref="H186:J186" si="362">H174</f>
        <v>#DIV/0!</v>
      </c>
      <c r="I186" s="65" t="e">
        <f t="shared" si="362"/>
        <v>#DIV/0!</v>
      </c>
      <c r="J186" s="65" t="e">
        <f t="shared" si="362"/>
        <v>#DIV/0!</v>
      </c>
      <c r="K186" s="69">
        <v>34200</v>
      </c>
      <c r="L186" s="69">
        <f>'Monitoramento Acumulado Geral'!Q186</f>
        <v>0</v>
      </c>
      <c r="M186" s="6">
        <f>(SUM(L182:L186))/K185</f>
        <v>4.0935672514619881E-2</v>
      </c>
      <c r="N186" s="35" t="e">
        <f t="shared" si="268"/>
        <v>#DIV/0!</v>
      </c>
      <c r="O186" s="6" t="e">
        <f t="shared" ref="O186:Q186" si="363">O174</f>
        <v>#DIV/0!</v>
      </c>
      <c r="P186" s="6" t="e">
        <f t="shared" si="363"/>
        <v>#DIV/0!</v>
      </c>
      <c r="Q186" s="6" t="e">
        <f t="shared" si="363"/>
        <v>#DIV/0!</v>
      </c>
      <c r="R186" s="69">
        <v>80</v>
      </c>
      <c r="S186" s="69">
        <v>32</v>
      </c>
      <c r="T186" s="6">
        <f t="shared" si="263"/>
        <v>0.4</v>
      </c>
      <c r="U186" s="35" t="e">
        <f t="shared" si="270"/>
        <v>#DIV/0!</v>
      </c>
      <c r="V186" s="6" t="e">
        <f t="shared" ref="V186:Z186" si="364">V174</f>
        <v>#DIV/0!</v>
      </c>
      <c r="W186" s="6" t="e">
        <f t="shared" si="364"/>
        <v>#DIV/0!</v>
      </c>
      <c r="X186" s="6" t="e">
        <f t="shared" si="364"/>
        <v>#DIV/0!</v>
      </c>
      <c r="Y186" s="6" t="e">
        <f t="shared" si="364"/>
        <v>#DIV/0!</v>
      </c>
      <c r="Z186" s="6" t="e">
        <f t="shared" si="364"/>
        <v>#DIV/0!</v>
      </c>
    </row>
    <row r="187" spans="1:26" x14ac:dyDescent="0.2">
      <c r="A187" s="7" t="s">
        <v>123</v>
      </c>
      <c r="B187" s="6">
        <f t="shared" si="265"/>
        <v>6</v>
      </c>
      <c r="C187" s="7" t="s">
        <v>156</v>
      </c>
      <c r="D187" s="68">
        <v>75</v>
      </c>
      <c r="E187" s="68">
        <v>21</v>
      </c>
      <c r="F187" s="65">
        <f t="shared" si="260"/>
        <v>0.28000000000000003</v>
      </c>
      <c r="G187" s="60" t="e">
        <f t="shared" si="266"/>
        <v>#DIV/0!</v>
      </c>
      <c r="H187" s="65" t="e">
        <f t="shared" ref="H187:J187" si="365">H175</f>
        <v>#DIV/0!</v>
      </c>
      <c r="I187" s="65" t="e">
        <f t="shared" si="365"/>
        <v>#DIV/0!</v>
      </c>
      <c r="J187" s="65" t="e">
        <f t="shared" si="365"/>
        <v>#DIV/0!</v>
      </c>
      <c r="K187" s="69">
        <v>34200</v>
      </c>
      <c r="L187" s="69">
        <f>'Monitoramento Acumulado Geral'!Q187</f>
        <v>0</v>
      </c>
      <c r="M187" s="6">
        <f>(SUM(L182:L187))/K186</f>
        <v>4.0935672514619881E-2</v>
      </c>
      <c r="N187" s="35" t="e">
        <f t="shared" si="268"/>
        <v>#DIV/0!</v>
      </c>
      <c r="O187" s="6" t="e">
        <f t="shared" ref="O187:Q187" si="366">O175</f>
        <v>#DIV/0!</v>
      </c>
      <c r="P187" s="6" t="e">
        <f t="shared" si="366"/>
        <v>#DIV/0!</v>
      </c>
      <c r="Q187" s="6" t="e">
        <f t="shared" si="366"/>
        <v>#DIV/0!</v>
      </c>
      <c r="R187" s="69">
        <v>80</v>
      </c>
      <c r="S187" s="69">
        <v>32</v>
      </c>
      <c r="T187" s="6">
        <f t="shared" si="263"/>
        <v>0.4</v>
      </c>
      <c r="U187" s="35" t="e">
        <f t="shared" si="270"/>
        <v>#DIV/0!</v>
      </c>
      <c r="V187" s="6" t="e">
        <f t="shared" ref="V187:Z187" si="367">V175</f>
        <v>#DIV/0!</v>
      </c>
      <c r="W187" s="6" t="e">
        <f t="shared" si="367"/>
        <v>#DIV/0!</v>
      </c>
      <c r="X187" s="6" t="e">
        <f t="shared" si="367"/>
        <v>#DIV/0!</v>
      </c>
      <c r="Y187" s="6" t="e">
        <f t="shared" si="367"/>
        <v>#DIV/0!</v>
      </c>
      <c r="Z187" s="6" t="e">
        <f t="shared" si="367"/>
        <v>#DIV/0!</v>
      </c>
    </row>
    <row r="188" spans="1:26" x14ac:dyDescent="0.2">
      <c r="A188" s="7" t="s">
        <v>123</v>
      </c>
      <c r="B188" s="6">
        <f t="shared" si="265"/>
        <v>7</v>
      </c>
      <c r="C188" s="7" t="s">
        <v>157</v>
      </c>
      <c r="D188" s="68">
        <v>75</v>
      </c>
      <c r="E188" s="68">
        <v>37</v>
      </c>
      <c r="F188" s="65">
        <f t="shared" si="260"/>
        <v>0.49333333333333335</v>
      </c>
      <c r="G188" s="60" t="e">
        <f t="shared" si="266"/>
        <v>#DIV/0!</v>
      </c>
      <c r="H188" s="65" t="e">
        <f t="shared" ref="H188:J188" si="368">H176</f>
        <v>#DIV/0!</v>
      </c>
      <c r="I188" s="65" t="e">
        <f t="shared" si="368"/>
        <v>#DIV/0!</v>
      </c>
      <c r="J188" s="65" t="e">
        <f t="shared" si="368"/>
        <v>#DIV/0!</v>
      </c>
      <c r="K188" s="69">
        <v>34200</v>
      </c>
      <c r="L188" s="69">
        <f>'Monitoramento Acumulado Geral'!Q188</f>
        <v>12450</v>
      </c>
      <c r="M188" s="6">
        <f>(SUM(L182:L188))/K187</f>
        <v>0.40497076023391815</v>
      </c>
      <c r="N188" s="35" t="e">
        <f t="shared" si="268"/>
        <v>#DIV/0!</v>
      </c>
      <c r="O188" s="6" t="e">
        <f t="shared" ref="O188:Q188" si="369">O176</f>
        <v>#DIV/0!</v>
      </c>
      <c r="P188" s="6" t="e">
        <f t="shared" si="369"/>
        <v>#DIV/0!</v>
      </c>
      <c r="Q188" s="6" t="e">
        <f t="shared" si="369"/>
        <v>#DIV/0!</v>
      </c>
      <c r="R188" s="69">
        <v>80</v>
      </c>
      <c r="S188" s="69">
        <v>32</v>
      </c>
      <c r="T188" s="6">
        <f t="shared" si="263"/>
        <v>0.4</v>
      </c>
      <c r="U188" s="35" t="e">
        <f t="shared" si="270"/>
        <v>#DIV/0!</v>
      </c>
      <c r="V188" s="6" t="e">
        <f t="shared" ref="V188:Z188" si="370">V176</f>
        <v>#DIV/0!</v>
      </c>
      <c r="W188" s="6" t="e">
        <f t="shared" si="370"/>
        <v>#DIV/0!</v>
      </c>
      <c r="X188" s="6" t="e">
        <f t="shared" si="370"/>
        <v>#DIV/0!</v>
      </c>
      <c r="Y188" s="6" t="e">
        <f t="shared" si="370"/>
        <v>#DIV/0!</v>
      </c>
      <c r="Z188" s="6" t="e">
        <f t="shared" si="370"/>
        <v>#DIV/0!</v>
      </c>
    </row>
    <row r="189" spans="1:26" x14ac:dyDescent="0.2">
      <c r="A189" s="7" t="s">
        <v>123</v>
      </c>
      <c r="B189" s="6">
        <f t="shared" si="265"/>
        <v>8</v>
      </c>
      <c r="C189" s="7" t="s">
        <v>158</v>
      </c>
      <c r="D189" s="68">
        <v>75</v>
      </c>
      <c r="E189" s="68">
        <v>53</v>
      </c>
      <c r="F189" s="65">
        <f t="shared" si="260"/>
        <v>0.70666666666666667</v>
      </c>
      <c r="G189" s="60" t="e">
        <f t="shared" si="266"/>
        <v>#DIV/0!</v>
      </c>
      <c r="H189" s="65" t="e">
        <f t="shared" ref="H189:J189" si="371">H177</f>
        <v>#DIV/0!</v>
      </c>
      <c r="I189" s="65" t="e">
        <f t="shared" si="371"/>
        <v>#DIV/0!</v>
      </c>
      <c r="J189" s="65" t="e">
        <f t="shared" si="371"/>
        <v>#DIV/0!</v>
      </c>
      <c r="K189" s="69">
        <v>34200</v>
      </c>
      <c r="L189" s="69">
        <f>'Monitoramento Acumulado Geral'!Q189</f>
        <v>2150</v>
      </c>
      <c r="M189" s="6">
        <f>(SUM(L182:L189))/K188</f>
        <v>0.46783625730994149</v>
      </c>
      <c r="N189" s="35" t="e">
        <f t="shared" si="268"/>
        <v>#DIV/0!</v>
      </c>
      <c r="O189" s="6" t="e">
        <f t="shared" ref="O189:Q189" si="372">O177</f>
        <v>#DIV/0!</v>
      </c>
      <c r="P189" s="6" t="e">
        <f t="shared" si="372"/>
        <v>#DIV/0!</v>
      </c>
      <c r="Q189" s="6" t="e">
        <f t="shared" si="372"/>
        <v>#DIV/0!</v>
      </c>
      <c r="R189" s="69">
        <v>80</v>
      </c>
      <c r="S189" s="69">
        <v>32</v>
      </c>
      <c r="T189" s="6">
        <f t="shared" si="263"/>
        <v>0.4</v>
      </c>
      <c r="U189" s="35" t="e">
        <f t="shared" si="270"/>
        <v>#DIV/0!</v>
      </c>
      <c r="V189" s="6" t="e">
        <f t="shared" ref="V189:Z189" si="373">V177</f>
        <v>#DIV/0!</v>
      </c>
      <c r="W189" s="6" t="e">
        <f t="shared" si="373"/>
        <v>#DIV/0!</v>
      </c>
      <c r="X189" s="6" t="e">
        <f t="shared" si="373"/>
        <v>#DIV/0!</v>
      </c>
      <c r="Y189" s="6" t="e">
        <f t="shared" si="373"/>
        <v>#DIV/0!</v>
      </c>
      <c r="Z189" s="6" t="e">
        <f t="shared" si="373"/>
        <v>#DIV/0!</v>
      </c>
    </row>
    <row r="190" spans="1:26" x14ac:dyDescent="0.2">
      <c r="A190" s="7" t="s">
        <v>123</v>
      </c>
      <c r="B190" s="6">
        <f t="shared" si="265"/>
        <v>9</v>
      </c>
      <c r="C190" s="7" t="s">
        <v>159</v>
      </c>
      <c r="D190" s="68">
        <v>75</v>
      </c>
      <c r="E190" s="68">
        <v>53</v>
      </c>
      <c r="F190" s="65">
        <f t="shared" si="260"/>
        <v>0.70666666666666667</v>
      </c>
      <c r="G190" s="60" t="e">
        <f t="shared" si="266"/>
        <v>#DIV/0!</v>
      </c>
      <c r="H190" s="65" t="e">
        <f t="shared" ref="H190:J190" si="374">H178</f>
        <v>#DIV/0!</v>
      </c>
      <c r="I190" s="65" t="e">
        <f t="shared" si="374"/>
        <v>#DIV/0!</v>
      </c>
      <c r="J190" s="65" t="e">
        <f t="shared" si="374"/>
        <v>#DIV/0!</v>
      </c>
      <c r="K190" s="69">
        <v>34200</v>
      </c>
      <c r="L190" s="69">
        <f>'Monitoramento Acumulado Geral'!Q190</f>
        <v>0</v>
      </c>
      <c r="M190" s="6">
        <f>(SUM(L182:L190))/K189</f>
        <v>0.46783625730994149</v>
      </c>
      <c r="N190" s="35" t="e">
        <f t="shared" si="268"/>
        <v>#DIV/0!</v>
      </c>
      <c r="O190" s="6" t="e">
        <f t="shared" ref="O190:Q190" si="375">O178</f>
        <v>#DIV/0!</v>
      </c>
      <c r="P190" s="6" t="e">
        <f t="shared" si="375"/>
        <v>#DIV/0!</v>
      </c>
      <c r="Q190" s="6" t="e">
        <f t="shared" si="375"/>
        <v>#DIV/0!</v>
      </c>
      <c r="R190" s="69">
        <v>80</v>
      </c>
      <c r="S190" s="69">
        <v>32</v>
      </c>
      <c r="T190" s="6">
        <f t="shared" si="263"/>
        <v>0.4</v>
      </c>
      <c r="U190" s="35" t="e">
        <f t="shared" si="270"/>
        <v>#DIV/0!</v>
      </c>
      <c r="V190" s="6" t="e">
        <f t="shared" ref="V190:Z190" si="376">V178</f>
        <v>#DIV/0!</v>
      </c>
      <c r="W190" s="6" t="e">
        <f t="shared" si="376"/>
        <v>#DIV/0!</v>
      </c>
      <c r="X190" s="6" t="e">
        <f t="shared" si="376"/>
        <v>#DIV/0!</v>
      </c>
      <c r="Y190" s="6" t="e">
        <f t="shared" si="376"/>
        <v>#DIV/0!</v>
      </c>
      <c r="Z190" s="6" t="e">
        <f t="shared" si="376"/>
        <v>#DIV/0!</v>
      </c>
    </row>
    <row r="191" spans="1:26" x14ac:dyDescent="0.2">
      <c r="A191" s="7" t="s">
        <v>123</v>
      </c>
      <c r="B191" s="6">
        <f t="shared" si="265"/>
        <v>10</v>
      </c>
      <c r="C191" s="7" t="s">
        <v>160</v>
      </c>
      <c r="D191" s="68">
        <v>75</v>
      </c>
      <c r="E191" s="68">
        <v>53</v>
      </c>
      <c r="F191" s="65">
        <f t="shared" si="260"/>
        <v>0.70666666666666667</v>
      </c>
      <c r="G191" s="60" t="e">
        <f t="shared" si="266"/>
        <v>#DIV/0!</v>
      </c>
      <c r="H191" s="65" t="e">
        <f t="shared" ref="H191:J191" si="377">H179</f>
        <v>#DIV/0!</v>
      </c>
      <c r="I191" s="65" t="e">
        <f t="shared" si="377"/>
        <v>#DIV/0!</v>
      </c>
      <c r="J191" s="65" t="e">
        <f t="shared" si="377"/>
        <v>#DIV/0!</v>
      </c>
      <c r="K191" s="69">
        <v>34200</v>
      </c>
      <c r="L191" s="69">
        <f>'Monitoramento Acumulado Geral'!Q191</f>
        <v>0</v>
      </c>
      <c r="M191" s="6">
        <f>(SUM(L182:L191))/K190</f>
        <v>0.46783625730994149</v>
      </c>
      <c r="N191" s="35" t="e">
        <f t="shared" si="268"/>
        <v>#DIV/0!</v>
      </c>
      <c r="O191" s="6" t="e">
        <f t="shared" ref="O191:Q191" si="378">O179</f>
        <v>#DIV/0!</v>
      </c>
      <c r="P191" s="6" t="e">
        <f t="shared" si="378"/>
        <v>#DIV/0!</v>
      </c>
      <c r="Q191" s="6" t="e">
        <f t="shared" si="378"/>
        <v>#DIV/0!</v>
      </c>
      <c r="R191" s="69">
        <v>80</v>
      </c>
      <c r="S191" s="69">
        <v>32</v>
      </c>
      <c r="T191" s="6">
        <f t="shared" si="263"/>
        <v>0.4</v>
      </c>
      <c r="U191" s="35" t="e">
        <f t="shared" si="270"/>
        <v>#DIV/0!</v>
      </c>
      <c r="V191" s="6" t="e">
        <f t="shared" ref="V191:Z191" si="379">V179</f>
        <v>#DIV/0!</v>
      </c>
      <c r="W191" s="6" t="e">
        <f t="shared" si="379"/>
        <v>#DIV/0!</v>
      </c>
      <c r="X191" s="6" t="e">
        <f t="shared" si="379"/>
        <v>#DIV/0!</v>
      </c>
      <c r="Y191" s="6" t="e">
        <f t="shared" si="379"/>
        <v>#DIV/0!</v>
      </c>
      <c r="Z191" s="6" t="e">
        <f t="shared" si="379"/>
        <v>#DIV/0!</v>
      </c>
    </row>
    <row r="192" spans="1:26" x14ac:dyDescent="0.2">
      <c r="A192" s="7" t="s">
        <v>123</v>
      </c>
      <c r="B192" s="6">
        <f t="shared" si="265"/>
        <v>11</v>
      </c>
      <c r="C192" s="7" t="s">
        <v>161</v>
      </c>
      <c r="D192" s="68">
        <v>75</v>
      </c>
      <c r="E192" s="68">
        <v>0</v>
      </c>
      <c r="F192" s="65">
        <f t="shared" si="260"/>
        <v>0</v>
      </c>
      <c r="G192" s="60" t="e">
        <f t="shared" si="266"/>
        <v>#DIV/0!</v>
      </c>
      <c r="H192" s="65" t="e">
        <f t="shared" ref="H192:J192" si="380">H180</f>
        <v>#DIV/0!</v>
      </c>
      <c r="I192" s="65" t="e">
        <f t="shared" si="380"/>
        <v>#DIV/0!</v>
      </c>
      <c r="J192" s="65" t="e">
        <f t="shared" si="380"/>
        <v>#DIV/0!</v>
      </c>
      <c r="K192" s="69">
        <v>34200</v>
      </c>
      <c r="L192" s="69">
        <f>'Monitoramento Acumulado Geral'!Q192</f>
        <v>0</v>
      </c>
      <c r="M192" s="6">
        <f>(SUM(L182:L192))/K191</f>
        <v>0.46783625730994149</v>
      </c>
      <c r="N192" s="35" t="e">
        <f t="shared" si="268"/>
        <v>#DIV/0!</v>
      </c>
      <c r="O192" s="6" t="e">
        <f t="shared" ref="O192:Q192" si="381">O180</f>
        <v>#DIV/0!</v>
      </c>
      <c r="P192" s="6" t="e">
        <f t="shared" si="381"/>
        <v>#DIV/0!</v>
      </c>
      <c r="Q192" s="6" t="e">
        <f t="shared" si="381"/>
        <v>#DIV/0!</v>
      </c>
      <c r="R192" s="69">
        <v>80</v>
      </c>
      <c r="S192" s="69">
        <v>0</v>
      </c>
      <c r="T192" s="6">
        <f t="shared" si="263"/>
        <v>0</v>
      </c>
      <c r="U192" s="35" t="e">
        <f t="shared" si="270"/>
        <v>#DIV/0!</v>
      </c>
      <c r="V192" s="6" t="e">
        <f t="shared" ref="V192:Z192" si="382">V180</f>
        <v>#DIV/0!</v>
      </c>
      <c r="W192" s="6" t="e">
        <f t="shared" si="382"/>
        <v>#DIV/0!</v>
      </c>
      <c r="X192" s="6" t="e">
        <f t="shared" si="382"/>
        <v>#DIV/0!</v>
      </c>
      <c r="Y192" s="6" t="e">
        <f t="shared" si="382"/>
        <v>#DIV/0!</v>
      </c>
      <c r="Z192" s="6" t="e">
        <f t="shared" si="382"/>
        <v>#DIV/0!</v>
      </c>
    </row>
    <row r="193" spans="1:26" x14ac:dyDescent="0.2">
      <c r="A193" s="7" t="s">
        <v>123</v>
      </c>
      <c r="B193" s="6">
        <f t="shared" si="265"/>
        <v>12</v>
      </c>
      <c r="C193" s="7" t="s">
        <v>162</v>
      </c>
      <c r="D193" s="68">
        <v>75</v>
      </c>
      <c r="E193" s="68">
        <v>0</v>
      </c>
      <c r="F193" s="65">
        <f t="shared" si="260"/>
        <v>0</v>
      </c>
      <c r="G193" s="60" t="e">
        <f t="shared" si="266"/>
        <v>#DIV/0!</v>
      </c>
      <c r="H193" s="65" t="e">
        <f t="shared" ref="H193:J193" si="383">H181</f>
        <v>#DIV/0!</v>
      </c>
      <c r="I193" s="65" t="e">
        <f t="shared" si="383"/>
        <v>#DIV/0!</v>
      </c>
      <c r="J193" s="65" t="e">
        <f t="shared" si="383"/>
        <v>#DIV/0!</v>
      </c>
      <c r="K193" s="69">
        <v>34200</v>
      </c>
      <c r="L193" s="69">
        <f>'Monitoramento Acumulado Geral'!Q193</f>
        <v>0</v>
      </c>
      <c r="M193" s="6">
        <f>(SUM(L182:L193))/K192</f>
        <v>0.46783625730994149</v>
      </c>
      <c r="N193" s="35" t="e">
        <f t="shared" si="268"/>
        <v>#DIV/0!</v>
      </c>
      <c r="O193" s="6" t="e">
        <f t="shared" ref="O193:Q193" si="384">O181</f>
        <v>#DIV/0!</v>
      </c>
      <c r="P193" s="6" t="e">
        <f t="shared" si="384"/>
        <v>#DIV/0!</v>
      </c>
      <c r="Q193" s="6" t="e">
        <f t="shared" si="384"/>
        <v>#DIV/0!</v>
      </c>
      <c r="R193" s="69">
        <v>80</v>
      </c>
      <c r="S193" s="69">
        <v>0</v>
      </c>
      <c r="T193" s="6">
        <f t="shared" si="263"/>
        <v>0</v>
      </c>
      <c r="U193" s="35" t="e">
        <f t="shared" si="270"/>
        <v>#DIV/0!</v>
      </c>
      <c r="V193" s="6" t="e">
        <f t="shared" ref="V193:Z193" si="385">V181</f>
        <v>#DIV/0!</v>
      </c>
      <c r="W193" s="6" t="e">
        <f t="shared" si="385"/>
        <v>#DIV/0!</v>
      </c>
      <c r="X193" s="6" t="e">
        <f t="shared" si="385"/>
        <v>#DIV/0!</v>
      </c>
      <c r="Y193" s="6" t="e">
        <f t="shared" si="385"/>
        <v>#DIV/0!</v>
      </c>
      <c r="Z193" s="6" t="e">
        <f t="shared" si="385"/>
        <v>#DIV/0!</v>
      </c>
    </row>
    <row r="194" spans="1:26" x14ac:dyDescent="0.2">
      <c r="A194" s="7" t="s">
        <v>92</v>
      </c>
      <c r="B194" s="6">
        <f t="shared" si="265"/>
        <v>1</v>
      </c>
      <c r="C194" s="7" t="s">
        <v>151</v>
      </c>
      <c r="D194" s="68">
        <v>75</v>
      </c>
      <c r="E194" s="68">
        <v>0</v>
      </c>
      <c r="F194" s="65">
        <f t="shared" si="260"/>
        <v>0</v>
      </c>
      <c r="G194" s="60" t="e">
        <f t="shared" si="266"/>
        <v>#DIV/0!</v>
      </c>
      <c r="H194" s="65" t="e">
        <f t="shared" ref="H194:J194" si="386">H182</f>
        <v>#DIV/0!</v>
      </c>
      <c r="I194" s="65" t="e">
        <f t="shared" si="386"/>
        <v>#DIV/0!</v>
      </c>
      <c r="J194" s="65" t="e">
        <f t="shared" si="386"/>
        <v>#DIV/0!</v>
      </c>
      <c r="K194" s="69">
        <v>85000</v>
      </c>
      <c r="L194" s="69">
        <f>'Monitoramento Acumulado Geral'!Q194</f>
        <v>0</v>
      </c>
      <c r="M194" s="6">
        <f>L194/K194</f>
        <v>0</v>
      </c>
      <c r="N194" s="35" t="e">
        <f t="shared" si="268"/>
        <v>#DIV/0!</v>
      </c>
      <c r="O194" s="6" t="e">
        <f t="shared" ref="O194:Q194" si="387">O182</f>
        <v>#DIV/0!</v>
      </c>
      <c r="P194" s="6" t="e">
        <f t="shared" si="387"/>
        <v>#DIV/0!</v>
      </c>
      <c r="Q194" s="6" t="e">
        <f t="shared" si="387"/>
        <v>#DIV/0!</v>
      </c>
      <c r="R194" s="69">
        <v>80</v>
      </c>
      <c r="S194" s="69">
        <v>0</v>
      </c>
      <c r="T194" s="6">
        <f t="shared" si="263"/>
        <v>0</v>
      </c>
      <c r="U194" s="35" t="e">
        <f t="shared" si="270"/>
        <v>#DIV/0!</v>
      </c>
      <c r="V194" s="6" t="e">
        <f t="shared" ref="V194:Z194" si="388">V182</f>
        <v>#DIV/0!</v>
      </c>
      <c r="W194" s="6" t="e">
        <f t="shared" si="388"/>
        <v>#DIV/0!</v>
      </c>
      <c r="X194" s="6" t="e">
        <f t="shared" si="388"/>
        <v>#DIV/0!</v>
      </c>
      <c r="Y194" s="6" t="e">
        <f t="shared" si="388"/>
        <v>#DIV/0!</v>
      </c>
      <c r="Z194" s="6" t="e">
        <f t="shared" si="388"/>
        <v>#DIV/0!</v>
      </c>
    </row>
    <row r="195" spans="1:26" x14ac:dyDescent="0.2">
      <c r="A195" s="7" t="s">
        <v>92</v>
      </c>
      <c r="B195" s="6">
        <f t="shared" si="265"/>
        <v>2</v>
      </c>
      <c r="C195" s="7" t="s">
        <v>152</v>
      </c>
      <c r="D195" s="68">
        <v>75</v>
      </c>
      <c r="E195" s="68">
        <v>0</v>
      </c>
      <c r="F195" s="65">
        <f t="shared" si="260"/>
        <v>0</v>
      </c>
      <c r="G195" s="60" t="e">
        <f t="shared" si="266"/>
        <v>#DIV/0!</v>
      </c>
      <c r="H195" s="65" t="e">
        <f t="shared" ref="H195:J195" si="389">H183</f>
        <v>#DIV/0!</v>
      </c>
      <c r="I195" s="65" t="e">
        <f t="shared" si="389"/>
        <v>#DIV/0!</v>
      </c>
      <c r="J195" s="65" t="e">
        <f t="shared" si="389"/>
        <v>#DIV/0!</v>
      </c>
      <c r="K195" s="69">
        <v>85000</v>
      </c>
      <c r="L195" s="69">
        <f>'Monitoramento Acumulado Geral'!Q195</f>
        <v>0</v>
      </c>
      <c r="M195" s="6">
        <f>(SUM(L194:L195))/K194</f>
        <v>0</v>
      </c>
      <c r="N195" s="35" t="e">
        <f t="shared" si="268"/>
        <v>#DIV/0!</v>
      </c>
      <c r="O195" s="6" t="e">
        <f t="shared" ref="O195:Q195" si="390">O183</f>
        <v>#DIV/0!</v>
      </c>
      <c r="P195" s="6" t="e">
        <f t="shared" si="390"/>
        <v>#DIV/0!</v>
      </c>
      <c r="Q195" s="6" t="e">
        <f t="shared" si="390"/>
        <v>#DIV/0!</v>
      </c>
      <c r="R195" s="69">
        <v>80</v>
      </c>
      <c r="S195" s="69">
        <v>0</v>
      </c>
      <c r="T195" s="6">
        <f t="shared" si="263"/>
        <v>0</v>
      </c>
      <c r="U195" s="35" t="e">
        <f t="shared" si="270"/>
        <v>#DIV/0!</v>
      </c>
      <c r="V195" s="6" t="e">
        <f t="shared" ref="V195:Z195" si="391">V183</f>
        <v>#DIV/0!</v>
      </c>
      <c r="W195" s="6" t="e">
        <f t="shared" si="391"/>
        <v>#DIV/0!</v>
      </c>
      <c r="X195" s="6" t="e">
        <f t="shared" si="391"/>
        <v>#DIV/0!</v>
      </c>
      <c r="Y195" s="6" t="e">
        <f t="shared" si="391"/>
        <v>#DIV/0!</v>
      </c>
      <c r="Z195" s="6" t="e">
        <f t="shared" si="391"/>
        <v>#DIV/0!</v>
      </c>
    </row>
    <row r="196" spans="1:26" x14ac:dyDescent="0.2">
      <c r="A196" s="7" t="s">
        <v>92</v>
      </c>
      <c r="B196" s="6">
        <f t="shared" si="265"/>
        <v>3</v>
      </c>
      <c r="C196" s="7" t="s">
        <v>153</v>
      </c>
      <c r="D196" s="68">
        <v>75</v>
      </c>
      <c r="E196" s="68">
        <v>8</v>
      </c>
      <c r="F196" s="65">
        <f t="shared" si="260"/>
        <v>0.10666666666666667</v>
      </c>
      <c r="G196" s="60" t="e">
        <f t="shared" si="266"/>
        <v>#DIV/0!</v>
      </c>
      <c r="H196" s="65" t="e">
        <f t="shared" ref="H196:J196" si="392">H184</f>
        <v>#DIV/0!</v>
      </c>
      <c r="I196" s="65" t="e">
        <f t="shared" si="392"/>
        <v>#DIV/0!</v>
      </c>
      <c r="J196" s="65" t="e">
        <f t="shared" si="392"/>
        <v>#DIV/0!</v>
      </c>
      <c r="K196" s="69">
        <v>85000</v>
      </c>
      <c r="L196" s="69">
        <f>'Monitoramento Acumulado Geral'!Q196</f>
        <v>4275</v>
      </c>
      <c r="M196" s="6">
        <f>(SUM(L194:L196))/K195</f>
        <v>5.0294117647058822E-2</v>
      </c>
      <c r="N196" s="35" t="e">
        <f t="shared" si="268"/>
        <v>#DIV/0!</v>
      </c>
      <c r="O196" s="6" t="e">
        <f t="shared" ref="O196:Q196" si="393">O184</f>
        <v>#DIV/0!</v>
      </c>
      <c r="P196" s="6" t="e">
        <f t="shared" si="393"/>
        <v>#DIV/0!</v>
      </c>
      <c r="Q196" s="6" t="e">
        <f t="shared" si="393"/>
        <v>#DIV/0!</v>
      </c>
      <c r="R196" s="69">
        <v>80</v>
      </c>
      <c r="S196" s="69">
        <v>0</v>
      </c>
      <c r="T196" s="6">
        <f t="shared" si="263"/>
        <v>0</v>
      </c>
      <c r="U196" s="35" t="e">
        <f t="shared" si="270"/>
        <v>#DIV/0!</v>
      </c>
      <c r="V196" s="6" t="e">
        <f t="shared" ref="V196:Z196" si="394">V184</f>
        <v>#DIV/0!</v>
      </c>
      <c r="W196" s="6" t="e">
        <f t="shared" si="394"/>
        <v>#DIV/0!</v>
      </c>
      <c r="X196" s="6" t="e">
        <f t="shared" si="394"/>
        <v>#DIV/0!</v>
      </c>
      <c r="Y196" s="6" t="e">
        <f t="shared" si="394"/>
        <v>#DIV/0!</v>
      </c>
      <c r="Z196" s="6" t="e">
        <f t="shared" si="394"/>
        <v>#DIV/0!</v>
      </c>
    </row>
    <row r="197" spans="1:26" x14ac:dyDescent="0.2">
      <c r="A197" s="7" t="s">
        <v>92</v>
      </c>
      <c r="B197" s="6">
        <f t="shared" si="265"/>
        <v>4</v>
      </c>
      <c r="C197" s="7" t="s">
        <v>154</v>
      </c>
      <c r="D197" s="68">
        <v>75</v>
      </c>
      <c r="E197" s="68">
        <v>8</v>
      </c>
      <c r="F197" s="65">
        <f t="shared" si="260"/>
        <v>0.10666666666666667</v>
      </c>
      <c r="G197" s="60" t="e">
        <f t="shared" si="266"/>
        <v>#DIV/0!</v>
      </c>
      <c r="H197" s="65" t="e">
        <f t="shared" ref="H197:J197" si="395">H185</f>
        <v>#DIV/0!</v>
      </c>
      <c r="I197" s="65" t="e">
        <f t="shared" si="395"/>
        <v>#DIV/0!</v>
      </c>
      <c r="J197" s="65" t="e">
        <f t="shared" si="395"/>
        <v>#DIV/0!</v>
      </c>
      <c r="K197" s="69">
        <v>85000</v>
      </c>
      <c r="L197" s="69">
        <f>'Monitoramento Acumulado Geral'!Q197</f>
        <v>0</v>
      </c>
      <c r="M197" s="6">
        <f>(SUM(L194:L197))/K196</f>
        <v>5.0294117647058822E-2</v>
      </c>
      <c r="N197" s="35" t="e">
        <f t="shared" si="268"/>
        <v>#DIV/0!</v>
      </c>
      <c r="O197" s="6" t="e">
        <f t="shared" ref="O197:Q197" si="396">O185</f>
        <v>#DIV/0!</v>
      </c>
      <c r="P197" s="6" t="e">
        <f t="shared" si="396"/>
        <v>#DIV/0!</v>
      </c>
      <c r="Q197" s="6" t="e">
        <f t="shared" si="396"/>
        <v>#DIV/0!</v>
      </c>
      <c r="R197" s="69">
        <v>80</v>
      </c>
      <c r="S197" s="69">
        <v>0</v>
      </c>
      <c r="T197" s="6">
        <f t="shared" si="263"/>
        <v>0</v>
      </c>
      <c r="U197" s="35" t="e">
        <f t="shared" si="270"/>
        <v>#DIV/0!</v>
      </c>
      <c r="V197" s="6" t="e">
        <f t="shared" ref="V197:Z197" si="397">V185</f>
        <v>#DIV/0!</v>
      </c>
      <c r="W197" s="6" t="e">
        <f t="shared" si="397"/>
        <v>#DIV/0!</v>
      </c>
      <c r="X197" s="6" t="e">
        <f t="shared" si="397"/>
        <v>#DIV/0!</v>
      </c>
      <c r="Y197" s="6" t="e">
        <f t="shared" si="397"/>
        <v>#DIV/0!</v>
      </c>
      <c r="Z197" s="6" t="e">
        <f t="shared" si="397"/>
        <v>#DIV/0!</v>
      </c>
    </row>
    <row r="198" spans="1:26" x14ac:dyDescent="0.2">
      <c r="A198" s="7" t="s">
        <v>92</v>
      </c>
      <c r="B198" s="6">
        <f t="shared" si="265"/>
        <v>5</v>
      </c>
      <c r="C198" s="7" t="s">
        <v>155</v>
      </c>
      <c r="D198" s="68">
        <v>75</v>
      </c>
      <c r="E198" s="68">
        <v>18</v>
      </c>
      <c r="F198" s="65">
        <f t="shared" si="260"/>
        <v>0.24</v>
      </c>
      <c r="G198" s="60" t="e">
        <f t="shared" si="266"/>
        <v>#DIV/0!</v>
      </c>
      <c r="H198" s="65" t="e">
        <f t="shared" ref="H198:J198" si="398">H186</f>
        <v>#DIV/0!</v>
      </c>
      <c r="I198" s="65" t="e">
        <f t="shared" si="398"/>
        <v>#DIV/0!</v>
      </c>
      <c r="J198" s="65" t="e">
        <f t="shared" si="398"/>
        <v>#DIV/0!</v>
      </c>
      <c r="K198" s="69">
        <v>85000</v>
      </c>
      <c r="L198" s="69">
        <f>'Monitoramento Acumulado Geral'!Q198</f>
        <v>6600</v>
      </c>
      <c r="M198" s="6">
        <f>(SUM(L194:L198))/K197</f>
        <v>0.12794117647058822</v>
      </c>
      <c r="N198" s="35" t="e">
        <f t="shared" si="268"/>
        <v>#DIV/0!</v>
      </c>
      <c r="O198" s="6" t="e">
        <f t="shared" ref="O198:Q198" si="399">O186</f>
        <v>#DIV/0!</v>
      </c>
      <c r="P198" s="6" t="e">
        <f t="shared" si="399"/>
        <v>#DIV/0!</v>
      </c>
      <c r="Q198" s="6" t="e">
        <f t="shared" si="399"/>
        <v>#DIV/0!</v>
      </c>
      <c r="R198" s="69">
        <v>80</v>
      </c>
      <c r="S198" s="69">
        <v>0</v>
      </c>
      <c r="T198" s="6">
        <f t="shared" si="263"/>
        <v>0</v>
      </c>
      <c r="U198" s="35" t="e">
        <f t="shared" si="270"/>
        <v>#DIV/0!</v>
      </c>
      <c r="V198" s="6" t="e">
        <f t="shared" ref="V198:Z198" si="400">V186</f>
        <v>#DIV/0!</v>
      </c>
      <c r="W198" s="6" t="e">
        <f t="shared" si="400"/>
        <v>#DIV/0!</v>
      </c>
      <c r="X198" s="6" t="e">
        <f t="shared" si="400"/>
        <v>#DIV/0!</v>
      </c>
      <c r="Y198" s="6" t="e">
        <f t="shared" si="400"/>
        <v>#DIV/0!</v>
      </c>
      <c r="Z198" s="6" t="e">
        <f t="shared" si="400"/>
        <v>#DIV/0!</v>
      </c>
    </row>
    <row r="199" spans="1:26" x14ac:dyDescent="0.2">
      <c r="A199" s="7" t="s">
        <v>92</v>
      </c>
      <c r="B199" s="6">
        <f t="shared" si="265"/>
        <v>6</v>
      </c>
      <c r="C199" s="7" t="s">
        <v>156</v>
      </c>
      <c r="D199" s="68">
        <v>75</v>
      </c>
      <c r="E199" s="68">
        <v>18</v>
      </c>
      <c r="F199" s="65">
        <f t="shared" si="260"/>
        <v>0.24</v>
      </c>
      <c r="G199" s="60" t="e">
        <f t="shared" si="266"/>
        <v>#DIV/0!</v>
      </c>
      <c r="H199" s="65" t="e">
        <f t="shared" ref="H199:J199" si="401">H187</f>
        <v>#DIV/0!</v>
      </c>
      <c r="I199" s="65" t="e">
        <f t="shared" si="401"/>
        <v>#DIV/0!</v>
      </c>
      <c r="J199" s="65" t="e">
        <f t="shared" si="401"/>
        <v>#DIV/0!</v>
      </c>
      <c r="K199" s="69">
        <v>85000</v>
      </c>
      <c r="L199" s="69">
        <f>'Monitoramento Acumulado Geral'!Q199</f>
        <v>0</v>
      </c>
      <c r="M199" s="6">
        <f>(SUM(L194:L199))/K198</f>
        <v>0.12794117647058822</v>
      </c>
      <c r="N199" s="35" t="e">
        <f t="shared" si="268"/>
        <v>#DIV/0!</v>
      </c>
      <c r="O199" s="6" t="e">
        <f t="shared" ref="O199:Q199" si="402">O187</f>
        <v>#DIV/0!</v>
      </c>
      <c r="P199" s="6" t="e">
        <f t="shared" si="402"/>
        <v>#DIV/0!</v>
      </c>
      <c r="Q199" s="6" t="e">
        <f t="shared" si="402"/>
        <v>#DIV/0!</v>
      </c>
      <c r="R199" s="69">
        <v>80</v>
      </c>
      <c r="S199" s="69">
        <v>0</v>
      </c>
      <c r="T199" s="6">
        <f t="shared" si="263"/>
        <v>0</v>
      </c>
      <c r="U199" s="35" t="e">
        <f t="shared" si="270"/>
        <v>#DIV/0!</v>
      </c>
      <c r="V199" s="6" t="e">
        <f t="shared" ref="V199:Z199" si="403">V187</f>
        <v>#DIV/0!</v>
      </c>
      <c r="W199" s="6" t="e">
        <f t="shared" si="403"/>
        <v>#DIV/0!</v>
      </c>
      <c r="X199" s="6" t="e">
        <f t="shared" si="403"/>
        <v>#DIV/0!</v>
      </c>
      <c r="Y199" s="6" t="e">
        <f t="shared" si="403"/>
        <v>#DIV/0!</v>
      </c>
      <c r="Z199" s="6" t="e">
        <f t="shared" si="403"/>
        <v>#DIV/0!</v>
      </c>
    </row>
    <row r="200" spans="1:26" x14ac:dyDescent="0.2">
      <c r="A200" s="7" t="s">
        <v>92</v>
      </c>
      <c r="B200" s="6">
        <f t="shared" si="265"/>
        <v>7</v>
      </c>
      <c r="C200" s="7" t="s">
        <v>157</v>
      </c>
      <c r="D200" s="68">
        <v>75</v>
      </c>
      <c r="E200" s="68">
        <v>21</v>
      </c>
      <c r="F200" s="65">
        <f t="shared" si="260"/>
        <v>0.28000000000000003</v>
      </c>
      <c r="G200" s="60" t="e">
        <f t="shared" si="266"/>
        <v>#DIV/0!</v>
      </c>
      <c r="H200" s="65" t="e">
        <f t="shared" ref="H200:J200" si="404">H188</f>
        <v>#DIV/0!</v>
      </c>
      <c r="I200" s="65" t="e">
        <f t="shared" si="404"/>
        <v>#DIV/0!</v>
      </c>
      <c r="J200" s="65" t="e">
        <f t="shared" si="404"/>
        <v>#DIV/0!</v>
      </c>
      <c r="K200" s="69">
        <v>85000</v>
      </c>
      <c r="L200" s="69">
        <f>'Monitoramento Acumulado Geral'!Q200</f>
        <v>2750</v>
      </c>
      <c r="M200" s="6">
        <f>(SUM(L194:L200))/K199</f>
        <v>0.16029411764705884</v>
      </c>
      <c r="N200" s="35" t="e">
        <f t="shared" si="268"/>
        <v>#DIV/0!</v>
      </c>
      <c r="O200" s="6" t="e">
        <f t="shared" ref="O200:Q200" si="405">O188</f>
        <v>#DIV/0!</v>
      </c>
      <c r="P200" s="6" t="e">
        <f t="shared" si="405"/>
        <v>#DIV/0!</v>
      </c>
      <c r="Q200" s="6" t="e">
        <f t="shared" si="405"/>
        <v>#DIV/0!</v>
      </c>
      <c r="R200" s="69">
        <v>80</v>
      </c>
      <c r="S200" s="69">
        <v>0</v>
      </c>
      <c r="T200" s="6">
        <f t="shared" si="263"/>
        <v>0</v>
      </c>
      <c r="U200" s="35" t="e">
        <f t="shared" si="270"/>
        <v>#DIV/0!</v>
      </c>
      <c r="V200" s="6" t="e">
        <f t="shared" ref="V200:Z200" si="406">V188</f>
        <v>#DIV/0!</v>
      </c>
      <c r="W200" s="6" t="e">
        <f t="shared" si="406"/>
        <v>#DIV/0!</v>
      </c>
      <c r="X200" s="6" t="e">
        <f t="shared" si="406"/>
        <v>#DIV/0!</v>
      </c>
      <c r="Y200" s="6" t="e">
        <f t="shared" si="406"/>
        <v>#DIV/0!</v>
      </c>
      <c r="Z200" s="6" t="e">
        <f t="shared" si="406"/>
        <v>#DIV/0!</v>
      </c>
    </row>
    <row r="201" spans="1:26" x14ac:dyDescent="0.2">
      <c r="A201" s="7" t="s">
        <v>92</v>
      </c>
      <c r="B201" s="6">
        <f t="shared" si="265"/>
        <v>8</v>
      </c>
      <c r="C201" s="7" t="s">
        <v>158</v>
      </c>
      <c r="D201" s="68">
        <v>75</v>
      </c>
      <c r="E201" s="68">
        <v>37</v>
      </c>
      <c r="F201" s="65">
        <f t="shared" si="260"/>
        <v>0.49333333333333335</v>
      </c>
      <c r="G201" s="60" t="e">
        <f t="shared" si="266"/>
        <v>#DIV/0!</v>
      </c>
      <c r="H201" s="65" t="e">
        <f t="shared" ref="H201:J201" si="407">H189</f>
        <v>#DIV/0!</v>
      </c>
      <c r="I201" s="65" t="e">
        <f t="shared" si="407"/>
        <v>#DIV/0!</v>
      </c>
      <c r="J201" s="65" t="e">
        <f t="shared" si="407"/>
        <v>#DIV/0!</v>
      </c>
      <c r="K201" s="69">
        <v>85000</v>
      </c>
      <c r="L201" s="69">
        <f>'Monitoramento Acumulado Geral'!Q201</f>
        <v>9000</v>
      </c>
      <c r="M201" s="6">
        <f>(SUM(L194:L201))/K200</f>
        <v>0.26617647058823529</v>
      </c>
      <c r="N201" s="35" t="e">
        <f t="shared" si="268"/>
        <v>#DIV/0!</v>
      </c>
      <c r="O201" s="6" t="e">
        <f t="shared" ref="O201:Q201" si="408">O189</f>
        <v>#DIV/0!</v>
      </c>
      <c r="P201" s="6" t="e">
        <f t="shared" si="408"/>
        <v>#DIV/0!</v>
      </c>
      <c r="Q201" s="6" t="e">
        <f t="shared" si="408"/>
        <v>#DIV/0!</v>
      </c>
      <c r="R201" s="69">
        <v>80</v>
      </c>
      <c r="S201" s="69">
        <v>0</v>
      </c>
      <c r="T201" s="6">
        <f t="shared" si="263"/>
        <v>0</v>
      </c>
      <c r="U201" s="35" t="e">
        <f t="shared" si="270"/>
        <v>#DIV/0!</v>
      </c>
      <c r="V201" s="6" t="e">
        <f t="shared" ref="V201:Z201" si="409">V189</f>
        <v>#DIV/0!</v>
      </c>
      <c r="W201" s="6" t="e">
        <f t="shared" si="409"/>
        <v>#DIV/0!</v>
      </c>
      <c r="X201" s="6" t="e">
        <f t="shared" si="409"/>
        <v>#DIV/0!</v>
      </c>
      <c r="Y201" s="6" t="e">
        <f t="shared" si="409"/>
        <v>#DIV/0!</v>
      </c>
      <c r="Z201" s="6" t="e">
        <f t="shared" si="409"/>
        <v>#DIV/0!</v>
      </c>
    </row>
    <row r="202" spans="1:26" x14ac:dyDescent="0.2">
      <c r="A202" s="7" t="s">
        <v>92</v>
      </c>
      <c r="B202" s="6">
        <f t="shared" si="265"/>
        <v>9</v>
      </c>
      <c r="C202" s="7" t="s">
        <v>159</v>
      </c>
      <c r="D202" s="68">
        <v>75</v>
      </c>
      <c r="E202" s="68">
        <v>53</v>
      </c>
      <c r="F202" s="65">
        <f t="shared" si="260"/>
        <v>0.70666666666666667</v>
      </c>
      <c r="G202" s="60" t="e">
        <f t="shared" si="266"/>
        <v>#DIV/0!</v>
      </c>
      <c r="H202" s="65" t="e">
        <f t="shared" ref="H202:J202" si="410">H190</f>
        <v>#DIV/0!</v>
      </c>
      <c r="I202" s="65" t="e">
        <f t="shared" si="410"/>
        <v>#DIV/0!</v>
      </c>
      <c r="J202" s="65" t="e">
        <f t="shared" si="410"/>
        <v>#DIV/0!</v>
      </c>
      <c r="K202" s="69">
        <v>85000</v>
      </c>
      <c r="L202" s="69">
        <f>'Monitoramento Acumulado Geral'!Q202</f>
        <v>20650</v>
      </c>
      <c r="M202" s="6">
        <f>(SUM(L194:L202))/K201</f>
        <v>0.50911764705882356</v>
      </c>
      <c r="N202" s="35" t="e">
        <f t="shared" si="268"/>
        <v>#DIV/0!</v>
      </c>
      <c r="O202" s="6" t="e">
        <f t="shared" ref="O202:Q202" si="411">O190</f>
        <v>#DIV/0!</v>
      </c>
      <c r="P202" s="6" t="e">
        <f t="shared" si="411"/>
        <v>#DIV/0!</v>
      </c>
      <c r="Q202" s="6" t="e">
        <f t="shared" si="411"/>
        <v>#DIV/0!</v>
      </c>
      <c r="R202" s="69">
        <v>80</v>
      </c>
      <c r="S202" s="69">
        <v>0</v>
      </c>
      <c r="T202" s="6">
        <f t="shared" si="263"/>
        <v>0</v>
      </c>
      <c r="U202" s="35" t="e">
        <f t="shared" si="270"/>
        <v>#DIV/0!</v>
      </c>
      <c r="V202" s="6" t="e">
        <f t="shared" ref="V202:Z202" si="412">V190</f>
        <v>#DIV/0!</v>
      </c>
      <c r="W202" s="6" t="e">
        <f t="shared" si="412"/>
        <v>#DIV/0!</v>
      </c>
      <c r="X202" s="6" t="e">
        <f t="shared" si="412"/>
        <v>#DIV/0!</v>
      </c>
      <c r="Y202" s="6" t="e">
        <f t="shared" si="412"/>
        <v>#DIV/0!</v>
      </c>
      <c r="Z202" s="6" t="e">
        <f t="shared" si="412"/>
        <v>#DIV/0!</v>
      </c>
    </row>
    <row r="203" spans="1:26" x14ac:dyDescent="0.2">
      <c r="A203" s="7" t="s">
        <v>92</v>
      </c>
      <c r="B203" s="6">
        <f t="shared" si="265"/>
        <v>10</v>
      </c>
      <c r="C203" s="7" t="s">
        <v>160</v>
      </c>
      <c r="D203" s="68">
        <v>75</v>
      </c>
      <c r="E203" s="68">
        <v>53</v>
      </c>
      <c r="F203" s="65">
        <f t="shared" si="260"/>
        <v>0.70666666666666667</v>
      </c>
      <c r="G203" s="60" t="e">
        <f t="shared" si="266"/>
        <v>#DIV/0!</v>
      </c>
      <c r="H203" s="65" t="e">
        <f t="shared" ref="H203:J203" si="413">H191</f>
        <v>#DIV/0!</v>
      </c>
      <c r="I203" s="65" t="e">
        <f t="shared" si="413"/>
        <v>#DIV/0!</v>
      </c>
      <c r="J203" s="65" t="e">
        <f t="shared" si="413"/>
        <v>#DIV/0!</v>
      </c>
      <c r="K203" s="69">
        <v>85000</v>
      </c>
      <c r="L203" s="69">
        <f>'Monitoramento Acumulado Geral'!Q203</f>
        <v>0</v>
      </c>
      <c r="M203" s="6">
        <f>(SUM(L194:L203))/K202</f>
        <v>0.50911764705882356</v>
      </c>
      <c r="N203" s="35" t="e">
        <f t="shared" si="268"/>
        <v>#DIV/0!</v>
      </c>
      <c r="O203" s="6" t="e">
        <f t="shared" ref="O203:Q203" si="414">O191</f>
        <v>#DIV/0!</v>
      </c>
      <c r="P203" s="6" t="e">
        <f t="shared" si="414"/>
        <v>#DIV/0!</v>
      </c>
      <c r="Q203" s="6" t="e">
        <f t="shared" si="414"/>
        <v>#DIV/0!</v>
      </c>
      <c r="R203" s="69">
        <v>80</v>
      </c>
      <c r="S203" s="69">
        <v>0</v>
      </c>
      <c r="T203" s="6">
        <f t="shared" si="263"/>
        <v>0</v>
      </c>
      <c r="U203" s="35" t="e">
        <f t="shared" si="270"/>
        <v>#DIV/0!</v>
      </c>
      <c r="V203" s="6" t="e">
        <f t="shared" ref="V203:Z203" si="415">V191</f>
        <v>#DIV/0!</v>
      </c>
      <c r="W203" s="6" t="e">
        <f t="shared" si="415"/>
        <v>#DIV/0!</v>
      </c>
      <c r="X203" s="6" t="e">
        <f t="shared" si="415"/>
        <v>#DIV/0!</v>
      </c>
      <c r="Y203" s="6" t="e">
        <f t="shared" si="415"/>
        <v>#DIV/0!</v>
      </c>
      <c r="Z203" s="6" t="e">
        <f t="shared" si="415"/>
        <v>#DIV/0!</v>
      </c>
    </row>
    <row r="204" spans="1:26" x14ac:dyDescent="0.2">
      <c r="A204" s="7" t="s">
        <v>92</v>
      </c>
      <c r="B204" s="6">
        <f t="shared" si="265"/>
        <v>11</v>
      </c>
      <c r="C204" s="7" t="s">
        <v>161</v>
      </c>
      <c r="D204" s="68">
        <v>75</v>
      </c>
      <c r="E204" s="68">
        <v>0</v>
      </c>
      <c r="F204" s="65">
        <f t="shared" si="260"/>
        <v>0</v>
      </c>
      <c r="G204" s="60" t="e">
        <f t="shared" si="266"/>
        <v>#DIV/0!</v>
      </c>
      <c r="H204" s="65" t="e">
        <f t="shared" ref="H204:J204" si="416">H192</f>
        <v>#DIV/0!</v>
      </c>
      <c r="I204" s="65" t="e">
        <f t="shared" si="416"/>
        <v>#DIV/0!</v>
      </c>
      <c r="J204" s="65" t="e">
        <f t="shared" si="416"/>
        <v>#DIV/0!</v>
      </c>
      <c r="K204" s="69">
        <v>85000</v>
      </c>
      <c r="L204" s="69">
        <f>'Monitoramento Acumulado Geral'!Q204</f>
        <v>0</v>
      </c>
      <c r="M204" s="6">
        <f>(SUM(L194:L204))/K203</f>
        <v>0.50911764705882356</v>
      </c>
      <c r="N204" s="35" t="e">
        <f t="shared" si="268"/>
        <v>#DIV/0!</v>
      </c>
      <c r="O204" s="6" t="e">
        <f t="shared" ref="O204:Q204" si="417">O192</f>
        <v>#DIV/0!</v>
      </c>
      <c r="P204" s="6" t="e">
        <f t="shared" si="417"/>
        <v>#DIV/0!</v>
      </c>
      <c r="Q204" s="6" t="e">
        <f t="shared" si="417"/>
        <v>#DIV/0!</v>
      </c>
      <c r="R204" s="69">
        <v>80</v>
      </c>
      <c r="S204" s="69">
        <v>0</v>
      </c>
      <c r="T204" s="6">
        <f t="shared" si="263"/>
        <v>0</v>
      </c>
      <c r="U204" s="35" t="e">
        <f t="shared" si="270"/>
        <v>#DIV/0!</v>
      </c>
      <c r="V204" s="6" t="e">
        <f t="shared" ref="V204:Z204" si="418">V192</f>
        <v>#DIV/0!</v>
      </c>
      <c r="W204" s="6" t="e">
        <f t="shared" si="418"/>
        <v>#DIV/0!</v>
      </c>
      <c r="X204" s="6" t="e">
        <f t="shared" si="418"/>
        <v>#DIV/0!</v>
      </c>
      <c r="Y204" s="6" t="e">
        <f t="shared" si="418"/>
        <v>#DIV/0!</v>
      </c>
      <c r="Z204" s="6" t="e">
        <f t="shared" si="418"/>
        <v>#DIV/0!</v>
      </c>
    </row>
    <row r="205" spans="1:26" x14ac:dyDescent="0.2">
      <c r="A205" s="7" t="s">
        <v>92</v>
      </c>
      <c r="B205" s="6">
        <f t="shared" si="265"/>
        <v>12</v>
      </c>
      <c r="C205" s="7" t="s">
        <v>162</v>
      </c>
      <c r="D205" s="68">
        <v>75</v>
      </c>
      <c r="E205" s="68">
        <v>0</v>
      </c>
      <c r="F205" s="65">
        <f t="shared" si="260"/>
        <v>0</v>
      </c>
      <c r="G205" s="60" t="e">
        <f t="shared" si="266"/>
        <v>#DIV/0!</v>
      </c>
      <c r="H205" s="65" t="e">
        <f t="shared" ref="H205:J205" si="419">H193</f>
        <v>#DIV/0!</v>
      </c>
      <c r="I205" s="65" t="e">
        <f t="shared" si="419"/>
        <v>#DIV/0!</v>
      </c>
      <c r="J205" s="65" t="e">
        <f t="shared" si="419"/>
        <v>#DIV/0!</v>
      </c>
      <c r="K205" s="69">
        <v>85000</v>
      </c>
      <c r="L205" s="69">
        <f>'Monitoramento Acumulado Geral'!Q205</f>
        <v>0</v>
      </c>
      <c r="M205" s="6">
        <f>(SUM(L194:L205))/K204</f>
        <v>0.50911764705882356</v>
      </c>
      <c r="N205" s="35" t="e">
        <f t="shared" si="268"/>
        <v>#DIV/0!</v>
      </c>
      <c r="O205" s="6" t="e">
        <f t="shared" ref="O205:Q205" si="420">O193</f>
        <v>#DIV/0!</v>
      </c>
      <c r="P205" s="6" t="e">
        <f t="shared" si="420"/>
        <v>#DIV/0!</v>
      </c>
      <c r="Q205" s="6" t="e">
        <f t="shared" si="420"/>
        <v>#DIV/0!</v>
      </c>
      <c r="R205" s="69">
        <v>80</v>
      </c>
      <c r="S205" s="69">
        <v>0</v>
      </c>
      <c r="T205" s="6">
        <f t="shared" si="263"/>
        <v>0</v>
      </c>
      <c r="U205" s="35" t="e">
        <f t="shared" si="270"/>
        <v>#DIV/0!</v>
      </c>
      <c r="V205" s="6" t="e">
        <f t="shared" ref="V205:Z205" si="421">V193</f>
        <v>#DIV/0!</v>
      </c>
      <c r="W205" s="6" t="e">
        <f t="shared" si="421"/>
        <v>#DIV/0!</v>
      </c>
      <c r="X205" s="6" t="e">
        <f t="shared" si="421"/>
        <v>#DIV/0!</v>
      </c>
      <c r="Y205" s="6" t="e">
        <f t="shared" si="421"/>
        <v>#DIV/0!</v>
      </c>
      <c r="Z205" s="6" t="e">
        <f t="shared" si="421"/>
        <v>#DIV/0!</v>
      </c>
    </row>
    <row r="206" spans="1:26" x14ac:dyDescent="0.2">
      <c r="A206" s="7" t="s">
        <v>37</v>
      </c>
      <c r="B206" s="6">
        <f t="shared" si="265"/>
        <v>1</v>
      </c>
      <c r="C206" s="7" t="s">
        <v>151</v>
      </c>
      <c r="D206" s="68">
        <v>62</v>
      </c>
      <c r="E206" s="68">
        <v>0</v>
      </c>
      <c r="F206" s="65">
        <f t="shared" si="260"/>
        <v>0</v>
      </c>
      <c r="G206" s="60" t="e">
        <f t="shared" si="266"/>
        <v>#DIV/0!</v>
      </c>
      <c r="H206" s="65" t="e">
        <f t="shared" ref="H206:J206" si="422">H194</f>
        <v>#DIV/0!</v>
      </c>
      <c r="I206" s="65" t="e">
        <f t="shared" si="422"/>
        <v>#DIV/0!</v>
      </c>
      <c r="J206" s="65" t="e">
        <f t="shared" si="422"/>
        <v>#DIV/0!</v>
      </c>
      <c r="K206" s="69">
        <v>6600</v>
      </c>
      <c r="L206" s="69">
        <f>'Monitoramento Acumulado Geral'!Q206</f>
        <v>0</v>
      </c>
      <c r="M206" s="6">
        <f>L206/K206</f>
        <v>0</v>
      </c>
      <c r="N206" s="35" t="e">
        <f t="shared" si="268"/>
        <v>#DIV/0!</v>
      </c>
      <c r="O206" s="6" t="e">
        <f t="shared" ref="O206:Q206" si="423">O194</f>
        <v>#DIV/0!</v>
      </c>
      <c r="P206" s="6" t="e">
        <f t="shared" si="423"/>
        <v>#DIV/0!</v>
      </c>
      <c r="Q206" s="6" t="e">
        <f t="shared" si="423"/>
        <v>#DIV/0!</v>
      </c>
      <c r="R206" s="69">
        <v>54</v>
      </c>
      <c r="S206" s="69">
        <v>0</v>
      </c>
      <c r="T206" s="6">
        <f t="shared" si="263"/>
        <v>0</v>
      </c>
      <c r="U206" s="35" t="e">
        <f t="shared" si="270"/>
        <v>#DIV/0!</v>
      </c>
      <c r="V206" s="6" t="e">
        <f t="shared" ref="V206:Z206" si="424">V194</f>
        <v>#DIV/0!</v>
      </c>
      <c r="W206" s="6" t="e">
        <f t="shared" si="424"/>
        <v>#DIV/0!</v>
      </c>
      <c r="X206" s="6" t="e">
        <f t="shared" si="424"/>
        <v>#DIV/0!</v>
      </c>
      <c r="Y206" s="6" t="e">
        <f t="shared" si="424"/>
        <v>#DIV/0!</v>
      </c>
      <c r="Z206" s="6" t="e">
        <f t="shared" si="424"/>
        <v>#DIV/0!</v>
      </c>
    </row>
    <row r="207" spans="1:26" x14ac:dyDescent="0.2">
      <c r="A207" s="7" t="s">
        <v>37</v>
      </c>
      <c r="B207" s="6">
        <f t="shared" si="265"/>
        <v>2</v>
      </c>
      <c r="C207" s="7" t="s">
        <v>152</v>
      </c>
      <c r="D207" s="68">
        <v>62</v>
      </c>
      <c r="E207" s="68">
        <v>0</v>
      </c>
      <c r="F207" s="65">
        <f t="shared" si="260"/>
        <v>0</v>
      </c>
      <c r="G207" s="60" t="e">
        <f t="shared" si="266"/>
        <v>#DIV/0!</v>
      </c>
      <c r="H207" s="65" t="e">
        <f t="shared" ref="H207:J207" si="425">H195</f>
        <v>#DIV/0!</v>
      </c>
      <c r="I207" s="65" t="e">
        <f t="shared" si="425"/>
        <v>#DIV/0!</v>
      </c>
      <c r="J207" s="65" t="e">
        <f t="shared" si="425"/>
        <v>#DIV/0!</v>
      </c>
      <c r="K207" s="69">
        <v>6600</v>
      </c>
      <c r="L207" s="69">
        <f>'Monitoramento Acumulado Geral'!Q207</f>
        <v>0</v>
      </c>
      <c r="M207" s="6">
        <f>(SUM(L206:L207))/K206</f>
        <v>0</v>
      </c>
      <c r="N207" s="35" t="e">
        <f t="shared" si="268"/>
        <v>#DIV/0!</v>
      </c>
      <c r="O207" s="6" t="e">
        <f t="shared" ref="O207:Q207" si="426">O195</f>
        <v>#DIV/0!</v>
      </c>
      <c r="P207" s="6" t="e">
        <f t="shared" si="426"/>
        <v>#DIV/0!</v>
      </c>
      <c r="Q207" s="6" t="e">
        <f t="shared" si="426"/>
        <v>#DIV/0!</v>
      </c>
      <c r="R207" s="69">
        <v>54</v>
      </c>
      <c r="S207" s="69">
        <v>0</v>
      </c>
      <c r="T207" s="6">
        <f t="shared" si="263"/>
        <v>0</v>
      </c>
      <c r="U207" s="35" t="e">
        <f t="shared" si="270"/>
        <v>#DIV/0!</v>
      </c>
      <c r="V207" s="6" t="e">
        <f t="shared" ref="V207:Z207" si="427">V195</f>
        <v>#DIV/0!</v>
      </c>
      <c r="W207" s="6" t="e">
        <f t="shared" si="427"/>
        <v>#DIV/0!</v>
      </c>
      <c r="X207" s="6" t="e">
        <f t="shared" si="427"/>
        <v>#DIV/0!</v>
      </c>
      <c r="Y207" s="6" t="e">
        <f t="shared" si="427"/>
        <v>#DIV/0!</v>
      </c>
      <c r="Z207" s="6" t="e">
        <f t="shared" si="427"/>
        <v>#DIV/0!</v>
      </c>
    </row>
    <row r="208" spans="1:26" x14ac:dyDescent="0.2">
      <c r="A208" s="7" t="s">
        <v>37</v>
      </c>
      <c r="B208" s="6">
        <f t="shared" si="265"/>
        <v>3</v>
      </c>
      <c r="C208" s="7" t="s">
        <v>153</v>
      </c>
      <c r="D208" s="68">
        <v>62</v>
      </c>
      <c r="E208" s="68">
        <v>31</v>
      </c>
      <c r="F208" s="65">
        <f t="shared" si="260"/>
        <v>0.5</v>
      </c>
      <c r="G208" s="60" t="e">
        <f t="shared" si="266"/>
        <v>#DIV/0!</v>
      </c>
      <c r="H208" s="65" t="e">
        <f t="shared" ref="H208:J208" si="428">H196</f>
        <v>#DIV/0!</v>
      </c>
      <c r="I208" s="65" t="e">
        <f t="shared" si="428"/>
        <v>#DIV/0!</v>
      </c>
      <c r="J208" s="65" t="e">
        <f t="shared" si="428"/>
        <v>#DIV/0!</v>
      </c>
      <c r="K208" s="69">
        <v>6600</v>
      </c>
      <c r="L208" s="69">
        <f>'Monitoramento Acumulado Geral'!Q208</f>
        <v>1800</v>
      </c>
      <c r="M208" s="6">
        <f>(SUM(L206:L208))/K207</f>
        <v>0.27272727272727271</v>
      </c>
      <c r="N208" s="35" t="e">
        <f t="shared" si="268"/>
        <v>#DIV/0!</v>
      </c>
      <c r="O208" s="6" t="e">
        <f t="shared" ref="O208:Q208" si="429">O196</f>
        <v>#DIV/0!</v>
      </c>
      <c r="P208" s="6" t="e">
        <f t="shared" si="429"/>
        <v>#DIV/0!</v>
      </c>
      <c r="Q208" s="6" t="e">
        <f t="shared" si="429"/>
        <v>#DIV/0!</v>
      </c>
      <c r="R208" s="69">
        <v>54</v>
      </c>
      <c r="S208" s="69">
        <v>0</v>
      </c>
      <c r="T208" s="6">
        <f t="shared" si="263"/>
        <v>0</v>
      </c>
      <c r="U208" s="35" t="e">
        <f t="shared" si="270"/>
        <v>#DIV/0!</v>
      </c>
      <c r="V208" s="6" t="e">
        <f t="shared" ref="V208:Z208" si="430">V196</f>
        <v>#DIV/0!</v>
      </c>
      <c r="W208" s="6" t="e">
        <f t="shared" si="430"/>
        <v>#DIV/0!</v>
      </c>
      <c r="X208" s="6" t="e">
        <f t="shared" si="430"/>
        <v>#DIV/0!</v>
      </c>
      <c r="Y208" s="6" t="e">
        <f t="shared" si="430"/>
        <v>#DIV/0!</v>
      </c>
      <c r="Z208" s="6" t="e">
        <f t="shared" si="430"/>
        <v>#DIV/0!</v>
      </c>
    </row>
    <row r="209" spans="1:26" x14ac:dyDescent="0.2">
      <c r="A209" s="7" t="s">
        <v>37</v>
      </c>
      <c r="B209" s="6">
        <f t="shared" si="265"/>
        <v>4</v>
      </c>
      <c r="C209" s="7" t="s">
        <v>154</v>
      </c>
      <c r="D209" s="68">
        <v>62</v>
      </c>
      <c r="E209" s="68">
        <v>31</v>
      </c>
      <c r="F209" s="65">
        <f t="shared" si="260"/>
        <v>0.5</v>
      </c>
      <c r="G209" s="60" t="e">
        <f t="shared" si="266"/>
        <v>#DIV/0!</v>
      </c>
      <c r="H209" s="65" t="e">
        <f t="shared" ref="H209:J209" si="431">H197</f>
        <v>#DIV/0!</v>
      </c>
      <c r="I209" s="65" t="e">
        <f t="shared" si="431"/>
        <v>#DIV/0!</v>
      </c>
      <c r="J209" s="65" t="e">
        <f t="shared" si="431"/>
        <v>#DIV/0!</v>
      </c>
      <c r="K209" s="69">
        <v>6600</v>
      </c>
      <c r="L209" s="69">
        <f>'Monitoramento Acumulado Geral'!Q209</f>
        <v>0</v>
      </c>
      <c r="M209" s="6">
        <f>(SUM(L206:L209))/K208</f>
        <v>0.27272727272727271</v>
      </c>
      <c r="N209" s="35" t="e">
        <f t="shared" si="268"/>
        <v>#DIV/0!</v>
      </c>
      <c r="O209" s="6" t="e">
        <f t="shared" ref="O209:Q209" si="432">O197</f>
        <v>#DIV/0!</v>
      </c>
      <c r="P209" s="6" t="e">
        <f t="shared" si="432"/>
        <v>#DIV/0!</v>
      </c>
      <c r="Q209" s="6" t="e">
        <f t="shared" si="432"/>
        <v>#DIV/0!</v>
      </c>
      <c r="R209" s="69">
        <v>54</v>
      </c>
      <c r="S209" s="69">
        <v>0</v>
      </c>
      <c r="T209" s="6">
        <f t="shared" si="263"/>
        <v>0</v>
      </c>
      <c r="U209" s="35" t="e">
        <f t="shared" si="270"/>
        <v>#DIV/0!</v>
      </c>
      <c r="V209" s="6" t="e">
        <f t="shared" ref="V209:Z209" si="433">V197</f>
        <v>#DIV/0!</v>
      </c>
      <c r="W209" s="6" t="e">
        <f t="shared" si="433"/>
        <v>#DIV/0!</v>
      </c>
      <c r="X209" s="6" t="e">
        <f t="shared" si="433"/>
        <v>#DIV/0!</v>
      </c>
      <c r="Y209" s="6" t="e">
        <f t="shared" si="433"/>
        <v>#DIV/0!</v>
      </c>
      <c r="Z209" s="6" t="e">
        <f t="shared" si="433"/>
        <v>#DIV/0!</v>
      </c>
    </row>
    <row r="210" spans="1:26" x14ac:dyDescent="0.2">
      <c r="A210" s="7" t="s">
        <v>37</v>
      </c>
      <c r="B210" s="6">
        <f t="shared" si="265"/>
        <v>5</v>
      </c>
      <c r="C210" s="7" t="s">
        <v>155</v>
      </c>
      <c r="D210" s="68">
        <v>62</v>
      </c>
      <c r="E210" s="68">
        <v>31</v>
      </c>
      <c r="F210" s="65">
        <f t="shared" si="260"/>
        <v>0.5</v>
      </c>
      <c r="G210" s="60" t="e">
        <f t="shared" si="266"/>
        <v>#DIV/0!</v>
      </c>
      <c r="H210" s="65" t="e">
        <f t="shared" ref="H210:J210" si="434">H198</f>
        <v>#DIV/0!</v>
      </c>
      <c r="I210" s="65" t="e">
        <f t="shared" si="434"/>
        <v>#DIV/0!</v>
      </c>
      <c r="J210" s="65" t="e">
        <f t="shared" si="434"/>
        <v>#DIV/0!</v>
      </c>
      <c r="K210" s="69">
        <v>6600</v>
      </c>
      <c r="L210" s="69">
        <f>'Monitoramento Acumulado Geral'!Q210</f>
        <v>0</v>
      </c>
      <c r="M210" s="6">
        <f>(SUM(L206:L210))/K209</f>
        <v>0.27272727272727271</v>
      </c>
      <c r="N210" s="35" t="e">
        <f t="shared" si="268"/>
        <v>#DIV/0!</v>
      </c>
      <c r="O210" s="6" t="e">
        <f t="shared" ref="O210:Q210" si="435">O198</f>
        <v>#DIV/0!</v>
      </c>
      <c r="P210" s="6" t="e">
        <f t="shared" si="435"/>
        <v>#DIV/0!</v>
      </c>
      <c r="Q210" s="6" t="e">
        <f t="shared" si="435"/>
        <v>#DIV/0!</v>
      </c>
      <c r="R210" s="69">
        <v>54</v>
      </c>
      <c r="S210" s="69">
        <v>38</v>
      </c>
      <c r="T210" s="6">
        <f t="shared" si="263"/>
        <v>0.70370370370370372</v>
      </c>
      <c r="U210" s="35" t="e">
        <f t="shared" si="270"/>
        <v>#DIV/0!</v>
      </c>
      <c r="V210" s="6" t="e">
        <f t="shared" ref="V210:Z210" si="436">V198</f>
        <v>#DIV/0!</v>
      </c>
      <c r="W210" s="6" t="e">
        <f t="shared" si="436"/>
        <v>#DIV/0!</v>
      </c>
      <c r="X210" s="6" t="e">
        <f t="shared" si="436"/>
        <v>#DIV/0!</v>
      </c>
      <c r="Y210" s="6" t="e">
        <f t="shared" si="436"/>
        <v>#DIV/0!</v>
      </c>
      <c r="Z210" s="6" t="e">
        <f t="shared" si="436"/>
        <v>#DIV/0!</v>
      </c>
    </row>
    <row r="211" spans="1:26" x14ac:dyDescent="0.2">
      <c r="A211" s="7" t="s">
        <v>37</v>
      </c>
      <c r="B211" s="6">
        <f t="shared" si="265"/>
        <v>6</v>
      </c>
      <c r="C211" s="7" t="s">
        <v>156</v>
      </c>
      <c r="D211" s="68">
        <v>62</v>
      </c>
      <c r="E211" s="68">
        <v>38</v>
      </c>
      <c r="F211" s="65">
        <f t="shared" si="260"/>
        <v>0.61290322580645162</v>
      </c>
      <c r="G211" s="60" t="e">
        <f t="shared" si="266"/>
        <v>#DIV/0!</v>
      </c>
      <c r="H211" s="65" t="e">
        <f t="shared" ref="H211:J211" si="437">H199</f>
        <v>#DIV/0!</v>
      </c>
      <c r="I211" s="65" t="e">
        <f t="shared" si="437"/>
        <v>#DIV/0!</v>
      </c>
      <c r="J211" s="65" t="e">
        <f t="shared" si="437"/>
        <v>#DIV/0!</v>
      </c>
      <c r="K211" s="69">
        <v>6600</v>
      </c>
      <c r="L211" s="69">
        <f>'Monitoramento Acumulado Geral'!Q211</f>
        <v>1180</v>
      </c>
      <c r="M211" s="6">
        <f>(SUM(L206:L211))/K210</f>
        <v>0.45151515151515154</v>
      </c>
      <c r="N211" s="35" t="e">
        <f t="shared" si="268"/>
        <v>#DIV/0!</v>
      </c>
      <c r="O211" s="6" t="e">
        <f t="shared" ref="O211:Q211" si="438">O199</f>
        <v>#DIV/0!</v>
      </c>
      <c r="P211" s="6" t="e">
        <f t="shared" si="438"/>
        <v>#DIV/0!</v>
      </c>
      <c r="Q211" s="6" t="e">
        <f t="shared" si="438"/>
        <v>#DIV/0!</v>
      </c>
      <c r="R211" s="69">
        <v>54</v>
      </c>
      <c r="S211" s="69">
        <v>38</v>
      </c>
      <c r="T211" s="6">
        <f t="shared" si="263"/>
        <v>0.70370370370370372</v>
      </c>
      <c r="U211" s="35" t="e">
        <f t="shared" si="270"/>
        <v>#DIV/0!</v>
      </c>
      <c r="V211" s="6" t="e">
        <f t="shared" ref="V211:Z211" si="439">V199</f>
        <v>#DIV/0!</v>
      </c>
      <c r="W211" s="6" t="e">
        <f t="shared" si="439"/>
        <v>#DIV/0!</v>
      </c>
      <c r="X211" s="6" t="e">
        <f t="shared" si="439"/>
        <v>#DIV/0!</v>
      </c>
      <c r="Y211" s="6" t="e">
        <f t="shared" si="439"/>
        <v>#DIV/0!</v>
      </c>
      <c r="Z211" s="6" t="e">
        <f t="shared" si="439"/>
        <v>#DIV/0!</v>
      </c>
    </row>
    <row r="212" spans="1:26" x14ac:dyDescent="0.2">
      <c r="A212" s="7" t="s">
        <v>37</v>
      </c>
      <c r="B212" s="6">
        <f t="shared" si="265"/>
        <v>7</v>
      </c>
      <c r="C212" s="7" t="s">
        <v>157</v>
      </c>
      <c r="D212" s="68">
        <v>62</v>
      </c>
      <c r="E212" s="68">
        <v>38</v>
      </c>
      <c r="F212" s="65">
        <f t="shared" si="260"/>
        <v>0.61290322580645162</v>
      </c>
      <c r="G212" s="60" t="e">
        <f t="shared" si="266"/>
        <v>#DIV/0!</v>
      </c>
      <c r="H212" s="65" t="e">
        <f t="shared" ref="H212:J212" si="440">H200</f>
        <v>#DIV/0!</v>
      </c>
      <c r="I212" s="65" t="e">
        <f t="shared" si="440"/>
        <v>#DIV/0!</v>
      </c>
      <c r="J212" s="65" t="e">
        <f t="shared" si="440"/>
        <v>#DIV/0!</v>
      </c>
      <c r="K212" s="69">
        <v>6600</v>
      </c>
      <c r="L212" s="69">
        <f>'Monitoramento Acumulado Geral'!Q212</f>
        <v>6960</v>
      </c>
      <c r="M212" s="6">
        <f>(SUM(L206:L212))/K211</f>
        <v>1.5060606060606061</v>
      </c>
      <c r="N212" s="35" t="e">
        <f t="shared" si="268"/>
        <v>#DIV/0!</v>
      </c>
      <c r="O212" s="6" t="e">
        <f t="shared" ref="O212:Q212" si="441">O200</f>
        <v>#DIV/0!</v>
      </c>
      <c r="P212" s="6" t="e">
        <f t="shared" si="441"/>
        <v>#DIV/0!</v>
      </c>
      <c r="Q212" s="6" t="e">
        <f t="shared" si="441"/>
        <v>#DIV/0!</v>
      </c>
      <c r="R212" s="69">
        <v>54</v>
      </c>
      <c r="S212" s="69">
        <v>38</v>
      </c>
      <c r="T212" s="6">
        <f t="shared" si="263"/>
        <v>0.70370370370370372</v>
      </c>
      <c r="U212" s="35" t="e">
        <f t="shared" si="270"/>
        <v>#DIV/0!</v>
      </c>
      <c r="V212" s="6" t="e">
        <f t="shared" ref="V212:Z212" si="442">V200</f>
        <v>#DIV/0!</v>
      </c>
      <c r="W212" s="6" t="e">
        <f t="shared" si="442"/>
        <v>#DIV/0!</v>
      </c>
      <c r="X212" s="6" t="e">
        <f t="shared" si="442"/>
        <v>#DIV/0!</v>
      </c>
      <c r="Y212" s="6" t="e">
        <f t="shared" si="442"/>
        <v>#DIV/0!</v>
      </c>
      <c r="Z212" s="6" t="e">
        <f t="shared" si="442"/>
        <v>#DIV/0!</v>
      </c>
    </row>
    <row r="213" spans="1:26" x14ac:dyDescent="0.2">
      <c r="A213" s="7" t="s">
        <v>37</v>
      </c>
      <c r="B213" s="6">
        <f t="shared" si="265"/>
        <v>8</v>
      </c>
      <c r="C213" s="7" t="s">
        <v>158</v>
      </c>
      <c r="D213" s="68">
        <v>62</v>
      </c>
      <c r="E213" s="68">
        <v>38</v>
      </c>
      <c r="F213" s="65">
        <f t="shared" si="260"/>
        <v>0.61290322580645162</v>
      </c>
      <c r="G213" s="60" t="e">
        <f t="shared" si="266"/>
        <v>#DIV/0!</v>
      </c>
      <c r="H213" s="65" t="e">
        <f t="shared" ref="H213:J213" si="443">H201</f>
        <v>#DIV/0!</v>
      </c>
      <c r="I213" s="65" t="e">
        <f t="shared" si="443"/>
        <v>#DIV/0!</v>
      </c>
      <c r="J213" s="65" t="e">
        <f t="shared" si="443"/>
        <v>#DIV/0!</v>
      </c>
      <c r="K213" s="69">
        <v>6600</v>
      </c>
      <c r="L213" s="69">
        <f>'Monitoramento Acumulado Geral'!Q213</f>
        <v>0</v>
      </c>
      <c r="M213" s="6">
        <f>(SUM(L206:L213))/K212</f>
        <v>1.5060606060606061</v>
      </c>
      <c r="N213" s="35" t="e">
        <f t="shared" si="268"/>
        <v>#DIV/0!</v>
      </c>
      <c r="O213" s="6" t="e">
        <f t="shared" ref="O213:Q213" si="444">O201</f>
        <v>#DIV/0!</v>
      </c>
      <c r="P213" s="6" t="e">
        <f t="shared" si="444"/>
        <v>#DIV/0!</v>
      </c>
      <c r="Q213" s="6" t="e">
        <f t="shared" si="444"/>
        <v>#DIV/0!</v>
      </c>
      <c r="R213" s="69">
        <v>54</v>
      </c>
      <c r="S213" s="69">
        <v>38</v>
      </c>
      <c r="T213" s="6">
        <f t="shared" si="263"/>
        <v>0.70370370370370372</v>
      </c>
      <c r="U213" s="35" t="e">
        <f t="shared" si="270"/>
        <v>#DIV/0!</v>
      </c>
      <c r="V213" s="6" t="e">
        <f t="shared" ref="V213:Z213" si="445">V201</f>
        <v>#DIV/0!</v>
      </c>
      <c r="W213" s="6" t="e">
        <f t="shared" si="445"/>
        <v>#DIV/0!</v>
      </c>
      <c r="X213" s="6" t="e">
        <f t="shared" si="445"/>
        <v>#DIV/0!</v>
      </c>
      <c r="Y213" s="6" t="e">
        <f t="shared" si="445"/>
        <v>#DIV/0!</v>
      </c>
      <c r="Z213" s="6" t="e">
        <f t="shared" si="445"/>
        <v>#DIV/0!</v>
      </c>
    </row>
    <row r="214" spans="1:26" x14ac:dyDescent="0.2">
      <c r="A214" s="7" t="s">
        <v>37</v>
      </c>
      <c r="B214" s="6">
        <f t="shared" si="265"/>
        <v>9</v>
      </c>
      <c r="C214" s="7" t="s">
        <v>159</v>
      </c>
      <c r="D214" s="68">
        <v>62</v>
      </c>
      <c r="E214" s="68">
        <v>85</v>
      </c>
      <c r="F214" s="65">
        <f t="shared" si="260"/>
        <v>1.3709677419354838</v>
      </c>
      <c r="G214" s="60" t="e">
        <f t="shared" si="266"/>
        <v>#DIV/0!</v>
      </c>
      <c r="H214" s="65" t="e">
        <f t="shared" ref="H214:J214" si="446">H202</f>
        <v>#DIV/0!</v>
      </c>
      <c r="I214" s="65" t="e">
        <f t="shared" si="446"/>
        <v>#DIV/0!</v>
      </c>
      <c r="J214" s="65" t="e">
        <f t="shared" si="446"/>
        <v>#DIV/0!</v>
      </c>
      <c r="K214" s="69">
        <v>6600</v>
      </c>
      <c r="L214" s="69">
        <f>'Monitoramento Acumulado Geral'!Q214</f>
        <v>3300</v>
      </c>
      <c r="M214" s="6">
        <f>(SUM(L206:L214))/K213</f>
        <v>2.0060606060606059</v>
      </c>
      <c r="N214" s="35" t="e">
        <f t="shared" si="268"/>
        <v>#DIV/0!</v>
      </c>
      <c r="O214" s="6" t="e">
        <f t="shared" ref="O214:Q214" si="447">O202</f>
        <v>#DIV/0!</v>
      </c>
      <c r="P214" s="6" t="e">
        <f t="shared" si="447"/>
        <v>#DIV/0!</v>
      </c>
      <c r="Q214" s="6" t="e">
        <f t="shared" si="447"/>
        <v>#DIV/0!</v>
      </c>
      <c r="R214" s="69">
        <v>54</v>
      </c>
      <c r="S214" s="69">
        <v>38</v>
      </c>
      <c r="T214" s="6">
        <f t="shared" si="263"/>
        <v>0.70370370370370372</v>
      </c>
      <c r="U214" s="35" t="e">
        <f t="shared" si="270"/>
        <v>#DIV/0!</v>
      </c>
      <c r="V214" s="6" t="e">
        <f t="shared" ref="V214:Z214" si="448">V202</f>
        <v>#DIV/0!</v>
      </c>
      <c r="W214" s="6" t="e">
        <f t="shared" si="448"/>
        <v>#DIV/0!</v>
      </c>
      <c r="X214" s="6" t="e">
        <f t="shared" si="448"/>
        <v>#DIV/0!</v>
      </c>
      <c r="Y214" s="6" t="e">
        <f t="shared" si="448"/>
        <v>#DIV/0!</v>
      </c>
      <c r="Z214" s="6" t="e">
        <f t="shared" si="448"/>
        <v>#DIV/0!</v>
      </c>
    </row>
    <row r="215" spans="1:26" x14ac:dyDescent="0.2">
      <c r="A215" s="7" t="s">
        <v>37</v>
      </c>
      <c r="B215" s="6">
        <f t="shared" si="265"/>
        <v>10</v>
      </c>
      <c r="C215" s="7" t="s">
        <v>160</v>
      </c>
      <c r="D215" s="68">
        <v>62</v>
      </c>
      <c r="E215" s="68">
        <v>85</v>
      </c>
      <c r="F215" s="65">
        <f t="shared" si="260"/>
        <v>1.3709677419354838</v>
      </c>
      <c r="G215" s="60" t="e">
        <f t="shared" si="266"/>
        <v>#DIV/0!</v>
      </c>
      <c r="H215" s="65" t="e">
        <f t="shared" ref="H215:J215" si="449">H203</f>
        <v>#DIV/0!</v>
      </c>
      <c r="I215" s="65" t="e">
        <f t="shared" si="449"/>
        <v>#DIV/0!</v>
      </c>
      <c r="J215" s="65" t="e">
        <f t="shared" si="449"/>
        <v>#DIV/0!</v>
      </c>
      <c r="K215" s="69">
        <v>6600</v>
      </c>
      <c r="L215" s="69">
        <f>'Monitoramento Acumulado Geral'!Q215</f>
        <v>0</v>
      </c>
      <c r="M215" s="6">
        <f>(SUM(L206:L215))/K214</f>
        <v>2.0060606060606059</v>
      </c>
      <c r="N215" s="35" t="e">
        <f t="shared" si="268"/>
        <v>#DIV/0!</v>
      </c>
      <c r="O215" s="6" t="e">
        <f t="shared" ref="O215:Q215" si="450">O203</f>
        <v>#DIV/0!</v>
      </c>
      <c r="P215" s="6" t="e">
        <f t="shared" si="450"/>
        <v>#DIV/0!</v>
      </c>
      <c r="Q215" s="6" t="e">
        <f t="shared" si="450"/>
        <v>#DIV/0!</v>
      </c>
      <c r="R215" s="69">
        <v>54</v>
      </c>
      <c r="S215" s="69">
        <v>38</v>
      </c>
      <c r="T215" s="6">
        <f t="shared" si="263"/>
        <v>0.70370370370370372</v>
      </c>
      <c r="U215" s="35" t="e">
        <f t="shared" si="270"/>
        <v>#DIV/0!</v>
      </c>
      <c r="V215" s="6" t="e">
        <f t="shared" ref="V215:Z215" si="451">V203</f>
        <v>#DIV/0!</v>
      </c>
      <c r="W215" s="6" t="e">
        <f t="shared" si="451"/>
        <v>#DIV/0!</v>
      </c>
      <c r="X215" s="6" t="e">
        <f t="shared" si="451"/>
        <v>#DIV/0!</v>
      </c>
      <c r="Y215" s="6" t="e">
        <f t="shared" si="451"/>
        <v>#DIV/0!</v>
      </c>
      <c r="Z215" s="6" t="e">
        <f t="shared" si="451"/>
        <v>#DIV/0!</v>
      </c>
    </row>
    <row r="216" spans="1:26" x14ac:dyDescent="0.2">
      <c r="A216" s="7" t="s">
        <v>37</v>
      </c>
      <c r="B216" s="6">
        <f t="shared" si="265"/>
        <v>11</v>
      </c>
      <c r="C216" s="7" t="s">
        <v>161</v>
      </c>
      <c r="D216" s="68">
        <v>62</v>
      </c>
      <c r="E216" s="68">
        <v>0</v>
      </c>
      <c r="F216" s="65">
        <f t="shared" si="260"/>
        <v>0</v>
      </c>
      <c r="G216" s="60" t="e">
        <f t="shared" si="266"/>
        <v>#DIV/0!</v>
      </c>
      <c r="H216" s="65" t="e">
        <f t="shared" ref="H216:J216" si="452">H204</f>
        <v>#DIV/0!</v>
      </c>
      <c r="I216" s="65" t="e">
        <f t="shared" si="452"/>
        <v>#DIV/0!</v>
      </c>
      <c r="J216" s="65" t="e">
        <f t="shared" si="452"/>
        <v>#DIV/0!</v>
      </c>
      <c r="K216" s="69">
        <v>6600</v>
      </c>
      <c r="L216" s="69">
        <f>'Monitoramento Acumulado Geral'!Q216</f>
        <v>0</v>
      </c>
      <c r="M216" s="6">
        <f>(SUM(L206:L216))/K215</f>
        <v>2.0060606060606059</v>
      </c>
      <c r="N216" s="35" t="e">
        <f t="shared" si="268"/>
        <v>#DIV/0!</v>
      </c>
      <c r="O216" s="6" t="e">
        <f t="shared" ref="O216:Q216" si="453">O204</f>
        <v>#DIV/0!</v>
      </c>
      <c r="P216" s="6" t="e">
        <f t="shared" si="453"/>
        <v>#DIV/0!</v>
      </c>
      <c r="Q216" s="6" t="e">
        <f t="shared" si="453"/>
        <v>#DIV/0!</v>
      </c>
      <c r="R216" s="69">
        <v>54</v>
      </c>
      <c r="S216" s="69">
        <v>0</v>
      </c>
      <c r="T216" s="6">
        <f t="shared" si="263"/>
        <v>0</v>
      </c>
      <c r="U216" s="35" t="e">
        <f t="shared" si="270"/>
        <v>#DIV/0!</v>
      </c>
      <c r="V216" s="6" t="e">
        <f t="shared" ref="V216:Z216" si="454">V204</f>
        <v>#DIV/0!</v>
      </c>
      <c r="W216" s="6" t="e">
        <f t="shared" si="454"/>
        <v>#DIV/0!</v>
      </c>
      <c r="X216" s="6" t="e">
        <f t="shared" si="454"/>
        <v>#DIV/0!</v>
      </c>
      <c r="Y216" s="6" t="e">
        <f t="shared" si="454"/>
        <v>#DIV/0!</v>
      </c>
      <c r="Z216" s="6" t="e">
        <f t="shared" si="454"/>
        <v>#DIV/0!</v>
      </c>
    </row>
    <row r="217" spans="1:26" x14ac:dyDescent="0.2">
      <c r="A217" s="7" t="s">
        <v>37</v>
      </c>
      <c r="B217" s="6">
        <f t="shared" si="265"/>
        <v>12</v>
      </c>
      <c r="C217" s="7" t="s">
        <v>162</v>
      </c>
      <c r="D217" s="68">
        <v>62</v>
      </c>
      <c r="E217" s="68">
        <v>0</v>
      </c>
      <c r="F217" s="65">
        <f t="shared" si="260"/>
        <v>0</v>
      </c>
      <c r="G217" s="60" t="e">
        <f t="shared" si="266"/>
        <v>#DIV/0!</v>
      </c>
      <c r="H217" s="65" t="e">
        <f t="shared" ref="H217:J217" si="455">H205</f>
        <v>#DIV/0!</v>
      </c>
      <c r="I217" s="65" t="e">
        <f t="shared" si="455"/>
        <v>#DIV/0!</v>
      </c>
      <c r="J217" s="65" t="e">
        <f t="shared" si="455"/>
        <v>#DIV/0!</v>
      </c>
      <c r="K217" s="69">
        <v>6600</v>
      </c>
      <c r="L217" s="69">
        <f>'Monitoramento Acumulado Geral'!Q217</f>
        <v>0</v>
      </c>
      <c r="M217" s="6">
        <f>(SUM(L206:L217))/K216</f>
        <v>2.0060606060606059</v>
      </c>
      <c r="N217" s="35" t="e">
        <f t="shared" si="268"/>
        <v>#DIV/0!</v>
      </c>
      <c r="O217" s="6" t="e">
        <f t="shared" ref="O217:Q217" si="456">O205</f>
        <v>#DIV/0!</v>
      </c>
      <c r="P217" s="6" t="e">
        <f t="shared" si="456"/>
        <v>#DIV/0!</v>
      </c>
      <c r="Q217" s="6" t="e">
        <f t="shared" si="456"/>
        <v>#DIV/0!</v>
      </c>
      <c r="R217" s="69">
        <v>54</v>
      </c>
      <c r="S217" s="69">
        <v>0</v>
      </c>
      <c r="T217" s="6">
        <f t="shared" si="263"/>
        <v>0</v>
      </c>
      <c r="U217" s="35" t="e">
        <f t="shared" si="270"/>
        <v>#DIV/0!</v>
      </c>
      <c r="V217" s="6" t="e">
        <f t="shared" ref="V217:Z217" si="457">V205</f>
        <v>#DIV/0!</v>
      </c>
      <c r="W217" s="6" t="e">
        <f t="shared" si="457"/>
        <v>#DIV/0!</v>
      </c>
      <c r="X217" s="6" t="e">
        <f t="shared" si="457"/>
        <v>#DIV/0!</v>
      </c>
      <c r="Y217" s="6" t="e">
        <f t="shared" si="457"/>
        <v>#DIV/0!</v>
      </c>
      <c r="Z217" s="6" t="e">
        <f t="shared" si="457"/>
        <v>#DIV/0!</v>
      </c>
    </row>
    <row r="218" spans="1:26" x14ac:dyDescent="0.2">
      <c r="A218" s="7" t="s">
        <v>91</v>
      </c>
      <c r="B218" s="6">
        <f t="shared" si="265"/>
        <v>1</v>
      </c>
      <c r="C218" s="7" t="s">
        <v>151</v>
      </c>
      <c r="D218" s="68">
        <v>75</v>
      </c>
      <c r="E218" s="68">
        <v>28</v>
      </c>
      <c r="F218" s="65">
        <f t="shared" ref="F218:F293" si="458">E218/D218</f>
        <v>0.37333333333333335</v>
      </c>
      <c r="G218" s="60" t="e">
        <f t="shared" si="266"/>
        <v>#DIV/0!</v>
      </c>
      <c r="H218" s="65" t="e">
        <f t="shared" ref="H218:J218" si="459">H206</f>
        <v>#DIV/0!</v>
      </c>
      <c r="I218" s="65" t="e">
        <f t="shared" si="459"/>
        <v>#DIV/0!</v>
      </c>
      <c r="J218" s="65" t="e">
        <f t="shared" si="459"/>
        <v>#DIV/0!</v>
      </c>
      <c r="K218" s="69">
        <v>25000</v>
      </c>
      <c r="L218" s="69">
        <f>'Monitoramento Acumulado Geral'!Q218</f>
        <v>4057</v>
      </c>
      <c r="M218" s="6">
        <f>L218/K218</f>
        <v>0.16228000000000001</v>
      </c>
      <c r="N218" s="35" t="e">
        <f t="shared" si="268"/>
        <v>#DIV/0!</v>
      </c>
      <c r="O218" s="6" t="e">
        <f t="shared" ref="O218:Q218" si="460">O206</f>
        <v>#DIV/0!</v>
      </c>
      <c r="P218" s="6" t="e">
        <f t="shared" si="460"/>
        <v>#DIV/0!</v>
      </c>
      <c r="Q218" s="6" t="e">
        <f t="shared" si="460"/>
        <v>#DIV/0!</v>
      </c>
      <c r="R218" s="69">
        <v>77</v>
      </c>
      <c r="S218" s="69">
        <v>13</v>
      </c>
      <c r="T218" s="6">
        <f t="shared" ref="T218:T293" si="461">S218/R218</f>
        <v>0.16883116883116883</v>
      </c>
      <c r="U218" s="35" t="e">
        <f t="shared" si="270"/>
        <v>#DIV/0!</v>
      </c>
      <c r="V218" s="6" t="e">
        <f t="shared" ref="V218:Z218" si="462">V206</f>
        <v>#DIV/0!</v>
      </c>
      <c r="W218" s="6" t="e">
        <f t="shared" si="462"/>
        <v>#DIV/0!</v>
      </c>
      <c r="X218" s="6" t="e">
        <f t="shared" si="462"/>
        <v>#DIV/0!</v>
      </c>
      <c r="Y218" s="6" t="e">
        <f t="shared" si="462"/>
        <v>#DIV/0!</v>
      </c>
      <c r="Z218" s="6" t="e">
        <f t="shared" si="462"/>
        <v>#DIV/0!</v>
      </c>
    </row>
    <row r="219" spans="1:26" x14ac:dyDescent="0.2">
      <c r="A219" s="7" t="s">
        <v>91</v>
      </c>
      <c r="B219" s="6">
        <f t="shared" ref="B219:B294" si="463">_xlfn.IFS(C219="Janeiro",1,C219="Fevereiro",2,C219="Março",3,C219="Abril",4,C219="Maio",5,C219="Junho",6,C219="Julho",7,C219="Agosto",8,C219="Setembro",9,C219="Outubro",10,C219="Novembro",11,C219="Dezembro",12,TRUE,0)</f>
        <v>2</v>
      </c>
      <c r="C219" s="7" t="s">
        <v>152</v>
      </c>
      <c r="D219" s="68">
        <v>75</v>
      </c>
      <c r="E219" s="68">
        <v>28</v>
      </c>
      <c r="F219" s="65">
        <f t="shared" si="458"/>
        <v>0.37333333333333335</v>
      </c>
      <c r="G219" s="60" t="e">
        <f t="shared" ref="G219:G294" si="464">IF(F219&gt;=I219,"Desempenho Ótimo",(IF(F219&gt;H219,"Desempenho Bom",(IF(F219&gt;J219,"Desempenho Médio",IF(F219&lt;=J219,"Desempenho Deficitário",0))))))</f>
        <v>#DIV/0!</v>
      </c>
      <c r="H219" s="65" t="e">
        <f t="shared" ref="H219:J219" si="465">H207</f>
        <v>#DIV/0!</v>
      </c>
      <c r="I219" s="65" t="e">
        <f t="shared" si="465"/>
        <v>#DIV/0!</v>
      </c>
      <c r="J219" s="65" t="e">
        <f t="shared" si="465"/>
        <v>#DIV/0!</v>
      </c>
      <c r="K219" s="69">
        <v>25000</v>
      </c>
      <c r="L219" s="69">
        <f>'Monitoramento Acumulado Geral'!Q219</f>
        <v>0</v>
      </c>
      <c r="M219" s="6">
        <f>(SUM(L218:L219))/K218</f>
        <v>0.16228000000000001</v>
      </c>
      <c r="N219" s="35" t="e">
        <f t="shared" ref="N219:N294" si="466">IF(M219&gt;=P219,"Desempenho Ótimo",(IF(M219&gt;O219,"Desempenho Bom",(IF(M219&gt;Q219,"Desempenho Médio",IF(M219&lt;=Q219,"Desempenho Deficitário",0))))))</f>
        <v>#DIV/0!</v>
      </c>
      <c r="O219" s="6" t="e">
        <f t="shared" ref="O219:Q219" si="467">O207</f>
        <v>#DIV/0!</v>
      </c>
      <c r="P219" s="6" t="e">
        <f t="shared" si="467"/>
        <v>#DIV/0!</v>
      </c>
      <c r="Q219" s="6" t="e">
        <f t="shared" si="467"/>
        <v>#DIV/0!</v>
      </c>
      <c r="R219" s="69">
        <v>77</v>
      </c>
      <c r="S219" s="69">
        <v>13</v>
      </c>
      <c r="T219" s="6">
        <f t="shared" si="461"/>
        <v>0.16883116883116883</v>
      </c>
      <c r="U219" s="35" t="e">
        <f t="shared" ref="U219:U294" si="468">IF(T219&gt;=W219,"Desempenho Ótimo",(IF(T219&gt;V219,"Desempenho Bom",(IF(T219&gt;X219,"Desempenho Médio",IF(T219&lt;=X219,"Desempenho Deficitário",0))))))</f>
        <v>#DIV/0!</v>
      </c>
      <c r="V219" s="6" t="e">
        <f t="shared" ref="V219:Z219" si="469">V207</f>
        <v>#DIV/0!</v>
      </c>
      <c r="W219" s="6" t="e">
        <f t="shared" si="469"/>
        <v>#DIV/0!</v>
      </c>
      <c r="X219" s="6" t="e">
        <f t="shared" si="469"/>
        <v>#DIV/0!</v>
      </c>
      <c r="Y219" s="6" t="e">
        <f t="shared" si="469"/>
        <v>#DIV/0!</v>
      </c>
      <c r="Z219" s="6" t="e">
        <f t="shared" si="469"/>
        <v>#DIV/0!</v>
      </c>
    </row>
    <row r="220" spans="1:26" x14ac:dyDescent="0.2">
      <c r="A220" s="7" t="s">
        <v>91</v>
      </c>
      <c r="B220" s="6">
        <f t="shared" si="463"/>
        <v>3</v>
      </c>
      <c r="C220" s="7" t="s">
        <v>153</v>
      </c>
      <c r="D220" s="68">
        <v>75</v>
      </c>
      <c r="E220" s="68">
        <v>31</v>
      </c>
      <c r="F220" s="65">
        <f t="shared" si="458"/>
        <v>0.41333333333333333</v>
      </c>
      <c r="G220" s="60" t="e">
        <f t="shared" si="464"/>
        <v>#DIV/0!</v>
      </c>
      <c r="H220" s="65" t="e">
        <f t="shared" ref="H220:J220" si="470">H208</f>
        <v>#DIV/0!</v>
      </c>
      <c r="I220" s="65" t="e">
        <f t="shared" si="470"/>
        <v>#DIV/0!</v>
      </c>
      <c r="J220" s="65" t="e">
        <f t="shared" si="470"/>
        <v>#DIV/0!</v>
      </c>
      <c r="K220" s="69">
        <v>25000</v>
      </c>
      <c r="L220" s="69">
        <f>'Monitoramento Acumulado Geral'!Q220</f>
        <v>1750</v>
      </c>
      <c r="M220" s="6">
        <f>(SUM(L218:L220))/K219</f>
        <v>0.23227999999999999</v>
      </c>
      <c r="N220" s="35" t="e">
        <f t="shared" si="466"/>
        <v>#DIV/0!</v>
      </c>
      <c r="O220" s="6" t="e">
        <f t="shared" ref="O220:Q220" si="471">O208</f>
        <v>#DIV/0!</v>
      </c>
      <c r="P220" s="6" t="e">
        <f t="shared" si="471"/>
        <v>#DIV/0!</v>
      </c>
      <c r="Q220" s="6" t="e">
        <f t="shared" si="471"/>
        <v>#DIV/0!</v>
      </c>
      <c r="R220" s="69">
        <v>77</v>
      </c>
      <c r="S220" s="69">
        <v>13</v>
      </c>
      <c r="T220" s="6">
        <f t="shared" si="461"/>
        <v>0.16883116883116883</v>
      </c>
      <c r="U220" s="35" t="e">
        <f t="shared" si="468"/>
        <v>#DIV/0!</v>
      </c>
      <c r="V220" s="6" t="e">
        <f t="shared" ref="V220:Z220" si="472">V208</f>
        <v>#DIV/0!</v>
      </c>
      <c r="W220" s="6" t="e">
        <f t="shared" si="472"/>
        <v>#DIV/0!</v>
      </c>
      <c r="X220" s="6" t="e">
        <f t="shared" si="472"/>
        <v>#DIV/0!</v>
      </c>
      <c r="Y220" s="6" t="e">
        <f t="shared" si="472"/>
        <v>#DIV/0!</v>
      </c>
      <c r="Z220" s="6" t="e">
        <f t="shared" si="472"/>
        <v>#DIV/0!</v>
      </c>
    </row>
    <row r="221" spans="1:26" x14ac:dyDescent="0.2">
      <c r="A221" s="7" t="s">
        <v>91</v>
      </c>
      <c r="B221" s="6">
        <f t="shared" si="463"/>
        <v>4</v>
      </c>
      <c r="C221" s="7" t="s">
        <v>154</v>
      </c>
      <c r="D221" s="68">
        <v>75</v>
      </c>
      <c r="E221" s="68">
        <v>31</v>
      </c>
      <c r="F221" s="65">
        <f t="shared" si="458"/>
        <v>0.41333333333333333</v>
      </c>
      <c r="G221" s="60" t="e">
        <f t="shared" si="464"/>
        <v>#DIV/0!</v>
      </c>
      <c r="H221" s="65" t="e">
        <f t="shared" ref="H221:J221" si="473">H209</f>
        <v>#DIV/0!</v>
      </c>
      <c r="I221" s="65" t="e">
        <f t="shared" si="473"/>
        <v>#DIV/0!</v>
      </c>
      <c r="J221" s="65" t="e">
        <f t="shared" si="473"/>
        <v>#DIV/0!</v>
      </c>
      <c r="K221" s="69">
        <v>25000</v>
      </c>
      <c r="L221" s="69">
        <f>'Monitoramento Acumulado Geral'!Q221</f>
        <v>0</v>
      </c>
      <c r="M221" s="6">
        <f>(SUM(L218:L221))/K220</f>
        <v>0.23227999999999999</v>
      </c>
      <c r="N221" s="35" t="e">
        <f t="shared" si="466"/>
        <v>#DIV/0!</v>
      </c>
      <c r="O221" s="6" t="e">
        <f t="shared" ref="O221:Q221" si="474">O209</f>
        <v>#DIV/0!</v>
      </c>
      <c r="P221" s="6" t="e">
        <f t="shared" si="474"/>
        <v>#DIV/0!</v>
      </c>
      <c r="Q221" s="6" t="e">
        <f t="shared" si="474"/>
        <v>#DIV/0!</v>
      </c>
      <c r="R221" s="69">
        <v>77</v>
      </c>
      <c r="S221" s="69">
        <v>13</v>
      </c>
      <c r="T221" s="6">
        <f t="shared" si="461"/>
        <v>0.16883116883116883</v>
      </c>
      <c r="U221" s="35" t="e">
        <f t="shared" si="468"/>
        <v>#DIV/0!</v>
      </c>
      <c r="V221" s="6" t="e">
        <f t="shared" ref="V221:Z221" si="475">V209</f>
        <v>#DIV/0!</v>
      </c>
      <c r="W221" s="6" t="e">
        <f t="shared" si="475"/>
        <v>#DIV/0!</v>
      </c>
      <c r="X221" s="6" t="e">
        <f t="shared" si="475"/>
        <v>#DIV/0!</v>
      </c>
      <c r="Y221" s="6" t="e">
        <f t="shared" si="475"/>
        <v>#DIV/0!</v>
      </c>
      <c r="Z221" s="6" t="e">
        <f t="shared" si="475"/>
        <v>#DIV/0!</v>
      </c>
    </row>
    <row r="222" spans="1:26" x14ac:dyDescent="0.2">
      <c r="A222" s="7" t="s">
        <v>91</v>
      </c>
      <c r="B222" s="6">
        <f t="shared" si="463"/>
        <v>5</v>
      </c>
      <c r="C222" s="7" t="s">
        <v>155</v>
      </c>
      <c r="D222" s="68">
        <v>75</v>
      </c>
      <c r="E222" s="68">
        <v>34</v>
      </c>
      <c r="F222" s="65">
        <f t="shared" si="458"/>
        <v>0.45333333333333331</v>
      </c>
      <c r="G222" s="60" t="e">
        <f t="shared" si="464"/>
        <v>#DIV/0!</v>
      </c>
      <c r="H222" s="65" t="e">
        <f t="shared" ref="H222:J222" si="476">H210</f>
        <v>#DIV/0!</v>
      </c>
      <c r="I222" s="65" t="e">
        <f t="shared" si="476"/>
        <v>#DIV/0!</v>
      </c>
      <c r="J222" s="65" t="e">
        <f t="shared" si="476"/>
        <v>#DIV/0!</v>
      </c>
      <c r="K222" s="69">
        <v>25000</v>
      </c>
      <c r="L222" s="69">
        <f>'Monitoramento Acumulado Geral'!Q222</f>
        <v>2000</v>
      </c>
      <c r="M222" s="6">
        <f>(SUM(L218:L222))/K221</f>
        <v>0.31228</v>
      </c>
      <c r="N222" s="35" t="e">
        <f t="shared" si="466"/>
        <v>#DIV/0!</v>
      </c>
      <c r="O222" s="6" t="e">
        <f t="shared" ref="O222:Q222" si="477">O210</f>
        <v>#DIV/0!</v>
      </c>
      <c r="P222" s="6" t="e">
        <f t="shared" si="477"/>
        <v>#DIV/0!</v>
      </c>
      <c r="Q222" s="6" t="e">
        <f t="shared" si="477"/>
        <v>#DIV/0!</v>
      </c>
      <c r="R222" s="69">
        <v>77</v>
      </c>
      <c r="S222" s="69">
        <v>41</v>
      </c>
      <c r="T222" s="6">
        <f t="shared" si="461"/>
        <v>0.53246753246753242</v>
      </c>
      <c r="U222" s="35" t="e">
        <f t="shared" si="468"/>
        <v>#DIV/0!</v>
      </c>
      <c r="V222" s="6" t="e">
        <f t="shared" ref="V222:Z222" si="478">V210</f>
        <v>#DIV/0!</v>
      </c>
      <c r="W222" s="6" t="e">
        <f t="shared" si="478"/>
        <v>#DIV/0!</v>
      </c>
      <c r="X222" s="6" t="e">
        <f t="shared" si="478"/>
        <v>#DIV/0!</v>
      </c>
      <c r="Y222" s="6" t="e">
        <f t="shared" si="478"/>
        <v>#DIV/0!</v>
      </c>
      <c r="Z222" s="6" t="e">
        <f t="shared" si="478"/>
        <v>#DIV/0!</v>
      </c>
    </row>
    <row r="223" spans="1:26" x14ac:dyDescent="0.2">
      <c r="A223" s="7" t="s">
        <v>91</v>
      </c>
      <c r="B223" s="6">
        <f t="shared" si="463"/>
        <v>6</v>
      </c>
      <c r="C223" s="7" t="s">
        <v>156</v>
      </c>
      <c r="D223" s="68">
        <v>75</v>
      </c>
      <c r="E223" s="68">
        <v>44</v>
      </c>
      <c r="F223" s="65">
        <f t="shared" si="458"/>
        <v>0.58666666666666667</v>
      </c>
      <c r="G223" s="60" t="e">
        <f t="shared" si="464"/>
        <v>#DIV/0!</v>
      </c>
      <c r="H223" s="65" t="e">
        <f t="shared" ref="H223:J223" si="479">H211</f>
        <v>#DIV/0!</v>
      </c>
      <c r="I223" s="65" t="e">
        <f t="shared" si="479"/>
        <v>#DIV/0!</v>
      </c>
      <c r="J223" s="65" t="e">
        <f t="shared" si="479"/>
        <v>#DIV/0!</v>
      </c>
      <c r="K223" s="69">
        <v>25000</v>
      </c>
      <c r="L223" s="69">
        <f>'Monitoramento Acumulado Geral'!Q223</f>
        <v>5145</v>
      </c>
      <c r="M223" s="6">
        <f>(SUM(L218:L223))/K222</f>
        <v>0.51807999999999998</v>
      </c>
      <c r="N223" s="35" t="e">
        <f t="shared" si="466"/>
        <v>#DIV/0!</v>
      </c>
      <c r="O223" s="6" t="e">
        <f t="shared" ref="O223:Q223" si="480">O211</f>
        <v>#DIV/0!</v>
      </c>
      <c r="P223" s="6" t="e">
        <f t="shared" si="480"/>
        <v>#DIV/0!</v>
      </c>
      <c r="Q223" s="6" t="e">
        <f t="shared" si="480"/>
        <v>#DIV/0!</v>
      </c>
      <c r="R223" s="69">
        <v>77</v>
      </c>
      <c r="S223" s="69">
        <v>41</v>
      </c>
      <c r="T223" s="6">
        <f t="shared" si="461"/>
        <v>0.53246753246753242</v>
      </c>
      <c r="U223" s="35" t="e">
        <f t="shared" si="468"/>
        <v>#DIV/0!</v>
      </c>
      <c r="V223" s="6" t="e">
        <f t="shared" ref="V223:Z223" si="481">V211</f>
        <v>#DIV/0!</v>
      </c>
      <c r="W223" s="6" t="e">
        <f t="shared" si="481"/>
        <v>#DIV/0!</v>
      </c>
      <c r="X223" s="6" t="e">
        <f t="shared" si="481"/>
        <v>#DIV/0!</v>
      </c>
      <c r="Y223" s="6" t="e">
        <f t="shared" si="481"/>
        <v>#DIV/0!</v>
      </c>
      <c r="Z223" s="6" t="e">
        <f t="shared" si="481"/>
        <v>#DIV/0!</v>
      </c>
    </row>
    <row r="224" spans="1:26" x14ac:dyDescent="0.2">
      <c r="A224" s="7" t="s">
        <v>91</v>
      </c>
      <c r="B224" s="6">
        <f t="shared" si="463"/>
        <v>7</v>
      </c>
      <c r="C224" s="7" t="s">
        <v>157</v>
      </c>
      <c r="D224" s="68">
        <v>75</v>
      </c>
      <c r="E224" s="68">
        <v>50</v>
      </c>
      <c r="F224" s="65">
        <f t="shared" si="458"/>
        <v>0.66666666666666663</v>
      </c>
      <c r="G224" s="60" t="e">
        <f t="shared" si="464"/>
        <v>#DIV/0!</v>
      </c>
      <c r="H224" s="65" t="e">
        <f t="shared" ref="H224:J224" si="482">H212</f>
        <v>#DIV/0!</v>
      </c>
      <c r="I224" s="65" t="e">
        <f t="shared" si="482"/>
        <v>#DIV/0!</v>
      </c>
      <c r="J224" s="65" t="e">
        <f t="shared" si="482"/>
        <v>#DIV/0!</v>
      </c>
      <c r="K224" s="69">
        <v>25000</v>
      </c>
      <c r="L224" s="69">
        <f>'Monitoramento Acumulado Geral'!Q224</f>
        <v>5119.8</v>
      </c>
      <c r="M224" s="6">
        <f>(SUM(L218:L224))/K223</f>
        <v>0.72287199999999996</v>
      </c>
      <c r="N224" s="35" t="e">
        <f t="shared" si="466"/>
        <v>#DIV/0!</v>
      </c>
      <c r="O224" s="6" t="e">
        <f t="shared" ref="O224:Q224" si="483">O212</f>
        <v>#DIV/0!</v>
      </c>
      <c r="P224" s="6" t="e">
        <f t="shared" si="483"/>
        <v>#DIV/0!</v>
      </c>
      <c r="Q224" s="6" t="e">
        <f t="shared" si="483"/>
        <v>#DIV/0!</v>
      </c>
      <c r="R224" s="69">
        <v>77</v>
      </c>
      <c r="S224" s="69">
        <v>41</v>
      </c>
      <c r="T224" s="6">
        <f t="shared" si="461"/>
        <v>0.53246753246753242</v>
      </c>
      <c r="U224" s="35" t="e">
        <f t="shared" si="468"/>
        <v>#DIV/0!</v>
      </c>
      <c r="V224" s="6" t="e">
        <f t="shared" ref="V224:Z224" si="484">V212</f>
        <v>#DIV/0!</v>
      </c>
      <c r="W224" s="6" t="e">
        <f t="shared" si="484"/>
        <v>#DIV/0!</v>
      </c>
      <c r="X224" s="6" t="e">
        <f t="shared" si="484"/>
        <v>#DIV/0!</v>
      </c>
      <c r="Y224" s="6" t="e">
        <f t="shared" si="484"/>
        <v>#DIV/0!</v>
      </c>
      <c r="Z224" s="6" t="e">
        <f t="shared" si="484"/>
        <v>#DIV/0!</v>
      </c>
    </row>
    <row r="225" spans="1:26" x14ac:dyDescent="0.2">
      <c r="A225" s="7" t="s">
        <v>91</v>
      </c>
      <c r="B225" s="6">
        <f t="shared" si="463"/>
        <v>8</v>
      </c>
      <c r="C225" s="7" t="s">
        <v>158</v>
      </c>
      <c r="D225" s="68">
        <v>75</v>
      </c>
      <c r="E225" s="68">
        <v>59</v>
      </c>
      <c r="F225" s="65">
        <f t="shared" si="458"/>
        <v>0.78666666666666663</v>
      </c>
      <c r="G225" s="60" t="e">
        <f t="shared" si="464"/>
        <v>#DIV/0!</v>
      </c>
      <c r="H225" s="65" t="e">
        <f t="shared" ref="H225:J225" si="485">H213</f>
        <v>#DIV/0!</v>
      </c>
      <c r="I225" s="65" t="e">
        <f t="shared" si="485"/>
        <v>#DIV/0!</v>
      </c>
      <c r="J225" s="65" t="e">
        <f t="shared" si="485"/>
        <v>#DIV/0!</v>
      </c>
      <c r="K225" s="69">
        <v>25000</v>
      </c>
      <c r="L225" s="69">
        <f>'Monitoramento Acumulado Geral'!Q225</f>
        <v>788</v>
      </c>
      <c r="M225" s="6">
        <f>(SUM(L218:L225))/K224</f>
        <v>0.75439199999999995</v>
      </c>
      <c r="N225" s="35" t="e">
        <f t="shared" si="466"/>
        <v>#DIV/0!</v>
      </c>
      <c r="O225" s="6" t="e">
        <f t="shared" ref="O225:Q225" si="486">O213</f>
        <v>#DIV/0!</v>
      </c>
      <c r="P225" s="6" t="e">
        <f t="shared" si="486"/>
        <v>#DIV/0!</v>
      </c>
      <c r="Q225" s="6" t="e">
        <f t="shared" si="486"/>
        <v>#DIV/0!</v>
      </c>
      <c r="R225" s="69">
        <v>77</v>
      </c>
      <c r="S225" s="69">
        <v>41</v>
      </c>
      <c r="T225" s="6">
        <f t="shared" si="461"/>
        <v>0.53246753246753242</v>
      </c>
      <c r="U225" s="35" t="e">
        <f t="shared" si="468"/>
        <v>#DIV/0!</v>
      </c>
      <c r="V225" s="6" t="e">
        <f t="shared" ref="V225:Z225" si="487">V213</f>
        <v>#DIV/0!</v>
      </c>
      <c r="W225" s="6" t="e">
        <f t="shared" si="487"/>
        <v>#DIV/0!</v>
      </c>
      <c r="X225" s="6" t="e">
        <f t="shared" si="487"/>
        <v>#DIV/0!</v>
      </c>
      <c r="Y225" s="6" t="e">
        <f t="shared" si="487"/>
        <v>#DIV/0!</v>
      </c>
      <c r="Z225" s="6" t="e">
        <f t="shared" si="487"/>
        <v>#DIV/0!</v>
      </c>
    </row>
    <row r="226" spans="1:26" x14ac:dyDescent="0.2">
      <c r="A226" s="7" t="s">
        <v>91</v>
      </c>
      <c r="B226" s="6">
        <f t="shared" si="463"/>
        <v>9</v>
      </c>
      <c r="C226" s="7" t="s">
        <v>159</v>
      </c>
      <c r="D226" s="68">
        <v>75</v>
      </c>
      <c r="E226" s="68">
        <v>78</v>
      </c>
      <c r="F226" s="65">
        <f t="shared" si="458"/>
        <v>1.04</v>
      </c>
      <c r="G226" s="60" t="e">
        <f t="shared" si="464"/>
        <v>#DIV/0!</v>
      </c>
      <c r="H226" s="65" t="e">
        <f t="shared" ref="H226:J226" si="488">H214</f>
        <v>#DIV/0!</v>
      </c>
      <c r="I226" s="65" t="e">
        <f t="shared" si="488"/>
        <v>#DIV/0!</v>
      </c>
      <c r="J226" s="65" t="e">
        <f t="shared" si="488"/>
        <v>#DIV/0!</v>
      </c>
      <c r="K226" s="69">
        <v>25000</v>
      </c>
      <c r="L226" s="69">
        <f>'Monitoramento Acumulado Geral'!Q226</f>
        <v>4812</v>
      </c>
      <c r="M226" s="6">
        <f>(SUM(L218:L226))/K225</f>
        <v>0.94687199999999994</v>
      </c>
      <c r="N226" s="35" t="e">
        <f t="shared" si="466"/>
        <v>#DIV/0!</v>
      </c>
      <c r="O226" s="6" t="e">
        <f t="shared" ref="O226:Q226" si="489">O214</f>
        <v>#DIV/0!</v>
      </c>
      <c r="P226" s="6" t="e">
        <f t="shared" si="489"/>
        <v>#DIV/0!</v>
      </c>
      <c r="Q226" s="6" t="e">
        <f t="shared" si="489"/>
        <v>#DIV/0!</v>
      </c>
      <c r="R226" s="69">
        <v>77</v>
      </c>
      <c r="S226" s="69">
        <v>41</v>
      </c>
      <c r="T226" s="6">
        <f t="shared" si="461"/>
        <v>0.53246753246753242</v>
      </c>
      <c r="U226" s="35" t="e">
        <f t="shared" si="468"/>
        <v>#DIV/0!</v>
      </c>
      <c r="V226" s="6" t="e">
        <f t="shared" ref="V226:Z226" si="490">V214</f>
        <v>#DIV/0!</v>
      </c>
      <c r="W226" s="6" t="e">
        <f t="shared" si="490"/>
        <v>#DIV/0!</v>
      </c>
      <c r="X226" s="6" t="e">
        <f t="shared" si="490"/>
        <v>#DIV/0!</v>
      </c>
      <c r="Y226" s="6" t="e">
        <f t="shared" si="490"/>
        <v>#DIV/0!</v>
      </c>
      <c r="Z226" s="6" t="e">
        <f t="shared" si="490"/>
        <v>#DIV/0!</v>
      </c>
    </row>
    <row r="227" spans="1:26" x14ac:dyDescent="0.2">
      <c r="A227" s="7" t="s">
        <v>91</v>
      </c>
      <c r="B227" s="6">
        <f t="shared" si="463"/>
        <v>10</v>
      </c>
      <c r="C227" s="7" t="s">
        <v>160</v>
      </c>
      <c r="D227" s="68">
        <v>75</v>
      </c>
      <c r="E227" s="68">
        <v>78</v>
      </c>
      <c r="F227" s="65">
        <f t="shared" si="458"/>
        <v>1.04</v>
      </c>
      <c r="G227" s="60" t="e">
        <f t="shared" si="464"/>
        <v>#DIV/0!</v>
      </c>
      <c r="H227" s="65" t="e">
        <f t="shared" ref="H227:J227" si="491">H215</f>
        <v>#DIV/0!</v>
      </c>
      <c r="I227" s="65" t="e">
        <f t="shared" si="491"/>
        <v>#DIV/0!</v>
      </c>
      <c r="J227" s="65" t="e">
        <f t="shared" si="491"/>
        <v>#DIV/0!</v>
      </c>
      <c r="K227" s="69">
        <v>25000</v>
      </c>
      <c r="L227" s="69">
        <f>'Monitoramento Acumulado Geral'!Q227</f>
        <v>0</v>
      </c>
      <c r="M227" s="6">
        <f>(SUM(L218:L227))/K226</f>
        <v>0.94687199999999994</v>
      </c>
      <c r="N227" s="35" t="e">
        <f t="shared" si="466"/>
        <v>#DIV/0!</v>
      </c>
      <c r="O227" s="6" t="e">
        <f t="shared" ref="O227:Q227" si="492">O215</f>
        <v>#DIV/0!</v>
      </c>
      <c r="P227" s="6" t="e">
        <f t="shared" si="492"/>
        <v>#DIV/0!</v>
      </c>
      <c r="Q227" s="6" t="e">
        <f t="shared" si="492"/>
        <v>#DIV/0!</v>
      </c>
      <c r="R227" s="69">
        <v>77</v>
      </c>
      <c r="S227" s="69">
        <v>41</v>
      </c>
      <c r="T227" s="6">
        <f t="shared" si="461"/>
        <v>0.53246753246753242</v>
      </c>
      <c r="U227" s="35" t="e">
        <f t="shared" si="468"/>
        <v>#DIV/0!</v>
      </c>
      <c r="V227" s="6" t="e">
        <f t="shared" ref="V227:Z227" si="493">V215</f>
        <v>#DIV/0!</v>
      </c>
      <c r="W227" s="6" t="e">
        <f t="shared" si="493"/>
        <v>#DIV/0!</v>
      </c>
      <c r="X227" s="6" t="e">
        <f t="shared" si="493"/>
        <v>#DIV/0!</v>
      </c>
      <c r="Y227" s="6" t="e">
        <f t="shared" si="493"/>
        <v>#DIV/0!</v>
      </c>
      <c r="Z227" s="6" t="e">
        <f t="shared" si="493"/>
        <v>#DIV/0!</v>
      </c>
    </row>
    <row r="228" spans="1:26" x14ac:dyDescent="0.2">
      <c r="A228" s="7" t="s">
        <v>91</v>
      </c>
      <c r="B228" s="6">
        <f t="shared" si="463"/>
        <v>11</v>
      </c>
      <c r="C228" s="7" t="s">
        <v>161</v>
      </c>
      <c r="D228" s="68">
        <v>75</v>
      </c>
      <c r="E228" s="68">
        <v>0</v>
      </c>
      <c r="F228" s="65">
        <f t="shared" si="458"/>
        <v>0</v>
      </c>
      <c r="G228" s="60" t="e">
        <f t="shared" si="464"/>
        <v>#DIV/0!</v>
      </c>
      <c r="H228" s="65" t="e">
        <f t="shared" ref="H228:J228" si="494">H216</f>
        <v>#DIV/0!</v>
      </c>
      <c r="I228" s="65" t="e">
        <f t="shared" si="494"/>
        <v>#DIV/0!</v>
      </c>
      <c r="J228" s="65" t="e">
        <f t="shared" si="494"/>
        <v>#DIV/0!</v>
      </c>
      <c r="K228" s="69">
        <v>25000</v>
      </c>
      <c r="L228" s="69">
        <f>'Monitoramento Acumulado Geral'!Q228</f>
        <v>0</v>
      </c>
      <c r="M228" s="6">
        <f>(SUM(L218:L228))/K227</f>
        <v>0.94687199999999994</v>
      </c>
      <c r="N228" s="35" t="e">
        <f t="shared" si="466"/>
        <v>#DIV/0!</v>
      </c>
      <c r="O228" s="6" t="e">
        <f t="shared" ref="O228:Q228" si="495">O216</f>
        <v>#DIV/0!</v>
      </c>
      <c r="P228" s="6" t="e">
        <f t="shared" si="495"/>
        <v>#DIV/0!</v>
      </c>
      <c r="Q228" s="6" t="e">
        <f t="shared" si="495"/>
        <v>#DIV/0!</v>
      </c>
      <c r="R228" s="69">
        <v>77</v>
      </c>
      <c r="S228" s="69">
        <v>0</v>
      </c>
      <c r="T228" s="6">
        <f t="shared" si="461"/>
        <v>0</v>
      </c>
      <c r="U228" s="35" t="e">
        <f t="shared" si="468"/>
        <v>#DIV/0!</v>
      </c>
      <c r="V228" s="6" t="e">
        <f t="shared" ref="V228:Z228" si="496">V216</f>
        <v>#DIV/0!</v>
      </c>
      <c r="W228" s="6" t="e">
        <f t="shared" si="496"/>
        <v>#DIV/0!</v>
      </c>
      <c r="X228" s="6" t="e">
        <f t="shared" si="496"/>
        <v>#DIV/0!</v>
      </c>
      <c r="Y228" s="6" t="e">
        <f t="shared" si="496"/>
        <v>#DIV/0!</v>
      </c>
      <c r="Z228" s="6" t="e">
        <f t="shared" si="496"/>
        <v>#DIV/0!</v>
      </c>
    </row>
    <row r="229" spans="1:26" x14ac:dyDescent="0.2">
      <c r="A229" s="7" t="s">
        <v>91</v>
      </c>
      <c r="B229" s="6">
        <f t="shared" si="463"/>
        <v>12</v>
      </c>
      <c r="C229" s="7" t="s">
        <v>162</v>
      </c>
      <c r="D229" s="68">
        <v>75</v>
      </c>
      <c r="E229" s="68">
        <v>0</v>
      </c>
      <c r="F229" s="65">
        <f t="shared" si="458"/>
        <v>0</v>
      </c>
      <c r="G229" s="60" t="e">
        <f t="shared" si="464"/>
        <v>#DIV/0!</v>
      </c>
      <c r="H229" s="65" t="e">
        <f t="shared" ref="H229:J229" si="497">H217</f>
        <v>#DIV/0!</v>
      </c>
      <c r="I229" s="65" t="e">
        <f t="shared" si="497"/>
        <v>#DIV/0!</v>
      </c>
      <c r="J229" s="65" t="e">
        <f t="shared" si="497"/>
        <v>#DIV/0!</v>
      </c>
      <c r="K229" s="69">
        <v>25000</v>
      </c>
      <c r="L229" s="69">
        <f>'Monitoramento Acumulado Geral'!Q229</f>
        <v>0</v>
      </c>
      <c r="M229" s="6">
        <f>(SUM(L218:L229))/K228</f>
        <v>0.94687199999999994</v>
      </c>
      <c r="N229" s="35" t="e">
        <f t="shared" si="466"/>
        <v>#DIV/0!</v>
      </c>
      <c r="O229" s="6" t="e">
        <f t="shared" ref="O229:Q229" si="498">O217</f>
        <v>#DIV/0!</v>
      </c>
      <c r="P229" s="6" t="e">
        <f t="shared" si="498"/>
        <v>#DIV/0!</v>
      </c>
      <c r="Q229" s="6" t="e">
        <f t="shared" si="498"/>
        <v>#DIV/0!</v>
      </c>
      <c r="R229" s="69">
        <v>77</v>
      </c>
      <c r="S229" s="69">
        <v>0</v>
      </c>
      <c r="T229" s="6">
        <f t="shared" si="461"/>
        <v>0</v>
      </c>
      <c r="U229" s="35" t="e">
        <f t="shared" si="468"/>
        <v>#DIV/0!</v>
      </c>
      <c r="V229" s="6" t="e">
        <f t="shared" ref="V229:Z229" si="499">V217</f>
        <v>#DIV/0!</v>
      </c>
      <c r="W229" s="6" t="e">
        <f t="shared" si="499"/>
        <v>#DIV/0!</v>
      </c>
      <c r="X229" s="6" t="e">
        <f t="shared" si="499"/>
        <v>#DIV/0!</v>
      </c>
      <c r="Y229" s="6" t="e">
        <f t="shared" si="499"/>
        <v>#DIV/0!</v>
      </c>
      <c r="Z229" s="6" t="e">
        <f t="shared" si="499"/>
        <v>#DIV/0!</v>
      </c>
    </row>
    <row r="230" spans="1:26" x14ac:dyDescent="0.2">
      <c r="A230" s="7" t="s">
        <v>126</v>
      </c>
      <c r="B230" s="6">
        <f t="shared" si="463"/>
        <v>1</v>
      </c>
      <c r="C230" s="7" t="s">
        <v>151</v>
      </c>
      <c r="D230" s="68">
        <v>75</v>
      </c>
      <c r="E230" s="68">
        <v>26</v>
      </c>
      <c r="F230" s="65">
        <f t="shared" si="458"/>
        <v>0.34666666666666668</v>
      </c>
      <c r="G230" s="60" t="e">
        <f t="shared" si="464"/>
        <v>#DIV/0!</v>
      </c>
      <c r="H230" s="65" t="e">
        <f t="shared" ref="H230:J230" si="500">H218</f>
        <v>#DIV/0!</v>
      </c>
      <c r="I230" s="65" t="e">
        <f t="shared" si="500"/>
        <v>#DIV/0!</v>
      </c>
      <c r="J230" s="65" t="e">
        <f t="shared" si="500"/>
        <v>#DIV/0!</v>
      </c>
      <c r="K230" s="69">
        <v>120000</v>
      </c>
      <c r="L230" s="69">
        <f>'Monitoramento Acumulado Geral'!Q230</f>
        <v>11050</v>
      </c>
      <c r="M230" s="6">
        <f>L230/K230</f>
        <v>9.2083333333333336E-2</v>
      </c>
      <c r="N230" s="35" t="e">
        <f t="shared" si="466"/>
        <v>#DIV/0!</v>
      </c>
      <c r="O230" s="6" t="e">
        <f t="shared" ref="O230:Q230" si="501">O218</f>
        <v>#DIV/0!</v>
      </c>
      <c r="P230" s="6" t="e">
        <f t="shared" si="501"/>
        <v>#DIV/0!</v>
      </c>
      <c r="Q230" s="6" t="e">
        <f t="shared" si="501"/>
        <v>#DIV/0!</v>
      </c>
      <c r="R230" s="69">
        <v>80</v>
      </c>
      <c r="S230" s="69">
        <v>16</v>
      </c>
      <c r="T230" s="6">
        <f t="shared" si="461"/>
        <v>0.2</v>
      </c>
      <c r="U230" s="35" t="e">
        <f t="shared" si="468"/>
        <v>#DIV/0!</v>
      </c>
      <c r="V230" s="6" t="e">
        <f t="shared" ref="V230:Z230" si="502">V218</f>
        <v>#DIV/0!</v>
      </c>
      <c r="W230" s="6" t="e">
        <f t="shared" si="502"/>
        <v>#DIV/0!</v>
      </c>
      <c r="X230" s="6" t="e">
        <f t="shared" si="502"/>
        <v>#DIV/0!</v>
      </c>
      <c r="Y230" s="6" t="e">
        <f t="shared" si="502"/>
        <v>#DIV/0!</v>
      </c>
      <c r="Z230" s="6" t="e">
        <f t="shared" si="502"/>
        <v>#DIV/0!</v>
      </c>
    </row>
    <row r="231" spans="1:26" x14ac:dyDescent="0.2">
      <c r="A231" s="7" t="s">
        <v>126</v>
      </c>
      <c r="B231" s="6">
        <f t="shared" si="463"/>
        <v>2</v>
      </c>
      <c r="C231" s="7" t="s">
        <v>152</v>
      </c>
      <c r="D231" s="68">
        <v>75</v>
      </c>
      <c r="E231" s="68">
        <v>42</v>
      </c>
      <c r="F231" s="65">
        <f t="shared" si="458"/>
        <v>0.56000000000000005</v>
      </c>
      <c r="G231" s="60" t="e">
        <f t="shared" si="464"/>
        <v>#DIV/0!</v>
      </c>
      <c r="H231" s="65" t="e">
        <f t="shared" ref="H231:J231" si="503">H219</f>
        <v>#DIV/0!</v>
      </c>
      <c r="I231" s="65" t="e">
        <f t="shared" si="503"/>
        <v>#DIV/0!</v>
      </c>
      <c r="J231" s="65" t="e">
        <f t="shared" si="503"/>
        <v>#DIV/0!</v>
      </c>
      <c r="K231" s="69">
        <v>120000</v>
      </c>
      <c r="L231" s="69">
        <f>'Monitoramento Acumulado Geral'!Q231</f>
        <v>7500</v>
      </c>
      <c r="M231" s="6">
        <f>(SUM(L230:L231))/K230</f>
        <v>0.15458333333333332</v>
      </c>
      <c r="N231" s="35" t="e">
        <f t="shared" si="466"/>
        <v>#DIV/0!</v>
      </c>
      <c r="O231" s="6" t="e">
        <f t="shared" ref="O231:Q231" si="504">O219</f>
        <v>#DIV/0!</v>
      </c>
      <c r="P231" s="6" t="e">
        <f t="shared" si="504"/>
        <v>#DIV/0!</v>
      </c>
      <c r="Q231" s="6" t="e">
        <f t="shared" si="504"/>
        <v>#DIV/0!</v>
      </c>
      <c r="R231" s="69">
        <v>80</v>
      </c>
      <c r="S231" s="69">
        <v>16</v>
      </c>
      <c r="T231" s="6">
        <f t="shared" si="461"/>
        <v>0.2</v>
      </c>
      <c r="U231" s="35" t="e">
        <f t="shared" si="468"/>
        <v>#DIV/0!</v>
      </c>
      <c r="V231" s="6" t="e">
        <f t="shared" ref="V231:Z231" si="505">V219</f>
        <v>#DIV/0!</v>
      </c>
      <c r="W231" s="6" t="e">
        <f t="shared" si="505"/>
        <v>#DIV/0!</v>
      </c>
      <c r="X231" s="6" t="e">
        <f t="shared" si="505"/>
        <v>#DIV/0!</v>
      </c>
      <c r="Y231" s="6" t="e">
        <f t="shared" si="505"/>
        <v>#DIV/0!</v>
      </c>
      <c r="Z231" s="6" t="e">
        <f t="shared" si="505"/>
        <v>#DIV/0!</v>
      </c>
    </row>
    <row r="232" spans="1:26" x14ac:dyDescent="0.2">
      <c r="A232" s="7" t="s">
        <v>126</v>
      </c>
      <c r="B232" s="6">
        <f t="shared" si="463"/>
        <v>3</v>
      </c>
      <c r="C232" s="7" t="s">
        <v>153</v>
      </c>
      <c r="D232" s="68">
        <v>75</v>
      </c>
      <c r="E232" s="68">
        <v>74</v>
      </c>
      <c r="F232" s="65">
        <f t="shared" si="458"/>
        <v>0.98666666666666669</v>
      </c>
      <c r="G232" s="60" t="e">
        <f t="shared" si="464"/>
        <v>#DIV/0!</v>
      </c>
      <c r="H232" s="65" t="e">
        <f t="shared" ref="H232:J232" si="506">H220</f>
        <v>#DIV/0!</v>
      </c>
      <c r="I232" s="65" t="e">
        <f t="shared" si="506"/>
        <v>#DIV/0!</v>
      </c>
      <c r="J232" s="65" t="e">
        <f t="shared" si="506"/>
        <v>#DIV/0!</v>
      </c>
      <c r="K232" s="69">
        <v>120000</v>
      </c>
      <c r="L232" s="69">
        <f>'Monitoramento Acumulado Geral'!Q232</f>
        <v>18100</v>
      </c>
      <c r="M232" s="6">
        <f>(SUM(L230:L232))/K231</f>
        <v>0.30541666666666667</v>
      </c>
      <c r="N232" s="35" t="e">
        <f t="shared" si="466"/>
        <v>#DIV/0!</v>
      </c>
      <c r="O232" s="6" t="e">
        <f t="shared" ref="O232:Q232" si="507">O220</f>
        <v>#DIV/0!</v>
      </c>
      <c r="P232" s="6" t="e">
        <f t="shared" si="507"/>
        <v>#DIV/0!</v>
      </c>
      <c r="Q232" s="6" t="e">
        <f t="shared" si="507"/>
        <v>#DIV/0!</v>
      </c>
      <c r="R232" s="69">
        <v>80</v>
      </c>
      <c r="S232" s="69">
        <v>16</v>
      </c>
      <c r="T232" s="6">
        <f t="shared" si="461"/>
        <v>0.2</v>
      </c>
      <c r="U232" s="35" t="e">
        <f t="shared" si="468"/>
        <v>#DIV/0!</v>
      </c>
      <c r="V232" s="6" t="e">
        <f t="shared" ref="V232:Z232" si="508">V220</f>
        <v>#DIV/0!</v>
      </c>
      <c r="W232" s="6" t="e">
        <f t="shared" si="508"/>
        <v>#DIV/0!</v>
      </c>
      <c r="X232" s="6" t="e">
        <f t="shared" si="508"/>
        <v>#DIV/0!</v>
      </c>
      <c r="Y232" s="6" t="e">
        <f t="shared" si="508"/>
        <v>#DIV/0!</v>
      </c>
      <c r="Z232" s="6" t="e">
        <f t="shared" si="508"/>
        <v>#DIV/0!</v>
      </c>
    </row>
    <row r="233" spans="1:26" x14ac:dyDescent="0.2">
      <c r="A233" s="7" t="s">
        <v>126</v>
      </c>
      <c r="B233" s="6">
        <f t="shared" si="463"/>
        <v>4</v>
      </c>
      <c r="C233" s="7" t="s">
        <v>154</v>
      </c>
      <c r="D233" s="68">
        <v>75</v>
      </c>
      <c r="E233" s="68">
        <v>74</v>
      </c>
      <c r="F233" s="65">
        <f t="shared" si="458"/>
        <v>0.98666666666666669</v>
      </c>
      <c r="G233" s="60" t="e">
        <f t="shared" si="464"/>
        <v>#DIV/0!</v>
      </c>
      <c r="H233" s="65" t="e">
        <f t="shared" ref="H233:J233" si="509">H221</f>
        <v>#DIV/0!</v>
      </c>
      <c r="I233" s="65" t="e">
        <f t="shared" si="509"/>
        <v>#DIV/0!</v>
      </c>
      <c r="J233" s="65" t="e">
        <f t="shared" si="509"/>
        <v>#DIV/0!</v>
      </c>
      <c r="K233" s="69">
        <v>120000</v>
      </c>
      <c r="L233" s="69">
        <f>'Monitoramento Acumulado Geral'!Q233</f>
        <v>0</v>
      </c>
      <c r="M233" s="6">
        <f>(SUM(L230:L233))/K232</f>
        <v>0.30541666666666667</v>
      </c>
      <c r="N233" s="35" t="e">
        <f t="shared" si="466"/>
        <v>#DIV/0!</v>
      </c>
      <c r="O233" s="6" t="e">
        <f t="shared" ref="O233:Q233" si="510">O221</f>
        <v>#DIV/0!</v>
      </c>
      <c r="P233" s="6" t="e">
        <f t="shared" si="510"/>
        <v>#DIV/0!</v>
      </c>
      <c r="Q233" s="6" t="e">
        <f t="shared" si="510"/>
        <v>#DIV/0!</v>
      </c>
      <c r="R233" s="69">
        <v>80</v>
      </c>
      <c r="S233" s="69">
        <v>16</v>
      </c>
      <c r="T233" s="6">
        <f t="shared" si="461"/>
        <v>0.2</v>
      </c>
      <c r="U233" s="35" t="e">
        <f t="shared" si="468"/>
        <v>#DIV/0!</v>
      </c>
      <c r="V233" s="6" t="e">
        <f t="shared" ref="V233:Z233" si="511">V221</f>
        <v>#DIV/0!</v>
      </c>
      <c r="W233" s="6" t="e">
        <f t="shared" si="511"/>
        <v>#DIV/0!</v>
      </c>
      <c r="X233" s="6" t="e">
        <f t="shared" si="511"/>
        <v>#DIV/0!</v>
      </c>
      <c r="Y233" s="6" t="e">
        <f t="shared" si="511"/>
        <v>#DIV/0!</v>
      </c>
      <c r="Z233" s="6" t="e">
        <f t="shared" si="511"/>
        <v>#DIV/0!</v>
      </c>
    </row>
    <row r="234" spans="1:26" x14ac:dyDescent="0.2">
      <c r="A234" s="7" t="s">
        <v>126</v>
      </c>
      <c r="B234" s="6">
        <f t="shared" si="463"/>
        <v>5</v>
      </c>
      <c r="C234" s="7" t="s">
        <v>155</v>
      </c>
      <c r="D234" s="68">
        <v>75</v>
      </c>
      <c r="E234" s="68">
        <v>74</v>
      </c>
      <c r="F234" s="65">
        <f t="shared" si="458"/>
        <v>0.98666666666666669</v>
      </c>
      <c r="G234" s="60" t="e">
        <f t="shared" si="464"/>
        <v>#DIV/0!</v>
      </c>
      <c r="H234" s="65" t="e">
        <f t="shared" ref="H234:J234" si="512">H222</f>
        <v>#DIV/0!</v>
      </c>
      <c r="I234" s="65" t="e">
        <f t="shared" si="512"/>
        <v>#DIV/0!</v>
      </c>
      <c r="J234" s="65" t="e">
        <f t="shared" si="512"/>
        <v>#DIV/0!</v>
      </c>
      <c r="K234" s="69">
        <v>120000</v>
      </c>
      <c r="L234" s="69">
        <f>'Monitoramento Acumulado Geral'!Q234</f>
        <v>14760</v>
      </c>
      <c r="M234" s="6">
        <f>(SUM(L230:L234))/K233</f>
        <v>0.42841666666666667</v>
      </c>
      <c r="N234" s="35" t="e">
        <f t="shared" si="466"/>
        <v>#DIV/0!</v>
      </c>
      <c r="O234" s="6" t="e">
        <f t="shared" ref="O234:Q234" si="513">O222</f>
        <v>#DIV/0!</v>
      </c>
      <c r="P234" s="6" t="e">
        <f t="shared" si="513"/>
        <v>#DIV/0!</v>
      </c>
      <c r="Q234" s="6" t="e">
        <f t="shared" si="513"/>
        <v>#DIV/0!</v>
      </c>
      <c r="R234" s="69">
        <v>80</v>
      </c>
      <c r="S234" s="69">
        <v>57</v>
      </c>
      <c r="T234" s="6">
        <f t="shared" si="461"/>
        <v>0.71250000000000002</v>
      </c>
      <c r="U234" s="35" t="e">
        <f t="shared" si="468"/>
        <v>#DIV/0!</v>
      </c>
      <c r="V234" s="6" t="e">
        <f t="shared" ref="V234:Z234" si="514">V222</f>
        <v>#DIV/0!</v>
      </c>
      <c r="W234" s="6" t="e">
        <f t="shared" si="514"/>
        <v>#DIV/0!</v>
      </c>
      <c r="X234" s="6" t="e">
        <f t="shared" si="514"/>
        <v>#DIV/0!</v>
      </c>
      <c r="Y234" s="6" t="e">
        <f t="shared" si="514"/>
        <v>#DIV/0!</v>
      </c>
      <c r="Z234" s="6" t="e">
        <f t="shared" si="514"/>
        <v>#DIV/0!</v>
      </c>
    </row>
    <row r="235" spans="1:26" x14ac:dyDescent="0.2">
      <c r="A235" s="7" t="s">
        <v>126</v>
      </c>
      <c r="B235" s="6">
        <f t="shared" si="463"/>
        <v>6</v>
      </c>
      <c r="C235" s="7" t="s">
        <v>156</v>
      </c>
      <c r="D235" s="68">
        <v>75</v>
      </c>
      <c r="E235" s="68">
        <v>95</v>
      </c>
      <c r="F235" s="65">
        <f t="shared" si="458"/>
        <v>1.2666666666666666</v>
      </c>
      <c r="G235" s="60" t="e">
        <f t="shared" si="464"/>
        <v>#DIV/0!</v>
      </c>
      <c r="H235" s="65" t="e">
        <f t="shared" ref="H235:J235" si="515">H223</f>
        <v>#DIV/0!</v>
      </c>
      <c r="I235" s="65" t="e">
        <f t="shared" si="515"/>
        <v>#DIV/0!</v>
      </c>
      <c r="J235" s="65" t="e">
        <f t="shared" si="515"/>
        <v>#DIV/0!</v>
      </c>
      <c r="K235" s="69">
        <v>120000</v>
      </c>
      <c r="L235" s="69">
        <f>'Monitoramento Acumulado Geral'!Q235</f>
        <v>20710</v>
      </c>
      <c r="M235" s="6">
        <f>(SUM(L230:L235))/K234</f>
        <v>0.60099999999999998</v>
      </c>
      <c r="N235" s="35" t="e">
        <f t="shared" si="466"/>
        <v>#DIV/0!</v>
      </c>
      <c r="O235" s="6" t="e">
        <f t="shared" ref="O235:Q235" si="516">O223</f>
        <v>#DIV/0!</v>
      </c>
      <c r="P235" s="6" t="e">
        <f t="shared" si="516"/>
        <v>#DIV/0!</v>
      </c>
      <c r="Q235" s="6" t="e">
        <f t="shared" si="516"/>
        <v>#DIV/0!</v>
      </c>
      <c r="R235" s="69">
        <v>80</v>
      </c>
      <c r="S235" s="69">
        <v>57</v>
      </c>
      <c r="T235" s="6">
        <f t="shared" si="461"/>
        <v>0.71250000000000002</v>
      </c>
      <c r="U235" s="35" t="e">
        <f t="shared" si="468"/>
        <v>#DIV/0!</v>
      </c>
      <c r="V235" s="6" t="e">
        <f t="shared" ref="V235:Z235" si="517">V223</f>
        <v>#DIV/0!</v>
      </c>
      <c r="W235" s="6" t="e">
        <f t="shared" si="517"/>
        <v>#DIV/0!</v>
      </c>
      <c r="X235" s="6" t="e">
        <f t="shared" si="517"/>
        <v>#DIV/0!</v>
      </c>
      <c r="Y235" s="6" t="e">
        <f t="shared" si="517"/>
        <v>#DIV/0!</v>
      </c>
      <c r="Z235" s="6" t="e">
        <f t="shared" si="517"/>
        <v>#DIV/0!</v>
      </c>
    </row>
    <row r="236" spans="1:26" x14ac:dyDescent="0.2">
      <c r="A236" s="7" t="s">
        <v>126</v>
      </c>
      <c r="B236" s="6">
        <f t="shared" si="463"/>
        <v>7</v>
      </c>
      <c r="C236" s="7" t="s">
        <v>157</v>
      </c>
      <c r="D236" s="68">
        <v>75</v>
      </c>
      <c r="E236" s="68">
        <v>95</v>
      </c>
      <c r="F236" s="65">
        <f t="shared" si="458"/>
        <v>1.2666666666666666</v>
      </c>
      <c r="G236" s="60" t="e">
        <f t="shared" si="464"/>
        <v>#DIV/0!</v>
      </c>
      <c r="H236" s="65" t="e">
        <f t="shared" ref="H236:J236" si="518">H224</f>
        <v>#DIV/0!</v>
      </c>
      <c r="I236" s="65" t="e">
        <f t="shared" si="518"/>
        <v>#DIV/0!</v>
      </c>
      <c r="J236" s="65" t="e">
        <f t="shared" si="518"/>
        <v>#DIV/0!</v>
      </c>
      <c r="K236" s="69">
        <v>120000</v>
      </c>
      <c r="L236" s="69">
        <f>'Monitoramento Acumulado Geral'!Q236</f>
        <v>1350</v>
      </c>
      <c r="M236" s="6">
        <f>(SUM(L230:L236))/K235</f>
        <v>0.61224999999999996</v>
      </c>
      <c r="N236" s="35" t="e">
        <f t="shared" si="466"/>
        <v>#DIV/0!</v>
      </c>
      <c r="O236" s="6" t="e">
        <f t="shared" ref="O236:Q236" si="519">O224</f>
        <v>#DIV/0!</v>
      </c>
      <c r="P236" s="6" t="e">
        <f t="shared" si="519"/>
        <v>#DIV/0!</v>
      </c>
      <c r="Q236" s="6" t="e">
        <f t="shared" si="519"/>
        <v>#DIV/0!</v>
      </c>
      <c r="R236" s="69">
        <v>80</v>
      </c>
      <c r="S236" s="69">
        <v>57</v>
      </c>
      <c r="T236" s="6">
        <f t="shared" si="461"/>
        <v>0.71250000000000002</v>
      </c>
      <c r="U236" s="35" t="e">
        <f t="shared" si="468"/>
        <v>#DIV/0!</v>
      </c>
      <c r="V236" s="6" t="e">
        <f t="shared" ref="V236:Z236" si="520">V224</f>
        <v>#DIV/0!</v>
      </c>
      <c r="W236" s="6" t="e">
        <f t="shared" si="520"/>
        <v>#DIV/0!</v>
      </c>
      <c r="X236" s="6" t="e">
        <f t="shared" si="520"/>
        <v>#DIV/0!</v>
      </c>
      <c r="Y236" s="6" t="e">
        <f t="shared" si="520"/>
        <v>#DIV/0!</v>
      </c>
      <c r="Z236" s="6" t="e">
        <f t="shared" si="520"/>
        <v>#DIV/0!</v>
      </c>
    </row>
    <row r="237" spans="1:26" x14ac:dyDescent="0.2">
      <c r="A237" s="7" t="s">
        <v>126</v>
      </c>
      <c r="B237" s="6">
        <f t="shared" si="463"/>
        <v>8</v>
      </c>
      <c r="C237" s="7" t="s">
        <v>158</v>
      </c>
      <c r="D237" s="68">
        <v>75</v>
      </c>
      <c r="E237" s="68">
        <v>95</v>
      </c>
      <c r="F237" s="65">
        <f t="shared" si="458"/>
        <v>1.2666666666666666</v>
      </c>
      <c r="G237" s="60" t="e">
        <f t="shared" si="464"/>
        <v>#DIV/0!</v>
      </c>
      <c r="H237" s="65" t="e">
        <f t="shared" ref="H237:J237" si="521">H225</f>
        <v>#DIV/0!</v>
      </c>
      <c r="I237" s="65" t="e">
        <f t="shared" si="521"/>
        <v>#DIV/0!</v>
      </c>
      <c r="J237" s="65" t="e">
        <f t="shared" si="521"/>
        <v>#DIV/0!</v>
      </c>
      <c r="K237" s="69">
        <v>120000</v>
      </c>
      <c r="L237" s="69">
        <f>'Monitoramento Acumulado Geral'!Q237</f>
        <v>10000</v>
      </c>
      <c r="M237" s="6">
        <f>(SUM(L230:L237))/K236</f>
        <v>0.69558333333333333</v>
      </c>
      <c r="N237" s="35" t="e">
        <f t="shared" si="466"/>
        <v>#DIV/0!</v>
      </c>
      <c r="O237" s="6" t="e">
        <f t="shared" ref="O237:Q237" si="522">O225</f>
        <v>#DIV/0!</v>
      </c>
      <c r="P237" s="6" t="e">
        <f t="shared" si="522"/>
        <v>#DIV/0!</v>
      </c>
      <c r="Q237" s="6" t="e">
        <f t="shared" si="522"/>
        <v>#DIV/0!</v>
      </c>
      <c r="R237" s="69">
        <v>80</v>
      </c>
      <c r="S237" s="69">
        <v>57</v>
      </c>
      <c r="T237" s="6">
        <f t="shared" si="461"/>
        <v>0.71250000000000002</v>
      </c>
      <c r="U237" s="35" t="e">
        <f t="shared" si="468"/>
        <v>#DIV/0!</v>
      </c>
      <c r="V237" s="6" t="e">
        <f t="shared" ref="V237:Z237" si="523">V225</f>
        <v>#DIV/0!</v>
      </c>
      <c r="W237" s="6" t="e">
        <f t="shared" si="523"/>
        <v>#DIV/0!</v>
      </c>
      <c r="X237" s="6" t="e">
        <f t="shared" si="523"/>
        <v>#DIV/0!</v>
      </c>
      <c r="Y237" s="6" t="e">
        <f t="shared" si="523"/>
        <v>#DIV/0!</v>
      </c>
      <c r="Z237" s="6" t="e">
        <f t="shared" si="523"/>
        <v>#DIV/0!</v>
      </c>
    </row>
    <row r="238" spans="1:26" x14ac:dyDescent="0.2">
      <c r="A238" s="7" t="s">
        <v>126</v>
      </c>
      <c r="B238" s="6">
        <f t="shared" si="463"/>
        <v>9</v>
      </c>
      <c r="C238" s="7" t="s">
        <v>159</v>
      </c>
      <c r="D238" s="68">
        <v>75</v>
      </c>
      <c r="E238" s="68">
        <v>95</v>
      </c>
      <c r="F238" s="65">
        <f t="shared" si="458"/>
        <v>1.2666666666666666</v>
      </c>
      <c r="G238" s="60" t="e">
        <f t="shared" si="464"/>
        <v>#DIV/0!</v>
      </c>
      <c r="H238" s="65" t="e">
        <f t="shared" ref="H238:J238" si="524">H226</f>
        <v>#DIV/0!</v>
      </c>
      <c r="I238" s="65" t="e">
        <f t="shared" si="524"/>
        <v>#DIV/0!</v>
      </c>
      <c r="J238" s="65" t="e">
        <f t="shared" si="524"/>
        <v>#DIV/0!</v>
      </c>
      <c r="K238" s="69">
        <v>120000</v>
      </c>
      <c r="L238" s="69">
        <f>'Monitoramento Acumulado Geral'!Q238</f>
        <v>17550</v>
      </c>
      <c r="M238" s="6">
        <f>(SUM(L230:L238))/K237</f>
        <v>0.84183333333333332</v>
      </c>
      <c r="N238" s="35" t="e">
        <f t="shared" si="466"/>
        <v>#DIV/0!</v>
      </c>
      <c r="O238" s="6" t="e">
        <f t="shared" ref="O238:Q238" si="525">O226</f>
        <v>#DIV/0!</v>
      </c>
      <c r="P238" s="6" t="e">
        <f t="shared" si="525"/>
        <v>#DIV/0!</v>
      </c>
      <c r="Q238" s="6" t="e">
        <f t="shared" si="525"/>
        <v>#DIV/0!</v>
      </c>
      <c r="R238" s="69">
        <v>80</v>
      </c>
      <c r="S238" s="69">
        <v>57</v>
      </c>
      <c r="T238" s="6">
        <f t="shared" si="461"/>
        <v>0.71250000000000002</v>
      </c>
      <c r="U238" s="35" t="e">
        <f t="shared" si="468"/>
        <v>#DIV/0!</v>
      </c>
      <c r="V238" s="6" t="e">
        <f t="shared" ref="V238:Z238" si="526">V226</f>
        <v>#DIV/0!</v>
      </c>
      <c r="W238" s="6" t="e">
        <f t="shared" si="526"/>
        <v>#DIV/0!</v>
      </c>
      <c r="X238" s="6" t="e">
        <f t="shared" si="526"/>
        <v>#DIV/0!</v>
      </c>
      <c r="Y238" s="6" t="e">
        <f t="shared" si="526"/>
        <v>#DIV/0!</v>
      </c>
      <c r="Z238" s="6" t="e">
        <f t="shared" si="526"/>
        <v>#DIV/0!</v>
      </c>
    </row>
    <row r="239" spans="1:26" x14ac:dyDescent="0.2">
      <c r="A239" s="7" t="s">
        <v>126</v>
      </c>
      <c r="B239" s="6">
        <f t="shared" si="463"/>
        <v>10</v>
      </c>
      <c r="C239" s="7" t="s">
        <v>160</v>
      </c>
      <c r="D239" s="68">
        <v>75</v>
      </c>
      <c r="E239" s="68">
        <v>95</v>
      </c>
      <c r="F239" s="65">
        <f t="shared" si="458"/>
        <v>1.2666666666666666</v>
      </c>
      <c r="G239" s="60" t="e">
        <f t="shared" si="464"/>
        <v>#DIV/0!</v>
      </c>
      <c r="H239" s="65" t="e">
        <f t="shared" ref="H239:J239" si="527">H227</f>
        <v>#DIV/0!</v>
      </c>
      <c r="I239" s="65" t="e">
        <f t="shared" si="527"/>
        <v>#DIV/0!</v>
      </c>
      <c r="J239" s="65" t="e">
        <f t="shared" si="527"/>
        <v>#DIV/0!</v>
      </c>
      <c r="K239" s="69">
        <v>120000</v>
      </c>
      <c r="L239" s="69">
        <f>'Monitoramento Acumulado Geral'!Q239</f>
        <v>0</v>
      </c>
      <c r="M239" s="6">
        <f>(SUM(L230:L239))/K238</f>
        <v>0.84183333333333332</v>
      </c>
      <c r="N239" s="35" t="e">
        <f t="shared" si="466"/>
        <v>#DIV/0!</v>
      </c>
      <c r="O239" s="6" t="e">
        <f t="shared" ref="O239:Q239" si="528">O227</f>
        <v>#DIV/0!</v>
      </c>
      <c r="P239" s="6" t="e">
        <f t="shared" si="528"/>
        <v>#DIV/0!</v>
      </c>
      <c r="Q239" s="6" t="e">
        <f t="shared" si="528"/>
        <v>#DIV/0!</v>
      </c>
      <c r="R239" s="69">
        <v>80</v>
      </c>
      <c r="S239" s="69">
        <v>57</v>
      </c>
      <c r="T239" s="6">
        <f t="shared" si="461"/>
        <v>0.71250000000000002</v>
      </c>
      <c r="U239" s="35" t="e">
        <f t="shared" si="468"/>
        <v>#DIV/0!</v>
      </c>
      <c r="V239" s="6" t="e">
        <f t="shared" ref="V239:Z239" si="529">V227</f>
        <v>#DIV/0!</v>
      </c>
      <c r="W239" s="6" t="e">
        <f t="shared" si="529"/>
        <v>#DIV/0!</v>
      </c>
      <c r="X239" s="6" t="e">
        <f t="shared" si="529"/>
        <v>#DIV/0!</v>
      </c>
      <c r="Y239" s="6" t="e">
        <f t="shared" si="529"/>
        <v>#DIV/0!</v>
      </c>
      <c r="Z239" s="6" t="e">
        <f t="shared" si="529"/>
        <v>#DIV/0!</v>
      </c>
    </row>
    <row r="240" spans="1:26" x14ac:dyDescent="0.2">
      <c r="A240" s="7" t="s">
        <v>126</v>
      </c>
      <c r="B240" s="6">
        <f t="shared" si="463"/>
        <v>11</v>
      </c>
      <c r="C240" s="7" t="s">
        <v>161</v>
      </c>
      <c r="D240" s="68">
        <v>75</v>
      </c>
      <c r="E240" s="68">
        <v>0</v>
      </c>
      <c r="F240" s="65">
        <f t="shared" si="458"/>
        <v>0</v>
      </c>
      <c r="G240" s="60" t="e">
        <f t="shared" si="464"/>
        <v>#DIV/0!</v>
      </c>
      <c r="H240" s="65" t="e">
        <f t="shared" ref="H240:J240" si="530">H228</f>
        <v>#DIV/0!</v>
      </c>
      <c r="I240" s="65" t="e">
        <f t="shared" si="530"/>
        <v>#DIV/0!</v>
      </c>
      <c r="J240" s="65" t="e">
        <f t="shared" si="530"/>
        <v>#DIV/0!</v>
      </c>
      <c r="K240" s="69">
        <v>120000</v>
      </c>
      <c r="L240" s="69">
        <f>'Monitoramento Acumulado Geral'!Q240</f>
        <v>0</v>
      </c>
      <c r="M240" s="6">
        <f>(SUM(L230:L240))/K239</f>
        <v>0.84183333333333332</v>
      </c>
      <c r="N240" s="35" t="e">
        <f t="shared" si="466"/>
        <v>#DIV/0!</v>
      </c>
      <c r="O240" s="6" t="e">
        <f t="shared" ref="O240:Q240" si="531">O228</f>
        <v>#DIV/0!</v>
      </c>
      <c r="P240" s="6" t="e">
        <f t="shared" si="531"/>
        <v>#DIV/0!</v>
      </c>
      <c r="Q240" s="6" t="e">
        <f t="shared" si="531"/>
        <v>#DIV/0!</v>
      </c>
      <c r="R240" s="69">
        <v>80</v>
      </c>
      <c r="S240" s="69">
        <v>0</v>
      </c>
      <c r="T240" s="6">
        <f t="shared" si="461"/>
        <v>0</v>
      </c>
      <c r="U240" s="35" t="e">
        <f t="shared" si="468"/>
        <v>#DIV/0!</v>
      </c>
      <c r="V240" s="6" t="e">
        <f t="shared" ref="V240:Z240" si="532">V228</f>
        <v>#DIV/0!</v>
      </c>
      <c r="W240" s="6" t="e">
        <f t="shared" si="532"/>
        <v>#DIV/0!</v>
      </c>
      <c r="X240" s="6" t="e">
        <f t="shared" si="532"/>
        <v>#DIV/0!</v>
      </c>
      <c r="Y240" s="6" t="e">
        <f t="shared" si="532"/>
        <v>#DIV/0!</v>
      </c>
      <c r="Z240" s="6" t="e">
        <f t="shared" si="532"/>
        <v>#DIV/0!</v>
      </c>
    </row>
    <row r="241" spans="1:26" x14ac:dyDescent="0.2">
      <c r="A241" s="7" t="s">
        <v>126</v>
      </c>
      <c r="B241" s="6">
        <f t="shared" si="463"/>
        <v>12</v>
      </c>
      <c r="C241" s="7" t="s">
        <v>162</v>
      </c>
      <c r="D241" s="68">
        <v>75</v>
      </c>
      <c r="E241" s="68">
        <v>0</v>
      </c>
      <c r="F241" s="65">
        <f t="shared" si="458"/>
        <v>0</v>
      </c>
      <c r="G241" s="60" t="e">
        <f t="shared" si="464"/>
        <v>#DIV/0!</v>
      </c>
      <c r="H241" s="65" t="e">
        <f t="shared" ref="H241:J241" si="533">H229</f>
        <v>#DIV/0!</v>
      </c>
      <c r="I241" s="65" t="e">
        <f t="shared" si="533"/>
        <v>#DIV/0!</v>
      </c>
      <c r="J241" s="65" t="e">
        <f t="shared" si="533"/>
        <v>#DIV/0!</v>
      </c>
      <c r="K241" s="69">
        <v>120000</v>
      </c>
      <c r="L241" s="69">
        <f>'Monitoramento Acumulado Geral'!Q241</f>
        <v>0</v>
      </c>
      <c r="M241" s="6">
        <f>(SUM(L230:L241))/K240</f>
        <v>0.84183333333333332</v>
      </c>
      <c r="N241" s="35" t="e">
        <f t="shared" si="466"/>
        <v>#DIV/0!</v>
      </c>
      <c r="O241" s="6" t="e">
        <f t="shared" ref="O241:Q241" si="534">O229</f>
        <v>#DIV/0!</v>
      </c>
      <c r="P241" s="6" t="e">
        <f t="shared" si="534"/>
        <v>#DIV/0!</v>
      </c>
      <c r="Q241" s="6" t="e">
        <f t="shared" si="534"/>
        <v>#DIV/0!</v>
      </c>
      <c r="R241" s="69">
        <v>80</v>
      </c>
      <c r="S241" s="69">
        <v>0</v>
      </c>
      <c r="T241" s="6">
        <f t="shared" si="461"/>
        <v>0</v>
      </c>
      <c r="U241" s="35" t="e">
        <f t="shared" si="468"/>
        <v>#DIV/0!</v>
      </c>
      <c r="V241" s="6" t="e">
        <f t="shared" ref="V241:Z241" si="535">V229</f>
        <v>#DIV/0!</v>
      </c>
      <c r="W241" s="6" t="e">
        <f t="shared" si="535"/>
        <v>#DIV/0!</v>
      </c>
      <c r="X241" s="6" t="e">
        <f t="shared" si="535"/>
        <v>#DIV/0!</v>
      </c>
      <c r="Y241" s="6" t="e">
        <f t="shared" si="535"/>
        <v>#DIV/0!</v>
      </c>
      <c r="Z241" s="6" t="e">
        <f t="shared" si="535"/>
        <v>#DIV/0!</v>
      </c>
    </row>
    <row r="242" spans="1:26" x14ac:dyDescent="0.2">
      <c r="A242" s="7" t="s">
        <v>73</v>
      </c>
      <c r="B242" s="6">
        <f t="shared" si="463"/>
        <v>1</v>
      </c>
      <c r="C242" s="7" t="s">
        <v>151</v>
      </c>
      <c r="D242" s="68">
        <v>60</v>
      </c>
      <c r="E242" s="68">
        <v>0</v>
      </c>
      <c r="F242" s="65">
        <f t="shared" si="458"/>
        <v>0</v>
      </c>
      <c r="G242" s="60" t="e">
        <f t="shared" si="464"/>
        <v>#DIV/0!</v>
      </c>
      <c r="H242" s="65" t="e">
        <f t="shared" ref="H242:J242" si="536">H230</f>
        <v>#DIV/0!</v>
      </c>
      <c r="I242" s="65" t="e">
        <f t="shared" si="536"/>
        <v>#DIV/0!</v>
      </c>
      <c r="J242" s="65" t="e">
        <f t="shared" si="536"/>
        <v>#DIV/0!</v>
      </c>
      <c r="K242" s="69">
        <v>10800</v>
      </c>
      <c r="L242" s="69">
        <f>'Monitoramento Acumulado Geral'!Q242</f>
        <v>0</v>
      </c>
      <c r="M242" s="6">
        <f>L242/K242</f>
        <v>0</v>
      </c>
      <c r="N242" s="35" t="e">
        <f t="shared" si="466"/>
        <v>#DIV/0!</v>
      </c>
      <c r="O242" s="6" t="e">
        <f t="shared" ref="O242:Q242" si="537">O218</f>
        <v>#DIV/0!</v>
      </c>
      <c r="P242" s="6" t="e">
        <f t="shared" si="537"/>
        <v>#DIV/0!</v>
      </c>
      <c r="Q242" s="6" t="e">
        <f t="shared" si="537"/>
        <v>#DIV/0!</v>
      </c>
      <c r="R242" s="69">
        <v>80</v>
      </c>
      <c r="S242" s="69">
        <v>0</v>
      </c>
      <c r="T242" s="6">
        <f t="shared" si="461"/>
        <v>0</v>
      </c>
      <c r="U242" s="35" t="e">
        <f t="shared" si="468"/>
        <v>#DIV/0!</v>
      </c>
      <c r="V242" s="6" t="e">
        <f t="shared" ref="V242:Z242" si="538">V230</f>
        <v>#DIV/0!</v>
      </c>
      <c r="W242" s="6" t="e">
        <f t="shared" si="538"/>
        <v>#DIV/0!</v>
      </c>
      <c r="X242" s="6" t="e">
        <f t="shared" si="538"/>
        <v>#DIV/0!</v>
      </c>
      <c r="Y242" s="6" t="e">
        <f t="shared" si="538"/>
        <v>#DIV/0!</v>
      </c>
      <c r="Z242" s="6" t="e">
        <f t="shared" si="538"/>
        <v>#DIV/0!</v>
      </c>
    </row>
    <row r="243" spans="1:26" x14ac:dyDescent="0.2">
      <c r="A243" s="7" t="s">
        <v>73</v>
      </c>
      <c r="B243" s="6">
        <f t="shared" si="463"/>
        <v>2</v>
      </c>
      <c r="C243" s="7" t="s">
        <v>152</v>
      </c>
      <c r="D243" s="68">
        <v>60</v>
      </c>
      <c r="E243" s="68">
        <v>0</v>
      </c>
      <c r="F243" s="65">
        <f t="shared" si="458"/>
        <v>0</v>
      </c>
      <c r="G243" s="60" t="e">
        <f t="shared" si="464"/>
        <v>#DIV/0!</v>
      </c>
      <c r="H243" s="65" t="e">
        <f t="shared" ref="H243:J243" si="539">H231</f>
        <v>#DIV/0!</v>
      </c>
      <c r="I243" s="65" t="e">
        <f t="shared" si="539"/>
        <v>#DIV/0!</v>
      </c>
      <c r="J243" s="65" t="e">
        <f t="shared" si="539"/>
        <v>#DIV/0!</v>
      </c>
      <c r="K243" s="69">
        <v>10800</v>
      </c>
      <c r="L243" s="69">
        <f>'Monitoramento Acumulado Geral'!Q243</f>
        <v>0</v>
      </c>
      <c r="M243" s="6">
        <f>(SUM(L242:L243))/K242</f>
        <v>0</v>
      </c>
      <c r="N243" s="35" t="e">
        <f t="shared" si="466"/>
        <v>#DIV/0!</v>
      </c>
      <c r="O243" s="6" t="e">
        <f t="shared" ref="O243:Q243" si="540">O219</f>
        <v>#DIV/0!</v>
      </c>
      <c r="P243" s="6" t="e">
        <f t="shared" si="540"/>
        <v>#DIV/0!</v>
      </c>
      <c r="Q243" s="6" t="e">
        <f t="shared" si="540"/>
        <v>#DIV/0!</v>
      </c>
      <c r="R243" s="69">
        <v>80</v>
      </c>
      <c r="S243" s="69">
        <v>0</v>
      </c>
      <c r="T243" s="6">
        <f t="shared" si="461"/>
        <v>0</v>
      </c>
      <c r="U243" s="35" t="e">
        <f t="shared" si="468"/>
        <v>#DIV/0!</v>
      </c>
      <c r="V243" s="6" t="e">
        <f t="shared" ref="V243:Z243" si="541">V231</f>
        <v>#DIV/0!</v>
      </c>
      <c r="W243" s="6" t="e">
        <f t="shared" si="541"/>
        <v>#DIV/0!</v>
      </c>
      <c r="X243" s="6" t="e">
        <f t="shared" si="541"/>
        <v>#DIV/0!</v>
      </c>
      <c r="Y243" s="6" t="e">
        <f t="shared" si="541"/>
        <v>#DIV/0!</v>
      </c>
      <c r="Z243" s="6" t="e">
        <f t="shared" si="541"/>
        <v>#DIV/0!</v>
      </c>
    </row>
    <row r="244" spans="1:26" x14ac:dyDescent="0.2">
      <c r="A244" s="7" t="s">
        <v>73</v>
      </c>
      <c r="B244" s="6">
        <f t="shared" si="463"/>
        <v>3</v>
      </c>
      <c r="C244" s="7" t="s">
        <v>153</v>
      </c>
      <c r="D244" s="68">
        <v>60</v>
      </c>
      <c r="E244" s="68">
        <v>0</v>
      </c>
      <c r="F244" s="65">
        <f t="shared" si="458"/>
        <v>0</v>
      </c>
      <c r="G244" s="60" t="e">
        <f t="shared" si="464"/>
        <v>#DIV/0!</v>
      </c>
      <c r="H244" s="65" t="e">
        <f t="shared" ref="H244:J244" si="542">H232</f>
        <v>#DIV/0!</v>
      </c>
      <c r="I244" s="65" t="e">
        <f t="shared" si="542"/>
        <v>#DIV/0!</v>
      </c>
      <c r="J244" s="65" t="e">
        <f t="shared" si="542"/>
        <v>#DIV/0!</v>
      </c>
      <c r="K244" s="69">
        <v>10800</v>
      </c>
      <c r="L244" s="69">
        <f>'Monitoramento Acumulado Geral'!Q244</f>
        <v>0</v>
      </c>
      <c r="M244" s="6">
        <f>(SUM(L242:L244))/K243</f>
        <v>0</v>
      </c>
      <c r="N244" s="35" t="e">
        <f t="shared" si="466"/>
        <v>#DIV/0!</v>
      </c>
      <c r="O244" s="6" t="e">
        <f t="shared" ref="O244:Q244" si="543">O220</f>
        <v>#DIV/0!</v>
      </c>
      <c r="P244" s="6" t="e">
        <f t="shared" si="543"/>
        <v>#DIV/0!</v>
      </c>
      <c r="Q244" s="6" t="e">
        <f t="shared" si="543"/>
        <v>#DIV/0!</v>
      </c>
      <c r="R244" s="69">
        <v>80</v>
      </c>
      <c r="S244" s="69">
        <v>0</v>
      </c>
      <c r="T244" s="6">
        <f t="shared" si="461"/>
        <v>0</v>
      </c>
      <c r="U244" s="35" t="e">
        <f t="shared" si="468"/>
        <v>#DIV/0!</v>
      </c>
      <c r="V244" s="6" t="e">
        <f t="shared" ref="V244:Z244" si="544">V232</f>
        <v>#DIV/0!</v>
      </c>
      <c r="W244" s="6" t="e">
        <f t="shared" si="544"/>
        <v>#DIV/0!</v>
      </c>
      <c r="X244" s="6" t="e">
        <f t="shared" si="544"/>
        <v>#DIV/0!</v>
      </c>
      <c r="Y244" s="6" t="e">
        <f t="shared" si="544"/>
        <v>#DIV/0!</v>
      </c>
      <c r="Z244" s="6" t="e">
        <f t="shared" si="544"/>
        <v>#DIV/0!</v>
      </c>
    </row>
    <row r="245" spans="1:26" x14ac:dyDescent="0.2">
      <c r="A245" s="7" t="s">
        <v>73</v>
      </c>
      <c r="B245" s="6">
        <f t="shared" si="463"/>
        <v>4</v>
      </c>
      <c r="C245" s="7" t="s">
        <v>154</v>
      </c>
      <c r="D245" s="68">
        <v>60</v>
      </c>
      <c r="E245" s="68">
        <v>0</v>
      </c>
      <c r="F245" s="65">
        <f t="shared" si="458"/>
        <v>0</v>
      </c>
      <c r="G245" s="60" t="e">
        <f t="shared" si="464"/>
        <v>#DIV/0!</v>
      </c>
      <c r="H245" s="65" t="e">
        <f t="shared" ref="H245:J245" si="545">H233</f>
        <v>#DIV/0!</v>
      </c>
      <c r="I245" s="65" t="e">
        <f t="shared" si="545"/>
        <v>#DIV/0!</v>
      </c>
      <c r="J245" s="65" t="e">
        <f t="shared" si="545"/>
        <v>#DIV/0!</v>
      </c>
      <c r="K245" s="69">
        <v>10800</v>
      </c>
      <c r="L245" s="69">
        <f>'Monitoramento Acumulado Geral'!Q245</f>
        <v>0</v>
      </c>
      <c r="M245" s="6">
        <f>(SUM(L242:L245))/K244</f>
        <v>0</v>
      </c>
      <c r="N245" s="35" t="e">
        <f t="shared" si="466"/>
        <v>#DIV/0!</v>
      </c>
      <c r="O245" s="6" t="e">
        <f t="shared" ref="O245:Q245" si="546">O221</f>
        <v>#DIV/0!</v>
      </c>
      <c r="P245" s="6" t="e">
        <f t="shared" si="546"/>
        <v>#DIV/0!</v>
      </c>
      <c r="Q245" s="6" t="e">
        <f t="shared" si="546"/>
        <v>#DIV/0!</v>
      </c>
      <c r="R245" s="69">
        <v>80</v>
      </c>
      <c r="S245" s="69">
        <v>0</v>
      </c>
      <c r="T245" s="6">
        <f t="shared" si="461"/>
        <v>0</v>
      </c>
      <c r="U245" s="35" t="e">
        <f t="shared" si="468"/>
        <v>#DIV/0!</v>
      </c>
      <c r="V245" s="6" t="e">
        <f t="shared" ref="V245:Z245" si="547">V233</f>
        <v>#DIV/0!</v>
      </c>
      <c r="W245" s="6" t="e">
        <f t="shared" si="547"/>
        <v>#DIV/0!</v>
      </c>
      <c r="X245" s="6" t="e">
        <f t="shared" si="547"/>
        <v>#DIV/0!</v>
      </c>
      <c r="Y245" s="6" t="e">
        <f t="shared" si="547"/>
        <v>#DIV/0!</v>
      </c>
      <c r="Z245" s="6" t="e">
        <f t="shared" si="547"/>
        <v>#DIV/0!</v>
      </c>
    </row>
    <row r="246" spans="1:26" x14ac:dyDescent="0.2">
      <c r="A246" s="7" t="s">
        <v>73</v>
      </c>
      <c r="B246" s="6">
        <f t="shared" si="463"/>
        <v>5</v>
      </c>
      <c r="C246" s="7" t="s">
        <v>155</v>
      </c>
      <c r="D246" s="68">
        <v>60</v>
      </c>
      <c r="E246" s="68">
        <v>0</v>
      </c>
      <c r="F246" s="65">
        <f t="shared" si="458"/>
        <v>0</v>
      </c>
      <c r="G246" s="60" t="e">
        <f t="shared" si="464"/>
        <v>#DIV/0!</v>
      </c>
      <c r="H246" s="65" t="e">
        <f t="shared" ref="H246:J246" si="548">H234</f>
        <v>#DIV/0!</v>
      </c>
      <c r="I246" s="65" t="e">
        <f t="shared" si="548"/>
        <v>#DIV/0!</v>
      </c>
      <c r="J246" s="65" t="e">
        <f t="shared" si="548"/>
        <v>#DIV/0!</v>
      </c>
      <c r="K246" s="69">
        <v>10800</v>
      </c>
      <c r="L246" s="69">
        <f>'Monitoramento Acumulado Geral'!Q246</f>
        <v>0</v>
      </c>
      <c r="M246" s="6">
        <f>(SUM(L242:L246))/K245</f>
        <v>0</v>
      </c>
      <c r="N246" s="35" t="e">
        <f t="shared" si="466"/>
        <v>#DIV/0!</v>
      </c>
      <c r="O246" s="6" t="e">
        <f t="shared" ref="O246:Q246" si="549">O222</f>
        <v>#DIV/0!</v>
      </c>
      <c r="P246" s="6" t="e">
        <f t="shared" si="549"/>
        <v>#DIV/0!</v>
      </c>
      <c r="Q246" s="6" t="e">
        <f t="shared" si="549"/>
        <v>#DIV/0!</v>
      </c>
      <c r="R246" s="69">
        <v>80</v>
      </c>
      <c r="S246" s="69">
        <v>0</v>
      </c>
      <c r="T246" s="6">
        <f t="shared" si="461"/>
        <v>0</v>
      </c>
      <c r="U246" s="35" t="e">
        <f t="shared" si="468"/>
        <v>#DIV/0!</v>
      </c>
      <c r="V246" s="6" t="e">
        <f t="shared" ref="V246:Z246" si="550">V234</f>
        <v>#DIV/0!</v>
      </c>
      <c r="W246" s="6" t="e">
        <f t="shared" si="550"/>
        <v>#DIV/0!</v>
      </c>
      <c r="X246" s="6" t="e">
        <f t="shared" si="550"/>
        <v>#DIV/0!</v>
      </c>
      <c r="Y246" s="6" t="e">
        <f t="shared" si="550"/>
        <v>#DIV/0!</v>
      </c>
      <c r="Z246" s="6" t="e">
        <f t="shared" si="550"/>
        <v>#DIV/0!</v>
      </c>
    </row>
    <row r="247" spans="1:26" x14ac:dyDescent="0.2">
      <c r="A247" s="7" t="s">
        <v>73</v>
      </c>
      <c r="B247" s="6">
        <f t="shared" si="463"/>
        <v>6</v>
      </c>
      <c r="C247" s="7" t="s">
        <v>156</v>
      </c>
      <c r="D247" s="68">
        <v>60</v>
      </c>
      <c r="E247" s="68">
        <v>0</v>
      </c>
      <c r="F247" s="65">
        <f t="shared" si="458"/>
        <v>0</v>
      </c>
      <c r="G247" s="60" t="e">
        <f t="shared" si="464"/>
        <v>#DIV/0!</v>
      </c>
      <c r="H247" s="65" t="e">
        <f t="shared" ref="H247:J247" si="551">H235</f>
        <v>#DIV/0!</v>
      </c>
      <c r="I247" s="65" t="e">
        <f t="shared" si="551"/>
        <v>#DIV/0!</v>
      </c>
      <c r="J247" s="65" t="e">
        <f t="shared" si="551"/>
        <v>#DIV/0!</v>
      </c>
      <c r="K247" s="69">
        <v>10800</v>
      </c>
      <c r="L247" s="69">
        <f>'Monitoramento Acumulado Geral'!Q247</f>
        <v>0</v>
      </c>
      <c r="M247" s="6">
        <f>(SUM(L242:L247))/K246</f>
        <v>0</v>
      </c>
      <c r="N247" s="35" t="e">
        <f t="shared" si="466"/>
        <v>#DIV/0!</v>
      </c>
      <c r="O247" s="6" t="e">
        <f t="shared" ref="O247:Q247" si="552">O223</f>
        <v>#DIV/0!</v>
      </c>
      <c r="P247" s="6" t="e">
        <f t="shared" si="552"/>
        <v>#DIV/0!</v>
      </c>
      <c r="Q247" s="6" t="e">
        <f t="shared" si="552"/>
        <v>#DIV/0!</v>
      </c>
      <c r="R247" s="69">
        <v>80</v>
      </c>
      <c r="S247" s="69">
        <v>0</v>
      </c>
      <c r="T247" s="6">
        <f t="shared" si="461"/>
        <v>0</v>
      </c>
      <c r="U247" s="35" t="e">
        <f t="shared" si="468"/>
        <v>#DIV/0!</v>
      </c>
      <c r="V247" s="6" t="e">
        <f t="shared" ref="V247:Z247" si="553">V235</f>
        <v>#DIV/0!</v>
      </c>
      <c r="W247" s="6" t="e">
        <f t="shared" si="553"/>
        <v>#DIV/0!</v>
      </c>
      <c r="X247" s="6" t="e">
        <f t="shared" si="553"/>
        <v>#DIV/0!</v>
      </c>
      <c r="Y247" s="6" t="e">
        <f t="shared" si="553"/>
        <v>#DIV/0!</v>
      </c>
      <c r="Z247" s="6" t="e">
        <f t="shared" si="553"/>
        <v>#DIV/0!</v>
      </c>
    </row>
    <row r="248" spans="1:26" x14ac:dyDescent="0.2">
      <c r="A248" s="7" t="s">
        <v>73</v>
      </c>
      <c r="B248" s="6">
        <f t="shared" si="463"/>
        <v>7</v>
      </c>
      <c r="C248" s="7" t="s">
        <v>157</v>
      </c>
      <c r="D248" s="68">
        <v>60</v>
      </c>
      <c r="E248" s="68">
        <v>47</v>
      </c>
      <c r="F248" s="65">
        <f t="shared" si="458"/>
        <v>0.78333333333333333</v>
      </c>
      <c r="G248" s="60" t="e">
        <f t="shared" si="464"/>
        <v>#DIV/0!</v>
      </c>
      <c r="H248" s="65" t="e">
        <f t="shared" ref="H248:J248" si="554">H236</f>
        <v>#DIV/0!</v>
      </c>
      <c r="I248" s="65" t="e">
        <f t="shared" si="554"/>
        <v>#DIV/0!</v>
      </c>
      <c r="J248" s="65" t="e">
        <f t="shared" si="554"/>
        <v>#DIV/0!</v>
      </c>
      <c r="K248" s="69">
        <v>10800</v>
      </c>
      <c r="L248" s="69">
        <f>'Monitoramento Acumulado Geral'!Q248</f>
        <v>935</v>
      </c>
      <c r="M248" s="6">
        <f>(SUM(L242:L248))/K247</f>
        <v>8.6574074074074067E-2</v>
      </c>
      <c r="N248" s="35" t="e">
        <f t="shared" si="466"/>
        <v>#DIV/0!</v>
      </c>
      <c r="O248" s="6" t="e">
        <f t="shared" ref="O248:Q248" si="555">O224</f>
        <v>#DIV/0!</v>
      </c>
      <c r="P248" s="6" t="e">
        <f t="shared" si="555"/>
        <v>#DIV/0!</v>
      </c>
      <c r="Q248" s="6" t="e">
        <f t="shared" si="555"/>
        <v>#DIV/0!</v>
      </c>
      <c r="R248" s="69">
        <v>80</v>
      </c>
      <c r="S248" s="69">
        <v>0</v>
      </c>
      <c r="T248" s="6">
        <f t="shared" si="461"/>
        <v>0</v>
      </c>
      <c r="U248" s="35" t="e">
        <f t="shared" si="468"/>
        <v>#DIV/0!</v>
      </c>
      <c r="V248" s="6" t="e">
        <f t="shared" ref="V248:Z248" si="556">V236</f>
        <v>#DIV/0!</v>
      </c>
      <c r="W248" s="6" t="e">
        <f t="shared" si="556"/>
        <v>#DIV/0!</v>
      </c>
      <c r="X248" s="6" t="e">
        <f t="shared" si="556"/>
        <v>#DIV/0!</v>
      </c>
      <c r="Y248" s="6" t="e">
        <f t="shared" si="556"/>
        <v>#DIV/0!</v>
      </c>
      <c r="Z248" s="6" t="e">
        <f t="shared" si="556"/>
        <v>#DIV/0!</v>
      </c>
    </row>
    <row r="249" spans="1:26" x14ac:dyDescent="0.2">
      <c r="A249" s="7" t="s">
        <v>73</v>
      </c>
      <c r="B249" s="6">
        <f t="shared" si="463"/>
        <v>8</v>
      </c>
      <c r="C249" s="7" t="s">
        <v>158</v>
      </c>
      <c r="D249" s="68">
        <v>60</v>
      </c>
      <c r="E249" s="68">
        <v>59</v>
      </c>
      <c r="F249" s="65">
        <f t="shared" si="458"/>
        <v>0.98333333333333328</v>
      </c>
      <c r="G249" s="60" t="e">
        <f t="shared" si="464"/>
        <v>#DIV/0!</v>
      </c>
      <c r="H249" s="65" t="e">
        <f t="shared" ref="H249:J249" si="557">H237</f>
        <v>#DIV/0!</v>
      </c>
      <c r="I249" s="65" t="e">
        <f t="shared" si="557"/>
        <v>#DIV/0!</v>
      </c>
      <c r="J249" s="65" t="e">
        <f t="shared" si="557"/>
        <v>#DIV/0!</v>
      </c>
      <c r="K249" s="69">
        <v>10800</v>
      </c>
      <c r="L249" s="69">
        <f>'Monitoramento Acumulado Geral'!Q249</f>
        <v>2000</v>
      </c>
      <c r="M249" s="6">
        <f>(SUM(L242:L249))/K248</f>
        <v>0.27175925925925926</v>
      </c>
      <c r="N249" s="35" t="e">
        <f t="shared" si="466"/>
        <v>#DIV/0!</v>
      </c>
      <c r="O249" s="6" t="e">
        <f t="shared" ref="O249:Q249" si="558">O225</f>
        <v>#DIV/0!</v>
      </c>
      <c r="P249" s="6" t="e">
        <f t="shared" si="558"/>
        <v>#DIV/0!</v>
      </c>
      <c r="Q249" s="6" t="e">
        <f t="shared" si="558"/>
        <v>#DIV/0!</v>
      </c>
      <c r="R249" s="69">
        <v>80</v>
      </c>
      <c r="S249" s="69">
        <v>0</v>
      </c>
      <c r="T249" s="6">
        <f t="shared" si="461"/>
        <v>0</v>
      </c>
      <c r="U249" s="35" t="e">
        <f t="shared" si="468"/>
        <v>#DIV/0!</v>
      </c>
      <c r="V249" s="6" t="e">
        <f t="shared" ref="V249:Z249" si="559">V237</f>
        <v>#DIV/0!</v>
      </c>
      <c r="W249" s="6" t="e">
        <f t="shared" si="559"/>
        <v>#DIV/0!</v>
      </c>
      <c r="X249" s="6" t="e">
        <f t="shared" si="559"/>
        <v>#DIV/0!</v>
      </c>
      <c r="Y249" s="6" t="e">
        <f t="shared" si="559"/>
        <v>#DIV/0!</v>
      </c>
      <c r="Z249" s="6" t="e">
        <f t="shared" si="559"/>
        <v>#DIV/0!</v>
      </c>
    </row>
    <row r="250" spans="1:26" x14ac:dyDescent="0.2">
      <c r="A250" s="7" t="s">
        <v>73</v>
      </c>
      <c r="B250" s="6">
        <f t="shared" si="463"/>
        <v>9</v>
      </c>
      <c r="C250" s="7" t="s">
        <v>159</v>
      </c>
      <c r="D250" s="68">
        <v>60</v>
      </c>
      <c r="E250" s="68">
        <v>59</v>
      </c>
      <c r="F250" s="65">
        <f t="shared" si="458"/>
        <v>0.98333333333333328</v>
      </c>
      <c r="G250" s="60" t="e">
        <f t="shared" si="464"/>
        <v>#DIV/0!</v>
      </c>
      <c r="H250" s="65" t="e">
        <f t="shared" ref="H250:J250" si="560">H238</f>
        <v>#DIV/0!</v>
      </c>
      <c r="I250" s="65" t="e">
        <f t="shared" si="560"/>
        <v>#DIV/0!</v>
      </c>
      <c r="J250" s="65" t="e">
        <f t="shared" si="560"/>
        <v>#DIV/0!</v>
      </c>
      <c r="K250" s="69">
        <v>10800</v>
      </c>
      <c r="L250" s="69">
        <f>'Monitoramento Acumulado Geral'!Q250</f>
        <v>1575</v>
      </c>
      <c r="M250" s="6">
        <f>(SUM(L242:L250))/K249</f>
        <v>0.41759259259259257</v>
      </c>
      <c r="N250" s="35" t="e">
        <f t="shared" si="466"/>
        <v>#DIV/0!</v>
      </c>
      <c r="O250" s="6" t="e">
        <f t="shared" ref="O250:Q250" si="561">O226</f>
        <v>#DIV/0!</v>
      </c>
      <c r="P250" s="6" t="e">
        <f t="shared" si="561"/>
        <v>#DIV/0!</v>
      </c>
      <c r="Q250" s="6" t="e">
        <f t="shared" si="561"/>
        <v>#DIV/0!</v>
      </c>
      <c r="R250" s="69">
        <v>80</v>
      </c>
      <c r="S250" s="69">
        <v>0</v>
      </c>
      <c r="T250" s="6">
        <f t="shared" si="461"/>
        <v>0</v>
      </c>
      <c r="U250" s="35" t="e">
        <f t="shared" si="468"/>
        <v>#DIV/0!</v>
      </c>
      <c r="V250" s="6" t="e">
        <f t="shared" ref="V250:Z250" si="562">V238</f>
        <v>#DIV/0!</v>
      </c>
      <c r="W250" s="6" t="e">
        <f t="shared" si="562"/>
        <v>#DIV/0!</v>
      </c>
      <c r="X250" s="6" t="e">
        <f t="shared" si="562"/>
        <v>#DIV/0!</v>
      </c>
      <c r="Y250" s="6" t="e">
        <f t="shared" si="562"/>
        <v>#DIV/0!</v>
      </c>
      <c r="Z250" s="6" t="e">
        <f t="shared" si="562"/>
        <v>#DIV/0!</v>
      </c>
    </row>
    <row r="251" spans="1:26" x14ac:dyDescent="0.2">
      <c r="A251" s="7" t="s">
        <v>73</v>
      </c>
      <c r="B251" s="6">
        <f t="shared" si="463"/>
        <v>10</v>
      </c>
      <c r="C251" s="7" t="s">
        <v>160</v>
      </c>
      <c r="D251" s="68">
        <v>60</v>
      </c>
      <c r="E251" s="68">
        <v>59</v>
      </c>
      <c r="F251" s="65">
        <f t="shared" si="458"/>
        <v>0.98333333333333328</v>
      </c>
      <c r="G251" s="60" t="e">
        <f t="shared" si="464"/>
        <v>#DIV/0!</v>
      </c>
      <c r="H251" s="65" t="e">
        <f t="shared" ref="H251:J251" si="563">H239</f>
        <v>#DIV/0!</v>
      </c>
      <c r="I251" s="65" t="e">
        <f t="shared" si="563"/>
        <v>#DIV/0!</v>
      </c>
      <c r="J251" s="65" t="e">
        <f t="shared" si="563"/>
        <v>#DIV/0!</v>
      </c>
      <c r="K251" s="69">
        <v>10800</v>
      </c>
      <c r="L251" s="69">
        <f>'Monitoramento Acumulado Geral'!Q251</f>
        <v>0</v>
      </c>
      <c r="M251" s="6">
        <f>(SUM(L242:L251))/K250</f>
        <v>0.41759259259259257</v>
      </c>
      <c r="N251" s="35" t="e">
        <f t="shared" si="466"/>
        <v>#DIV/0!</v>
      </c>
      <c r="O251" s="6" t="e">
        <f t="shared" ref="O251:Q251" si="564">O227</f>
        <v>#DIV/0!</v>
      </c>
      <c r="P251" s="6" t="e">
        <f t="shared" si="564"/>
        <v>#DIV/0!</v>
      </c>
      <c r="Q251" s="6" t="e">
        <f t="shared" si="564"/>
        <v>#DIV/0!</v>
      </c>
      <c r="R251" s="69">
        <v>80</v>
      </c>
      <c r="S251" s="69">
        <v>0</v>
      </c>
      <c r="T251" s="6">
        <f t="shared" si="461"/>
        <v>0</v>
      </c>
      <c r="U251" s="35" t="e">
        <f t="shared" si="468"/>
        <v>#DIV/0!</v>
      </c>
      <c r="V251" s="6" t="e">
        <f t="shared" ref="V251:Z251" si="565">V239</f>
        <v>#DIV/0!</v>
      </c>
      <c r="W251" s="6" t="e">
        <f t="shared" si="565"/>
        <v>#DIV/0!</v>
      </c>
      <c r="X251" s="6" t="e">
        <f t="shared" si="565"/>
        <v>#DIV/0!</v>
      </c>
      <c r="Y251" s="6" t="e">
        <f t="shared" si="565"/>
        <v>#DIV/0!</v>
      </c>
      <c r="Z251" s="6" t="e">
        <f t="shared" si="565"/>
        <v>#DIV/0!</v>
      </c>
    </row>
    <row r="252" spans="1:26" x14ac:dyDescent="0.2">
      <c r="A252" s="7" t="s">
        <v>73</v>
      </c>
      <c r="B252" s="6">
        <f t="shared" si="463"/>
        <v>11</v>
      </c>
      <c r="C252" s="7" t="s">
        <v>161</v>
      </c>
      <c r="D252" s="68">
        <v>60</v>
      </c>
      <c r="E252" s="68">
        <v>0</v>
      </c>
      <c r="F252" s="65">
        <f t="shared" si="458"/>
        <v>0</v>
      </c>
      <c r="G252" s="60" t="e">
        <f t="shared" si="464"/>
        <v>#DIV/0!</v>
      </c>
      <c r="H252" s="65" t="e">
        <f t="shared" ref="H252:J252" si="566">H240</f>
        <v>#DIV/0!</v>
      </c>
      <c r="I252" s="65" t="e">
        <f t="shared" si="566"/>
        <v>#DIV/0!</v>
      </c>
      <c r="J252" s="65" t="e">
        <f t="shared" si="566"/>
        <v>#DIV/0!</v>
      </c>
      <c r="K252" s="69">
        <v>10800</v>
      </c>
      <c r="L252" s="69">
        <f>'Monitoramento Acumulado Geral'!Q252</f>
        <v>0</v>
      </c>
      <c r="M252" s="6">
        <f>(SUM(L242:L252))/K251</f>
        <v>0.41759259259259257</v>
      </c>
      <c r="N252" s="35" t="e">
        <f t="shared" si="466"/>
        <v>#DIV/0!</v>
      </c>
      <c r="O252" s="6" t="e">
        <f t="shared" ref="O252:Q252" si="567">O228</f>
        <v>#DIV/0!</v>
      </c>
      <c r="P252" s="6" t="e">
        <f t="shared" si="567"/>
        <v>#DIV/0!</v>
      </c>
      <c r="Q252" s="6" t="e">
        <f t="shared" si="567"/>
        <v>#DIV/0!</v>
      </c>
      <c r="R252" s="69">
        <v>80</v>
      </c>
      <c r="S252" s="69">
        <v>0</v>
      </c>
      <c r="T252" s="6">
        <f t="shared" si="461"/>
        <v>0</v>
      </c>
      <c r="U252" s="35" t="e">
        <f t="shared" si="468"/>
        <v>#DIV/0!</v>
      </c>
      <c r="V252" s="6" t="e">
        <f t="shared" ref="V252:Z252" si="568">V240</f>
        <v>#DIV/0!</v>
      </c>
      <c r="W252" s="6" t="e">
        <f t="shared" si="568"/>
        <v>#DIV/0!</v>
      </c>
      <c r="X252" s="6" t="e">
        <f t="shared" si="568"/>
        <v>#DIV/0!</v>
      </c>
      <c r="Y252" s="6" t="e">
        <f t="shared" si="568"/>
        <v>#DIV/0!</v>
      </c>
      <c r="Z252" s="6" t="e">
        <f t="shared" si="568"/>
        <v>#DIV/0!</v>
      </c>
    </row>
    <row r="253" spans="1:26" x14ac:dyDescent="0.2">
      <c r="A253" s="7" t="s">
        <v>73</v>
      </c>
      <c r="B253" s="6">
        <f t="shared" si="463"/>
        <v>12</v>
      </c>
      <c r="C253" s="7" t="s">
        <v>162</v>
      </c>
      <c r="D253" s="68">
        <v>60</v>
      </c>
      <c r="E253" s="68">
        <v>0</v>
      </c>
      <c r="F253" s="65">
        <f t="shared" si="458"/>
        <v>0</v>
      </c>
      <c r="G253" s="60" t="e">
        <f t="shared" si="464"/>
        <v>#DIV/0!</v>
      </c>
      <c r="H253" s="65" t="e">
        <f t="shared" ref="H253:J253" si="569">H241</f>
        <v>#DIV/0!</v>
      </c>
      <c r="I253" s="65" t="e">
        <f t="shared" si="569"/>
        <v>#DIV/0!</v>
      </c>
      <c r="J253" s="65" t="e">
        <f t="shared" si="569"/>
        <v>#DIV/0!</v>
      </c>
      <c r="K253" s="69">
        <v>10800</v>
      </c>
      <c r="L253" s="69">
        <f>'Monitoramento Acumulado Geral'!Q253</f>
        <v>0</v>
      </c>
      <c r="M253" s="6">
        <f>(SUM(L242:L253))/K252</f>
        <v>0.41759259259259257</v>
      </c>
      <c r="N253" s="35" t="e">
        <f t="shared" si="466"/>
        <v>#DIV/0!</v>
      </c>
      <c r="O253" s="6" t="e">
        <f t="shared" ref="O253:Q253" si="570">O229</f>
        <v>#DIV/0!</v>
      </c>
      <c r="P253" s="6" t="e">
        <f t="shared" si="570"/>
        <v>#DIV/0!</v>
      </c>
      <c r="Q253" s="6" t="e">
        <f t="shared" si="570"/>
        <v>#DIV/0!</v>
      </c>
      <c r="R253" s="69">
        <v>80</v>
      </c>
      <c r="S253" s="69">
        <v>0</v>
      </c>
      <c r="T253" s="6">
        <f t="shared" si="461"/>
        <v>0</v>
      </c>
      <c r="U253" s="35" t="e">
        <f t="shared" si="468"/>
        <v>#DIV/0!</v>
      </c>
      <c r="V253" s="6" t="e">
        <f t="shared" ref="V253:Z253" si="571">V241</f>
        <v>#DIV/0!</v>
      </c>
      <c r="W253" s="6" t="e">
        <f t="shared" si="571"/>
        <v>#DIV/0!</v>
      </c>
      <c r="X253" s="6" t="e">
        <f t="shared" si="571"/>
        <v>#DIV/0!</v>
      </c>
      <c r="Y253" s="6" t="e">
        <f t="shared" si="571"/>
        <v>#DIV/0!</v>
      </c>
      <c r="Z253" s="6" t="e">
        <f t="shared" si="571"/>
        <v>#DIV/0!</v>
      </c>
    </row>
    <row r="254" spans="1:26" x14ac:dyDescent="0.2">
      <c r="A254" s="7" t="s">
        <v>56</v>
      </c>
      <c r="B254" s="6">
        <f t="shared" si="463"/>
        <v>1</v>
      </c>
      <c r="C254" s="7" t="s">
        <v>151</v>
      </c>
      <c r="D254" s="68">
        <v>75</v>
      </c>
      <c r="E254" s="68">
        <v>0</v>
      </c>
      <c r="F254" s="65">
        <f t="shared" si="458"/>
        <v>0</v>
      </c>
      <c r="G254" s="60" t="e">
        <f t="shared" si="464"/>
        <v>#DIV/0!</v>
      </c>
      <c r="H254" s="65" t="e">
        <f t="shared" ref="H254:J254" si="572">H242</f>
        <v>#DIV/0!</v>
      </c>
      <c r="I254" s="65" t="e">
        <f t="shared" si="572"/>
        <v>#DIV/0!</v>
      </c>
      <c r="J254" s="65" t="e">
        <f t="shared" si="572"/>
        <v>#DIV/0!</v>
      </c>
      <c r="K254" s="69">
        <v>28211.11</v>
      </c>
      <c r="L254" s="69">
        <f>'Monitoramento Acumulado Geral'!Q254</f>
        <v>0</v>
      </c>
      <c r="M254" s="6">
        <f>L254/K254</f>
        <v>0</v>
      </c>
      <c r="N254" s="35" t="e">
        <f t="shared" si="466"/>
        <v>#DIV/0!</v>
      </c>
      <c r="O254" s="6" t="e">
        <f t="shared" ref="O254:Q254" si="573">O242</f>
        <v>#DIV/0!</v>
      </c>
      <c r="P254" s="6" t="e">
        <f t="shared" si="573"/>
        <v>#DIV/0!</v>
      </c>
      <c r="Q254" s="6" t="e">
        <f t="shared" si="573"/>
        <v>#DIV/0!</v>
      </c>
      <c r="R254" s="69">
        <v>80</v>
      </c>
      <c r="S254" s="69">
        <v>0</v>
      </c>
      <c r="T254" s="6">
        <f t="shared" si="461"/>
        <v>0</v>
      </c>
      <c r="U254" s="35" t="e">
        <f t="shared" si="468"/>
        <v>#DIV/0!</v>
      </c>
      <c r="V254" s="6" t="e">
        <f t="shared" ref="V254:Z254" si="574">V242</f>
        <v>#DIV/0!</v>
      </c>
      <c r="W254" s="6" t="e">
        <f t="shared" si="574"/>
        <v>#DIV/0!</v>
      </c>
      <c r="X254" s="6" t="e">
        <f t="shared" si="574"/>
        <v>#DIV/0!</v>
      </c>
      <c r="Y254" s="6" t="e">
        <f t="shared" si="574"/>
        <v>#DIV/0!</v>
      </c>
      <c r="Z254" s="6" t="e">
        <f t="shared" si="574"/>
        <v>#DIV/0!</v>
      </c>
    </row>
    <row r="255" spans="1:26" x14ac:dyDescent="0.2">
      <c r="A255" s="7" t="s">
        <v>56</v>
      </c>
      <c r="B255" s="6">
        <f t="shared" si="463"/>
        <v>2</v>
      </c>
      <c r="C255" s="7" t="s">
        <v>152</v>
      </c>
      <c r="D255" s="68">
        <v>75</v>
      </c>
      <c r="E255" s="68">
        <v>23</v>
      </c>
      <c r="F255" s="65">
        <f t="shared" si="458"/>
        <v>0.30666666666666664</v>
      </c>
      <c r="G255" s="60" t="e">
        <f t="shared" si="464"/>
        <v>#DIV/0!</v>
      </c>
      <c r="H255" s="65" t="e">
        <f t="shared" ref="H255:J255" si="575">H243</f>
        <v>#DIV/0!</v>
      </c>
      <c r="I255" s="65" t="e">
        <f t="shared" si="575"/>
        <v>#DIV/0!</v>
      </c>
      <c r="J255" s="65" t="e">
        <f t="shared" si="575"/>
        <v>#DIV/0!</v>
      </c>
      <c r="K255" s="69">
        <v>28211.11</v>
      </c>
      <c r="L255" s="69">
        <f>'Monitoramento Acumulado Geral'!Q255</f>
        <v>2700</v>
      </c>
      <c r="M255" s="6">
        <f>(SUM(L254:L255))/K254</f>
        <v>9.5706975017998228E-2</v>
      </c>
      <c r="N255" s="35" t="e">
        <f t="shared" si="466"/>
        <v>#DIV/0!</v>
      </c>
      <c r="O255" s="6" t="e">
        <f t="shared" ref="O255:Q255" si="576">O243</f>
        <v>#DIV/0!</v>
      </c>
      <c r="P255" s="6" t="e">
        <f t="shared" si="576"/>
        <v>#DIV/0!</v>
      </c>
      <c r="Q255" s="6" t="e">
        <f t="shared" si="576"/>
        <v>#DIV/0!</v>
      </c>
      <c r="R255" s="69">
        <v>80</v>
      </c>
      <c r="S255" s="69">
        <v>0</v>
      </c>
      <c r="T255" s="6">
        <f t="shared" si="461"/>
        <v>0</v>
      </c>
      <c r="U255" s="35" t="e">
        <f t="shared" si="468"/>
        <v>#DIV/0!</v>
      </c>
      <c r="V255" s="6" t="e">
        <f t="shared" ref="V255:Z255" si="577">V243</f>
        <v>#DIV/0!</v>
      </c>
      <c r="W255" s="6" t="e">
        <f t="shared" si="577"/>
        <v>#DIV/0!</v>
      </c>
      <c r="X255" s="6" t="e">
        <f t="shared" si="577"/>
        <v>#DIV/0!</v>
      </c>
      <c r="Y255" s="6" t="e">
        <f t="shared" si="577"/>
        <v>#DIV/0!</v>
      </c>
      <c r="Z255" s="6" t="e">
        <f t="shared" si="577"/>
        <v>#DIV/0!</v>
      </c>
    </row>
    <row r="256" spans="1:26" x14ac:dyDescent="0.2">
      <c r="A256" s="7" t="s">
        <v>56</v>
      </c>
      <c r="B256" s="6">
        <f t="shared" si="463"/>
        <v>3</v>
      </c>
      <c r="C256" s="7" t="s">
        <v>153</v>
      </c>
      <c r="D256" s="68">
        <v>75</v>
      </c>
      <c r="E256" s="68">
        <v>23</v>
      </c>
      <c r="F256" s="65">
        <f t="shared" si="458"/>
        <v>0.30666666666666664</v>
      </c>
      <c r="G256" s="60" t="e">
        <f t="shared" si="464"/>
        <v>#DIV/0!</v>
      </c>
      <c r="H256" s="65" t="e">
        <f t="shared" ref="H256:J256" si="578">H244</f>
        <v>#DIV/0!</v>
      </c>
      <c r="I256" s="65" t="e">
        <f t="shared" si="578"/>
        <v>#DIV/0!</v>
      </c>
      <c r="J256" s="65" t="e">
        <f t="shared" si="578"/>
        <v>#DIV/0!</v>
      </c>
      <c r="K256" s="69">
        <v>28211.11</v>
      </c>
      <c r="L256" s="69">
        <f>'Monitoramento Acumulado Geral'!Q256</f>
        <v>0</v>
      </c>
      <c r="M256" s="6">
        <f>(SUM(L254:L256))/K255</f>
        <v>9.5706975017998228E-2</v>
      </c>
      <c r="N256" s="35" t="e">
        <f t="shared" si="466"/>
        <v>#DIV/0!</v>
      </c>
      <c r="O256" s="6" t="e">
        <f t="shared" ref="O256:Q256" si="579">O244</f>
        <v>#DIV/0!</v>
      </c>
      <c r="P256" s="6" t="e">
        <f t="shared" si="579"/>
        <v>#DIV/0!</v>
      </c>
      <c r="Q256" s="6" t="e">
        <f t="shared" si="579"/>
        <v>#DIV/0!</v>
      </c>
      <c r="R256" s="69">
        <v>80</v>
      </c>
      <c r="S256" s="69">
        <v>0</v>
      </c>
      <c r="T256" s="6">
        <f t="shared" si="461"/>
        <v>0</v>
      </c>
      <c r="U256" s="35" t="e">
        <f t="shared" si="468"/>
        <v>#DIV/0!</v>
      </c>
      <c r="V256" s="6" t="e">
        <f t="shared" ref="V256:Z256" si="580">V244</f>
        <v>#DIV/0!</v>
      </c>
      <c r="W256" s="6" t="e">
        <f t="shared" si="580"/>
        <v>#DIV/0!</v>
      </c>
      <c r="X256" s="6" t="e">
        <f t="shared" si="580"/>
        <v>#DIV/0!</v>
      </c>
      <c r="Y256" s="6" t="e">
        <f t="shared" si="580"/>
        <v>#DIV/0!</v>
      </c>
      <c r="Z256" s="6" t="e">
        <f t="shared" si="580"/>
        <v>#DIV/0!</v>
      </c>
    </row>
    <row r="257" spans="1:26" x14ac:dyDescent="0.2">
      <c r="A257" s="7" t="s">
        <v>56</v>
      </c>
      <c r="B257" s="6">
        <f t="shared" si="463"/>
        <v>4</v>
      </c>
      <c r="C257" s="7" t="s">
        <v>154</v>
      </c>
      <c r="D257" s="68">
        <v>75</v>
      </c>
      <c r="E257" s="68">
        <v>23</v>
      </c>
      <c r="F257" s="65">
        <f t="shared" si="458"/>
        <v>0.30666666666666664</v>
      </c>
      <c r="G257" s="60" t="e">
        <f t="shared" si="464"/>
        <v>#DIV/0!</v>
      </c>
      <c r="H257" s="65" t="e">
        <f t="shared" ref="H257:J257" si="581">H245</f>
        <v>#DIV/0!</v>
      </c>
      <c r="I257" s="65" t="e">
        <f t="shared" si="581"/>
        <v>#DIV/0!</v>
      </c>
      <c r="J257" s="65" t="e">
        <f t="shared" si="581"/>
        <v>#DIV/0!</v>
      </c>
      <c r="K257" s="69">
        <v>28211.11</v>
      </c>
      <c r="L257" s="69">
        <f>'Monitoramento Acumulado Geral'!Q257</f>
        <v>0</v>
      </c>
      <c r="M257" s="6">
        <f>(SUM(L254:L257))/K256</f>
        <v>9.5706975017998228E-2</v>
      </c>
      <c r="N257" s="35" t="e">
        <f t="shared" si="466"/>
        <v>#DIV/0!</v>
      </c>
      <c r="O257" s="6" t="e">
        <f t="shared" ref="O257:Q257" si="582">O245</f>
        <v>#DIV/0!</v>
      </c>
      <c r="P257" s="6" t="e">
        <f t="shared" si="582"/>
        <v>#DIV/0!</v>
      </c>
      <c r="Q257" s="6" t="e">
        <f t="shared" si="582"/>
        <v>#DIV/0!</v>
      </c>
      <c r="R257" s="69">
        <v>80</v>
      </c>
      <c r="S257" s="69">
        <v>0</v>
      </c>
      <c r="T257" s="6">
        <f t="shared" si="461"/>
        <v>0</v>
      </c>
      <c r="U257" s="35" t="e">
        <f t="shared" si="468"/>
        <v>#DIV/0!</v>
      </c>
      <c r="V257" s="6" t="e">
        <f t="shared" ref="V257:Z257" si="583">V245</f>
        <v>#DIV/0!</v>
      </c>
      <c r="W257" s="6" t="e">
        <f t="shared" si="583"/>
        <v>#DIV/0!</v>
      </c>
      <c r="X257" s="6" t="e">
        <f t="shared" si="583"/>
        <v>#DIV/0!</v>
      </c>
      <c r="Y257" s="6" t="e">
        <f t="shared" si="583"/>
        <v>#DIV/0!</v>
      </c>
      <c r="Z257" s="6" t="e">
        <f t="shared" si="583"/>
        <v>#DIV/0!</v>
      </c>
    </row>
    <row r="258" spans="1:26" x14ac:dyDescent="0.2">
      <c r="A258" s="7" t="s">
        <v>56</v>
      </c>
      <c r="B258" s="6">
        <f t="shared" si="463"/>
        <v>5</v>
      </c>
      <c r="C258" s="7" t="s">
        <v>155</v>
      </c>
      <c r="D258" s="68">
        <v>75</v>
      </c>
      <c r="E258" s="68">
        <v>23</v>
      </c>
      <c r="F258" s="65">
        <f t="shared" si="458"/>
        <v>0.30666666666666664</v>
      </c>
      <c r="G258" s="60" t="e">
        <f t="shared" si="464"/>
        <v>#DIV/0!</v>
      </c>
      <c r="H258" s="65" t="e">
        <f t="shared" ref="H258:J258" si="584">H246</f>
        <v>#DIV/0!</v>
      </c>
      <c r="I258" s="65" t="e">
        <f t="shared" si="584"/>
        <v>#DIV/0!</v>
      </c>
      <c r="J258" s="65" t="e">
        <f t="shared" si="584"/>
        <v>#DIV/0!</v>
      </c>
      <c r="K258" s="69">
        <v>28211.11</v>
      </c>
      <c r="L258" s="69">
        <f>'Monitoramento Acumulado Geral'!Q258</f>
        <v>0</v>
      </c>
      <c r="M258" s="6">
        <f>(SUM(L254:L258))/K257</f>
        <v>9.5706975017998228E-2</v>
      </c>
      <c r="N258" s="35" t="e">
        <f t="shared" si="466"/>
        <v>#DIV/0!</v>
      </c>
      <c r="O258" s="6" t="e">
        <f t="shared" ref="O258:Q258" si="585">O246</f>
        <v>#DIV/0!</v>
      </c>
      <c r="P258" s="6" t="e">
        <f t="shared" si="585"/>
        <v>#DIV/0!</v>
      </c>
      <c r="Q258" s="6" t="e">
        <f t="shared" si="585"/>
        <v>#DIV/0!</v>
      </c>
      <c r="R258" s="69">
        <v>80</v>
      </c>
      <c r="S258" s="69">
        <v>0</v>
      </c>
      <c r="T258" s="6">
        <f t="shared" si="461"/>
        <v>0</v>
      </c>
      <c r="U258" s="35" t="e">
        <f t="shared" si="468"/>
        <v>#DIV/0!</v>
      </c>
      <c r="V258" s="6" t="e">
        <f t="shared" ref="V258:Z258" si="586">V246</f>
        <v>#DIV/0!</v>
      </c>
      <c r="W258" s="6" t="e">
        <f t="shared" si="586"/>
        <v>#DIV/0!</v>
      </c>
      <c r="X258" s="6" t="e">
        <f t="shared" si="586"/>
        <v>#DIV/0!</v>
      </c>
      <c r="Y258" s="6" t="e">
        <f t="shared" si="586"/>
        <v>#DIV/0!</v>
      </c>
      <c r="Z258" s="6" t="e">
        <f t="shared" si="586"/>
        <v>#DIV/0!</v>
      </c>
    </row>
    <row r="259" spans="1:26" x14ac:dyDescent="0.2">
      <c r="A259" s="7" t="s">
        <v>56</v>
      </c>
      <c r="B259" s="6">
        <f t="shared" si="463"/>
        <v>6</v>
      </c>
      <c r="C259" s="7" t="s">
        <v>156</v>
      </c>
      <c r="D259" s="68">
        <v>75</v>
      </c>
      <c r="E259" s="68">
        <v>23</v>
      </c>
      <c r="F259" s="65">
        <f t="shared" si="458"/>
        <v>0.30666666666666664</v>
      </c>
      <c r="G259" s="60" t="e">
        <f t="shared" si="464"/>
        <v>#DIV/0!</v>
      </c>
      <c r="H259" s="65" t="e">
        <f t="shared" ref="H259:J259" si="587">H247</f>
        <v>#DIV/0!</v>
      </c>
      <c r="I259" s="65" t="e">
        <f t="shared" si="587"/>
        <v>#DIV/0!</v>
      </c>
      <c r="J259" s="65" t="e">
        <f t="shared" si="587"/>
        <v>#DIV/0!</v>
      </c>
      <c r="K259" s="69">
        <v>28211.11</v>
      </c>
      <c r="L259" s="69">
        <f>'Monitoramento Acumulado Geral'!Q259</f>
        <v>0</v>
      </c>
      <c r="M259" s="6">
        <f>(SUM(L254:L259))/K258</f>
        <v>9.5706975017998228E-2</v>
      </c>
      <c r="N259" s="35" t="e">
        <f t="shared" si="466"/>
        <v>#DIV/0!</v>
      </c>
      <c r="O259" s="6" t="e">
        <f t="shared" ref="O259:Q259" si="588">O247</f>
        <v>#DIV/0!</v>
      </c>
      <c r="P259" s="6" t="e">
        <f t="shared" si="588"/>
        <v>#DIV/0!</v>
      </c>
      <c r="Q259" s="6" t="e">
        <f t="shared" si="588"/>
        <v>#DIV/0!</v>
      </c>
      <c r="R259" s="69">
        <v>80</v>
      </c>
      <c r="S259" s="69">
        <v>0</v>
      </c>
      <c r="T259" s="6">
        <f t="shared" si="461"/>
        <v>0</v>
      </c>
      <c r="U259" s="35" t="e">
        <f t="shared" si="468"/>
        <v>#DIV/0!</v>
      </c>
      <c r="V259" s="6" t="e">
        <f t="shared" ref="V259:Z259" si="589">V247</f>
        <v>#DIV/0!</v>
      </c>
      <c r="W259" s="6" t="e">
        <f t="shared" si="589"/>
        <v>#DIV/0!</v>
      </c>
      <c r="X259" s="6" t="e">
        <f t="shared" si="589"/>
        <v>#DIV/0!</v>
      </c>
      <c r="Y259" s="6" t="e">
        <f t="shared" si="589"/>
        <v>#DIV/0!</v>
      </c>
      <c r="Z259" s="6" t="e">
        <f t="shared" si="589"/>
        <v>#DIV/0!</v>
      </c>
    </row>
    <row r="260" spans="1:26" x14ac:dyDescent="0.2">
      <c r="A260" s="7" t="s">
        <v>56</v>
      </c>
      <c r="B260" s="6">
        <f t="shared" si="463"/>
        <v>7</v>
      </c>
      <c r="C260" s="7" t="s">
        <v>157</v>
      </c>
      <c r="D260" s="68">
        <v>75</v>
      </c>
      <c r="E260" s="68">
        <v>23</v>
      </c>
      <c r="F260" s="65">
        <f t="shared" si="458"/>
        <v>0.30666666666666664</v>
      </c>
      <c r="G260" s="60" t="e">
        <f t="shared" si="464"/>
        <v>#DIV/0!</v>
      </c>
      <c r="H260" s="65" t="e">
        <f t="shared" ref="H260:J260" si="590">H248</f>
        <v>#DIV/0!</v>
      </c>
      <c r="I260" s="65" t="e">
        <f t="shared" si="590"/>
        <v>#DIV/0!</v>
      </c>
      <c r="J260" s="65" t="e">
        <f t="shared" si="590"/>
        <v>#DIV/0!</v>
      </c>
      <c r="K260" s="69">
        <v>28211.11</v>
      </c>
      <c r="L260" s="69">
        <f>'Monitoramento Acumulado Geral'!Q260</f>
        <v>0</v>
      </c>
      <c r="M260" s="6">
        <f>(SUM(L254:L260))/K259</f>
        <v>9.5706975017998228E-2</v>
      </c>
      <c r="N260" s="35" t="e">
        <f t="shared" si="466"/>
        <v>#DIV/0!</v>
      </c>
      <c r="O260" s="6" t="e">
        <f t="shared" ref="O260:Q260" si="591">O248</f>
        <v>#DIV/0!</v>
      </c>
      <c r="P260" s="6" t="e">
        <f t="shared" si="591"/>
        <v>#DIV/0!</v>
      </c>
      <c r="Q260" s="6" t="e">
        <f t="shared" si="591"/>
        <v>#DIV/0!</v>
      </c>
      <c r="R260" s="69">
        <v>80</v>
      </c>
      <c r="S260" s="69">
        <v>0</v>
      </c>
      <c r="T260" s="6">
        <f t="shared" si="461"/>
        <v>0</v>
      </c>
      <c r="U260" s="35" t="e">
        <f t="shared" si="468"/>
        <v>#DIV/0!</v>
      </c>
      <c r="V260" s="6" t="e">
        <f t="shared" ref="V260:Z260" si="592">V248</f>
        <v>#DIV/0!</v>
      </c>
      <c r="W260" s="6" t="e">
        <f t="shared" si="592"/>
        <v>#DIV/0!</v>
      </c>
      <c r="X260" s="6" t="e">
        <f t="shared" si="592"/>
        <v>#DIV/0!</v>
      </c>
      <c r="Y260" s="6" t="e">
        <f t="shared" si="592"/>
        <v>#DIV/0!</v>
      </c>
      <c r="Z260" s="6" t="e">
        <f t="shared" si="592"/>
        <v>#DIV/0!</v>
      </c>
    </row>
    <row r="261" spans="1:26" x14ac:dyDescent="0.2">
      <c r="A261" s="7" t="s">
        <v>56</v>
      </c>
      <c r="B261" s="6">
        <f t="shared" si="463"/>
        <v>8</v>
      </c>
      <c r="C261" s="7" t="s">
        <v>158</v>
      </c>
      <c r="D261" s="68">
        <v>75</v>
      </c>
      <c r="E261" s="68">
        <v>62</v>
      </c>
      <c r="F261" s="65">
        <f t="shared" si="458"/>
        <v>0.82666666666666666</v>
      </c>
      <c r="G261" s="60" t="e">
        <f t="shared" si="464"/>
        <v>#DIV/0!</v>
      </c>
      <c r="H261" s="65" t="e">
        <f t="shared" ref="H261:J261" si="593">H249</f>
        <v>#DIV/0!</v>
      </c>
      <c r="I261" s="65" t="e">
        <f t="shared" si="593"/>
        <v>#DIV/0!</v>
      </c>
      <c r="J261" s="65" t="e">
        <f t="shared" si="593"/>
        <v>#DIV/0!</v>
      </c>
      <c r="K261" s="69">
        <v>28211.11</v>
      </c>
      <c r="L261" s="69">
        <f>'Monitoramento Acumulado Geral'!Q261</f>
        <v>4782.63</v>
      </c>
      <c r="M261" s="6">
        <f>(SUM(L254:L261))/K260</f>
        <v>0.26523699351071262</v>
      </c>
      <c r="N261" s="35" t="e">
        <f t="shared" si="466"/>
        <v>#DIV/0!</v>
      </c>
      <c r="O261" s="6" t="e">
        <f t="shared" ref="O261:Q261" si="594">O249</f>
        <v>#DIV/0!</v>
      </c>
      <c r="P261" s="6" t="e">
        <f t="shared" si="594"/>
        <v>#DIV/0!</v>
      </c>
      <c r="Q261" s="6" t="e">
        <f t="shared" si="594"/>
        <v>#DIV/0!</v>
      </c>
      <c r="R261" s="69">
        <v>80</v>
      </c>
      <c r="S261" s="69">
        <v>0</v>
      </c>
      <c r="T261" s="6">
        <f t="shared" si="461"/>
        <v>0</v>
      </c>
      <c r="U261" s="35" t="e">
        <f t="shared" si="468"/>
        <v>#DIV/0!</v>
      </c>
      <c r="V261" s="6" t="e">
        <f t="shared" ref="V261:Z261" si="595">V249</f>
        <v>#DIV/0!</v>
      </c>
      <c r="W261" s="6" t="e">
        <f t="shared" si="595"/>
        <v>#DIV/0!</v>
      </c>
      <c r="X261" s="6" t="e">
        <f t="shared" si="595"/>
        <v>#DIV/0!</v>
      </c>
      <c r="Y261" s="6" t="e">
        <f t="shared" si="595"/>
        <v>#DIV/0!</v>
      </c>
      <c r="Z261" s="6" t="e">
        <f t="shared" si="595"/>
        <v>#DIV/0!</v>
      </c>
    </row>
    <row r="262" spans="1:26" x14ac:dyDescent="0.2">
      <c r="A262" s="7" t="s">
        <v>56</v>
      </c>
      <c r="B262" s="6">
        <f t="shared" si="463"/>
        <v>9</v>
      </c>
      <c r="C262" s="7" t="s">
        <v>159</v>
      </c>
      <c r="D262" s="68">
        <v>75</v>
      </c>
      <c r="E262" s="68">
        <v>69</v>
      </c>
      <c r="F262" s="65">
        <f t="shared" si="458"/>
        <v>0.92</v>
      </c>
      <c r="G262" s="60" t="e">
        <f t="shared" si="464"/>
        <v>#DIV/0!</v>
      </c>
      <c r="H262" s="65" t="e">
        <f t="shared" ref="H262:J262" si="596">H250</f>
        <v>#DIV/0!</v>
      </c>
      <c r="I262" s="65" t="e">
        <f t="shared" si="596"/>
        <v>#DIV/0!</v>
      </c>
      <c r="J262" s="65" t="e">
        <f t="shared" si="596"/>
        <v>#DIV/0!</v>
      </c>
      <c r="K262" s="69">
        <v>28211.11</v>
      </c>
      <c r="L262" s="69">
        <f>'Monitoramento Acumulado Geral'!Q262</f>
        <v>10338</v>
      </c>
      <c r="M262" s="6">
        <f>(SUM(L254:L262))/K261</f>
        <v>0.63168836674629258</v>
      </c>
      <c r="N262" s="35" t="e">
        <f t="shared" si="466"/>
        <v>#DIV/0!</v>
      </c>
      <c r="O262" s="6" t="e">
        <f t="shared" ref="O262:Q262" si="597">O250</f>
        <v>#DIV/0!</v>
      </c>
      <c r="P262" s="6" t="e">
        <f t="shared" si="597"/>
        <v>#DIV/0!</v>
      </c>
      <c r="Q262" s="6" t="e">
        <f t="shared" si="597"/>
        <v>#DIV/0!</v>
      </c>
      <c r="R262" s="69">
        <v>80</v>
      </c>
      <c r="S262" s="69">
        <v>0</v>
      </c>
      <c r="T262" s="6">
        <f t="shared" si="461"/>
        <v>0</v>
      </c>
      <c r="U262" s="35" t="e">
        <f t="shared" si="468"/>
        <v>#DIV/0!</v>
      </c>
      <c r="V262" s="6" t="e">
        <f t="shared" ref="V262:Z262" si="598">V250</f>
        <v>#DIV/0!</v>
      </c>
      <c r="W262" s="6" t="e">
        <f t="shared" si="598"/>
        <v>#DIV/0!</v>
      </c>
      <c r="X262" s="6" t="e">
        <f t="shared" si="598"/>
        <v>#DIV/0!</v>
      </c>
      <c r="Y262" s="6" t="e">
        <f t="shared" si="598"/>
        <v>#DIV/0!</v>
      </c>
      <c r="Z262" s="6" t="e">
        <f t="shared" si="598"/>
        <v>#DIV/0!</v>
      </c>
    </row>
    <row r="263" spans="1:26" x14ac:dyDescent="0.2">
      <c r="A263" s="7" t="s">
        <v>56</v>
      </c>
      <c r="B263" s="6">
        <f t="shared" si="463"/>
        <v>10</v>
      </c>
      <c r="C263" s="7" t="s">
        <v>160</v>
      </c>
      <c r="D263" s="68">
        <v>75</v>
      </c>
      <c r="E263" s="68">
        <v>69</v>
      </c>
      <c r="F263" s="65">
        <f t="shared" si="458"/>
        <v>0.92</v>
      </c>
      <c r="G263" s="60" t="e">
        <f t="shared" si="464"/>
        <v>#DIV/0!</v>
      </c>
      <c r="H263" s="65" t="e">
        <f t="shared" ref="H263:J263" si="599">H251</f>
        <v>#DIV/0!</v>
      </c>
      <c r="I263" s="65" t="e">
        <f t="shared" si="599"/>
        <v>#DIV/0!</v>
      </c>
      <c r="J263" s="65" t="e">
        <f t="shared" si="599"/>
        <v>#DIV/0!</v>
      </c>
      <c r="K263" s="69">
        <v>28211.11</v>
      </c>
      <c r="L263" s="69">
        <f>'Monitoramento Acumulado Geral'!Q263</f>
        <v>0</v>
      </c>
      <c r="M263" s="6">
        <f>(SUM(L254:L263))/K262</f>
        <v>0.63168836674629258</v>
      </c>
      <c r="N263" s="35" t="e">
        <f t="shared" si="466"/>
        <v>#DIV/0!</v>
      </c>
      <c r="O263" s="6" t="e">
        <f t="shared" ref="O263:Q263" si="600">O251</f>
        <v>#DIV/0!</v>
      </c>
      <c r="P263" s="6" t="e">
        <f t="shared" si="600"/>
        <v>#DIV/0!</v>
      </c>
      <c r="Q263" s="6" t="e">
        <f t="shared" si="600"/>
        <v>#DIV/0!</v>
      </c>
      <c r="R263" s="69">
        <v>80</v>
      </c>
      <c r="S263" s="69">
        <v>0</v>
      </c>
      <c r="T263" s="6">
        <f t="shared" si="461"/>
        <v>0</v>
      </c>
      <c r="U263" s="35" t="e">
        <f t="shared" si="468"/>
        <v>#DIV/0!</v>
      </c>
      <c r="V263" s="6" t="e">
        <f t="shared" ref="V263:Z263" si="601">V251</f>
        <v>#DIV/0!</v>
      </c>
      <c r="W263" s="6" t="e">
        <f t="shared" si="601"/>
        <v>#DIV/0!</v>
      </c>
      <c r="X263" s="6" t="e">
        <f t="shared" si="601"/>
        <v>#DIV/0!</v>
      </c>
      <c r="Y263" s="6" t="e">
        <f t="shared" si="601"/>
        <v>#DIV/0!</v>
      </c>
      <c r="Z263" s="6" t="e">
        <f t="shared" si="601"/>
        <v>#DIV/0!</v>
      </c>
    </row>
    <row r="264" spans="1:26" x14ac:dyDescent="0.2">
      <c r="A264" s="7" t="s">
        <v>56</v>
      </c>
      <c r="B264" s="6">
        <f t="shared" si="463"/>
        <v>11</v>
      </c>
      <c r="C264" s="7" t="s">
        <v>161</v>
      </c>
      <c r="D264" s="68">
        <v>75</v>
      </c>
      <c r="E264" s="68">
        <v>0</v>
      </c>
      <c r="F264" s="65">
        <f t="shared" si="458"/>
        <v>0</v>
      </c>
      <c r="G264" s="60" t="e">
        <f t="shared" si="464"/>
        <v>#DIV/0!</v>
      </c>
      <c r="H264" s="65" t="e">
        <f t="shared" ref="H264:J264" si="602">H252</f>
        <v>#DIV/0!</v>
      </c>
      <c r="I264" s="65" t="e">
        <f t="shared" si="602"/>
        <v>#DIV/0!</v>
      </c>
      <c r="J264" s="65" t="e">
        <f t="shared" si="602"/>
        <v>#DIV/0!</v>
      </c>
      <c r="K264" s="69">
        <v>28211.11</v>
      </c>
      <c r="L264" s="69">
        <f>'Monitoramento Acumulado Geral'!Q264</f>
        <v>0</v>
      </c>
      <c r="M264" s="6">
        <f>(SUM(L254:L264))/K263</f>
        <v>0.63168836674629258</v>
      </c>
      <c r="N264" s="35" t="e">
        <f t="shared" si="466"/>
        <v>#DIV/0!</v>
      </c>
      <c r="O264" s="6" t="e">
        <f t="shared" ref="O264:Q264" si="603">O252</f>
        <v>#DIV/0!</v>
      </c>
      <c r="P264" s="6" t="e">
        <f t="shared" si="603"/>
        <v>#DIV/0!</v>
      </c>
      <c r="Q264" s="6" t="e">
        <f t="shared" si="603"/>
        <v>#DIV/0!</v>
      </c>
      <c r="R264" s="69">
        <v>80</v>
      </c>
      <c r="S264" s="69">
        <v>0</v>
      </c>
      <c r="T264" s="6">
        <f t="shared" si="461"/>
        <v>0</v>
      </c>
      <c r="U264" s="35" t="e">
        <f t="shared" si="468"/>
        <v>#DIV/0!</v>
      </c>
      <c r="V264" s="6" t="e">
        <f t="shared" ref="V264:Z264" si="604">V252</f>
        <v>#DIV/0!</v>
      </c>
      <c r="W264" s="6" t="e">
        <f t="shared" si="604"/>
        <v>#DIV/0!</v>
      </c>
      <c r="X264" s="6" t="e">
        <f t="shared" si="604"/>
        <v>#DIV/0!</v>
      </c>
      <c r="Y264" s="6" t="e">
        <f t="shared" si="604"/>
        <v>#DIV/0!</v>
      </c>
      <c r="Z264" s="6" t="e">
        <f t="shared" si="604"/>
        <v>#DIV/0!</v>
      </c>
    </row>
    <row r="265" spans="1:26" x14ac:dyDescent="0.2">
      <c r="A265" s="7" t="s">
        <v>56</v>
      </c>
      <c r="B265" s="6">
        <f t="shared" si="463"/>
        <v>12</v>
      </c>
      <c r="C265" s="7" t="s">
        <v>162</v>
      </c>
      <c r="D265" s="68">
        <v>75</v>
      </c>
      <c r="E265" s="68">
        <v>0</v>
      </c>
      <c r="F265" s="65">
        <f t="shared" si="458"/>
        <v>0</v>
      </c>
      <c r="G265" s="60" t="e">
        <f t="shared" si="464"/>
        <v>#DIV/0!</v>
      </c>
      <c r="H265" s="65" t="e">
        <f t="shared" ref="H265:J265" si="605">H253</f>
        <v>#DIV/0!</v>
      </c>
      <c r="I265" s="65" t="e">
        <f t="shared" si="605"/>
        <v>#DIV/0!</v>
      </c>
      <c r="J265" s="65" t="e">
        <f t="shared" si="605"/>
        <v>#DIV/0!</v>
      </c>
      <c r="K265" s="69">
        <v>28211.11</v>
      </c>
      <c r="L265" s="69">
        <f>'Monitoramento Acumulado Geral'!Q265</f>
        <v>0</v>
      </c>
      <c r="M265" s="6">
        <f>(SUM(L254:L265))/K264</f>
        <v>0.63168836674629258</v>
      </c>
      <c r="N265" s="35" t="e">
        <f t="shared" si="466"/>
        <v>#DIV/0!</v>
      </c>
      <c r="O265" s="6" t="e">
        <f t="shared" ref="O265:Q265" si="606">O253</f>
        <v>#DIV/0!</v>
      </c>
      <c r="P265" s="6" t="e">
        <f t="shared" si="606"/>
        <v>#DIV/0!</v>
      </c>
      <c r="Q265" s="6" t="e">
        <f t="shared" si="606"/>
        <v>#DIV/0!</v>
      </c>
      <c r="R265" s="69">
        <v>80</v>
      </c>
      <c r="S265" s="69">
        <v>0</v>
      </c>
      <c r="T265" s="6">
        <f t="shared" si="461"/>
        <v>0</v>
      </c>
      <c r="U265" s="35" t="e">
        <f t="shared" si="468"/>
        <v>#DIV/0!</v>
      </c>
      <c r="V265" s="6" t="e">
        <f t="shared" ref="V265:Z265" si="607">V253</f>
        <v>#DIV/0!</v>
      </c>
      <c r="W265" s="6" t="e">
        <f t="shared" si="607"/>
        <v>#DIV/0!</v>
      </c>
      <c r="X265" s="6" t="e">
        <f t="shared" si="607"/>
        <v>#DIV/0!</v>
      </c>
      <c r="Y265" s="6" t="e">
        <f t="shared" si="607"/>
        <v>#DIV/0!</v>
      </c>
      <c r="Z265" s="6" t="e">
        <f t="shared" si="607"/>
        <v>#DIV/0!</v>
      </c>
    </row>
    <row r="266" spans="1:26" x14ac:dyDescent="0.2">
      <c r="A266" t="s">
        <v>299</v>
      </c>
      <c r="B266" s="6">
        <f t="shared" ref="B266:B277" si="608">_xlfn.IFS(C266="Janeiro",1,C266="Fevereiro",2,C266="Março",3,C266="Abril",4,C266="Maio",5,C266="Junho",6,C266="Julho",7,C266="Agosto",8,C266="Setembro",9,C266="Outubro",10,C266="Novembro",11,C266="Dezembro",12,TRUE,0)</f>
        <v>1</v>
      </c>
      <c r="C266" s="7" t="s">
        <v>151</v>
      </c>
      <c r="D266" s="68">
        <v>0</v>
      </c>
      <c r="E266" s="68">
        <v>0</v>
      </c>
      <c r="F266" s="65" t="e">
        <f t="shared" si="458"/>
        <v>#DIV/0!</v>
      </c>
      <c r="G266" s="60" t="e">
        <f t="shared" ref="G266:G277" si="609">IF(F266&gt;=I266,"Desempenho Ótimo",(IF(F266&gt;H266,"Desempenho Bom",(IF(F266&gt;J266,"Desempenho Médio",IF(F266&lt;=J266,"Desempenho Deficitário",0))))))</f>
        <v>#DIV/0!</v>
      </c>
      <c r="H266" s="65" t="e">
        <f t="shared" ref="H266:J266" si="610">H254</f>
        <v>#DIV/0!</v>
      </c>
      <c r="I266" s="65" t="e">
        <f t="shared" si="610"/>
        <v>#DIV/0!</v>
      </c>
      <c r="J266" s="65" t="e">
        <f t="shared" si="610"/>
        <v>#DIV/0!</v>
      </c>
      <c r="K266" s="69">
        <v>0</v>
      </c>
      <c r="L266" s="69">
        <f>'Monitoramento Acumulado Geral'!Q266</f>
        <v>0</v>
      </c>
      <c r="M266" s="6">
        <f>(SUM(L262:L266))/K265</f>
        <v>0.36645137323557986</v>
      </c>
      <c r="N266" s="35" t="e">
        <f t="shared" ref="N266:N277" si="611">IF(M266&gt;=P266,"Desempenho Ótimo",(IF(M266&gt;O266,"Desempenho Bom",(IF(M266&gt;Q266,"Desempenho Médio",IF(M266&lt;=Q266,"Desempenho Deficitário",0))))))</f>
        <v>#DIV/0!</v>
      </c>
      <c r="O266" s="6" t="e">
        <f t="shared" ref="O266:Q266" si="612">O254</f>
        <v>#DIV/0!</v>
      </c>
      <c r="P266" s="6" t="e">
        <f t="shared" si="612"/>
        <v>#DIV/0!</v>
      </c>
      <c r="Q266" s="6" t="e">
        <f t="shared" si="612"/>
        <v>#DIV/0!</v>
      </c>
      <c r="R266" s="69">
        <v>0</v>
      </c>
      <c r="S266" s="69">
        <v>0</v>
      </c>
      <c r="T266" s="6" t="e">
        <f t="shared" ref="T266:T277" si="613">S266/R266</f>
        <v>#DIV/0!</v>
      </c>
      <c r="U266" s="35" t="e">
        <f t="shared" ref="U266:U277" si="614">IF(T266&gt;=W266,"Desempenho Ótimo",(IF(T266&gt;V266,"Desempenho Bom",(IF(T266&gt;X266,"Desempenho Médio",IF(T266&lt;=X266,"Desempenho Deficitário",0))))))</f>
        <v>#DIV/0!</v>
      </c>
      <c r="V266" s="6" t="e">
        <f t="shared" ref="V266:Z266" si="615">V254</f>
        <v>#DIV/0!</v>
      </c>
      <c r="W266" s="6" t="e">
        <f t="shared" si="615"/>
        <v>#DIV/0!</v>
      </c>
      <c r="X266" s="6" t="e">
        <f t="shared" si="615"/>
        <v>#DIV/0!</v>
      </c>
      <c r="Y266" s="6" t="e">
        <f t="shared" si="615"/>
        <v>#DIV/0!</v>
      </c>
      <c r="Z266" s="6" t="e">
        <f t="shared" si="615"/>
        <v>#DIV/0!</v>
      </c>
    </row>
    <row r="267" spans="1:26" x14ac:dyDescent="0.2">
      <c r="A267" t="s">
        <v>299</v>
      </c>
      <c r="B267" s="6">
        <f t="shared" si="608"/>
        <v>2</v>
      </c>
      <c r="C267" s="7" t="s">
        <v>152</v>
      </c>
      <c r="D267" s="68">
        <v>0</v>
      </c>
      <c r="E267" s="68">
        <v>0</v>
      </c>
      <c r="F267" s="65" t="e">
        <f t="shared" si="458"/>
        <v>#DIV/0!</v>
      </c>
      <c r="G267" s="60" t="e">
        <f t="shared" si="609"/>
        <v>#DIV/0!</v>
      </c>
      <c r="H267" s="65" t="e">
        <f t="shared" ref="H267:J267" si="616">H255</f>
        <v>#DIV/0!</v>
      </c>
      <c r="I267" s="65" t="e">
        <f t="shared" si="616"/>
        <v>#DIV/0!</v>
      </c>
      <c r="J267" s="65" t="e">
        <f t="shared" si="616"/>
        <v>#DIV/0!</v>
      </c>
      <c r="K267" s="69">
        <v>0</v>
      </c>
      <c r="L267" s="69">
        <f>'Monitoramento Acumulado Geral'!Q267</f>
        <v>0</v>
      </c>
      <c r="M267" s="6" t="e">
        <f>(SUM(L262:L267))/K266</f>
        <v>#DIV/0!</v>
      </c>
      <c r="N267" s="35" t="e">
        <f t="shared" si="611"/>
        <v>#DIV/0!</v>
      </c>
      <c r="O267" s="6" t="e">
        <f t="shared" ref="O267:Q267" si="617">O255</f>
        <v>#DIV/0!</v>
      </c>
      <c r="P267" s="6" t="e">
        <f t="shared" si="617"/>
        <v>#DIV/0!</v>
      </c>
      <c r="Q267" s="6" t="e">
        <f t="shared" si="617"/>
        <v>#DIV/0!</v>
      </c>
      <c r="R267" s="69">
        <v>0</v>
      </c>
      <c r="S267" s="69">
        <v>0</v>
      </c>
      <c r="T267" s="6" t="e">
        <f t="shared" si="613"/>
        <v>#DIV/0!</v>
      </c>
      <c r="U267" s="35" t="e">
        <f t="shared" si="614"/>
        <v>#DIV/0!</v>
      </c>
      <c r="V267" s="6" t="e">
        <f t="shared" ref="V267:Z267" si="618">V255</f>
        <v>#DIV/0!</v>
      </c>
      <c r="W267" s="6" t="e">
        <f t="shared" si="618"/>
        <v>#DIV/0!</v>
      </c>
      <c r="X267" s="6" t="e">
        <f t="shared" si="618"/>
        <v>#DIV/0!</v>
      </c>
      <c r="Y267" s="6" t="e">
        <f t="shared" si="618"/>
        <v>#DIV/0!</v>
      </c>
      <c r="Z267" s="6" t="e">
        <f t="shared" si="618"/>
        <v>#DIV/0!</v>
      </c>
    </row>
    <row r="268" spans="1:26" x14ac:dyDescent="0.2">
      <c r="A268" t="s">
        <v>299</v>
      </c>
      <c r="B268" s="6">
        <f t="shared" si="608"/>
        <v>3</v>
      </c>
      <c r="C268" s="7" t="s">
        <v>153</v>
      </c>
      <c r="D268" s="68">
        <v>0</v>
      </c>
      <c r="E268" s="68">
        <v>100</v>
      </c>
      <c r="F268" s="65" t="e">
        <f t="shared" si="458"/>
        <v>#DIV/0!</v>
      </c>
      <c r="G268" s="60" t="e">
        <f t="shared" si="609"/>
        <v>#DIV/0!</v>
      </c>
      <c r="H268" s="65" t="e">
        <f t="shared" ref="H268:J268" si="619">H256</f>
        <v>#DIV/0!</v>
      </c>
      <c r="I268" s="65" t="e">
        <f t="shared" si="619"/>
        <v>#DIV/0!</v>
      </c>
      <c r="J268" s="65" t="e">
        <f t="shared" si="619"/>
        <v>#DIV/0!</v>
      </c>
      <c r="K268" s="69">
        <v>0</v>
      </c>
      <c r="L268" s="69">
        <f>'Monitoramento Acumulado Geral'!Q268</f>
        <v>0</v>
      </c>
      <c r="M268" s="6" t="e">
        <f>(SUM(L262:L268))/K267</f>
        <v>#DIV/0!</v>
      </c>
      <c r="N268" s="35" t="e">
        <f t="shared" si="611"/>
        <v>#DIV/0!</v>
      </c>
      <c r="O268" s="6" t="e">
        <f t="shared" ref="O268:Q268" si="620">O256</f>
        <v>#DIV/0!</v>
      </c>
      <c r="P268" s="6" t="e">
        <f t="shared" si="620"/>
        <v>#DIV/0!</v>
      </c>
      <c r="Q268" s="6" t="e">
        <f t="shared" si="620"/>
        <v>#DIV/0!</v>
      </c>
      <c r="R268" s="69">
        <v>0</v>
      </c>
      <c r="S268" s="69">
        <v>0</v>
      </c>
      <c r="T268" s="6" t="e">
        <f t="shared" si="613"/>
        <v>#DIV/0!</v>
      </c>
      <c r="U268" s="35" t="e">
        <f t="shared" si="614"/>
        <v>#DIV/0!</v>
      </c>
      <c r="V268" s="6" t="e">
        <f t="shared" ref="V268:Z268" si="621">V256</f>
        <v>#DIV/0!</v>
      </c>
      <c r="W268" s="6" t="e">
        <f t="shared" si="621"/>
        <v>#DIV/0!</v>
      </c>
      <c r="X268" s="6" t="e">
        <f t="shared" si="621"/>
        <v>#DIV/0!</v>
      </c>
      <c r="Y268" s="6" t="e">
        <f t="shared" si="621"/>
        <v>#DIV/0!</v>
      </c>
      <c r="Z268" s="6" t="e">
        <f t="shared" si="621"/>
        <v>#DIV/0!</v>
      </c>
    </row>
    <row r="269" spans="1:26" x14ac:dyDescent="0.2">
      <c r="A269" t="s">
        <v>299</v>
      </c>
      <c r="B269" s="6">
        <f t="shared" si="608"/>
        <v>4</v>
      </c>
      <c r="C269" s="7" t="s">
        <v>154</v>
      </c>
      <c r="D269" s="68">
        <v>0</v>
      </c>
      <c r="E269" s="68">
        <v>100</v>
      </c>
      <c r="F269" s="65" t="e">
        <f t="shared" si="458"/>
        <v>#DIV/0!</v>
      </c>
      <c r="G269" s="60" t="e">
        <f t="shared" si="609"/>
        <v>#DIV/0!</v>
      </c>
      <c r="H269" s="65" t="e">
        <f t="shared" ref="H269:J269" si="622">H257</f>
        <v>#DIV/0!</v>
      </c>
      <c r="I269" s="65" t="e">
        <f t="shared" si="622"/>
        <v>#DIV/0!</v>
      </c>
      <c r="J269" s="65" t="e">
        <f t="shared" si="622"/>
        <v>#DIV/0!</v>
      </c>
      <c r="K269" s="69">
        <v>0</v>
      </c>
      <c r="L269" s="69">
        <f>'Monitoramento Acumulado Geral'!Q269</f>
        <v>0</v>
      </c>
      <c r="M269" s="6" t="e">
        <f>(SUM(L262:L269))/K268</f>
        <v>#DIV/0!</v>
      </c>
      <c r="N269" s="35" t="e">
        <f t="shared" si="611"/>
        <v>#DIV/0!</v>
      </c>
      <c r="O269" s="6" t="e">
        <f t="shared" ref="O269:Q269" si="623">O257</f>
        <v>#DIV/0!</v>
      </c>
      <c r="P269" s="6" t="e">
        <f t="shared" si="623"/>
        <v>#DIV/0!</v>
      </c>
      <c r="Q269" s="6" t="e">
        <f t="shared" si="623"/>
        <v>#DIV/0!</v>
      </c>
      <c r="R269" s="69">
        <v>0</v>
      </c>
      <c r="S269" s="69">
        <v>0</v>
      </c>
      <c r="T269" s="6" t="e">
        <f t="shared" si="613"/>
        <v>#DIV/0!</v>
      </c>
      <c r="U269" s="35" t="e">
        <f t="shared" si="614"/>
        <v>#DIV/0!</v>
      </c>
      <c r="V269" s="6" t="e">
        <f t="shared" ref="V269:Z269" si="624">V257</f>
        <v>#DIV/0!</v>
      </c>
      <c r="W269" s="6" t="e">
        <f t="shared" si="624"/>
        <v>#DIV/0!</v>
      </c>
      <c r="X269" s="6" t="e">
        <f t="shared" si="624"/>
        <v>#DIV/0!</v>
      </c>
      <c r="Y269" s="6" t="e">
        <f t="shared" si="624"/>
        <v>#DIV/0!</v>
      </c>
      <c r="Z269" s="6" t="e">
        <f t="shared" si="624"/>
        <v>#DIV/0!</v>
      </c>
    </row>
    <row r="270" spans="1:26" x14ac:dyDescent="0.2">
      <c r="A270" t="s">
        <v>299</v>
      </c>
      <c r="B270" s="6">
        <f t="shared" si="608"/>
        <v>5</v>
      </c>
      <c r="C270" s="7" t="s">
        <v>155</v>
      </c>
      <c r="D270" s="68">
        <v>0</v>
      </c>
      <c r="E270" s="68">
        <v>100</v>
      </c>
      <c r="F270" s="65" t="e">
        <f t="shared" si="458"/>
        <v>#DIV/0!</v>
      </c>
      <c r="G270" s="60" t="e">
        <f t="shared" si="609"/>
        <v>#DIV/0!</v>
      </c>
      <c r="H270" s="65" t="e">
        <f t="shared" ref="H270:J270" si="625">H258</f>
        <v>#DIV/0!</v>
      </c>
      <c r="I270" s="65" t="e">
        <f t="shared" si="625"/>
        <v>#DIV/0!</v>
      </c>
      <c r="J270" s="65" t="e">
        <f t="shared" si="625"/>
        <v>#DIV/0!</v>
      </c>
      <c r="K270" s="69">
        <v>0</v>
      </c>
      <c r="L270" s="69">
        <f>'Monitoramento Acumulado Geral'!Q270</f>
        <v>0</v>
      </c>
      <c r="M270" s="6" t="e">
        <f>(SUM(L262:L270))/K269</f>
        <v>#DIV/0!</v>
      </c>
      <c r="N270" s="35" t="e">
        <f t="shared" si="611"/>
        <v>#DIV/0!</v>
      </c>
      <c r="O270" s="6" t="e">
        <f t="shared" ref="O270:Q270" si="626">O258</f>
        <v>#DIV/0!</v>
      </c>
      <c r="P270" s="6" t="e">
        <f t="shared" si="626"/>
        <v>#DIV/0!</v>
      </c>
      <c r="Q270" s="6" t="e">
        <f t="shared" si="626"/>
        <v>#DIV/0!</v>
      </c>
      <c r="R270" s="69">
        <v>0</v>
      </c>
      <c r="S270" s="69">
        <v>0</v>
      </c>
      <c r="T270" s="6" t="e">
        <f t="shared" si="613"/>
        <v>#DIV/0!</v>
      </c>
      <c r="U270" s="35" t="e">
        <f t="shared" si="614"/>
        <v>#DIV/0!</v>
      </c>
      <c r="V270" s="6" t="e">
        <f t="shared" ref="V270:Z270" si="627">V258</f>
        <v>#DIV/0!</v>
      </c>
      <c r="W270" s="6" t="e">
        <f t="shared" si="627"/>
        <v>#DIV/0!</v>
      </c>
      <c r="X270" s="6" t="e">
        <f t="shared" si="627"/>
        <v>#DIV/0!</v>
      </c>
      <c r="Y270" s="6" t="e">
        <f t="shared" si="627"/>
        <v>#DIV/0!</v>
      </c>
      <c r="Z270" s="6" t="e">
        <f t="shared" si="627"/>
        <v>#DIV/0!</v>
      </c>
    </row>
    <row r="271" spans="1:26" x14ac:dyDescent="0.2">
      <c r="A271" t="s">
        <v>299</v>
      </c>
      <c r="B271" s="6">
        <f t="shared" si="608"/>
        <v>6</v>
      </c>
      <c r="C271" s="7" t="s">
        <v>156</v>
      </c>
      <c r="D271" s="68">
        <v>0</v>
      </c>
      <c r="E271" s="68">
        <v>100</v>
      </c>
      <c r="F271" s="65" t="e">
        <f t="shared" si="458"/>
        <v>#DIV/0!</v>
      </c>
      <c r="G271" s="60" t="e">
        <f t="shared" si="609"/>
        <v>#DIV/0!</v>
      </c>
      <c r="H271" s="65" t="e">
        <f t="shared" ref="H271:J271" si="628">H259</f>
        <v>#DIV/0!</v>
      </c>
      <c r="I271" s="65" t="e">
        <f t="shared" si="628"/>
        <v>#DIV/0!</v>
      </c>
      <c r="J271" s="65" t="e">
        <f t="shared" si="628"/>
        <v>#DIV/0!</v>
      </c>
      <c r="K271" s="69">
        <v>0</v>
      </c>
      <c r="L271" s="69">
        <f>'Monitoramento Acumulado Geral'!Q271</f>
        <v>0</v>
      </c>
      <c r="M271" s="6" t="e">
        <f>(SUM(L262:L271))/K270</f>
        <v>#DIV/0!</v>
      </c>
      <c r="N271" s="35" t="e">
        <f t="shared" si="611"/>
        <v>#DIV/0!</v>
      </c>
      <c r="O271" s="6" t="e">
        <f t="shared" ref="O271:Q271" si="629">O259</f>
        <v>#DIV/0!</v>
      </c>
      <c r="P271" s="6" t="e">
        <f t="shared" si="629"/>
        <v>#DIV/0!</v>
      </c>
      <c r="Q271" s="6" t="e">
        <f t="shared" si="629"/>
        <v>#DIV/0!</v>
      </c>
      <c r="R271" s="69">
        <v>0</v>
      </c>
      <c r="S271" s="69">
        <v>0</v>
      </c>
      <c r="T271" s="6" t="e">
        <f t="shared" si="613"/>
        <v>#DIV/0!</v>
      </c>
      <c r="U271" s="35" t="e">
        <f t="shared" si="614"/>
        <v>#DIV/0!</v>
      </c>
      <c r="V271" s="6" t="e">
        <f t="shared" ref="V271:Z271" si="630">V259</f>
        <v>#DIV/0!</v>
      </c>
      <c r="W271" s="6" t="e">
        <f t="shared" si="630"/>
        <v>#DIV/0!</v>
      </c>
      <c r="X271" s="6" t="e">
        <f t="shared" si="630"/>
        <v>#DIV/0!</v>
      </c>
      <c r="Y271" s="6" t="e">
        <f t="shared" si="630"/>
        <v>#DIV/0!</v>
      </c>
      <c r="Z271" s="6" t="e">
        <f t="shared" si="630"/>
        <v>#DIV/0!</v>
      </c>
    </row>
    <row r="272" spans="1:26" x14ac:dyDescent="0.2">
      <c r="A272" t="s">
        <v>299</v>
      </c>
      <c r="B272" s="6">
        <f t="shared" si="608"/>
        <v>7</v>
      </c>
      <c r="C272" s="7" t="s">
        <v>157</v>
      </c>
      <c r="D272" s="68">
        <v>0</v>
      </c>
      <c r="E272" s="68">
        <v>100</v>
      </c>
      <c r="F272" s="65" t="e">
        <f t="shared" si="458"/>
        <v>#DIV/0!</v>
      </c>
      <c r="G272" s="60" t="e">
        <f t="shared" si="609"/>
        <v>#DIV/0!</v>
      </c>
      <c r="H272" s="65" t="e">
        <f t="shared" ref="H272:J272" si="631">H260</f>
        <v>#DIV/0!</v>
      </c>
      <c r="I272" s="65" t="e">
        <f t="shared" si="631"/>
        <v>#DIV/0!</v>
      </c>
      <c r="J272" s="65" t="e">
        <f t="shared" si="631"/>
        <v>#DIV/0!</v>
      </c>
      <c r="K272" s="69">
        <v>0</v>
      </c>
      <c r="L272" s="69">
        <f>'Monitoramento Acumulado Geral'!Q272</f>
        <v>262</v>
      </c>
      <c r="M272" s="6" t="e">
        <f>(SUM(L262:L272))/K271</f>
        <v>#DIV/0!</v>
      </c>
      <c r="N272" s="35" t="e">
        <f t="shared" si="611"/>
        <v>#DIV/0!</v>
      </c>
      <c r="O272" s="6" t="e">
        <f t="shared" ref="O272:Q272" si="632">O260</f>
        <v>#DIV/0!</v>
      </c>
      <c r="P272" s="6" t="e">
        <f t="shared" si="632"/>
        <v>#DIV/0!</v>
      </c>
      <c r="Q272" s="6" t="e">
        <f t="shared" si="632"/>
        <v>#DIV/0!</v>
      </c>
      <c r="R272" s="69">
        <v>0</v>
      </c>
      <c r="S272" s="69">
        <v>0</v>
      </c>
      <c r="T272" s="6" t="e">
        <f t="shared" si="613"/>
        <v>#DIV/0!</v>
      </c>
      <c r="U272" s="35" t="e">
        <f t="shared" si="614"/>
        <v>#DIV/0!</v>
      </c>
      <c r="V272" s="6" t="e">
        <f t="shared" ref="V272:Z272" si="633">V260</f>
        <v>#DIV/0!</v>
      </c>
      <c r="W272" s="6" t="e">
        <f t="shared" si="633"/>
        <v>#DIV/0!</v>
      </c>
      <c r="X272" s="6" t="e">
        <f t="shared" si="633"/>
        <v>#DIV/0!</v>
      </c>
      <c r="Y272" s="6" t="e">
        <f t="shared" si="633"/>
        <v>#DIV/0!</v>
      </c>
      <c r="Z272" s="6" t="e">
        <f t="shared" si="633"/>
        <v>#DIV/0!</v>
      </c>
    </row>
    <row r="273" spans="1:26" x14ac:dyDescent="0.2">
      <c r="A273" t="s">
        <v>299</v>
      </c>
      <c r="B273" s="6">
        <f t="shared" si="608"/>
        <v>8</v>
      </c>
      <c r="C273" s="7" t="s">
        <v>158</v>
      </c>
      <c r="D273" s="68">
        <v>0</v>
      </c>
      <c r="E273" s="68">
        <v>100</v>
      </c>
      <c r="F273" s="65" t="e">
        <f t="shared" si="458"/>
        <v>#DIV/0!</v>
      </c>
      <c r="G273" s="60" t="e">
        <f t="shared" si="609"/>
        <v>#DIV/0!</v>
      </c>
      <c r="H273" s="65" t="e">
        <f t="shared" ref="H273:J273" si="634">H261</f>
        <v>#DIV/0!</v>
      </c>
      <c r="I273" s="65" t="e">
        <f t="shared" si="634"/>
        <v>#DIV/0!</v>
      </c>
      <c r="J273" s="65" t="e">
        <f t="shared" si="634"/>
        <v>#DIV/0!</v>
      </c>
      <c r="K273" s="69">
        <v>0</v>
      </c>
      <c r="L273" s="69">
        <f>'Monitoramento Acumulado Geral'!Q273</f>
        <v>0</v>
      </c>
      <c r="M273" s="6" t="e">
        <f>(SUM(L262:L273))/K272</f>
        <v>#DIV/0!</v>
      </c>
      <c r="N273" s="35" t="e">
        <f t="shared" si="611"/>
        <v>#DIV/0!</v>
      </c>
      <c r="O273" s="6" t="e">
        <f t="shared" ref="O273:Q273" si="635">O261</f>
        <v>#DIV/0!</v>
      </c>
      <c r="P273" s="6" t="e">
        <f t="shared" si="635"/>
        <v>#DIV/0!</v>
      </c>
      <c r="Q273" s="6" t="e">
        <f t="shared" si="635"/>
        <v>#DIV/0!</v>
      </c>
      <c r="R273" s="69">
        <v>0</v>
      </c>
      <c r="S273" s="69">
        <v>0</v>
      </c>
      <c r="T273" s="6" t="e">
        <f t="shared" si="613"/>
        <v>#DIV/0!</v>
      </c>
      <c r="U273" s="35" t="e">
        <f t="shared" si="614"/>
        <v>#DIV/0!</v>
      </c>
      <c r="V273" s="6" t="e">
        <f t="shared" ref="V273:Z273" si="636">V261</f>
        <v>#DIV/0!</v>
      </c>
      <c r="W273" s="6" t="e">
        <f t="shared" si="636"/>
        <v>#DIV/0!</v>
      </c>
      <c r="X273" s="6" t="e">
        <f t="shared" si="636"/>
        <v>#DIV/0!</v>
      </c>
      <c r="Y273" s="6" t="e">
        <f t="shared" si="636"/>
        <v>#DIV/0!</v>
      </c>
      <c r="Z273" s="6" t="e">
        <f t="shared" si="636"/>
        <v>#DIV/0!</v>
      </c>
    </row>
    <row r="274" spans="1:26" x14ac:dyDescent="0.2">
      <c r="A274" t="s">
        <v>299</v>
      </c>
      <c r="B274" s="6">
        <f t="shared" si="608"/>
        <v>9</v>
      </c>
      <c r="C274" s="7" t="s">
        <v>159</v>
      </c>
      <c r="D274" s="68">
        <v>0</v>
      </c>
      <c r="E274" s="68">
        <v>100</v>
      </c>
      <c r="F274" s="65" t="e">
        <f t="shared" si="458"/>
        <v>#DIV/0!</v>
      </c>
      <c r="G274" s="60" t="e">
        <f t="shared" si="609"/>
        <v>#DIV/0!</v>
      </c>
      <c r="H274" s="65" t="e">
        <f t="shared" ref="H274:J274" si="637">H262</f>
        <v>#DIV/0!</v>
      </c>
      <c r="I274" s="65" t="e">
        <f t="shared" si="637"/>
        <v>#DIV/0!</v>
      </c>
      <c r="J274" s="65" t="e">
        <f t="shared" si="637"/>
        <v>#DIV/0!</v>
      </c>
      <c r="K274" s="69">
        <v>0</v>
      </c>
      <c r="L274" s="69">
        <f>'Monitoramento Acumulado Geral'!Q274</f>
        <v>0</v>
      </c>
      <c r="M274" s="6" t="e">
        <f>L274/K274</f>
        <v>#DIV/0!</v>
      </c>
      <c r="N274" s="35" t="e">
        <f t="shared" si="611"/>
        <v>#DIV/0!</v>
      </c>
      <c r="O274" s="6" t="e">
        <f t="shared" ref="O274:Q274" si="638">O262</f>
        <v>#DIV/0!</v>
      </c>
      <c r="P274" s="6" t="e">
        <f t="shared" si="638"/>
        <v>#DIV/0!</v>
      </c>
      <c r="Q274" s="6" t="e">
        <f t="shared" si="638"/>
        <v>#DIV/0!</v>
      </c>
      <c r="R274" s="69">
        <v>0</v>
      </c>
      <c r="S274" s="69">
        <v>0</v>
      </c>
      <c r="T274" s="6" t="e">
        <f t="shared" si="613"/>
        <v>#DIV/0!</v>
      </c>
      <c r="U274" s="35" t="e">
        <f t="shared" si="614"/>
        <v>#DIV/0!</v>
      </c>
      <c r="V274" s="6" t="e">
        <f t="shared" ref="V274:Z274" si="639">V262</f>
        <v>#DIV/0!</v>
      </c>
      <c r="W274" s="6" t="e">
        <f t="shared" si="639"/>
        <v>#DIV/0!</v>
      </c>
      <c r="X274" s="6" t="e">
        <f t="shared" si="639"/>
        <v>#DIV/0!</v>
      </c>
      <c r="Y274" s="6" t="e">
        <f t="shared" si="639"/>
        <v>#DIV/0!</v>
      </c>
      <c r="Z274" s="6" t="e">
        <f t="shared" si="639"/>
        <v>#DIV/0!</v>
      </c>
    </row>
    <row r="275" spans="1:26" x14ac:dyDescent="0.2">
      <c r="A275" t="s">
        <v>299</v>
      </c>
      <c r="B275" s="6">
        <f t="shared" si="608"/>
        <v>10</v>
      </c>
      <c r="C275" s="7" t="s">
        <v>160</v>
      </c>
      <c r="D275" s="68">
        <v>0</v>
      </c>
      <c r="E275" s="68">
        <v>100</v>
      </c>
      <c r="F275" s="65" t="e">
        <f t="shared" si="458"/>
        <v>#DIV/0!</v>
      </c>
      <c r="G275" s="60" t="e">
        <f t="shared" si="609"/>
        <v>#DIV/0!</v>
      </c>
      <c r="H275" s="65" t="e">
        <f t="shared" ref="H275:J275" si="640">H263</f>
        <v>#DIV/0!</v>
      </c>
      <c r="I275" s="65" t="e">
        <f t="shared" si="640"/>
        <v>#DIV/0!</v>
      </c>
      <c r="J275" s="65" t="e">
        <f t="shared" si="640"/>
        <v>#DIV/0!</v>
      </c>
      <c r="K275" s="69">
        <v>0</v>
      </c>
      <c r="L275" s="69">
        <f>'Monitoramento Acumulado Geral'!Q275</f>
        <v>0</v>
      </c>
      <c r="M275" s="6" t="e">
        <f>(SUM(L274:L275))/K274</f>
        <v>#DIV/0!</v>
      </c>
      <c r="N275" s="35" t="e">
        <f t="shared" si="611"/>
        <v>#DIV/0!</v>
      </c>
      <c r="O275" s="6" t="e">
        <f t="shared" ref="O275:Q275" si="641">O263</f>
        <v>#DIV/0!</v>
      </c>
      <c r="P275" s="6" t="e">
        <f t="shared" si="641"/>
        <v>#DIV/0!</v>
      </c>
      <c r="Q275" s="6" t="e">
        <f t="shared" si="641"/>
        <v>#DIV/0!</v>
      </c>
      <c r="R275" s="69">
        <v>0</v>
      </c>
      <c r="S275" s="69">
        <v>0</v>
      </c>
      <c r="T275" s="6" t="e">
        <f t="shared" si="613"/>
        <v>#DIV/0!</v>
      </c>
      <c r="U275" s="35" t="e">
        <f t="shared" si="614"/>
        <v>#DIV/0!</v>
      </c>
      <c r="V275" s="6" t="e">
        <f t="shared" ref="V275:Z275" si="642">V263</f>
        <v>#DIV/0!</v>
      </c>
      <c r="W275" s="6" t="e">
        <f t="shared" si="642"/>
        <v>#DIV/0!</v>
      </c>
      <c r="X275" s="6" t="e">
        <f t="shared" si="642"/>
        <v>#DIV/0!</v>
      </c>
      <c r="Y275" s="6" t="e">
        <f t="shared" si="642"/>
        <v>#DIV/0!</v>
      </c>
      <c r="Z275" s="6" t="e">
        <f t="shared" si="642"/>
        <v>#DIV/0!</v>
      </c>
    </row>
    <row r="276" spans="1:26" x14ac:dyDescent="0.2">
      <c r="A276" t="s">
        <v>299</v>
      </c>
      <c r="B276" s="6">
        <f t="shared" si="608"/>
        <v>11</v>
      </c>
      <c r="C276" s="7" t="s">
        <v>161</v>
      </c>
      <c r="D276" s="68">
        <v>0</v>
      </c>
      <c r="E276" s="68">
        <v>0</v>
      </c>
      <c r="F276" s="65" t="e">
        <f t="shared" si="458"/>
        <v>#DIV/0!</v>
      </c>
      <c r="G276" s="60" t="e">
        <f t="shared" si="609"/>
        <v>#DIV/0!</v>
      </c>
      <c r="H276" s="65" t="e">
        <f t="shared" ref="H276:J276" si="643">H264</f>
        <v>#DIV/0!</v>
      </c>
      <c r="I276" s="65" t="e">
        <f t="shared" si="643"/>
        <v>#DIV/0!</v>
      </c>
      <c r="J276" s="65" t="e">
        <f t="shared" si="643"/>
        <v>#DIV/0!</v>
      </c>
      <c r="K276" s="69">
        <v>0</v>
      </c>
      <c r="L276" s="69">
        <f>'Monitoramento Acumulado Geral'!Q276</f>
        <v>0</v>
      </c>
      <c r="M276" s="6" t="e">
        <f>(SUM(L274:L276))/K275</f>
        <v>#DIV/0!</v>
      </c>
      <c r="N276" s="35" t="e">
        <f t="shared" si="611"/>
        <v>#DIV/0!</v>
      </c>
      <c r="O276" s="6" t="e">
        <f t="shared" ref="O276:Q276" si="644">O264</f>
        <v>#DIV/0!</v>
      </c>
      <c r="P276" s="6" t="e">
        <f t="shared" si="644"/>
        <v>#DIV/0!</v>
      </c>
      <c r="Q276" s="6" t="e">
        <f t="shared" si="644"/>
        <v>#DIV/0!</v>
      </c>
      <c r="R276" s="69">
        <v>0</v>
      </c>
      <c r="S276" s="69">
        <v>0</v>
      </c>
      <c r="T276" s="6" t="e">
        <f t="shared" si="613"/>
        <v>#DIV/0!</v>
      </c>
      <c r="U276" s="35" t="e">
        <f t="shared" si="614"/>
        <v>#DIV/0!</v>
      </c>
      <c r="V276" s="6" t="e">
        <f t="shared" ref="V276:Z276" si="645">V264</f>
        <v>#DIV/0!</v>
      </c>
      <c r="W276" s="6" t="e">
        <f t="shared" si="645"/>
        <v>#DIV/0!</v>
      </c>
      <c r="X276" s="6" t="e">
        <f t="shared" si="645"/>
        <v>#DIV/0!</v>
      </c>
      <c r="Y276" s="6" t="e">
        <f t="shared" si="645"/>
        <v>#DIV/0!</v>
      </c>
      <c r="Z276" s="6" t="e">
        <f t="shared" si="645"/>
        <v>#DIV/0!</v>
      </c>
    </row>
    <row r="277" spans="1:26" x14ac:dyDescent="0.2">
      <c r="A277" t="s">
        <v>299</v>
      </c>
      <c r="B277" s="6">
        <f t="shared" si="608"/>
        <v>12</v>
      </c>
      <c r="C277" s="7" t="s">
        <v>162</v>
      </c>
      <c r="D277" s="68">
        <v>0</v>
      </c>
      <c r="E277" s="68">
        <v>0</v>
      </c>
      <c r="F277" s="65" t="e">
        <f t="shared" si="458"/>
        <v>#DIV/0!</v>
      </c>
      <c r="G277" s="60" t="e">
        <f t="shared" si="609"/>
        <v>#DIV/0!</v>
      </c>
      <c r="H277" s="65" t="e">
        <f t="shared" ref="H277:J277" si="646">H265</f>
        <v>#DIV/0!</v>
      </c>
      <c r="I277" s="65" t="e">
        <f t="shared" si="646"/>
        <v>#DIV/0!</v>
      </c>
      <c r="J277" s="65" t="e">
        <f t="shared" si="646"/>
        <v>#DIV/0!</v>
      </c>
      <c r="K277" s="69">
        <v>0</v>
      </c>
      <c r="L277" s="69">
        <f>'Monitoramento Acumulado Geral'!Q277</f>
        <v>0</v>
      </c>
      <c r="M277" s="6" t="e">
        <f>(SUM(L274:L277))/K276</f>
        <v>#DIV/0!</v>
      </c>
      <c r="N277" s="35" t="e">
        <f t="shared" si="611"/>
        <v>#DIV/0!</v>
      </c>
      <c r="O277" s="6" t="e">
        <f t="shared" ref="O277:Q277" si="647">O265</f>
        <v>#DIV/0!</v>
      </c>
      <c r="P277" s="6" t="e">
        <f t="shared" si="647"/>
        <v>#DIV/0!</v>
      </c>
      <c r="Q277" s="6" t="e">
        <f t="shared" si="647"/>
        <v>#DIV/0!</v>
      </c>
      <c r="R277" s="69">
        <v>0</v>
      </c>
      <c r="S277" s="69">
        <v>0</v>
      </c>
      <c r="T277" s="6" t="e">
        <f t="shared" si="613"/>
        <v>#DIV/0!</v>
      </c>
      <c r="U277" s="35" t="e">
        <f t="shared" si="614"/>
        <v>#DIV/0!</v>
      </c>
      <c r="V277" s="6" t="e">
        <f t="shared" ref="V277:Z277" si="648">V265</f>
        <v>#DIV/0!</v>
      </c>
      <c r="W277" s="6" t="e">
        <f t="shared" si="648"/>
        <v>#DIV/0!</v>
      </c>
      <c r="X277" s="6" t="e">
        <f t="shared" si="648"/>
        <v>#DIV/0!</v>
      </c>
      <c r="Y277" s="6" t="e">
        <f t="shared" si="648"/>
        <v>#DIV/0!</v>
      </c>
      <c r="Z277" s="6" t="e">
        <f t="shared" si="648"/>
        <v>#DIV/0!</v>
      </c>
    </row>
    <row r="278" spans="1:26" x14ac:dyDescent="0.2">
      <c r="A278" s="7" t="s">
        <v>90</v>
      </c>
      <c r="B278" s="6">
        <f t="shared" si="463"/>
        <v>1</v>
      </c>
      <c r="C278" s="7" t="s">
        <v>151</v>
      </c>
      <c r="D278" s="68">
        <v>75</v>
      </c>
      <c r="E278" s="68">
        <v>8</v>
      </c>
      <c r="F278" s="65">
        <f t="shared" si="458"/>
        <v>0.10666666666666667</v>
      </c>
      <c r="G278" s="60" t="e">
        <f t="shared" si="464"/>
        <v>#DIV/0!</v>
      </c>
      <c r="H278" s="65" t="e">
        <f t="shared" ref="H278:J278" si="649">H266</f>
        <v>#DIV/0!</v>
      </c>
      <c r="I278" s="65" t="e">
        <f t="shared" si="649"/>
        <v>#DIV/0!</v>
      </c>
      <c r="J278" s="65" t="e">
        <f t="shared" si="649"/>
        <v>#DIV/0!</v>
      </c>
      <c r="K278" s="69">
        <v>257719.44</v>
      </c>
      <c r="L278" s="69">
        <f>'Monitoramento Acumulado Geral'!Q278</f>
        <v>13500</v>
      </c>
      <c r="M278" s="6">
        <f>L278/K278</f>
        <v>5.2382544366851025E-2</v>
      </c>
      <c r="N278" s="35" t="e">
        <f t="shared" si="466"/>
        <v>#DIV/0!</v>
      </c>
      <c r="O278" s="6" t="e">
        <f t="shared" ref="O278:Q278" si="650">O266</f>
        <v>#DIV/0!</v>
      </c>
      <c r="P278" s="6" t="e">
        <f t="shared" si="650"/>
        <v>#DIV/0!</v>
      </c>
      <c r="Q278" s="6" t="e">
        <f t="shared" si="650"/>
        <v>#DIV/0!</v>
      </c>
      <c r="R278" s="69">
        <v>80</v>
      </c>
      <c r="S278" s="69">
        <v>13</v>
      </c>
      <c r="T278" s="6">
        <f t="shared" si="461"/>
        <v>0.16250000000000001</v>
      </c>
      <c r="U278" s="35" t="e">
        <f t="shared" si="468"/>
        <v>#DIV/0!</v>
      </c>
      <c r="V278" s="6" t="e">
        <f t="shared" ref="V278:Z278" si="651">V266</f>
        <v>#DIV/0!</v>
      </c>
      <c r="W278" s="6" t="e">
        <f t="shared" si="651"/>
        <v>#DIV/0!</v>
      </c>
      <c r="X278" s="6" t="e">
        <f t="shared" si="651"/>
        <v>#DIV/0!</v>
      </c>
      <c r="Y278" s="6" t="e">
        <f t="shared" si="651"/>
        <v>#DIV/0!</v>
      </c>
      <c r="Z278" s="6" t="e">
        <f t="shared" si="651"/>
        <v>#DIV/0!</v>
      </c>
    </row>
    <row r="279" spans="1:26" x14ac:dyDescent="0.2">
      <c r="A279" s="7" t="s">
        <v>90</v>
      </c>
      <c r="B279" s="6">
        <f t="shared" si="463"/>
        <v>2</v>
      </c>
      <c r="C279" s="7" t="s">
        <v>152</v>
      </c>
      <c r="D279" s="68">
        <v>75</v>
      </c>
      <c r="E279" s="68">
        <v>33</v>
      </c>
      <c r="F279" s="65">
        <f t="shared" si="458"/>
        <v>0.44</v>
      </c>
      <c r="G279" s="60" t="e">
        <f t="shared" si="464"/>
        <v>#DIV/0!</v>
      </c>
      <c r="H279" s="65" t="e">
        <f t="shared" ref="H279:J279" si="652">H267</f>
        <v>#DIV/0!</v>
      </c>
      <c r="I279" s="65" t="e">
        <f t="shared" si="652"/>
        <v>#DIV/0!</v>
      </c>
      <c r="J279" s="65" t="e">
        <f t="shared" si="652"/>
        <v>#DIV/0!</v>
      </c>
      <c r="K279" s="69">
        <v>257719.44</v>
      </c>
      <c r="L279" s="69">
        <f>'Monitoramento Acumulado Geral'!Q279</f>
        <v>78932</v>
      </c>
      <c r="M279" s="6">
        <f>(SUM(L278:L279))/K278</f>
        <v>0.3586535808086499</v>
      </c>
      <c r="N279" s="35" t="e">
        <f t="shared" si="466"/>
        <v>#DIV/0!</v>
      </c>
      <c r="O279" s="6" t="e">
        <f t="shared" ref="O279:Q279" si="653">O267</f>
        <v>#DIV/0!</v>
      </c>
      <c r="P279" s="6" t="e">
        <f t="shared" si="653"/>
        <v>#DIV/0!</v>
      </c>
      <c r="Q279" s="6" t="e">
        <f t="shared" si="653"/>
        <v>#DIV/0!</v>
      </c>
      <c r="R279" s="69">
        <v>80</v>
      </c>
      <c r="S279" s="69">
        <v>13</v>
      </c>
      <c r="T279" s="6">
        <f t="shared" si="461"/>
        <v>0.16250000000000001</v>
      </c>
      <c r="U279" s="35" t="e">
        <f t="shared" si="468"/>
        <v>#DIV/0!</v>
      </c>
      <c r="V279" s="6" t="e">
        <f t="shared" ref="V279:Z279" si="654">V267</f>
        <v>#DIV/0!</v>
      </c>
      <c r="W279" s="6" t="e">
        <f t="shared" si="654"/>
        <v>#DIV/0!</v>
      </c>
      <c r="X279" s="6" t="e">
        <f t="shared" si="654"/>
        <v>#DIV/0!</v>
      </c>
      <c r="Y279" s="6" t="e">
        <f t="shared" si="654"/>
        <v>#DIV/0!</v>
      </c>
      <c r="Z279" s="6" t="e">
        <f t="shared" si="654"/>
        <v>#DIV/0!</v>
      </c>
    </row>
    <row r="280" spans="1:26" x14ac:dyDescent="0.2">
      <c r="A280" s="7" t="s">
        <v>90</v>
      </c>
      <c r="B280" s="6">
        <f t="shared" si="463"/>
        <v>3</v>
      </c>
      <c r="C280" s="7" t="s">
        <v>153</v>
      </c>
      <c r="D280" s="68">
        <v>75</v>
      </c>
      <c r="E280" s="68">
        <v>49</v>
      </c>
      <c r="F280" s="65">
        <f t="shared" si="458"/>
        <v>0.65333333333333332</v>
      </c>
      <c r="G280" s="60" t="e">
        <f t="shared" si="464"/>
        <v>#DIV/0!</v>
      </c>
      <c r="H280" s="65" t="e">
        <f t="shared" ref="H280:J280" si="655">H268</f>
        <v>#DIV/0!</v>
      </c>
      <c r="I280" s="65" t="e">
        <f t="shared" si="655"/>
        <v>#DIV/0!</v>
      </c>
      <c r="J280" s="65" t="e">
        <f t="shared" si="655"/>
        <v>#DIV/0!</v>
      </c>
      <c r="K280" s="69">
        <v>257719.44</v>
      </c>
      <c r="L280" s="69">
        <f>'Monitoramento Acumulado Geral'!Q280</f>
        <v>42100</v>
      </c>
      <c r="M280" s="6">
        <f>(SUM(L278:L280))/K279</f>
        <v>0.52200951546379271</v>
      </c>
      <c r="N280" s="35" t="e">
        <f t="shared" si="466"/>
        <v>#DIV/0!</v>
      </c>
      <c r="O280" s="6" t="e">
        <f t="shared" ref="O280:Q280" si="656">O268</f>
        <v>#DIV/0!</v>
      </c>
      <c r="P280" s="6" t="e">
        <f t="shared" si="656"/>
        <v>#DIV/0!</v>
      </c>
      <c r="Q280" s="6" t="e">
        <f t="shared" si="656"/>
        <v>#DIV/0!</v>
      </c>
      <c r="R280" s="69">
        <v>80</v>
      </c>
      <c r="S280" s="69">
        <v>13</v>
      </c>
      <c r="T280" s="6">
        <f t="shared" si="461"/>
        <v>0.16250000000000001</v>
      </c>
      <c r="U280" s="35" t="e">
        <f t="shared" si="468"/>
        <v>#DIV/0!</v>
      </c>
      <c r="V280" s="6" t="e">
        <f t="shared" ref="V280:Z280" si="657">V268</f>
        <v>#DIV/0!</v>
      </c>
      <c r="W280" s="6" t="e">
        <f t="shared" si="657"/>
        <v>#DIV/0!</v>
      </c>
      <c r="X280" s="6" t="e">
        <f t="shared" si="657"/>
        <v>#DIV/0!</v>
      </c>
      <c r="Y280" s="6" t="e">
        <f t="shared" si="657"/>
        <v>#DIV/0!</v>
      </c>
      <c r="Z280" s="6" t="e">
        <f t="shared" si="657"/>
        <v>#DIV/0!</v>
      </c>
    </row>
    <row r="281" spans="1:26" x14ac:dyDescent="0.2">
      <c r="A281" s="7" t="s">
        <v>90</v>
      </c>
      <c r="B281" s="6">
        <f t="shared" si="463"/>
        <v>4</v>
      </c>
      <c r="C281" s="7" t="s">
        <v>154</v>
      </c>
      <c r="D281" s="68">
        <v>75</v>
      </c>
      <c r="E281" s="68">
        <v>49</v>
      </c>
      <c r="F281" s="65">
        <f t="shared" si="458"/>
        <v>0.65333333333333332</v>
      </c>
      <c r="G281" s="60" t="e">
        <f t="shared" si="464"/>
        <v>#DIV/0!</v>
      </c>
      <c r="H281" s="65" t="e">
        <f t="shared" ref="H281:J281" si="658">H269</f>
        <v>#DIV/0!</v>
      </c>
      <c r="I281" s="65" t="e">
        <f t="shared" si="658"/>
        <v>#DIV/0!</v>
      </c>
      <c r="J281" s="65" t="e">
        <f t="shared" si="658"/>
        <v>#DIV/0!</v>
      </c>
      <c r="K281" s="69">
        <v>257719.44</v>
      </c>
      <c r="L281" s="69">
        <f>'Monitoramento Acumulado Geral'!Q281</f>
        <v>0</v>
      </c>
      <c r="M281" s="6">
        <f>(SUM(L278:L281))/K280</f>
        <v>0.52200951546379271</v>
      </c>
      <c r="N281" s="35" t="e">
        <f t="shared" si="466"/>
        <v>#DIV/0!</v>
      </c>
      <c r="O281" s="6" t="e">
        <f t="shared" ref="O281:Q281" si="659">O269</f>
        <v>#DIV/0!</v>
      </c>
      <c r="P281" s="6" t="e">
        <f t="shared" si="659"/>
        <v>#DIV/0!</v>
      </c>
      <c r="Q281" s="6" t="e">
        <f t="shared" si="659"/>
        <v>#DIV/0!</v>
      </c>
      <c r="R281" s="69">
        <v>80</v>
      </c>
      <c r="S281" s="69">
        <v>13</v>
      </c>
      <c r="T281" s="6">
        <f t="shared" si="461"/>
        <v>0.16250000000000001</v>
      </c>
      <c r="U281" s="35" t="e">
        <f t="shared" si="468"/>
        <v>#DIV/0!</v>
      </c>
      <c r="V281" s="6" t="e">
        <f t="shared" ref="V281:Z281" si="660">V269</f>
        <v>#DIV/0!</v>
      </c>
      <c r="W281" s="6" t="e">
        <f t="shared" si="660"/>
        <v>#DIV/0!</v>
      </c>
      <c r="X281" s="6" t="e">
        <f t="shared" si="660"/>
        <v>#DIV/0!</v>
      </c>
      <c r="Y281" s="6" t="e">
        <f t="shared" si="660"/>
        <v>#DIV/0!</v>
      </c>
      <c r="Z281" s="6" t="e">
        <f t="shared" si="660"/>
        <v>#DIV/0!</v>
      </c>
    </row>
    <row r="282" spans="1:26" x14ac:dyDescent="0.2">
      <c r="A282" s="7" t="s">
        <v>90</v>
      </c>
      <c r="B282" s="6">
        <f t="shared" si="463"/>
        <v>5</v>
      </c>
      <c r="C282" s="7" t="s">
        <v>155</v>
      </c>
      <c r="D282" s="68">
        <v>75</v>
      </c>
      <c r="E282" s="68">
        <v>54</v>
      </c>
      <c r="F282" s="65">
        <f t="shared" si="458"/>
        <v>0.72</v>
      </c>
      <c r="G282" s="60" t="e">
        <f t="shared" si="464"/>
        <v>#DIV/0!</v>
      </c>
      <c r="H282" s="65" t="e">
        <f t="shared" ref="H282:J282" si="661">H270</f>
        <v>#DIV/0!</v>
      </c>
      <c r="I282" s="65" t="e">
        <f t="shared" si="661"/>
        <v>#DIV/0!</v>
      </c>
      <c r="J282" s="65" t="e">
        <f t="shared" si="661"/>
        <v>#DIV/0!</v>
      </c>
      <c r="K282" s="69">
        <v>257719.44</v>
      </c>
      <c r="L282" s="69">
        <f>'Monitoramento Acumulado Geral'!Q282</f>
        <v>41739.129999999997</v>
      </c>
      <c r="M282" s="6">
        <f>(SUM(L278:L282))/K281</f>
        <v>0.68396520650518255</v>
      </c>
      <c r="N282" s="35" t="e">
        <f t="shared" si="466"/>
        <v>#DIV/0!</v>
      </c>
      <c r="O282" s="6" t="e">
        <f t="shared" ref="O282:Q282" si="662">O270</f>
        <v>#DIV/0!</v>
      </c>
      <c r="P282" s="6" t="e">
        <f t="shared" si="662"/>
        <v>#DIV/0!</v>
      </c>
      <c r="Q282" s="6" t="e">
        <f t="shared" si="662"/>
        <v>#DIV/0!</v>
      </c>
      <c r="R282" s="69">
        <v>80</v>
      </c>
      <c r="S282" s="69">
        <v>67</v>
      </c>
      <c r="T282" s="6">
        <f t="shared" si="461"/>
        <v>0.83750000000000002</v>
      </c>
      <c r="U282" s="35" t="e">
        <f t="shared" si="468"/>
        <v>#DIV/0!</v>
      </c>
      <c r="V282" s="6" t="e">
        <f t="shared" ref="V282:Z282" si="663">V270</f>
        <v>#DIV/0!</v>
      </c>
      <c r="W282" s="6" t="e">
        <f t="shared" si="663"/>
        <v>#DIV/0!</v>
      </c>
      <c r="X282" s="6" t="e">
        <f t="shared" si="663"/>
        <v>#DIV/0!</v>
      </c>
      <c r="Y282" s="6" t="e">
        <f t="shared" si="663"/>
        <v>#DIV/0!</v>
      </c>
      <c r="Z282" s="6" t="e">
        <f t="shared" si="663"/>
        <v>#DIV/0!</v>
      </c>
    </row>
    <row r="283" spans="1:26" x14ac:dyDescent="0.2">
      <c r="A283" s="7" t="s">
        <v>90</v>
      </c>
      <c r="B283" s="6">
        <f t="shared" si="463"/>
        <v>6</v>
      </c>
      <c r="C283" s="7" t="s">
        <v>156</v>
      </c>
      <c r="D283" s="68">
        <v>75</v>
      </c>
      <c r="E283" s="68">
        <v>64</v>
      </c>
      <c r="F283" s="65">
        <f t="shared" si="458"/>
        <v>0.85333333333333339</v>
      </c>
      <c r="G283" s="60" t="e">
        <f t="shared" si="464"/>
        <v>#DIV/0!</v>
      </c>
      <c r="H283" s="65" t="e">
        <f t="shared" ref="H283:J283" si="664">H271</f>
        <v>#DIV/0!</v>
      </c>
      <c r="I283" s="65" t="e">
        <f t="shared" si="664"/>
        <v>#DIV/0!</v>
      </c>
      <c r="J283" s="65" t="e">
        <f t="shared" si="664"/>
        <v>#DIV/0!</v>
      </c>
      <c r="K283" s="69">
        <v>257719.44</v>
      </c>
      <c r="L283" s="69">
        <f>'Monitoramento Acumulado Geral'!Q283</f>
        <v>31448.31</v>
      </c>
      <c r="M283" s="6">
        <f>(SUM(L278:L283))/K282</f>
        <v>0.80599057641907024</v>
      </c>
      <c r="N283" s="35" t="e">
        <f t="shared" si="466"/>
        <v>#DIV/0!</v>
      </c>
      <c r="O283" s="6" t="e">
        <f t="shared" ref="O283:Q283" si="665">O271</f>
        <v>#DIV/0!</v>
      </c>
      <c r="P283" s="6" t="e">
        <f t="shared" si="665"/>
        <v>#DIV/0!</v>
      </c>
      <c r="Q283" s="6" t="e">
        <f t="shared" si="665"/>
        <v>#DIV/0!</v>
      </c>
      <c r="R283" s="69">
        <v>80</v>
      </c>
      <c r="S283" s="69">
        <v>67</v>
      </c>
      <c r="T283" s="6">
        <f t="shared" si="461"/>
        <v>0.83750000000000002</v>
      </c>
      <c r="U283" s="35" t="e">
        <f t="shared" si="468"/>
        <v>#DIV/0!</v>
      </c>
      <c r="V283" s="6" t="e">
        <f t="shared" ref="V283:Z283" si="666">V271</f>
        <v>#DIV/0!</v>
      </c>
      <c r="W283" s="6" t="e">
        <f t="shared" si="666"/>
        <v>#DIV/0!</v>
      </c>
      <c r="X283" s="6" t="e">
        <f t="shared" si="666"/>
        <v>#DIV/0!</v>
      </c>
      <c r="Y283" s="6" t="e">
        <f t="shared" si="666"/>
        <v>#DIV/0!</v>
      </c>
      <c r="Z283" s="6" t="e">
        <f t="shared" si="666"/>
        <v>#DIV/0!</v>
      </c>
    </row>
    <row r="284" spans="1:26" x14ac:dyDescent="0.2">
      <c r="A284" s="7" t="s">
        <v>90</v>
      </c>
      <c r="B284" s="6">
        <f t="shared" si="463"/>
        <v>7</v>
      </c>
      <c r="C284" s="7" t="s">
        <v>157</v>
      </c>
      <c r="D284" s="68">
        <v>75</v>
      </c>
      <c r="E284" s="68">
        <v>77</v>
      </c>
      <c r="F284" s="65">
        <f t="shared" si="458"/>
        <v>1.0266666666666666</v>
      </c>
      <c r="G284" s="60" t="e">
        <f t="shared" si="464"/>
        <v>#DIV/0!</v>
      </c>
      <c r="H284" s="65" t="e">
        <f t="shared" ref="H284:J284" si="667">H272</f>
        <v>#DIV/0!</v>
      </c>
      <c r="I284" s="65" t="e">
        <f t="shared" si="667"/>
        <v>#DIV/0!</v>
      </c>
      <c r="J284" s="65" t="e">
        <f t="shared" si="667"/>
        <v>#DIV/0!</v>
      </c>
      <c r="K284" s="69">
        <v>257719.44</v>
      </c>
      <c r="L284" s="69">
        <f>'Monitoramento Acumulado Geral'!Q284</f>
        <v>31470</v>
      </c>
      <c r="M284" s="6">
        <f>(SUM(L278:L284))/K283</f>
        <v>0.92810010762090744</v>
      </c>
      <c r="N284" s="35" t="e">
        <f t="shared" si="466"/>
        <v>#DIV/0!</v>
      </c>
      <c r="O284" s="6" t="e">
        <f t="shared" ref="O284:Q284" si="668">O272</f>
        <v>#DIV/0!</v>
      </c>
      <c r="P284" s="6" t="e">
        <f t="shared" si="668"/>
        <v>#DIV/0!</v>
      </c>
      <c r="Q284" s="6" t="e">
        <f t="shared" si="668"/>
        <v>#DIV/0!</v>
      </c>
      <c r="R284" s="69">
        <v>80</v>
      </c>
      <c r="S284" s="69">
        <v>67</v>
      </c>
      <c r="T284" s="6">
        <f t="shared" si="461"/>
        <v>0.83750000000000002</v>
      </c>
      <c r="U284" s="35" t="e">
        <f t="shared" si="468"/>
        <v>#DIV/0!</v>
      </c>
      <c r="V284" s="6" t="e">
        <f t="shared" ref="V284:Z284" si="669">V272</f>
        <v>#DIV/0!</v>
      </c>
      <c r="W284" s="6" t="e">
        <f t="shared" si="669"/>
        <v>#DIV/0!</v>
      </c>
      <c r="X284" s="6" t="e">
        <f t="shared" si="669"/>
        <v>#DIV/0!</v>
      </c>
      <c r="Y284" s="6" t="e">
        <f t="shared" si="669"/>
        <v>#DIV/0!</v>
      </c>
      <c r="Z284" s="6" t="e">
        <f t="shared" si="669"/>
        <v>#DIV/0!</v>
      </c>
    </row>
    <row r="285" spans="1:26" x14ac:dyDescent="0.2">
      <c r="A285" s="7" t="s">
        <v>90</v>
      </c>
      <c r="B285" s="6">
        <f t="shared" si="463"/>
        <v>8</v>
      </c>
      <c r="C285" s="7" t="s">
        <v>158</v>
      </c>
      <c r="D285" s="68">
        <v>75</v>
      </c>
      <c r="E285" s="68">
        <v>77</v>
      </c>
      <c r="F285" s="65">
        <f t="shared" si="458"/>
        <v>1.0266666666666666</v>
      </c>
      <c r="G285" s="60" t="e">
        <f t="shared" si="464"/>
        <v>#DIV/0!</v>
      </c>
      <c r="H285" s="65" t="e">
        <f t="shared" ref="H285:J285" si="670">H273</f>
        <v>#DIV/0!</v>
      </c>
      <c r="I285" s="65" t="e">
        <f t="shared" si="670"/>
        <v>#DIV/0!</v>
      </c>
      <c r="J285" s="65" t="e">
        <f t="shared" si="670"/>
        <v>#DIV/0!</v>
      </c>
      <c r="K285" s="69">
        <v>257719.44</v>
      </c>
      <c r="L285" s="69">
        <f>'Monitoramento Acumulado Geral'!Q285</f>
        <v>4800</v>
      </c>
      <c r="M285" s="6">
        <f>(SUM(L278:L285))/K284</f>
        <v>0.94672501228467665</v>
      </c>
      <c r="N285" s="35" t="e">
        <f t="shared" si="466"/>
        <v>#DIV/0!</v>
      </c>
      <c r="O285" s="6" t="e">
        <f t="shared" ref="O285:Q285" si="671">O273</f>
        <v>#DIV/0!</v>
      </c>
      <c r="P285" s="6" t="e">
        <f t="shared" si="671"/>
        <v>#DIV/0!</v>
      </c>
      <c r="Q285" s="6" t="e">
        <f t="shared" si="671"/>
        <v>#DIV/0!</v>
      </c>
      <c r="R285" s="69">
        <v>80</v>
      </c>
      <c r="S285" s="69">
        <v>67</v>
      </c>
      <c r="T285" s="6">
        <f t="shared" si="461"/>
        <v>0.83750000000000002</v>
      </c>
      <c r="U285" s="35" t="e">
        <f t="shared" si="468"/>
        <v>#DIV/0!</v>
      </c>
      <c r="V285" s="6" t="e">
        <f t="shared" ref="V285:Z285" si="672">V273</f>
        <v>#DIV/0!</v>
      </c>
      <c r="W285" s="6" t="e">
        <f t="shared" si="672"/>
        <v>#DIV/0!</v>
      </c>
      <c r="X285" s="6" t="e">
        <f t="shared" si="672"/>
        <v>#DIV/0!</v>
      </c>
      <c r="Y285" s="6" t="e">
        <f t="shared" si="672"/>
        <v>#DIV/0!</v>
      </c>
      <c r="Z285" s="6" t="e">
        <f t="shared" si="672"/>
        <v>#DIV/0!</v>
      </c>
    </row>
    <row r="286" spans="1:26" x14ac:dyDescent="0.2">
      <c r="A286" s="7" t="s">
        <v>90</v>
      </c>
      <c r="B286" s="6">
        <f t="shared" si="463"/>
        <v>9</v>
      </c>
      <c r="C286" s="7" t="s">
        <v>159</v>
      </c>
      <c r="D286" s="68">
        <v>75</v>
      </c>
      <c r="E286" s="68">
        <v>77</v>
      </c>
      <c r="F286" s="65">
        <f t="shared" si="458"/>
        <v>1.0266666666666666</v>
      </c>
      <c r="G286" s="60" t="e">
        <f t="shared" si="464"/>
        <v>#DIV/0!</v>
      </c>
      <c r="H286" s="65" t="e">
        <f t="shared" ref="H286:J286" si="673">H274</f>
        <v>#DIV/0!</v>
      </c>
      <c r="I286" s="65" t="e">
        <f t="shared" si="673"/>
        <v>#DIV/0!</v>
      </c>
      <c r="J286" s="65" t="e">
        <f t="shared" si="673"/>
        <v>#DIV/0!</v>
      </c>
      <c r="K286" s="69">
        <v>257719.44</v>
      </c>
      <c r="L286" s="69">
        <f>'Monitoramento Acumulado Geral'!Q286</f>
        <v>19500</v>
      </c>
      <c r="M286" s="6">
        <f>(SUM(L278:L286))/K285</f>
        <v>1.0223886874812393</v>
      </c>
      <c r="N286" s="35" t="e">
        <f t="shared" si="466"/>
        <v>#DIV/0!</v>
      </c>
      <c r="O286" s="6" t="e">
        <f t="shared" ref="O286:Q286" si="674">O274</f>
        <v>#DIV/0!</v>
      </c>
      <c r="P286" s="6" t="e">
        <f t="shared" si="674"/>
        <v>#DIV/0!</v>
      </c>
      <c r="Q286" s="6" t="e">
        <f t="shared" si="674"/>
        <v>#DIV/0!</v>
      </c>
      <c r="R286" s="69">
        <v>80</v>
      </c>
      <c r="S286" s="69">
        <v>67</v>
      </c>
      <c r="T286" s="6">
        <f t="shared" si="461"/>
        <v>0.83750000000000002</v>
      </c>
      <c r="U286" s="35" t="e">
        <f t="shared" si="468"/>
        <v>#DIV/0!</v>
      </c>
      <c r="V286" s="6" t="e">
        <f t="shared" ref="V286:Z286" si="675">V274</f>
        <v>#DIV/0!</v>
      </c>
      <c r="W286" s="6" t="e">
        <f t="shared" si="675"/>
        <v>#DIV/0!</v>
      </c>
      <c r="X286" s="6" t="e">
        <f t="shared" si="675"/>
        <v>#DIV/0!</v>
      </c>
      <c r="Y286" s="6" t="e">
        <f t="shared" si="675"/>
        <v>#DIV/0!</v>
      </c>
      <c r="Z286" s="6" t="e">
        <f t="shared" si="675"/>
        <v>#DIV/0!</v>
      </c>
    </row>
    <row r="287" spans="1:26" x14ac:dyDescent="0.2">
      <c r="A287" s="7" t="s">
        <v>90</v>
      </c>
      <c r="B287" s="6">
        <f t="shared" si="463"/>
        <v>10</v>
      </c>
      <c r="C287" s="7" t="s">
        <v>160</v>
      </c>
      <c r="D287" s="68">
        <v>75</v>
      </c>
      <c r="E287" s="68">
        <v>77</v>
      </c>
      <c r="F287" s="65">
        <f t="shared" si="458"/>
        <v>1.0266666666666666</v>
      </c>
      <c r="G287" s="60" t="e">
        <f t="shared" si="464"/>
        <v>#DIV/0!</v>
      </c>
      <c r="H287" s="65" t="e">
        <f t="shared" ref="H287:J287" si="676">H275</f>
        <v>#DIV/0!</v>
      </c>
      <c r="I287" s="65" t="e">
        <f t="shared" si="676"/>
        <v>#DIV/0!</v>
      </c>
      <c r="J287" s="65" t="e">
        <f t="shared" si="676"/>
        <v>#DIV/0!</v>
      </c>
      <c r="K287" s="69">
        <v>257719.44</v>
      </c>
      <c r="L287" s="69">
        <f>'Monitoramento Acumulado Geral'!Q287</f>
        <v>0</v>
      </c>
      <c r="M287" s="6">
        <f>(SUM(L278:L287))/K286</f>
        <v>1.0223886874812393</v>
      </c>
      <c r="N287" s="35" t="e">
        <f t="shared" si="466"/>
        <v>#DIV/0!</v>
      </c>
      <c r="O287" s="6" t="e">
        <f t="shared" ref="O287:Q287" si="677">O275</f>
        <v>#DIV/0!</v>
      </c>
      <c r="P287" s="6" t="e">
        <f t="shared" si="677"/>
        <v>#DIV/0!</v>
      </c>
      <c r="Q287" s="6" t="e">
        <f t="shared" si="677"/>
        <v>#DIV/0!</v>
      </c>
      <c r="R287" s="69">
        <v>80</v>
      </c>
      <c r="S287" s="69">
        <v>67</v>
      </c>
      <c r="T287" s="6">
        <f t="shared" si="461"/>
        <v>0.83750000000000002</v>
      </c>
      <c r="U287" s="35" t="e">
        <f t="shared" si="468"/>
        <v>#DIV/0!</v>
      </c>
      <c r="V287" s="6" t="e">
        <f t="shared" ref="V287:Z287" si="678">V275</f>
        <v>#DIV/0!</v>
      </c>
      <c r="W287" s="6" t="e">
        <f t="shared" si="678"/>
        <v>#DIV/0!</v>
      </c>
      <c r="X287" s="6" t="e">
        <f t="shared" si="678"/>
        <v>#DIV/0!</v>
      </c>
      <c r="Y287" s="6" t="e">
        <f t="shared" si="678"/>
        <v>#DIV/0!</v>
      </c>
      <c r="Z287" s="6" t="e">
        <f t="shared" si="678"/>
        <v>#DIV/0!</v>
      </c>
    </row>
    <row r="288" spans="1:26" x14ac:dyDescent="0.2">
      <c r="A288" s="7" t="s">
        <v>90</v>
      </c>
      <c r="B288" s="6">
        <f t="shared" si="463"/>
        <v>11</v>
      </c>
      <c r="C288" s="7" t="s">
        <v>161</v>
      </c>
      <c r="D288" s="68">
        <v>75</v>
      </c>
      <c r="E288" s="68">
        <v>0</v>
      </c>
      <c r="F288" s="65">
        <f t="shared" si="458"/>
        <v>0</v>
      </c>
      <c r="G288" s="60" t="e">
        <f t="shared" si="464"/>
        <v>#DIV/0!</v>
      </c>
      <c r="H288" s="65" t="e">
        <f t="shared" ref="H288:J288" si="679">H276</f>
        <v>#DIV/0!</v>
      </c>
      <c r="I288" s="65" t="e">
        <f t="shared" si="679"/>
        <v>#DIV/0!</v>
      </c>
      <c r="J288" s="65" t="e">
        <f t="shared" si="679"/>
        <v>#DIV/0!</v>
      </c>
      <c r="K288" s="69">
        <v>257719.44</v>
      </c>
      <c r="L288" s="69">
        <f>'Monitoramento Acumulado Geral'!Q288</f>
        <v>0</v>
      </c>
      <c r="M288" s="6">
        <f>(SUM(L278:L288))/K287</f>
        <v>1.0223886874812393</v>
      </c>
      <c r="N288" s="35" t="e">
        <f t="shared" si="466"/>
        <v>#DIV/0!</v>
      </c>
      <c r="O288" s="6" t="e">
        <f t="shared" ref="O288:Q288" si="680">O276</f>
        <v>#DIV/0!</v>
      </c>
      <c r="P288" s="6" t="e">
        <f t="shared" si="680"/>
        <v>#DIV/0!</v>
      </c>
      <c r="Q288" s="6" t="e">
        <f t="shared" si="680"/>
        <v>#DIV/0!</v>
      </c>
      <c r="R288" s="69">
        <v>80</v>
      </c>
      <c r="S288" s="69">
        <v>0</v>
      </c>
      <c r="T288" s="6">
        <f t="shared" si="461"/>
        <v>0</v>
      </c>
      <c r="U288" s="35" t="e">
        <f t="shared" si="468"/>
        <v>#DIV/0!</v>
      </c>
      <c r="V288" s="6" t="e">
        <f t="shared" ref="V288:Z288" si="681">V276</f>
        <v>#DIV/0!</v>
      </c>
      <c r="W288" s="6" t="e">
        <f t="shared" si="681"/>
        <v>#DIV/0!</v>
      </c>
      <c r="X288" s="6" t="e">
        <f t="shared" si="681"/>
        <v>#DIV/0!</v>
      </c>
      <c r="Y288" s="6" t="e">
        <f t="shared" si="681"/>
        <v>#DIV/0!</v>
      </c>
      <c r="Z288" s="6" t="e">
        <f t="shared" si="681"/>
        <v>#DIV/0!</v>
      </c>
    </row>
    <row r="289" spans="1:26" x14ac:dyDescent="0.2">
      <c r="A289" s="7" t="s">
        <v>90</v>
      </c>
      <c r="B289" s="6">
        <f t="shared" si="463"/>
        <v>12</v>
      </c>
      <c r="C289" s="7" t="s">
        <v>162</v>
      </c>
      <c r="D289" s="68">
        <v>75</v>
      </c>
      <c r="E289" s="68">
        <v>0</v>
      </c>
      <c r="F289" s="65">
        <f t="shared" si="458"/>
        <v>0</v>
      </c>
      <c r="G289" s="60" t="e">
        <f t="shared" si="464"/>
        <v>#DIV/0!</v>
      </c>
      <c r="H289" s="65" t="e">
        <f t="shared" ref="H289:J289" si="682">H277</f>
        <v>#DIV/0!</v>
      </c>
      <c r="I289" s="65" t="e">
        <f t="shared" si="682"/>
        <v>#DIV/0!</v>
      </c>
      <c r="J289" s="65" t="e">
        <f t="shared" si="682"/>
        <v>#DIV/0!</v>
      </c>
      <c r="K289" s="69">
        <v>257719.44</v>
      </c>
      <c r="L289" s="69">
        <f>'Monitoramento Acumulado Geral'!Q289</f>
        <v>0</v>
      </c>
      <c r="M289" s="6">
        <f>(SUM(L278:L289))/K288</f>
        <v>1.0223886874812393</v>
      </c>
      <c r="N289" s="35" t="e">
        <f t="shared" si="466"/>
        <v>#DIV/0!</v>
      </c>
      <c r="O289" s="6" t="e">
        <f t="shared" ref="O289:Q289" si="683">O277</f>
        <v>#DIV/0!</v>
      </c>
      <c r="P289" s="6" t="e">
        <f t="shared" si="683"/>
        <v>#DIV/0!</v>
      </c>
      <c r="Q289" s="6" t="e">
        <f t="shared" si="683"/>
        <v>#DIV/0!</v>
      </c>
      <c r="R289" s="69">
        <v>80</v>
      </c>
      <c r="S289" s="69">
        <v>0</v>
      </c>
      <c r="T289" s="6">
        <f t="shared" si="461"/>
        <v>0</v>
      </c>
      <c r="U289" s="35" t="e">
        <f t="shared" si="468"/>
        <v>#DIV/0!</v>
      </c>
      <c r="V289" s="6" t="e">
        <f t="shared" ref="V289:Z289" si="684">V277</f>
        <v>#DIV/0!</v>
      </c>
      <c r="W289" s="6" t="e">
        <f t="shared" si="684"/>
        <v>#DIV/0!</v>
      </c>
      <c r="X289" s="6" t="e">
        <f t="shared" si="684"/>
        <v>#DIV/0!</v>
      </c>
      <c r="Y289" s="6" t="e">
        <f t="shared" si="684"/>
        <v>#DIV/0!</v>
      </c>
      <c r="Z289" s="6" t="e">
        <f t="shared" si="684"/>
        <v>#DIV/0!</v>
      </c>
    </row>
    <row r="290" spans="1:26" x14ac:dyDescent="0.2">
      <c r="A290" s="7" t="s">
        <v>54</v>
      </c>
      <c r="B290" s="6">
        <f t="shared" si="463"/>
        <v>1</v>
      </c>
      <c r="C290" s="7" t="s">
        <v>151</v>
      </c>
      <c r="D290" s="68">
        <v>75</v>
      </c>
      <c r="E290" s="68">
        <v>3</v>
      </c>
      <c r="F290" s="65">
        <f t="shared" si="458"/>
        <v>0.04</v>
      </c>
      <c r="G290" s="60" t="e">
        <f t="shared" si="464"/>
        <v>#DIV/0!</v>
      </c>
      <c r="H290" s="65" t="e">
        <f t="shared" ref="H290:J290" si="685">H278</f>
        <v>#DIV/0!</v>
      </c>
      <c r="I290" s="65" t="e">
        <f t="shared" si="685"/>
        <v>#DIV/0!</v>
      </c>
      <c r="J290" s="65" t="e">
        <f t="shared" si="685"/>
        <v>#DIV/0!</v>
      </c>
      <c r="K290" s="69">
        <v>37857.379999999997</v>
      </c>
      <c r="L290" s="69">
        <f>'Monitoramento Acumulado Geral'!Q290</f>
        <v>40</v>
      </c>
      <c r="M290" s="6">
        <f>L290/K290</f>
        <v>1.0565971549008411E-3</v>
      </c>
      <c r="N290" s="35" t="e">
        <f t="shared" si="466"/>
        <v>#DIV/0!</v>
      </c>
      <c r="O290" s="6" t="e">
        <f t="shared" ref="O290:Q290" si="686">O278</f>
        <v>#DIV/0!</v>
      </c>
      <c r="P290" s="6" t="e">
        <f t="shared" si="686"/>
        <v>#DIV/0!</v>
      </c>
      <c r="Q290" s="6" t="e">
        <f t="shared" si="686"/>
        <v>#DIV/0!</v>
      </c>
      <c r="R290" s="69">
        <v>80</v>
      </c>
      <c r="S290" s="69">
        <v>0</v>
      </c>
      <c r="T290" s="6">
        <f t="shared" si="461"/>
        <v>0</v>
      </c>
      <c r="U290" s="35" t="e">
        <f t="shared" si="468"/>
        <v>#DIV/0!</v>
      </c>
      <c r="V290" s="6" t="e">
        <f t="shared" ref="V290:Z290" si="687">V278</f>
        <v>#DIV/0!</v>
      </c>
      <c r="W290" s="6" t="e">
        <f t="shared" si="687"/>
        <v>#DIV/0!</v>
      </c>
      <c r="X290" s="6" t="e">
        <f t="shared" si="687"/>
        <v>#DIV/0!</v>
      </c>
      <c r="Y290" s="6" t="e">
        <f t="shared" si="687"/>
        <v>#DIV/0!</v>
      </c>
      <c r="Z290" s="6" t="e">
        <f t="shared" si="687"/>
        <v>#DIV/0!</v>
      </c>
    </row>
    <row r="291" spans="1:26" x14ac:dyDescent="0.2">
      <c r="A291" s="7" t="s">
        <v>54</v>
      </c>
      <c r="B291" s="6">
        <f t="shared" si="463"/>
        <v>2</v>
      </c>
      <c r="C291" s="7" t="s">
        <v>152</v>
      </c>
      <c r="D291" s="68">
        <v>75</v>
      </c>
      <c r="E291" s="68">
        <v>3</v>
      </c>
      <c r="F291" s="65">
        <f t="shared" si="458"/>
        <v>0.04</v>
      </c>
      <c r="G291" s="60" t="e">
        <f t="shared" si="464"/>
        <v>#DIV/0!</v>
      </c>
      <c r="H291" s="65" t="e">
        <f t="shared" ref="H291:J291" si="688">H279</f>
        <v>#DIV/0!</v>
      </c>
      <c r="I291" s="65" t="e">
        <f t="shared" si="688"/>
        <v>#DIV/0!</v>
      </c>
      <c r="J291" s="65" t="e">
        <f t="shared" si="688"/>
        <v>#DIV/0!</v>
      </c>
      <c r="K291" s="69">
        <v>37857.379999999997</v>
      </c>
      <c r="L291" s="69">
        <f>'Monitoramento Acumulado Geral'!Q291</f>
        <v>0</v>
      </c>
      <c r="M291" s="6">
        <f>(SUM(L290:L291))/K290</f>
        <v>1.0565971549008411E-3</v>
      </c>
      <c r="N291" s="35" t="e">
        <f t="shared" si="466"/>
        <v>#DIV/0!</v>
      </c>
      <c r="O291" s="6" t="e">
        <f t="shared" ref="O291:Q291" si="689">O279</f>
        <v>#DIV/0!</v>
      </c>
      <c r="P291" s="6" t="e">
        <f t="shared" si="689"/>
        <v>#DIV/0!</v>
      </c>
      <c r="Q291" s="6" t="e">
        <f t="shared" si="689"/>
        <v>#DIV/0!</v>
      </c>
      <c r="R291" s="69">
        <v>80</v>
      </c>
      <c r="S291" s="69">
        <v>0</v>
      </c>
      <c r="T291" s="6">
        <f t="shared" si="461"/>
        <v>0</v>
      </c>
      <c r="U291" s="35" t="e">
        <f t="shared" si="468"/>
        <v>#DIV/0!</v>
      </c>
      <c r="V291" s="6" t="e">
        <f t="shared" ref="V291:Z291" si="690">V279</f>
        <v>#DIV/0!</v>
      </c>
      <c r="W291" s="6" t="e">
        <f t="shared" si="690"/>
        <v>#DIV/0!</v>
      </c>
      <c r="X291" s="6" t="e">
        <f t="shared" si="690"/>
        <v>#DIV/0!</v>
      </c>
      <c r="Y291" s="6" t="e">
        <f t="shared" si="690"/>
        <v>#DIV/0!</v>
      </c>
      <c r="Z291" s="6" t="e">
        <f t="shared" si="690"/>
        <v>#DIV/0!</v>
      </c>
    </row>
    <row r="292" spans="1:26" x14ac:dyDescent="0.2">
      <c r="A292" s="7" t="s">
        <v>54</v>
      </c>
      <c r="B292" s="6">
        <f t="shared" si="463"/>
        <v>3</v>
      </c>
      <c r="C292" s="7" t="s">
        <v>153</v>
      </c>
      <c r="D292" s="68">
        <v>75</v>
      </c>
      <c r="E292" s="68">
        <v>17</v>
      </c>
      <c r="F292" s="65">
        <f t="shared" si="458"/>
        <v>0.22666666666666666</v>
      </c>
      <c r="G292" s="60" t="e">
        <f t="shared" si="464"/>
        <v>#DIV/0!</v>
      </c>
      <c r="H292" s="65" t="e">
        <f t="shared" ref="H292:J292" si="691">H280</f>
        <v>#DIV/0!</v>
      </c>
      <c r="I292" s="65" t="e">
        <f t="shared" si="691"/>
        <v>#DIV/0!</v>
      </c>
      <c r="J292" s="65" t="e">
        <f t="shared" si="691"/>
        <v>#DIV/0!</v>
      </c>
      <c r="K292" s="69">
        <v>37857.379999999997</v>
      </c>
      <c r="L292" s="69">
        <f>'Monitoramento Acumulado Geral'!Q292</f>
        <v>720</v>
      </c>
      <c r="M292" s="6">
        <f>(SUM(L290:L292))/K291</f>
        <v>2.0075345943115979E-2</v>
      </c>
      <c r="N292" s="35" t="e">
        <f t="shared" si="466"/>
        <v>#DIV/0!</v>
      </c>
      <c r="O292" s="6" t="e">
        <f t="shared" ref="O292:Q292" si="692">O280</f>
        <v>#DIV/0!</v>
      </c>
      <c r="P292" s="6" t="e">
        <f t="shared" si="692"/>
        <v>#DIV/0!</v>
      </c>
      <c r="Q292" s="6" t="e">
        <f t="shared" si="692"/>
        <v>#DIV/0!</v>
      </c>
      <c r="R292" s="69">
        <v>80</v>
      </c>
      <c r="S292" s="69">
        <v>0</v>
      </c>
      <c r="T292" s="6">
        <f t="shared" si="461"/>
        <v>0</v>
      </c>
      <c r="U292" s="35" t="e">
        <f t="shared" si="468"/>
        <v>#DIV/0!</v>
      </c>
      <c r="V292" s="6" t="e">
        <f t="shared" ref="V292:Z292" si="693">V280</f>
        <v>#DIV/0!</v>
      </c>
      <c r="W292" s="6" t="e">
        <f t="shared" si="693"/>
        <v>#DIV/0!</v>
      </c>
      <c r="X292" s="6" t="e">
        <f t="shared" si="693"/>
        <v>#DIV/0!</v>
      </c>
      <c r="Y292" s="6" t="e">
        <f t="shared" si="693"/>
        <v>#DIV/0!</v>
      </c>
      <c r="Z292" s="6" t="e">
        <f t="shared" si="693"/>
        <v>#DIV/0!</v>
      </c>
    </row>
    <row r="293" spans="1:26" x14ac:dyDescent="0.2">
      <c r="A293" s="7" t="s">
        <v>54</v>
      </c>
      <c r="B293" s="6">
        <f t="shared" si="463"/>
        <v>4</v>
      </c>
      <c r="C293" s="7" t="s">
        <v>154</v>
      </c>
      <c r="D293" s="68">
        <v>75</v>
      </c>
      <c r="E293" s="68">
        <v>17</v>
      </c>
      <c r="F293" s="65">
        <f t="shared" si="458"/>
        <v>0.22666666666666666</v>
      </c>
      <c r="G293" s="60" t="e">
        <f t="shared" si="464"/>
        <v>#DIV/0!</v>
      </c>
      <c r="H293" s="65" t="e">
        <f t="shared" ref="H293:J293" si="694">H281</f>
        <v>#DIV/0!</v>
      </c>
      <c r="I293" s="65" t="e">
        <f t="shared" si="694"/>
        <v>#DIV/0!</v>
      </c>
      <c r="J293" s="65" t="e">
        <f t="shared" si="694"/>
        <v>#DIV/0!</v>
      </c>
      <c r="K293" s="69">
        <v>37857.379999999997</v>
      </c>
      <c r="L293" s="69">
        <f>'Monitoramento Acumulado Geral'!Q293</f>
        <v>0</v>
      </c>
      <c r="M293" s="6">
        <f>(SUM(L290:L293))/K292</f>
        <v>2.0075345943115979E-2</v>
      </c>
      <c r="N293" s="35" t="e">
        <f t="shared" si="466"/>
        <v>#DIV/0!</v>
      </c>
      <c r="O293" s="6" t="e">
        <f t="shared" ref="O293:Q293" si="695">O281</f>
        <v>#DIV/0!</v>
      </c>
      <c r="P293" s="6" t="e">
        <f t="shared" si="695"/>
        <v>#DIV/0!</v>
      </c>
      <c r="Q293" s="6" t="e">
        <f t="shared" si="695"/>
        <v>#DIV/0!</v>
      </c>
      <c r="R293" s="69">
        <v>80</v>
      </c>
      <c r="S293" s="69">
        <v>0</v>
      </c>
      <c r="T293" s="6">
        <f t="shared" si="461"/>
        <v>0</v>
      </c>
      <c r="U293" s="35" t="e">
        <f t="shared" si="468"/>
        <v>#DIV/0!</v>
      </c>
      <c r="V293" s="6" t="e">
        <f t="shared" ref="V293:Z293" si="696">V281</f>
        <v>#DIV/0!</v>
      </c>
      <c r="W293" s="6" t="e">
        <f t="shared" si="696"/>
        <v>#DIV/0!</v>
      </c>
      <c r="X293" s="6" t="e">
        <f t="shared" si="696"/>
        <v>#DIV/0!</v>
      </c>
      <c r="Y293" s="6" t="e">
        <f t="shared" si="696"/>
        <v>#DIV/0!</v>
      </c>
      <c r="Z293" s="6" t="e">
        <f t="shared" si="696"/>
        <v>#DIV/0!</v>
      </c>
    </row>
    <row r="294" spans="1:26" x14ac:dyDescent="0.2">
      <c r="A294" s="7" t="s">
        <v>54</v>
      </c>
      <c r="B294" s="6">
        <f t="shared" si="463"/>
        <v>5</v>
      </c>
      <c r="C294" s="7" t="s">
        <v>155</v>
      </c>
      <c r="D294" s="68">
        <v>75</v>
      </c>
      <c r="E294" s="68">
        <v>17</v>
      </c>
      <c r="F294" s="65">
        <f t="shared" ref="F294:F369" si="697">E294/D294</f>
        <v>0.22666666666666666</v>
      </c>
      <c r="G294" s="60" t="e">
        <f t="shared" si="464"/>
        <v>#DIV/0!</v>
      </c>
      <c r="H294" s="65" t="e">
        <f t="shared" ref="H294:J294" si="698">H282</f>
        <v>#DIV/0!</v>
      </c>
      <c r="I294" s="65" t="e">
        <f t="shared" si="698"/>
        <v>#DIV/0!</v>
      </c>
      <c r="J294" s="65" t="e">
        <f t="shared" si="698"/>
        <v>#DIV/0!</v>
      </c>
      <c r="K294" s="69">
        <v>37857.379999999997</v>
      </c>
      <c r="L294" s="69">
        <f>'Monitoramento Acumulado Geral'!Q294</f>
        <v>0</v>
      </c>
      <c r="M294" s="6">
        <f>(SUM(L290:L294))/K293</f>
        <v>2.0075345943115979E-2</v>
      </c>
      <c r="N294" s="35" t="e">
        <f t="shared" si="466"/>
        <v>#DIV/0!</v>
      </c>
      <c r="O294" s="6" t="e">
        <f t="shared" ref="O294:Q294" si="699">O282</f>
        <v>#DIV/0!</v>
      </c>
      <c r="P294" s="6" t="e">
        <f t="shared" si="699"/>
        <v>#DIV/0!</v>
      </c>
      <c r="Q294" s="6" t="e">
        <f t="shared" si="699"/>
        <v>#DIV/0!</v>
      </c>
      <c r="R294" s="69">
        <v>80</v>
      </c>
      <c r="S294" s="69">
        <v>3</v>
      </c>
      <c r="T294" s="6">
        <f t="shared" ref="T294:T369" si="700">S294/R294</f>
        <v>3.7499999999999999E-2</v>
      </c>
      <c r="U294" s="35" t="e">
        <f t="shared" si="468"/>
        <v>#DIV/0!</v>
      </c>
      <c r="V294" s="6" t="e">
        <f t="shared" ref="V294:Z294" si="701">V282</f>
        <v>#DIV/0!</v>
      </c>
      <c r="W294" s="6" t="e">
        <f t="shared" si="701"/>
        <v>#DIV/0!</v>
      </c>
      <c r="X294" s="6" t="e">
        <f t="shared" si="701"/>
        <v>#DIV/0!</v>
      </c>
      <c r="Y294" s="6" t="e">
        <f t="shared" si="701"/>
        <v>#DIV/0!</v>
      </c>
      <c r="Z294" s="6" t="e">
        <f t="shared" si="701"/>
        <v>#DIV/0!</v>
      </c>
    </row>
    <row r="295" spans="1:26" x14ac:dyDescent="0.2">
      <c r="A295" s="7" t="s">
        <v>54</v>
      </c>
      <c r="B295" s="6">
        <f t="shared" ref="B295:B370" si="702">_xlfn.IFS(C295="Janeiro",1,C295="Fevereiro",2,C295="Março",3,C295="Abril",4,C295="Maio",5,C295="Junho",6,C295="Julho",7,C295="Agosto",8,C295="Setembro",9,C295="Outubro",10,C295="Novembro",11,C295="Dezembro",12,TRUE,0)</f>
        <v>6</v>
      </c>
      <c r="C295" s="7" t="s">
        <v>156</v>
      </c>
      <c r="D295" s="68">
        <v>75</v>
      </c>
      <c r="E295" s="68">
        <v>62</v>
      </c>
      <c r="F295" s="65">
        <f t="shared" si="697"/>
        <v>0.82666666666666666</v>
      </c>
      <c r="G295" s="60" t="e">
        <f t="shared" ref="G295:G370" si="703">IF(F295&gt;=I295,"Desempenho Ótimo",(IF(F295&gt;H295,"Desempenho Bom",(IF(F295&gt;J295,"Desempenho Médio",IF(F295&lt;=J295,"Desempenho Deficitário",0))))))</f>
        <v>#DIV/0!</v>
      </c>
      <c r="H295" s="65" t="e">
        <f t="shared" ref="H295:J295" si="704">H283</f>
        <v>#DIV/0!</v>
      </c>
      <c r="I295" s="65" t="e">
        <f t="shared" si="704"/>
        <v>#DIV/0!</v>
      </c>
      <c r="J295" s="65" t="e">
        <f t="shared" si="704"/>
        <v>#DIV/0!</v>
      </c>
      <c r="K295" s="69">
        <v>37857.379999999997</v>
      </c>
      <c r="L295" s="69">
        <f>'Monitoramento Acumulado Geral'!Q295</f>
        <v>20955.73</v>
      </c>
      <c r="M295" s="6">
        <f>(SUM(L290:L295))/K294</f>
        <v>0.57361946336487102</v>
      </c>
      <c r="N295" s="35" t="e">
        <f t="shared" ref="N295:N370" si="705">IF(M295&gt;=P295,"Desempenho Ótimo",(IF(M295&gt;O295,"Desempenho Bom",(IF(M295&gt;Q295,"Desempenho Médio",IF(M295&lt;=Q295,"Desempenho Deficitário",0))))))</f>
        <v>#DIV/0!</v>
      </c>
      <c r="O295" s="6" t="e">
        <f t="shared" ref="O295:Q295" si="706">O283</f>
        <v>#DIV/0!</v>
      </c>
      <c r="P295" s="6" t="e">
        <f t="shared" si="706"/>
        <v>#DIV/0!</v>
      </c>
      <c r="Q295" s="6" t="e">
        <f t="shared" si="706"/>
        <v>#DIV/0!</v>
      </c>
      <c r="R295" s="69">
        <v>80</v>
      </c>
      <c r="S295" s="69">
        <v>3</v>
      </c>
      <c r="T295" s="6">
        <f t="shared" si="700"/>
        <v>3.7499999999999999E-2</v>
      </c>
      <c r="U295" s="35" t="e">
        <f t="shared" ref="U295:U370" si="707">IF(T295&gt;=W295,"Desempenho Ótimo",(IF(T295&gt;V295,"Desempenho Bom",(IF(T295&gt;X295,"Desempenho Médio",IF(T295&lt;=X295,"Desempenho Deficitário",0))))))</f>
        <v>#DIV/0!</v>
      </c>
      <c r="V295" s="6" t="e">
        <f t="shared" ref="V295:Z295" si="708">V283</f>
        <v>#DIV/0!</v>
      </c>
      <c r="W295" s="6" t="e">
        <f t="shared" si="708"/>
        <v>#DIV/0!</v>
      </c>
      <c r="X295" s="6" t="e">
        <f t="shared" si="708"/>
        <v>#DIV/0!</v>
      </c>
      <c r="Y295" s="6" t="e">
        <f t="shared" si="708"/>
        <v>#DIV/0!</v>
      </c>
      <c r="Z295" s="6" t="e">
        <f t="shared" si="708"/>
        <v>#DIV/0!</v>
      </c>
    </row>
    <row r="296" spans="1:26" x14ac:dyDescent="0.2">
      <c r="A296" s="7" t="s">
        <v>54</v>
      </c>
      <c r="B296" s="6">
        <f t="shared" si="702"/>
        <v>7</v>
      </c>
      <c r="C296" s="7" t="s">
        <v>157</v>
      </c>
      <c r="D296" s="68">
        <v>75</v>
      </c>
      <c r="E296" s="68">
        <v>62</v>
      </c>
      <c r="F296" s="65">
        <f t="shared" si="697"/>
        <v>0.82666666666666666</v>
      </c>
      <c r="G296" s="60" t="e">
        <f t="shared" si="703"/>
        <v>#DIV/0!</v>
      </c>
      <c r="H296" s="65" t="e">
        <f t="shared" ref="H296:J296" si="709">H284</f>
        <v>#DIV/0!</v>
      </c>
      <c r="I296" s="65" t="e">
        <f t="shared" si="709"/>
        <v>#DIV/0!</v>
      </c>
      <c r="J296" s="65" t="e">
        <f t="shared" si="709"/>
        <v>#DIV/0!</v>
      </c>
      <c r="K296" s="69">
        <v>37857.379999999997</v>
      </c>
      <c r="L296" s="69">
        <f>'Monitoramento Acumulado Geral'!Q296</f>
        <v>3160</v>
      </c>
      <c r="M296" s="6">
        <f>(SUM(L290:L296))/K295</f>
        <v>0.65709063860203742</v>
      </c>
      <c r="N296" s="35" t="e">
        <f t="shared" si="705"/>
        <v>#DIV/0!</v>
      </c>
      <c r="O296" s="6" t="e">
        <f t="shared" ref="O296:Q296" si="710">O284</f>
        <v>#DIV/0!</v>
      </c>
      <c r="P296" s="6" t="e">
        <f t="shared" si="710"/>
        <v>#DIV/0!</v>
      </c>
      <c r="Q296" s="6" t="e">
        <f t="shared" si="710"/>
        <v>#DIV/0!</v>
      </c>
      <c r="R296" s="69">
        <v>80</v>
      </c>
      <c r="S296" s="69">
        <v>3</v>
      </c>
      <c r="T296" s="6">
        <f t="shared" si="700"/>
        <v>3.7499999999999999E-2</v>
      </c>
      <c r="U296" s="35" t="e">
        <f t="shared" si="707"/>
        <v>#DIV/0!</v>
      </c>
      <c r="V296" s="6" t="e">
        <f t="shared" ref="V296:Z296" si="711">V284</f>
        <v>#DIV/0!</v>
      </c>
      <c r="W296" s="6" t="e">
        <f t="shared" si="711"/>
        <v>#DIV/0!</v>
      </c>
      <c r="X296" s="6" t="e">
        <f t="shared" si="711"/>
        <v>#DIV/0!</v>
      </c>
      <c r="Y296" s="6" t="e">
        <f t="shared" si="711"/>
        <v>#DIV/0!</v>
      </c>
      <c r="Z296" s="6" t="e">
        <f t="shared" si="711"/>
        <v>#DIV/0!</v>
      </c>
    </row>
    <row r="297" spans="1:26" x14ac:dyDescent="0.2">
      <c r="A297" s="7" t="s">
        <v>54</v>
      </c>
      <c r="B297" s="6">
        <f t="shared" si="702"/>
        <v>8</v>
      </c>
      <c r="C297" s="7" t="s">
        <v>158</v>
      </c>
      <c r="D297" s="68">
        <v>75</v>
      </c>
      <c r="E297" s="68">
        <v>62</v>
      </c>
      <c r="F297" s="65">
        <f t="shared" si="697"/>
        <v>0.82666666666666666</v>
      </c>
      <c r="G297" s="60" t="e">
        <f t="shared" si="703"/>
        <v>#DIV/0!</v>
      </c>
      <c r="H297" s="65" t="e">
        <f t="shared" ref="H297:J297" si="712">H285</f>
        <v>#DIV/0!</v>
      </c>
      <c r="I297" s="65" t="e">
        <f t="shared" si="712"/>
        <v>#DIV/0!</v>
      </c>
      <c r="J297" s="65" t="e">
        <f t="shared" si="712"/>
        <v>#DIV/0!</v>
      </c>
      <c r="K297" s="69">
        <v>37857.379999999997</v>
      </c>
      <c r="L297" s="69">
        <f>'Monitoramento Acumulado Geral'!Q297</f>
        <v>0</v>
      </c>
      <c r="M297" s="6">
        <f>(SUM(L290:L297))/K296</f>
        <v>0.65709063860203742</v>
      </c>
      <c r="N297" s="35" t="e">
        <f t="shared" si="705"/>
        <v>#DIV/0!</v>
      </c>
      <c r="O297" s="6" t="e">
        <f t="shared" ref="O297:Q297" si="713">O285</f>
        <v>#DIV/0!</v>
      </c>
      <c r="P297" s="6" t="e">
        <f t="shared" si="713"/>
        <v>#DIV/0!</v>
      </c>
      <c r="Q297" s="6" t="e">
        <f t="shared" si="713"/>
        <v>#DIV/0!</v>
      </c>
      <c r="R297" s="69">
        <v>80</v>
      </c>
      <c r="S297" s="69">
        <v>3</v>
      </c>
      <c r="T297" s="6">
        <f t="shared" si="700"/>
        <v>3.7499999999999999E-2</v>
      </c>
      <c r="U297" s="35" t="e">
        <f t="shared" si="707"/>
        <v>#DIV/0!</v>
      </c>
      <c r="V297" s="6" t="e">
        <f t="shared" ref="V297:Z297" si="714">V285</f>
        <v>#DIV/0!</v>
      </c>
      <c r="W297" s="6" t="e">
        <f t="shared" si="714"/>
        <v>#DIV/0!</v>
      </c>
      <c r="X297" s="6" t="e">
        <f t="shared" si="714"/>
        <v>#DIV/0!</v>
      </c>
      <c r="Y297" s="6" t="e">
        <f t="shared" si="714"/>
        <v>#DIV/0!</v>
      </c>
      <c r="Z297" s="6" t="e">
        <f t="shared" si="714"/>
        <v>#DIV/0!</v>
      </c>
    </row>
    <row r="298" spans="1:26" x14ac:dyDescent="0.2">
      <c r="A298" s="7" t="s">
        <v>54</v>
      </c>
      <c r="B298" s="6">
        <f t="shared" si="702"/>
        <v>9</v>
      </c>
      <c r="C298" s="7" t="s">
        <v>159</v>
      </c>
      <c r="D298" s="68">
        <v>75</v>
      </c>
      <c r="E298" s="68">
        <v>86</v>
      </c>
      <c r="F298" s="65">
        <f t="shared" si="697"/>
        <v>1.1466666666666667</v>
      </c>
      <c r="G298" s="60" t="e">
        <f t="shared" si="703"/>
        <v>#DIV/0!</v>
      </c>
      <c r="H298" s="65" t="e">
        <f t="shared" ref="H298:J298" si="715">H286</f>
        <v>#DIV/0!</v>
      </c>
      <c r="I298" s="65" t="e">
        <f t="shared" si="715"/>
        <v>#DIV/0!</v>
      </c>
      <c r="J298" s="65" t="e">
        <f t="shared" si="715"/>
        <v>#DIV/0!</v>
      </c>
      <c r="K298" s="69">
        <v>37857.379999999997</v>
      </c>
      <c r="L298" s="69">
        <f>'Monitoramento Acumulado Geral'!Q298</f>
        <v>3</v>
      </c>
      <c r="M298" s="6">
        <f>(SUM(L290:L298))/K297</f>
        <v>0.65716988338865501</v>
      </c>
      <c r="N298" s="35" t="e">
        <f t="shared" si="705"/>
        <v>#DIV/0!</v>
      </c>
      <c r="O298" s="6" t="e">
        <f t="shared" ref="O298:Q298" si="716">O286</f>
        <v>#DIV/0!</v>
      </c>
      <c r="P298" s="6" t="e">
        <f t="shared" si="716"/>
        <v>#DIV/0!</v>
      </c>
      <c r="Q298" s="6" t="e">
        <f t="shared" si="716"/>
        <v>#DIV/0!</v>
      </c>
      <c r="R298" s="69">
        <v>80</v>
      </c>
      <c r="S298" s="69">
        <v>3</v>
      </c>
      <c r="T298" s="6">
        <f t="shared" si="700"/>
        <v>3.7499999999999999E-2</v>
      </c>
      <c r="U298" s="35" t="e">
        <f t="shared" si="707"/>
        <v>#DIV/0!</v>
      </c>
      <c r="V298" s="6" t="e">
        <f t="shared" ref="V298:Z298" si="717">V286</f>
        <v>#DIV/0!</v>
      </c>
      <c r="W298" s="6" t="e">
        <f t="shared" si="717"/>
        <v>#DIV/0!</v>
      </c>
      <c r="X298" s="6" t="e">
        <f t="shared" si="717"/>
        <v>#DIV/0!</v>
      </c>
      <c r="Y298" s="6" t="e">
        <f t="shared" si="717"/>
        <v>#DIV/0!</v>
      </c>
      <c r="Z298" s="6" t="e">
        <f t="shared" si="717"/>
        <v>#DIV/0!</v>
      </c>
    </row>
    <row r="299" spans="1:26" x14ac:dyDescent="0.2">
      <c r="A299" s="7" t="s">
        <v>54</v>
      </c>
      <c r="B299" s="6">
        <f t="shared" si="702"/>
        <v>10</v>
      </c>
      <c r="C299" s="7" t="s">
        <v>160</v>
      </c>
      <c r="D299" s="68">
        <v>75</v>
      </c>
      <c r="E299" s="68">
        <v>86</v>
      </c>
      <c r="F299" s="65">
        <f t="shared" si="697"/>
        <v>1.1466666666666667</v>
      </c>
      <c r="G299" s="60" t="e">
        <f t="shared" si="703"/>
        <v>#DIV/0!</v>
      </c>
      <c r="H299" s="65" t="e">
        <f t="shared" ref="H299:J299" si="718">H287</f>
        <v>#DIV/0!</v>
      </c>
      <c r="I299" s="65" t="e">
        <f t="shared" si="718"/>
        <v>#DIV/0!</v>
      </c>
      <c r="J299" s="65" t="e">
        <f t="shared" si="718"/>
        <v>#DIV/0!</v>
      </c>
      <c r="K299" s="69">
        <v>37857.379999999997</v>
      </c>
      <c r="L299" s="69">
        <f>'Monitoramento Acumulado Geral'!Q299</f>
        <v>0</v>
      </c>
      <c r="M299" s="6">
        <f>(SUM(L290:L299))/K298</f>
        <v>0.65716988338865501</v>
      </c>
      <c r="N299" s="35" t="e">
        <f t="shared" si="705"/>
        <v>#DIV/0!</v>
      </c>
      <c r="O299" s="6" t="e">
        <f t="shared" ref="O299:Q299" si="719">O287</f>
        <v>#DIV/0!</v>
      </c>
      <c r="P299" s="6" t="e">
        <f t="shared" si="719"/>
        <v>#DIV/0!</v>
      </c>
      <c r="Q299" s="6" t="e">
        <f t="shared" si="719"/>
        <v>#DIV/0!</v>
      </c>
      <c r="R299" s="69">
        <v>80</v>
      </c>
      <c r="S299" s="69">
        <v>3</v>
      </c>
      <c r="T299" s="6">
        <f t="shared" si="700"/>
        <v>3.7499999999999999E-2</v>
      </c>
      <c r="U299" s="35" t="e">
        <f t="shared" si="707"/>
        <v>#DIV/0!</v>
      </c>
      <c r="V299" s="6" t="e">
        <f t="shared" ref="V299:Z299" si="720">V287</f>
        <v>#DIV/0!</v>
      </c>
      <c r="W299" s="6" t="e">
        <f t="shared" si="720"/>
        <v>#DIV/0!</v>
      </c>
      <c r="X299" s="6" t="e">
        <f t="shared" si="720"/>
        <v>#DIV/0!</v>
      </c>
      <c r="Y299" s="6" t="e">
        <f t="shared" si="720"/>
        <v>#DIV/0!</v>
      </c>
      <c r="Z299" s="6" t="e">
        <f t="shared" si="720"/>
        <v>#DIV/0!</v>
      </c>
    </row>
    <row r="300" spans="1:26" x14ac:dyDescent="0.2">
      <c r="A300" s="7" t="s">
        <v>54</v>
      </c>
      <c r="B300" s="6">
        <f t="shared" si="702"/>
        <v>11</v>
      </c>
      <c r="C300" s="7" t="s">
        <v>161</v>
      </c>
      <c r="D300" s="68">
        <v>75</v>
      </c>
      <c r="E300" s="68">
        <v>0</v>
      </c>
      <c r="F300" s="65">
        <f t="shared" si="697"/>
        <v>0</v>
      </c>
      <c r="G300" s="60" t="e">
        <f t="shared" si="703"/>
        <v>#DIV/0!</v>
      </c>
      <c r="H300" s="65" t="e">
        <f t="shared" ref="H300:J300" si="721">H288</f>
        <v>#DIV/0!</v>
      </c>
      <c r="I300" s="65" t="e">
        <f t="shared" si="721"/>
        <v>#DIV/0!</v>
      </c>
      <c r="J300" s="65" t="e">
        <f t="shared" si="721"/>
        <v>#DIV/0!</v>
      </c>
      <c r="K300" s="69">
        <v>37857.379999999997</v>
      </c>
      <c r="L300" s="69">
        <f>'Monitoramento Acumulado Geral'!Q300</f>
        <v>0</v>
      </c>
      <c r="M300" s="6">
        <f>(SUM(L290:L300))/K299</f>
        <v>0.65716988338865501</v>
      </c>
      <c r="N300" s="35" t="e">
        <f t="shared" si="705"/>
        <v>#DIV/0!</v>
      </c>
      <c r="O300" s="6" t="e">
        <f t="shared" ref="O300:Q300" si="722">O288</f>
        <v>#DIV/0!</v>
      </c>
      <c r="P300" s="6" t="e">
        <f t="shared" si="722"/>
        <v>#DIV/0!</v>
      </c>
      <c r="Q300" s="6" t="e">
        <f t="shared" si="722"/>
        <v>#DIV/0!</v>
      </c>
      <c r="R300" s="69">
        <v>80</v>
      </c>
      <c r="S300" s="69">
        <v>0</v>
      </c>
      <c r="T300" s="6">
        <f t="shared" si="700"/>
        <v>0</v>
      </c>
      <c r="U300" s="35" t="e">
        <f t="shared" si="707"/>
        <v>#DIV/0!</v>
      </c>
      <c r="V300" s="6" t="e">
        <f t="shared" ref="V300:Z300" si="723">V288</f>
        <v>#DIV/0!</v>
      </c>
      <c r="W300" s="6" t="e">
        <f t="shared" si="723"/>
        <v>#DIV/0!</v>
      </c>
      <c r="X300" s="6" t="e">
        <f t="shared" si="723"/>
        <v>#DIV/0!</v>
      </c>
      <c r="Y300" s="6" t="e">
        <f t="shared" si="723"/>
        <v>#DIV/0!</v>
      </c>
      <c r="Z300" s="6" t="e">
        <f t="shared" si="723"/>
        <v>#DIV/0!</v>
      </c>
    </row>
    <row r="301" spans="1:26" x14ac:dyDescent="0.2">
      <c r="A301" s="7" t="s">
        <v>54</v>
      </c>
      <c r="B301" s="6">
        <f t="shared" si="702"/>
        <v>12</v>
      </c>
      <c r="C301" s="7" t="s">
        <v>162</v>
      </c>
      <c r="D301" s="68">
        <v>75</v>
      </c>
      <c r="E301" s="68">
        <v>0</v>
      </c>
      <c r="F301" s="65">
        <f t="shared" si="697"/>
        <v>0</v>
      </c>
      <c r="G301" s="60" t="e">
        <f t="shared" si="703"/>
        <v>#DIV/0!</v>
      </c>
      <c r="H301" s="65" t="e">
        <f t="shared" ref="H301:J301" si="724">H289</f>
        <v>#DIV/0!</v>
      </c>
      <c r="I301" s="65" t="e">
        <f t="shared" si="724"/>
        <v>#DIV/0!</v>
      </c>
      <c r="J301" s="65" t="e">
        <f t="shared" si="724"/>
        <v>#DIV/0!</v>
      </c>
      <c r="K301" s="69">
        <v>37857.379999999997</v>
      </c>
      <c r="L301" s="69">
        <f>'Monitoramento Acumulado Geral'!Q301</f>
        <v>0</v>
      </c>
      <c r="M301" s="6">
        <f>(SUM(L290:L301))/K300</f>
        <v>0.65716988338865501</v>
      </c>
      <c r="N301" s="35" t="e">
        <f t="shared" si="705"/>
        <v>#DIV/0!</v>
      </c>
      <c r="O301" s="6" t="e">
        <f t="shared" ref="O301:Q301" si="725">O289</f>
        <v>#DIV/0!</v>
      </c>
      <c r="P301" s="6" t="e">
        <f t="shared" si="725"/>
        <v>#DIV/0!</v>
      </c>
      <c r="Q301" s="6" t="e">
        <f t="shared" si="725"/>
        <v>#DIV/0!</v>
      </c>
      <c r="R301" s="69">
        <v>80</v>
      </c>
      <c r="S301" s="69">
        <v>0</v>
      </c>
      <c r="T301" s="6">
        <f t="shared" si="700"/>
        <v>0</v>
      </c>
      <c r="U301" s="35" t="e">
        <f t="shared" si="707"/>
        <v>#DIV/0!</v>
      </c>
      <c r="V301" s="6" t="e">
        <f t="shared" ref="V301:Z301" si="726">V289</f>
        <v>#DIV/0!</v>
      </c>
      <c r="W301" s="6" t="e">
        <f t="shared" si="726"/>
        <v>#DIV/0!</v>
      </c>
      <c r="X301" s="6" t="e">
        <f t="shared" si="726"/>
        <v>#DIV/0!</v>
      </c>
      <c r="Y301" s="6" t="e">
        <f t="shared" si="726"/>
        <v>#DIV/0!</v>
      </c>
      <c r="Z301" s="6" t="e">
        <f t="shared" si="726"/>
        <v>#DIV/0!</v>
      </c>
    </row>
    <row r="302" spans="1:26" x14ac:dyDescent="0.2">
      <c r="A302" t="s">
        <v>300</v>
      </c>
      <c r="B302" s="6">
        <f t="shared" si="702"/>
        <v>1</v>
      </c>
      <c r="C302" s="7" t="s">
        <v>151</v>
      </c>
      <c r="D302" s="68">
        <v>0</v>
      </c>
      <c r="E302" s="68">
        <v>0</v>
      </c>
      <c r="F302" s="65" t="e">
        <f t="shared" si="697"/>
        <v>#DIV/0!</v>
      </c>
      <c r="G302" s="60" t="e">
        <f t="shared" si="703"/>
        <v>#DIV/0!</v>
      </c>
      <c r="H302" s="65" t="e">
        <f t="shared" ref="H302:J302" si="727">H290</f>
        <v>#DIV/0!</v>
      </c>
      <c r="I302" s="65" t="e">
        <f t="shared" si="727"/>
        <v>#DIV/0!</v>
      </c>
      <c r="J302" s="65" t="e">
        <f t="shared" si="727"/>
        <v>#DIV/0!</v>
      </c>
      <c r="K302" s="69">
        <v>7000</v>
      </c>
      <c r="L302" s="69">
        <f>'Monitoramento Acumulado Geral'!Q302</f>
        <v>0</v>
      </c>
      <c r="M302" s="6">
        <f>L302/K302</f>
        <v>0</v>
      </c>
      <c r="N302" s="35" t="e">
        <f t="shared" si="705"/>
        <v>#DIV/0!</v>
      </c>
      <c r="O302" s="6" t="e">
        <f t="shared" ref="O302:Q302" si="728">O290</f>
        <v>#DIV/0!</v>
      </c>
      <c r="P302" s="6" t="e">
        <f t="shared" si="728"/>
        <v>#DIV/0!</v>
      </c>
      <c r="Q302" s="6" t="e">
        <f t="shared" si="728"/>
        <v>#DIV/0!</v>
      </c>
      <c r="R302" s="69">
        <v>0</v>
      </c>
      <c r="S302" s="69">
        <v>0</v>
      </c>
      <c r="T302" s="6" t="e">
        <f t="shared" si="700"/>
        <v>#DIV/0!</v>
      </c>
      <c r="U302" s="35" t="e">
        <f t="shared" si="707"/>
        <v>#DIV/0!</v>
      </c>
      <c r="V302" s="6" t="e">
        <f t="shared" ref="V302:Z302" si="729">V290</f>
        <v>#DIV/0!</v>
      </c>
      <c r="W302" s="6" t="e">
        <f t="shared" si="729"/>
        <v>#DIV/0!</v>
      </c>
      <c r="X302" s="6" t="e">
        <f t="shared" si="729"/>
        <v>#DIV/0!</v>
      </c>
      <c r="Y302" s="6" t="e">
        <f t="shared" si="729"/>
        <v>#DIV/0!</v>
      </c>
      <c r="Z302" s="6" t="e">
        <f t="shared" si="729"/>
        <v>#DIV/0!</v>
      </c>
    </row>
    <row r="303" spans="1:26" x14ac:dyDescent="0.2">
      <c r="A303" t="s">
        <v>300</v>
      </c>
      <c r="B303" s="6">
        <f t="shared" si="702"/>
        <v>2</v>
      </c>
      <c r="C303" s="7" t="s">
        <v>152</v>
      </c>
      <c r="D303" s="68">
        <v>0</v>
      </c>
      <c r="E303" s="68">
        <v>0</v>
      </c>
      <c r="F303" s="65" t="e">
        <f t="shared" si="697"/>
        <v>#DIV/0!</v>
      </c>
      <c r="G303" s="60" t="e">
        <f t="shared" si="703"/>
        <v>#DIV/0!</v>
      </c>
      <c r="H303" s="65" t="e">
        <f t="shared" ref="H303:J303" si="730">H291</f>
        <v>#DIV/0!</v>
      </c>
      <c r="I303" s="65" t="e">
        <f t="shared" si="730"/>
        <v>#DIV/0!</v>
      </c>
      <c r="J303" s="65" t="e">
        <f t="shared" si="730"/>
        <v>#DIV/0!</v>
      </c>
      <c r="K303" s="69">
        <v>7000</v>
      </c>
      <c r="L303" s="69">
        <f>'Monitoramento Acumulado Geral'!Q303</f>
        <v>0</v>
      </c>
      <c r="M303" s="6">
        <f>(SUM(L302:L303))/K302</f>
        <v>0</v>
      </c>
      <c r="N303" s="35" t="e">
        <f t="shared" si="705"/>
        <v>#DIV/0!</v>
      </c>
      <c r="O303" s="6" t="e">
        <f t="shared" ref="O303:Q303" si="731">O291</f>
        <v>#DIV/0!</v>
      </c>
      <c r="P303" s="6" t="e">
        <f t="shared" si="731"/>
        <v>#DIV/0!</v>
      </c>
      <c r="Q303" s="6" t="e">
        <f t="shared" si="731"/>
        <v>#DIV/0!</v>
      </c>
      <c r="R303" s="69">
        <v>0</v>
      </c>
      <c r="S303" s="69">
        <v>0</v>
      </c>
      <c r="T303" s="6" t="e">
        <f t="shared" si="700"/>
        <v>#DIV/0!</v>
      </c>
      <c r="U303" s="35" t="e">
        <f t="shared" si="707"/>
        <v>#DIV/0!</v>
      </c>
      <c r="V303" s="6" t="e">
        <f t="shared" ref="V303:Z303" si="732">V291</f>
        <v>#DIV/0!</v>
      </c>
      <c r="W303" s="6" t="e">
        <f t="shared" si="732"/>
        <v>#DIV/0!</v>
      </c>
      <c r="X303" s="6" t="e">
        <f t="shared" si="732"/>
        <v>#DIV/0!</v>
      </c>
      <c r="Y303" s="6" t="e">
        <f t="shared" si="732"/>
        <v>#DIV/0!</v>
      </c>
      <c r="Z303" s="6" t="e">
        <f t="shared" si="732"/>
        <v>#DIV/0!</v>
      </c>
    </row>
    <row r="304" spans="1:26" x14ac:dyDescent="0.2">
      <c r="A304" t="s">
        <v>300</v>
      </c>
      <c r="B304" s="6">
        <f t="shared" si="702"/>
        <v>3</v>
      </c>
      <c r="C304" s="7" t="s">
        <v>153</v>
      </c>
      <c r="D304" s="68">
        <v>0</v>
      </c>
      <c r="E304" s="68">
        <v>0</v>
      </c>
      <c r="F304" s="65" t="e">
        <f t="shared" si="697"/>
        <v>#DIV/0!</v>
      </c>
      <c r="G304" s="60" t="e">
        <f t="shared" si="703"/>
        <v>#DIV/0!</v>
      </c>
      <c r="H304" s="65" t="e">
        <f t="shared" ref="H304:J304" si="733">H292</f>
        <v>#DIV/0!</v>
      </c>
      <c r="I304" s="65" t="e">
        <f t="shared" si="733"/>
        <v>#DIV/0!</v>
      </c>
      <c r="J304" s="65" t="e">
        <f t="shared" si="733"/>
        <v>#DIV/0!</v>
      </c>
      <c r="K304" s="69">
        <v>7000</v>
      </c>
      <c r="L304" s="69">
        <f>'Monitoramento Acumulado Geral'!Q304</f>
        <v>0</v>
      </c>
      <c r="M304" s="6">
        <f>(SUM(L302:L304))/K303</f>
        <v>0</v>
      </c>
      <c r="N304" s="35" t="e">
        <f t="shared" si="705"/>
        <v>#DIV/0!</v>
      </c>
      <c r="O304" s="6" t="e">
        <f t="shared" ref="O304:Q304" si="734">O292</f>
        <v>#DIV/0!</v>
      </c>
      <c r="P304" s="6" t="e">
        <f t="shared" si="734"/>
        <v>#DIV/0!</v>
      </c>
      <c r="Q304" s="6" t="e">
        <f t="shared" si="734"/>
        <v>#DIV/0!</v>
      </c>
      <c r="R304" s="69">
        <v>0</v>
      </c>
      <c r="S304" s="69">
        <v>0</v>
      </c>
      <c r="T304" s="6" t="e">
        <f t="shared" si="700"/>
        <v>#DIV/0!</v>
      </c>
      <c r="U304" s="35" t="e">
        <f t="shared" si="707"/>
        <v>#DIV/0!</v>
      </c>
      <c r="V304" s="6" t="e">
        <f t="shared" ref="V304:Z304" si="735">V292</f>
        <v>#DIV/0!</v>
      </c>
      <c r="W304" s="6" t="e">
        <f t="shared" si="735"/>
        <v>#DIV/0!</v>
      </c>
      <c r="X304" s="6" t="e">
        <f t="shared" si="735"/>
        <v>#DIV/0!</v>
      </c>
      <c r="Y304" s="6" t="e">
        <f t="shared" si="735"/>
        <v>#DIV/0!</v>
      </c>
      <c r="Z304" s="6" t="e">
        <f t="shared" si="735"/>
        <v>#DIV/0!</v>
      </c>
    </row>
    <row r="305" spans="1:26" x14ac:dyDescent="0.2">
      <c r="A305" t="s">
        <v>300</v>
      </c>
      <c r="B305" s="6">
        <f t="shared" si="702"/>
        <v>4</v>
      </c>
      <c r="C305" s="7" t="s">
        <v>154</v>
      </c>
      <c r="D305" s="68">
        <v>0</v>
      </c>
      <c r="E305" s="68">
        <v>0</v>
      </c>
      <c r="F305" s="65" t="e">
        <f t="shared" si="697"/>
        <v>#DIV/0!</v>
      </c>
      <c r="G305" s="60" t="e">
        <f t="shared" si="703"/>
        <v>#DIV/0!</v>
      </c>
      <c r="H305" s="65" t="e">
        <f t="shared" ref="H305:J305" si="736">H293</f>
        <v>#DIV/0!</v>
      </c>
      <c r="I305" s="65" t="e">
        <f t="shared" si="736"/>
        <v>#DIV/0!</v>
      </c>
      <c r="J305" s="65" t="e">
        <f t="shared" si="736"/>
        <v>#DIV/0!</v>
      </c>
      <c r="K305" s="69">
        <v>7000</v>
      </c>
      <c r="L305" s="69">
        <f>'Monitoramento Acumulado Geral'!Q305</f>
        <v>0</v>
      </c>
      <c r="M305" s="6">
        <f>(SUM(L302:L305))/K304</f>
        <v>0</v>
      </c>
      <c r="N305" s="35" t="e">
        <f t="shared" si="705"/>
        <v>#DIV/0!</v>
      </c>
      <c r="O305" s="6" t="e">
        <f t="shared" ref="O305:Q305" si="737">O293</f>
        <v>#DIV/0!</v>
      </c>
      <c r="P305" s="6" t="e">
        <f t="shared" si="737"/>
        <v>#DIV/0!</v>
      </c>
      <c r="Q305" s="6" t="e">
        <f t="shared" si="737"/>
        <v>#DIV/0!</v>
      </c>
      <c r="R305" s="69">
        <v>0</v>
      </c>
      <c r="S305" s="69">
        <v>0</v>
      </c>
      <c r="T305" s="6" t="e">
        <f t="shared" si="700"/>
        <v>#DIV/0!</v>
      </c>
      <c r="U305" s="35" t="e">
        <f t="shared" si="707"/>
        <v>#DIV/0!</v>
      </c>
      <c r="V305" s="6" t="e">
        <f t="shared" ref="V305:Z305" si="738">V293</f>
        <v>#DIV/0!</v>
      </c>
      <c r="W305" s="6" t="e">
        <f t="shared" si="738"/>
        <v>#DIV/0!</v>
      </c>
      <c r="X305" s="6" t="e">
        <f t="shared" si="738"/>
        <v>#DIV/0!</v>
      </c>
      <c r="Y305" s="6" t="e">
        <f t="shared" si="738"/>
        <v>#DIV/0!</v>
      </c>
      <c r="Z305" s="6" t="e">
        <f t="shared" si="738"/>
        <v>#DIV/0!</v>
      </c>
    </row>
    <row r="306" spans="1:26" x14ac:dyDescent="0.2">
      <c r="A306" t="s">
        <v>300</v>
      </c>
      <c r="B306" s="6">
        <f t="shared" si="702"/>
        <v>5</v>
      </c>
      <c r="C306" s="7" t="s">
        <v>155</v>
      </c>
      <c r="D306" s="68">
        <v>0</v>
      </c>
      <c r="E306" s="68">
        <v>0</v>
      </c>
      <c r="F306" s="65" t="e">
        <f t="shared" si="697"/>
        <v>#DIV/0!</v>
      </c>
      <c r="G306" s="60" t="e">
        <f t="shared" si="703"/>
        <v>#DIV/0!</v>
      </c>
      <c r="H306" s="65" t="e">
        <f t="shared" ref="H306:J306" si="739">H294</f>
        <v>#DIV/0!</v>
      </c>
      <c r="I306" s="65" t="e">
        <f t="shared" si="739"/>
        <v>#DIV/0!</v>
      </c>
      <c r="J306" s="65" t="e">
        <f t="shared" si="739"/>
        <v>#DIV/0!</v>
      </c>
      <c r="K306" s="69">
        <v>7000</v>
      </c>
      <c r="L306" s="69">
        <f>'Monitoramento Acumulado Geral'!Q306</f>
        <v>0</v>
      </c>
      <c r="M306" s="6">
        <f>(SUM(L302:L306))/K305</f>
        <v>0</v>
      </c>
      <c r="N306" s="35" t="e">
        <f t="shared" si="705"/>
        <v>#DIV/0!</v>
      </c>
      <c r="O306" s="6" t="e">
        <f t="shared" ref="O306:Q306" si="740">O294</f>
        <v>#DIV/0!</v>
      </c>
      <c r="P306" s="6" t="e">
        <f t="shared" si="740"/>
        <v>#DIV/0!</v>
      </c>
      <c r="Q306" s="6" t="e">
        <f t="shared" si="740"/>
        <v>#DIV/0!</v>
      </c>
      <c r="R306" s="69">
        <v>0</v>
      </c>
      <c r="S306" s="69">
        <v>0</v>
      </c>
      <c r="T306" s="6" t="e">
        <f t="shared" si="700"/>
        <v>#DIV/0!</v>
      </c>
      <c r="U306" s="35" t="e">
        <f t="shared" si="707"/>
        <v>#DIV/0!</v>
      </c>
      <c r="V306" s="6" t="e">
        <f t="shared" ref="V306:Z306" si="741">V294</f>
        <v>#DIV/0!</v>
      </c>
      <c r="W306" s="6" t="e">
        <f t="shared" si="741"/>
        <v>#DIV/0!</v>
      </c>
      <c r="X306" s="6" t="e">
        <f t="shared" si="741"/>
        <v>#DIV/0!</v>
      </c>
      <c r="Y306" s="6" t="e">
        <f t="shared" si="741"/>
        <v>#DIV/0!</v>
      </c>
      <c r="Z306" s="6" t="e">
        <f t="shared" si="741"/>
        <v>#DIV/0!</v>
      </c>
    </row>
    <row r="307" spans="1:26" x14ac:dyDescent="0.2">
      <c r="A307" t="s">
        <v>300</v>
      </c>
      <c r="B307" s="6">
        <f t="shared" ref="B307:B313" si="742">_xlfn.IFS(C307="Janeiro",1,C307="Fevereiro",2,C307="Março",3,C307="Abril",4,C307="Maio",5,C307="Junho",6,C307="Julho",7,C307="Agosto",8,C307="Setembro",9,C307="Outubro",10,C307="Novembro",11,C307="Dezembro",12,TRUE,0)</f>
        <v>6</v>
      </c>
      <c r="C307" s="7" t="s">
        <v>156</v>
      </c>
      <c r="D307" s="68">
        <v>0</v>
      </c>
      <c r="E307" s="68">
        <v>100</v>
      </c>
      <c r="F307" s="65" t="e">
        <f t="shared" si="697"/>
        <v>#DIV/0!</v>
      </c>
      <c r="G307" s="60" t="e">
        <f t="shared" si="703"/>
        <v>#DIV/0!</v>
      </c>
      <c r="H307" s="65" t="e">
        <f t="shared" ref="H307:J307" si="743">H295</f>
        <v>#DIV/0!</v>
      </c>
      <c r="I307" s="65" t="e">
        <f t="shared" si="743"/>
        <v>#DIV/0!</v>
      </c>
      <c r="J307" s="65" t="e">
        <f t="shared" si="743"/>
        <v>#DIV/0!</v>
      </c>
      <c r="K307" s="69">
        <v>7000</v>
      </c>
      <c r="L307" s="69">
        <f>'Monitoramento Acumulado Geral'!Q307</f>
        <v>0</v>
      </c>
      <c r="M307" s="6">
        <f>(SUM(L302:L307))/K306</f>
        <v>0</v>
      </c>
      <c r="N307" s="35" t="e">
        <f t="shared" si="705"/>
        <v>#DIV/0!</v>
      </c>
      <c r="O307" s="6" t="e">
        <f t="shared" ref="O307:Q307" si="744">O295</f>
        <v>#DIV/0!</v>
      </c>
      <c r="P307" s="6" t="e">
        <f t="shared" si="744"/>
        <v>#DIV/0!</v>
      </c>
      <c r="Q307" s="6" t="e">
        <f t="shared" si="744"/>
        <v>#DIV/0!</v>
      </c>
      <c r="R307" s="69">
        <v>0</v>
      </c>
      <c r="S307" s="69">
        <v>0</v>
      </c>
      <c r="T307" s="6" t="e">
        <f t="shared" si="700"/>
        <v>#DIV/0!</v>
      </c>
      <c r="U307" s="35" t="e">
        <f t="shared" si="707"/>
        <v>#DIV/0!</v>
      </c>
      <c r="V307" s="6" t="e">
        <f t="shared" ref="V307:Z307" si="745">V295</f>
        <v>#DIV/0!</v>
      </c>
      <c r="W307" s="6" t="e">
        <f t="shared" si="745"/>
        <v>#DIV/0!</v>
      </c>
      <c r="X307" s="6" t="e">
        <f t="shared" si="745"/>
        <v>#DIV/0!</v>
      </c>
      <c r="Y307" s="6" t="e">
        <f t="shared" si="745"/>
        <v>#DIV/0!</v>
      </c>
      <c r="Z307" s="6" t="e">
        <f t="shared" si="745"/>
        <v>#DIV/0!</v>
      </c>
    </row>
    <row r="308" spans="1:26" x14ac:dyDescent="0.2">
      <c r="A308" t="s">
        <v>300</v>
      </c>
      <c r="B308" s="6">
        <f t="shared" si="742"/>
        <v>7</v>
      </c>
      <c r="C308" s="7" t="s">
        <v>157</v>
      </c>
      <c r="D308" s="68">
        <v>0</v>
      </c>
      <c r="E308" s="68">
        <v>100</v>
      </c>
      <c r="F308" s="65" t="e">
        <f t="shared" si="697"/>
        <v>#DIV/0!</v>
      </c>
      <c r="G308" s="60" t="e">
        <f t="shared" si="703"/>
        <v>#DIV/0!</v>
      </c>
      <c r="H308" s="65" t="e">
        <f t="shared" ref="H308:J308" si="746">H296</f>
        <v>#DIV/0!</v>
      </c>
      <c r="I308" s="65" t="e">
        <f t="shared" si="746"/>
        <v>#DIV/0!</v>
      </c>
      <c r="J308" s="65" t="e">
        <f t="shared" si="746"/>
        <v>#DIV/0!</v>
      </c>
      <c r="K308" s="69">
        <v>7000</v>
      </c>
      <c r="L308" s="69">
        <f>'Monitoramento Acumulado Geral'!Q308</f>
        <v>630</v>
      </c>
      <c r="M308" s="6">
        <f>(SUM(L302:L308))/K307</f>
        <v>0.09</v>
      </c>
      <c r="N308" s="35" t="e">
        <f t="shared" si="705"/>
        <v>#DIV/0!</v>
      </c>
      <c r="O308" s="6" t="e">
        <f t="shared" ref="O308:Q308" si="747">O296</f>
        <v>#DIV/0!</v>
      </c>
      <c r="P308" s="6" t="e">
        <f t="shared" si="747"/>
        <v>#DIV/0!</v>
      </c>
      <c r="Q308" s="6" t="e">
        <f t="shared" si="747"/>
        <v>#DIV/0!</v>
      </c>
      <c r="R308" s="69">
        <v>0</v>
      </c>
      <c r="S308" s="69">
        <v>0</v>
      </c>
      <c r="T308" s="6" t="e">
        <f t="shared" si="700"/>
        <v>#DIV/0!</v>
      </c>
      <c r="U308" s="35" t="e">
        <f t="shared" si="707"/>
        <v>#DIV/0!</v>
      </c>
      <c r="V308" s="6" t="e">
        <f t="shared" ref="V308:Z308" si="748">V296</f>
        <v>#DIV/0!</v>
      </c>
      <c r="W308" s="6" t="e">
        <f t="shared" si="748"/>
        <v>#DIV/0!</v>
      </c>
      <c r="X308" s="6" t="e">
        <f t="shared" si="748"/>
        <v>#DIV/0!</v>
      </c>
      <c r="Y308" s="6" t="e">
        <f t="shared" si="748"/>
        <v>#DIV/0!</v>
      </c>
      <c r="Z308" s="6" t="e">
        <f t="shared" si="748"/>
        <v>#DIV/0!</v>
      </c>
    </row>
    <row r="309" spans="1:26" x14ac:dyDescent="0.2">
      <c r="A309" t="s">
        <v>300</v>
      </c>
      <c r="B309" s="6">
        <f t="shared" si="742"/>
        <v>8</v>
      </c>
      <c r="C309" s="7" t="s">
        <v>158</v>
      </c>
      <c r="D309" s="68">
        <v>0</v>
      </c>
      <c r="E309" s="68">
        <v>100</v>
      </c>
      <c r="F309" s="65" t="e">
        <f t="shared" si="697"/>
        <v>#DIV/0!</v>
      </c>
      <c r="G309" s="60" t="e">
        <f t="shared" si="703"/>
        <v>#DIV/0!</v>
      </c>
      <c r="H309" s="65" t="e">
        <f t="shared" ref="H309:J309" si="749">H297</f>
        <v>#DIV/0!</v>
      </c>
      <c r="I309" s="65" t="e">
        <f t="shared" si="749"/>
        <v>#DIV/0!</v>
      </c>
      <c r="J309" s="65" t="e">
        <f t="shared" si="749"/>
        <v>#DIV/0!</v>
      </c>
      <c r="K309" s="69">
        <v>7000</v>
      </c>
      <c r="L309" s="69">
        <f>'Monitoramento Acumulado Geral'!Q309</f>
        <v>0</v>
      </c>
      <c r="M309" s="6">
        <f>(SUM(L302:L309))/K308</f>
        <v>0.09</v>
      </c>
      <c r="N309" s="35" t="e">
        <f t="shared" si="705"/>
        <v>#DIV/0!</v>
      </c>
      <c r="O309" s="6" t="e">
        <f t="shared" ref="O309:Q309" si="750">O297</f>
        <v>#DIV/0!</v>
      </c>
      <c r="P309" s="6" t="e">
        <f t="shared" si="750"/>
        <v>#DIV/0!</v>
      </c>
      <c r="Q309" s="6" t="e">
        <f t="shared" si="750"/>
        <v>#DIV/0!</v>
      </c>
      <c r="R309" s="69">
        <v>0</v>
      </c>
      <c r="S309" s="69">
        <v>0</v>
      </c>
      <c r="T309" s="6" t="e">
        <f t="shared" si="700"/>
        <v>#DIV/0!</v>
      </c>
      <c r="U309" s="35" t="e">
        <f t="shared" si="707"/>
        <v>#DIV/0!</v>
      </c>
      <c r="V309" s="6" t="e">
        <f t="shared" ref="V309:Z309" si="751">V297</f>
        <v>#DIV/0!</v>
      </c>
      <c r="W309" s="6" t="e">
        <f t="shared" si="751"/>
        <v>#DIV/0!</v>
      </c>
      <c r="X309" s="6" t="e">
        <f t="shared" si="751"/>
        <v>#DIV/0!</v>
      </c>
      <c r="Y309" s="6" t="e">
        <f t="shared" si="751"/>
        <v>#DIV/0!</v>
      </c>
      <c r="Z309" s="6" t="e">
        <f t="shared" si="751"/>
        <v>#DIV/0!</v>
      </c>
    </row>
    <row r="310" spans="1:26" x14ac:dyDescent="0.2">
      <c r="A310" t="s">
        <v>300</v>
      </c>
      <c r="B310" s="6">
        <f t="shared" si="742"/>
        <v>9</v>
      </c>
      <c r="C310" s="7" t="s">
        <v>159</v>
      </c>
      <c r="D310" s="68">
        <v>0</v>
      </c>
      <c r="E310" s="68">
        <v>100</v>
      </c>
      <c r="F310" s="65" t="e">
        <f t="shared" si="697"/>
        <v>#DIV/0!</v>
      </c>
      <c r="G310" s="60" t="e">
        <f t="shared" si="703"/>
        <v>#DIV/0!</v>
      </c>
      <c r="H310" s="65" t="e">
        <f t="shared" ref="H310:J310" si="752">H298</f>
        <v>#DIV/0!</v>
      </c>
      <c r="I310" s="65" t="e">
        <f t="shared" si="752"/>
        <v>#DIV/0!</v>
      </c>
      <c r="J310" s="65" t="e">
        <f t="shared" si="752"/>
        <v>#DIV/0!</v>
      </c>
      <c r="K310" s="69">
        <v>7000</v>
      </c>
      <c r="L310" s="69">
        <f>'Monitoramento Acumulado Geral'!Q310</f>
        <v>3200</v>
      </c>
      <c r="M310" s="6">
        <f>(SUM(L302:L310))/K309</f>
        <v>0.54714285714285715</v>
      </c>
      <c r="N310" s="35" t="e">
        <f t="shared" si="705"/>
        <v>#DIV/0!</v>
      </c>
      <c r="O310" s="6" t="e">
        <f t="shared" ref="O310:Q310" si="753">O298</f>
        <v>#DIV/0!</v>
      </c>
      <c r="P310" s="6" t="e">
        <f t="shared" si="753"/>
        <v>#DIV/0!</v>
      </c>
      <c r="Q310" s="6" t="e">
        <f t="shared" si="753"/>
        <v>#DIV/0!</v>
      </c>
      <c r="R310" s="69">
        <v>0</v>
      </c>
      <c r="S310" s="69">
        <v>0</v>
      </c>
      <c r="T310" s="6" t="e">
        <f t="shared" si="700"/>
        <v>#DIV/0!</v>
      </c>
      <c r="U310" s="35" t="e">
        <f t="shared" si="707"/>
        <v>#DIV/0!</v>
      </c>
      <c r="V310" s="6" t="e">
        <f t="shared" ref="V310:Z310" si="754">V298</f>
        <v>#DIV/0!</v>
      </c>
      <c r="W310" s="6" t="e">
        <f t="shared" si="754"/>
        <v>#DIV/0!</v>
      </c>
      <c r="X310" s="6" t="e">
        <f t="shared" si="754"/>
        <v>#DIV/0!</v>
      </c>
      <c r="Y310" s="6" t="e">
        <f t="shared" si="754"/>
        <v>#DIV/0!</v>
      </c>
      <c r="Z310" s="6" t="e">
        <f t="shared" si="754"/>
        <v>#DIV/0!</v>
      </c>
    </row>
    <row r="311" spans="1:26" x14ac:dyDescent="0.2">
      <c r="A311" t="s">
        <v>300</v>
      </c>
      <c r="B311" s="6">
        <f t="shared" si="742"/>
        <v>10</v>
      </c>
      <c r="C311" s="7" t="s">
        <v>160</v>
      </c>
      <c r="D311" s="68">
        <v>0</v>
      </c>
      <c r="E311" s="68">
        <v>100</v>
      </c>
      <c r="F311" s="65" t="e">
        <f t="shared" si="697"/>
        <v>#DIV/0!</v>
      </c>
      <c r="G311" s="60" t="e">
        <f t="shared" si="703"/>
        <v>#DIV/0!</v>
      </c>
      <c r="H311" s="65" t="e">
        <f t="shared" ref="H311:J311" si="755">H299</f>
        <v>#DIV/0!</v>
      </c>
      <c r="I311" s="65" t="e">
        <f t="shared" si="755"/>
        <v>#DIV/0!</v>
      </c>
      <c r="J311" s="65" t="e">
        <f t="shared" si="755"/>
        <v>#DIV/0!</v>
      </c>
      <c r="K311" s="69">
        <v>7000</v>
      </c>
      <c r="L311" s="69">
        <f>'Monitoramento Acumulado Geral'!Q311</f>
        <v>0</v>
      </c>
      <c r="M311" s="6">
        <f>(SUM(L302:L311))/K310</f>
        <v>0.54714285714285715</v>
      </c>
      <c r="N311" s="35" t="e">
        <f t="shared" si="705"/>
        <v>#DIV/0!</v>
      </c>
      <c r="O311" s="6" t="e">
        <f t="shared" ref="O311:Q311" si="756">O299</f>
        <v>#DIV/0!</v>
      </c>
      <c r="P311" s="6" t="e">
        <f t="shared" si="756"/>
        <v>#DIV/0!</v>
      </c>
      <c r="Q311" s="6" t="e">
        <f t="shared" si="756"/>
        <v>#DIV/0!</v>
      </c>
      <c r="R311" s="69">
        <v>0</v>
      </c>
      <c r="S311" s="69">
        <v>0</v>
      </c>
      <c r="T311" s="6" t="e">
        <f t="shared" si="700"/>
        <v>#DIV/0!</v>
      </c>
      <c r="U311" s="35" t="e">
        <f t="shared" si="707"/>
        <v>#DIV/0!</v>
      </c>
      <c r="V311" s="6" t="e">
        <f t="shared" ref="V311:Z311" si="757">V299</f>
        <v>#DIV/0!</v>
      </c>
      <c r="W311" s="6" t="e">
        <f t="shared" si="757"/>
        <v>#DIV/0!</v>
      </c>
      <c r="X311" s="6" t="e">
        <f t="shared" si="757"/>
        <v>#DIV/0!</v>
      </c>
      <c r="Y311" s="6" t="e">
        <f t="shared" si="757"/>
        <v>#DIV/0!</v>
      </c>
      <c r="Z311" s="6" t="e">
        <f t="shared" si="757"/>
        <v>#DIV/0!</v>
      </c>
    </row>
    <row r="312" spans="1:26" x14ac:dyDescent="0.2">
      <c r="A312" t="s">
        <v>300</v>
      </c>
      <c r="B312" s="6">
        <f t="shared" si="742"/>
        <v>11</v>
      </c>
      <c r="C312" s="7" t="s">
        <v>161</v>
      </c>
      <c r="D312" s="68">
        <v>0</v>
      </c>
      <c r="E312" s="68">
        <v>0</v>
      </c>
      <c r="F312" s="65" t="e">
        <f t="shared" si="697"/>
        <v>#DIV/0!</v>
      </c>
      <c r="G312" s="60" t="e">
        <f t="shared" si="703"/>
        <v>#DIV/0!</v>
      </c>
      <c r="H312" s="65" t="e">
        <f t="shared" ref="H312:J312" si="758">H300</f>
        <v>#DIV/0!</v>
      </c>
      <c r="I312" s="65" t="e">
        <f t="shared" si="758"/>
        <v>#DIV/0!</v>
      </c>
      <c r="J312" s="65" t="e">
        <f t="shared" si="758"/>
        <v>#DIV/0!</v>
      </c>
      <c r="K312" s="69">
        <v>7000</v>
      </c>
      <c r="L312" s="69">
        <f>'Monitoramento Acumulado Geral'!Q312</f>
        <v>0</v>
      </c>
      <c r="M312" s="6">
        <f>(SUM(L302:L312))/K311</f>
        <v>0.54714285714285715</v>
      </c>
      <c r="N312" s="35" t="e">
        <f t="shared" si="705"/>
        <v>#DIV/0!</v>
      </c>
      <c r="O312" s="6" t="e">
        <f t="shared" ref="O312:Q312" si="759">O300</f>
        <v>#DIV/0!</v>
      </c>
      <c r="P312" s="6" t="e">
        <f t="shared" si="759"/>
        <v>#DIV/0!</v>
      </c>
      <c r="Q312" s="6" t="e">
        <f t="shared" si="759"/>
        <v>#DIV/0!</v>
      </c>
      <c r="R312" s="69">
        <v>0</v>
      </c>
      <c r="S312" s="69">
        <v>0</v>
      </c>
      <c r="T312" s="6" t="e">
        <f t="shared" si="700"/>
        <v>#DIV/0!</v>
      </c>
      <c r="U312" s="35" t="e">
        <f t="shared" si="707"/>
        <v>#DIV/0!</v>
      </c>
      <c r="V312" s="6" t="e">
        <f t="shared" ref="V312:Z312" si="760">V300</f>
        <v>#DIV/0!</v>
      </c>
      <c r="W312" s="6" t="e">
        <f t="shared" si="760"/>
        <v>#DIV/0!</v>
      </c>
      <c r="X312" s="6" t="e">
        <f t="shared" si="760"/>
        <v>#DIV/0!</v>
      </c>
      <c r="Y312" s="6" t="e">
        <f t="shared" si="760"/>
        <v>#DIV/0!</v>
      </c>
      <c r="Z312" s="6" t="e">
        <f t="shared" si="760"/>
        <v>#DIV/0!</v>
      </c>
    </row>
    <row r="313" spans="1:26" x14ac:dyDescent="0.2">
      <c r="A313" t="s">
        <v>300</v>
      </c>
      <c r="B313" s="6">
        <f t="shared" si="742"/>
        <v>12</v>
      </c>
      <c r="C313" s="7" t="s">
        <v>162</v>
      </c>
      <c r="D313" s="68">
        <v>0</v>
      </c>
      <c r="E313" s="68">
        <v>0</v>
      </c>
      <c r="F313" s="65" t="e">
        <f t="shared" si="697"/>
        <v>#DIV/0!</v>
      </c>
      <c r="G313" s="60" t="e">
        <f t="shared" si="703"/>
        <v>#DIV/0!</v>
      </c>
      <c r="H313" s="65" t="e">
        <f t="shared" ref="H313:J313" si="761">H301</f>
        <v>#DIV/0!</v>
      </c>
      <c r="I313" s="65" t="e">
        <f t="shared" si="761"/>
        <v>#DIV/0!</v>
      </c>
      <c r="J313" s="65" t="e">
        <f t="shared" si="761"/>
        <v>#DIV/0!</v>
      </c>
      <c r="K313" s="69">
        <v>7000</v>
      </c>
      <c r="L313" s="69">
        <f>'Monitoramento Acumulado Geral'!Q313</f>
        <v>0</v>
      </c>
      <c r="M313" s="6">
        <f>(SUM(L302:L313))/K312</f>
        <v>0.54714285714285715</v>
      </c>
      <c r="N313" s="35" t="e">
        <f t="shared" si="705"/>
        <v>#DIV/0!</v>
      </c>
      <c r="O313" s="6" t="e">
        <f t="shared" ref="O313:Q313" si="762">O301</f>
        <v>#DIV/0!</v>
      </c>
      <c r="P313" s="6" t="e">
        <f t="shared" si="762"/>
        <v>#DIV/0!</v>
      </c>
      <c r="Q313" s="6" t="e">
        <f t="shared" si="762"/>
        <v>#DIV/0!</v>
      </c>
      <c r="R313" s="69">
        <v>0</v>
      </c>
      <c r="S313" s="69">
        <v>0</v>
      </c>
      <c r="T313" s="6" t="e">
        <f t="shared" si="700"/>
        <v>#DIV/0!</v>
      </c>
      <c r="U313" s="35" t="e">
        <f t="shared" si="707"/>
        <v>#DIV/0!</v>
      </c>
      <c r="V313" s="6" t="e">
        <f t="shared" ref="V313:Z313" si="763">V301</f>
        <v>#DIV/0!</v>
      </c>
      <c r="W313" s="6" t="e">
        <f t="shared" si="763"/>
        <v>#DIV/0!</v>
      </c>
      <c r="X313" s="6" t="e">
        <f t="shared" si="763"/>
        <v>#DIV/0!</v>
      </c>
      <c r="Y313" s="6" t="e">
        <f t="shared" si="763"/>
        <v>#DIV/0!</v>
      </c>
      <c r="Z313" s="6" t="e">
        <f t="shared" si="763"/>
        <v>#DIV/0!</v>
      </c>
    </row>
    <row r="314" spans="1:26" x14ac:dyDescent="0.2">
      <c r="A314" s="7" t="s">
        <v>147</v>
      </c>
      <c r="B314" s="6">
        <f t="shared" si="702"/>
        <v>1</v>
      </c>
      <c r="C314" s="7" t="s">
        <v>151</v>
      </c>
      <c r="D314" s="68">
        <v>70</v>
      </c>
      <c r="E314" s="68">
        <v>0</v>
      </c>
      <c r="F314" s="65">
        <f t="shared" si="697"/>
        <v>0</v>
      </c>
      <c r="G314" s="60" t="e">
        <f t="shared" si="703"/>
        <v>#DIV/0!</v>
      </c>
      <c r="H314" s="65" t="e">
        <f t="shared" ref="H314:J314" si="764">H302</f>
        <v>#DIV/0!</v>
      </c>
      <c r="I314" s="65" t="e">
        <f t="shared" si="764"/>
        <v>#DIV/0!</v>
      </c>
      <c r="J314" s="65" t="e">
        <f t="shared" si="764"/>
        <v>#DIV/0!</v>
      </c>
      <c r="K314" s="69">
        <v>6000</v>
      </c>
      <c r="L314" s="69">
        <f>'Monitoramento Acumulado Geral'!Q314</f>
        <v>0</v>
      </c>
      <c r="M314" s="6">
        <f>L314/K314</f>
        <v>0</v>
      </c>
      <c r="N314" s="35" t="e">
        <f t="shared" si="705"/>
        <v>#DIV/0!</v>
      </c>
      <c r="O314" s="6" t="e">
        <f t="shared" ref="O314:Q314" si="765">O302</f>
        <v>#DIV/0!</v>
      </c>
      <c r="P314" s="6" t="e">
        <f t="shared" si="765"/>
        <v>#DIV/0!</v>
      </c>
      <c r="Q314" s="6" t="e">
        <f t="shared" si="765"/>
        <v>#DIV/0!</v>
      </c>
      <c r="R314" s="69">
        <v>35</v>
      </c>
      <c r="S314" s="69">
        <v>0</v>
      </c>
      <c r="T314" s="6">
        <f t="shared" si="700"/>
        <v>0</v>
      </c>
      <c r="U314" s="35" t="e">
        <f t="shared" si="707"/>
        <v>#DIV/0!</v>
      </c>
      <c r="V314" s="6" t="e">
        <f t="shared" ref="V314:Z314" si="766">V302</f>
        <v>#DIV/0!</v>
      </c>
      <c r="W314" s="6" t="e">
        <f t="shared" si="766"/>
        <v>#DIV/0!</v>
      </c>
      <c r="X314" s="6" t="e">
        <f t="shared" si="766"/>
        <v>#DIV/0!</v>
      </c>
      <c r="Y314" s="6" t="e">
        <f t="shared" si="766"/>
        <v>#DIV/0!</v>
      </c>
      <c r="Z314" s="6" t="e">
        <f t="shared" si="766"/>
        <v>#DIV/0!</v>
      </c>
    </row>
    <row r="315" spans="1:26" x14ac:dyDescent="0.2">
      <c r="A315" s="7" t="s">
        <v>147</v>
      </c>
      <c r="B315" s="6">
        <f t="shared" si="702"/>
        <v>2</v>
      </c>
      <c r="C315" s="7" t="s">
        <v>152</v>
      </c>
      <c r="D315" s="68">
        <v>70</v>
      </c>
      <c r="E315" s="68">
        <v>0</v>
      </c>
      <c r="F315" s="65">
        <f t="shared" si="697"/>
        <v>0</v>
      </c>
      <c r="G315" s="60" t="e">
        <f t="shared" si="703"/>
        <v>#DIV/0!</v>
      </c>
      <c r="H315" s="65" t="e">
        <f t="shared" ref="H315:J315" si="767">H303</f>
        <v>#DIV/0!</v>
      </c>
      <c r="I315" s="65" t="e">
        <f t="shared" si="767"/>
        <v>#DIV/0!</v>
      </c>
      <c r="J315" s="65" t="e">
        <f t="shared" si="767"/>
        <v>#DIV/0!</v>
      </c>
      <c r="K315" s="69">
        <v>6000</v>
      </c>
      <c r="L315" s="69">
        <f>'Monitoramento Acumulado Geral'!Q315</f>
        <v>0</v>
      </c>
      <c r="M315" s="6">
        <f>(SUM(L314:L315))/K314</f>
        <v>0</v>
      </c>
      <c r="N315" s="35" t="e">
        <f t="shared" si="705"/>
        <v>#DIV/0!</v>
      </c>
      <c r="O315" s="6" t="e">
        <f t="shared" ref="O315:Q315" si="768">O303</f>
        <v>#DIV/0!</v>
      </c>
      <c r="P315" s="6" t="e">
        <f t="shared" si="768"/>
        <v>#DIV/0!</v>
      </c>
      <c r="Q315" s="6" t="e">
        <f t="shared" si="768"/>
        <v>#DIV/0!</v>
      </c>
      <c r="R315" s="69">
        <v>35</v>
      </c>
      <c r="S315" s="69">
        <v>0</v>
      </c>
      <c r="T315" s="6">
        <f t="shared" si="700"/>
        <v>0</v>
      </c>
      <c r="U315" s="35" t="e">
        <f t="shared" si="707"/>
        <v>#DIV/0!</v>
      </c>
      <c r="V315" s="6" t="e">
        <f t="shared" ref="V315:Z315" si="769">V303</f>
        <v>#DIV/0!</v>
      </c>
      <c r="W315" s="6" t="e">
        <f t="shared" si="769"/>
        <v>#DIV/0!</v>
      </c>
      <c r="X315" s="6" t="e">
        <f t="shared" si="769"/>
        <v>#DIV/0!</v>
      </c>
      <c r="Y315" s="6" t="e">
        <f t="shared" si="769"/>
        <v>#DIV/0!</v>
      </c>
      <c r="Z315" s="6" t="e">
        <f t="shared" si="769"/>
        <v>#DIV/0!</v>
      </c>
    </row>
    <row r="316" spans="1:26" x14ac:dyDescent="0.2">
      <c r="A316" s="7" t="s">
        <v>147</v>
      </c>
      <c r="B316" s="6">
        <f t="shared" si="702"/>
        <v>3</v>
      </c>
      <c r="C316" s="7" t="s">
        <v>153</v>
      </c>
      <c r="D316" s="68">
        <v>70</v>
      </c>
      <c r="E316" s="68">
        <v>0</v>
      </c>
      <c r="F316" s="65">
        <f t="shared" si="697"/>
        <v>0</v>
      </c>
      <c r="G316" s="60" t="e">
        <f t="shared" si="703"/>
        <v>#DIV/0!</v>
      </c>
      <c r="H316" s="65" t="e">
        <f t="shared" ref="H316:J316" si="770">H304</f>
        <v>#DIV/0!</v>
      </c>
      <c r="I316" s="65" t="e">
        <f t="shared" si="770"/>
        <v>#DIV/0!</v>
      </c>
      <c r="J316" s="65" t="e">
        <f t="shared" si="770"/>
        <v>#DIV/0!</v>
      </c>
      <c r="K316" s="69">
        <v>6000</v>
      </c>
      <c r="L316" s="69">
        <f>'Monitoramento Acumulado Geral'!Q316</f>
        <v>0</v>
      </c>
      <c r="M316" s="6">
        <f>(SUM(L314:L316))/K315</f>
        <v>0</v>
      </c>
      <c r="N316" s="35" t="e">
        <f t="shared" si="705"/>
        <v>#DIV/0!</v>
      </c>
      <c r="O316" s="6" t="e">
        <f t="shared" ref="O316:Q316" si="771">O304</f>
        <v>#DIV/0!</v>
      </c>
      <c r="P316" s="6" t="e">
        <f t="shared" si="771"/>
        <v>#DIV/0!</v>
      </c>
      <c r="Q316" s="6" t="e">
        <f t="shared" si="771"/>
        <v>#DIV/0!</v>
      </c>
      <c r="R316" s="69">
        <v>35</v>
      </c>
      <c r="S316" s="69">
        <v>0</v>
      </c>
      <c r="T316" s="6">
        <f t="shared" si="700"/>
        <v>0</v>
      </c>
      <c r="U316" s="35" t="e">
        <f t="shared" si="707"/>
        <v>#DIV/0!</v>
      </c>
      <c r="V316" s="6" t="e">
        <f t="shared" ref="V316:Z316" si="772">V304</f>
        <v>#DIV/0!</v>
      </c>
      <c r="W316" s="6" t="e">
        <f t="shared" si="772"/>
        <v>#DIV/0!</v>
      </c>
      <c r="X316" s="6" t="e">
        <f t="shared" si="772"/>
        <v>#DIV/0!</v>
      </c>
      <c r="Y316" s="6" t="e">
        <f t="shared" si="772"/>
        <v>#DIV/0!</v>
      </c>
      <c r="Z316" s="6" t="e">
        <f t="shared" si="772"/>
        <v>#DIV/0!</v>
      </c>
    </row>
    <row r="317" spans="1:26" x14ac:dyDescent="0.2">
      <c r="A317" s="7" t="s">
        <v>147</v>
      </c>
      <c r="B317" s="6">
        <f t="shared" si="702"/>
        <v>4</v>
      </c>
      <c r="C317" s="7" t="s">
        <v>154</v>
      </c>
      <c r="D317" s="68">
        <v>70</v>
      </c>
      <c r="E317" s="68">
        <v>0</v>
      </c>
      <c r="F317" s="65">
        <f t="shared" si="697"/>
        <v>0</v>
      </c>
      <c r="G317" s="60" t="e">
        <f t="shared" si="703"/>
        <v>#DIV/0!</v>
      </c>
      <c r="H317" s="65" t="e">
        <f t="shared" ref="H317:J317" si="773">H305</f>
        <v>#DIV/0!</v>
      </c>
      <c r="I317" s="65" t="e">
        <f t="shared" si="773"/>
        <v>#DIV/0!</v>
      </c>
      <c r="J317" s="65" t="e">
        <f t="shared" si="773"/>
        <v>#DIV/0!</v>
      </c>
      <c r="K317" s="69">
        <v>6000</v>
      </c>
      <c r="L317" s="69">
        <f>'Monitoramento Acumulado Geral'!Q317</f>
        <v>0</v>
      </c>
      <c r="M317" s="6">
        <f>(SUM(L314:L317))/K316</f>
        <v>0</v>
      </c>
      <c r="N317" s="35" t="e">
        <f t="shared" si="705"/>
        <v>#DIV/0!</v>
      </c>
      <c r="O317" s="6" t="e">
        <f t="shared" ref="O317:Q317" si="774">O305</f>
        <v>#DIV/0!</v>
      </c>
      <c r="P317" s="6" t="e">
        <f t="shared" si="774"/>
        <v>#DIV/0!</v>
      </c>
      <c r="Q317" s="6" t="e">
        <f t="shared" si="774"/>
        <v>#DIV/0!</v>
      </c>
      <c r="R317" s="69">
        <v>35</v>
      </c>
      <c r="S317" s="69">
        <v>0</v>
      </c>
      <c r="T317" s="6">
        <f t="shared" si="700"/>
        <v>0</v>
      </c>
      <c r="U317" s="35" t="e">
        <f t="shared" si="707"/>
        <v>#DIV/0!</v>
      </c>
      <c r="V317" s="6" t="e">
        <f t="shared" ref="V317:Z317" si="775">V305</f>
        <v>#DIV/0!</v>
      </c>
      <c r="W317" s="6" t="e">
        <f t="shared" si="775"/>
        <v>#DIV/0!</v>
      </c>
      <c r="X317" s="6" t="e">
        <f t="shared" si="775"/>
        <v>#DIV/0!</v>
      </c>
      <c r="Y317" s="6" t="e">
        <f t="shared" si="775"/>
        <v>#DIV/0!</v>
      </c>
      <c r="Z317" s="6" t="e">
        <f t="shared" si="775"/>
        <v>#DIV/0!</v>
      </c>
    </row>
    <row r="318" spans="1:26" x14ac:dyDescent="0.2">
      <c r="A318" s="7" t="s">
        <v>147</v>
      </c>
      <c r="B318" s="6">
        <f t="shared" si="702"/>
        <v>5</v>
      </c>
      <c r="C318" s="7" t="s">
        <v>155</v>
      </c>
      <c r="D318" s="68">
        <v>70</v>
      </c>
      <c r="E318" s="68">
        <v>0</v>
      </c>
      <c r="F318" s="65">
        <f t="shared" si="697"/>
        <v>0</v>
      </c>
      <c r="G318" s="60" t="e">
        <f t="shared" si="703"/>
        <v>#DIV/0!</v>
      </c>
      <c r="H318" s="65" t="e">
        <f t="shared" ref="H318:J318" si="776">H306</f>
        <v>#DIV/0!</v>
      </c>
      <c r="I318" s="65" t="e">
        <f t="shared" si="776"/>
        <v>#DIV/0!</v>
      </c>
      <c r="J318" s="65" t="e">
        <f t="shared" si="776"/>
        <v>#DIV/0!</v>
      </c>
      <c r="K318" s="69">
        <v>6000</v>
      </c>
      <c r="L318" s="69">
        <f>'Monitoramento Acumulado Geral'!Q318</f>
        <v>0</v>
      </c>
      <c r="M318" s="6">
        <f>(SUM(L314:L318))/K317</f>
        <v>0</v>
      </c>
      <c r="N318" s="35" t="e">
        <f t="shared" si="705"/>
        <v>#DIV/0!</v>
      </c>
      <c r="O318" s="6" t="e">
        <f t="shared" ref="O318:Q318" si="777">O306</f>
        <v>#DIV/0!</v>
      </c>
      <c r="P318" s="6" t="e">
        <f t="shared" si="777"/>
        <v>#DIV/0!</v>
      </c>
      <c r="Q318" s="6" t="e">
        <f t="shared" si="777"/>
        <v>#DIV/0!</v>
      </c>
      <c r="R318" s="69">
        <v>35</v>
      </c>
      <c r="S318" s="69">
        <v>62</v>
      </c>
      <c r="T318" s="6">
        <f t="shared" si="700"/>
        <v>1.7714285714285714</v>
      </c>
      <c r="U318" s="35" t="e">
        <f t="shared" si="707"/>
        <v>#DIV/0!</v>
      </c>
      <c r="V318" s="6" t="e">
        <f t="shared" ref="V318:Z318" si="778">V306</f>
        <v>#DIV/0!</v>
      </c>
      <c r="W318" s="6" t="e">
        <f t="shared" si="778"/>
        <v>#DIV/0!</v>
      </c>
      <c r="X318" s="6" t="e">
        <f t="shared" si="778"/>
        <v>#DIV/0!</v>
      </c>
      <c r="Y318" s="6" t="e">
        <f t="shared" si="778"/>
        <v>#DIV/0!</v>
      </c>
      <c r="Z318" s="6" t="e">
        <f t="shared" si="778"/>
        <v>#DIV/0!</v>
      </c>
    </row>
    <row r="319" spans="1:26" x14ac:dyDescent="0.2">
      <c r="A319" s="7" t="s">
        <v>147</v>
      </c>
      <c r="B319" s="6">
        <f t="shared" si="702"/>
        <v>6</v>
      </c>
      <c r="C319" s="7" t="s">
        <v>156</v>
      </c>
      <c r="D319" s="68">
        <v>70</v>
      </c>
      <c r="E319" s="68">
        <v>0</v>
      </c>
      <c r="F319" s="65">
        <f t="shared" si="697"/>
        <v>0</v>
      </c>
      <c r="G319" s="60" t="e">
        <f t="shared" si="703"/>
        <v>#DIV/0!</v>
      </c>
      <c r="H319" s="65" t="e">
        <f t="shared" ref="H319:J319" si="779">H307</f>
        <v>#DIV/0!</v>
      </c>
      <c r="I319" s="65" t="e">
        <f t="shared" si="779"/>
        <v>#DIV/0!</v>
      </c>
      <c r="J319" s="65" t="e">
        <f t="shared" si="779"/>
        <v>#DIV/0!</v>
      </c>
      <c r="K319" s="69">
        <v>6000</v>
      </c>
      <c r="L319" s="69">
        <f>'Monitoramento Acumulado Geral'!Q319</f>
        <v>0</v>
      </c>
      <c r="M319" s="6">
        <f>(SUM(L314:L319))/K318</f>
        <v>0</v>
      </c>
      <c r="N319" s="35" t="e">
        <f t="shared" si="705"/>
        <v>#DIV/0!</v>
      </c>
      <c r="O319" s="6" t="e">
        <f t="shared" ref="O319:Q319" si="780">O307</f>
        <v>#DIV/0!</v>
      </c>
      <c r="P319" s="6" t="e">
        <f t="shared" si="780"/>
        <v>#DIV/0!</v>
      </c>
      <c r="Q319" s="6" t="e">
        <f t="shared" si="780"/>
        <v>#DIV/0!</v>
      </c>
      <c r="R319" s="69">
        <v>35</v>
      </c>
      <c r="S319" s="69">
        <v>62</v>
      </c>
      <c r="T319" s="6">
        <f t="shared" si="700"/>
        <v>1.7714285714285714</v>
      </c>
      <c r="U319" s="35" t="e">
        <f t="shared" si="707"/>
        <v>#DIV/0!</v>
      </c>
      <c r="V319" s="6" t="e">
        <f t="shared" ref="V319:Z319" si="781">V307</f>
        <v>#DIV/0!</v>
      </c>
      <c r="W319" s="6" t="e">
        <f t="shared" si="781"/>
        <v>#DIV/0!</v>
      </c>
      <c r="X319" s="6" t="e">
        <f t="shared" si="781"/>
        <v>#DIV/0!</v>
      </c>
      <c r="Y319" s="6" t="e">
        <f t="shared" si="781"/>
        <v>#DIV/0!</v>
      </c>
      <c r="Z319" s="6" t="e">
        <f t="shared" si="781"/>
        <v>#DIV/0!</v>
      </c>
    </row>
    <row r="320" spans="1:26" x14ac:dyDescent="0.2">
      <c r="A320" s="7" t="s">
        <v>147</v>
      </c>
      <c r="B320" s="6">
        <f t="shared" si="702"/>
        <v>7</v>
      </c>
      <c r="C320" s="7" t="s">
        <v>157</v>
      </c>
      <c r="D320" s="68">
        <v>70</v>
      </c>
      <c r="E320" s="68">
        <v>0</v>
      </c>
      <c r="F320" s="65">
        <f t="shared" si="697"/>
        <v>0</v>
      </c>
      <c r="G320" s="60" t="e">
        <f t="shared" si="703"/>
        <v>#DIV/0!</v>
      </c>
      <c r="H320" s="65" t="e">
        <f t="shared" ref="H320:J320" si="782">H308</f>
        <v>#DIV/0!</v>
      </c>
      <c r="I320" s="65" t="e">
        <f t="shared" si="782"/>
        <v>#DIV/0!</v>
      </c>
      <c r="J320" s="65" t="e">
        <f t="shared" si="782"/>
        <v>#DIV/0!</v>
      </c>
      <c r="K320" s="69">
        <v>6000</v>
      </c>
      <c r="L320" s="69">
        <f>'Monitoramento Acumulado Geral'!Q320</f>
        <v>0</v>
      </c>
      <c r="M320" s="6">
        <f>(SUM(L314:L320))/K319</f>
        <v>0</v>
      </c>
      <c r="N320" s="35" t="e">
        <f t="shared" si="705"/>
        <v>#DIV/0!</v>
      </c>
      <c r="O320" s="6" t="e">
        <f t="shared" ref="O320:Q320" si="783">O308</f>
        <v>#DIV/0!</v>
      </c>
      <c r="P320" s="6" t="e">
        <f t="shared" si="783"/>
        <v>#DIV/0!</v>
      </c>
      <c r="Q320" s="6" t="e">
        <f t="shared" si="783"/>
        <v>#DIV/0!</v>
      </c>
      <c r="R320" s="69">
        <v>35</v>
      </c>
      <c r="S320" s="69">
        <v>62</v>
      </c>
      <c r="T320" s="6">
        <f t="shared" si="700"/>
        <v>1.7714285714285714</v>
      </c>
      <c r="U320" s="35" t="e">
        <f t="shared" si="707"/>
        <v>#DIV/0!</v>
      </c>
      <c r="V320" s="6" t="e">
        <f t="shared" ref="V320:Z320" si="784">V308</f>
        <v>#DIV/0!</v>
      </c>
      <c r="W320" s="6" t="e">
        <f t="shared" si="784"/>
        <v>#DIV/0!</v>
      </c>
      <c r="X320" s="6" t="e">
        <f t="shared" si="784"/>
        <v>#DIV/0!</v>
      </c>
      <c r="Y320" s="6" t="e">
        <f t="shared" si="784"/>
        <v>#DIV/0!</v>
      </c>
      <c r="Z320" s="6" t="e">
        <f t="shared" si="784"/>
        <v>#DIV/0!</v>
      </c>
    </row>
    <row r="321" spans="1:26" x14ac:dyDescent="0.2">
      <c r="A321" s="7" t="s">
        <v>147</v>
      </c>
      <c r="B321" s="6">
        <f t="shared" si="702"/>
        <v>8</v>
      </c>
      <c r="C321" s="7" t="s">
        <v>158</v>
      </c>
      <c r="D321" s="68">
        <v>70</v>
      </c>
      <c r="E321" s="68">
        <v>0</v>
      </c>
      <c r="F321" s="65">
        <f t="shared" si="697"/>
        <v>0</v>
      </c>
      <c r="G321" s="60" t="e">
        <f t="shared" si="703"/>
        <v>#DIV/0!</v>
      </c>
      <c r="H321" s="65" t="e">
        <f t="shared" ref="H321:J321" si="785">H309</f>
        <v>#DIV/0!</v>
      </c>
      <c r="I321" s="65" t="e">
        <f t="shared" si="785"/>
        <v>#DIV/0!</v>
      </c>
      <c r="J321" s="65" t="e">
        <f t="shared" si="785"/>
        <v>#DIV/0!</v>
      </c>
      <c r="K321" s="69">
        <v>6000</v>
      </c>
      <c r="L321" s="69">
        <f>'Monitoramento Acumulado Geral'!Q321</f>
        <v>0</v>
      </c>
      <c r="M321" s="6">
        <f>(SUM(L314:L321))/K320</f>
        <v>0</v>
      </c>
      <c r="N321" s="35" t="e">
        <f t="shared" si="705"/>
        <v>#DIV/0!</v>
      </c>
      <c r="O321" s="6" t="e">
        <f t="shared" ref="O321:Q321" si="786">O309</f>
        <v>#DIV/0!</v>
      </c>
      <c r="P321" s="6" t="e">
        <f t="shared" si="786"/>
        <v>#DIV/0!</v>
      </c>
      <c r="Q321" s="6" t="e">
        <f t="shared" si="786"/>
        <v>#DIV/0!</v>
      </c>
      <c r="R321" s="69">
        <v>35</v>
      </c>
      <c r="S321" s="69">
        <v>62</v>
      </c>
      <c r="T321" s="6">
        <f t="shared" si="700"/>
        <v>1.7714285714285714</v>
      </c>
      <c r="U321" s="35" t="e">
        <f t="shared" si="707"/>
        <v>#DIV/0!</v>
      </c>
      <c r="V321" s="6" t="e">
        <f t="shared" ref="V321:Z321" si="787">V309</f>
        <v>#DIV/0!</v>
      </c>
      <c r="W321" s="6" t="e">
        <f t="shared" si="787"/>
        <v>#DIV/0!</v>
      </c>
      <c r="X321" s="6" t="e">
        <f t="shared" si="787"/>
        <v>#DIV/0!</v>
      </c>
      <c r="Y321" s="6" t="e">
        <f t="shared" si="787"/>
        <v>#DIV/0!</v>
      </c>
      <c r="Z321" s="6" t="e">
        <f t="shared" si="787"/>
        <v>#DIV/0!</v>
      </c>
    </row>
    <row r="322" spans="1:26" x14ac:dyDescent="0.2">
      <c r="A322" s="7" t="s">
        <v>147</v>
      </c>
      <c r="B322" s="6">
        <f t="shared" si="702"/>
        <v>9</v>
      </c>
      <c r="C322" s="7" t="s">
        <v>159</v>
      </c>
      <c r="D322" s="68">
        <v>70</v>
      </c>
      <c r="E322" s="68">
        <v>0</v>
      </c>
      <c r="F322" s="65">
        <f t="shared" si="697"/>
        <v>0</v>
      </c>
      <c r="G322" s="60" t="e">
        <f t="shared" si="703"/>
        <v>#DIV/0!</v>
      </c>
      <c r="H322" s="65" t="e">
        <f t="shared" ref="H322:J322" si="788">H310</f>
        <v>#DIV/0!</v>
      </c>
      <c r="I322" s="65" t="e">
        <f t="shared" si="788"/>
        <v>#DIV/0!</v>
      </c>
      <c r="J322" s="65" t="e">
        <f t="shared" si="788"/>
        <v>#DIV/0!</v>
      </c>
      <c r="K322" s="69">
        <v>6000</v>
      </c>
      <c r="L322" s="69">
        <f>'Monitoramento Acumulado Geral'!Q322</f>
        <v>0</v>
      </c>
      <c r="M322" s="6">
        <f>(SUM(L314:L322))/K321</f>
        <v>0</v>
      </c>
      <c r="N322" s="35" t="e">
        <f t="shared" si="705"/>
        <v>#DIV/0!</v>
      </c>
      <c r="O322" s="6" t="e">
        <f t="shared" ref="O322:Q322" si="789">O310</f>
        <v>#DIV/0!</v>
      </c>
      <c r="P322" s="6" t="e">
        <f t="shared" si="789"/>
        <v>#DIV/0!</v>
      </c>
      <c r="Q322" s="6" t="e">
        <f t="shared" si="789"/>
        <v>#DIV/0!</v>
      </c>
      <c r="R322" s="69">
        <v>35</v>
      </c>
      <c r="S322" s="69">
        <v>62</v>
      </c>
      <c r="T322" s="6">
        <f t="shared" si="700"/>
        <v>1.7714285714285714</v>
      </c>
      <c r="U322" s="35" t="e">
        <f t="shared" si="707"/>
        <v>#DIV/0!</v>
      </c>
      <c r="V322" s="6" t="e">
        <f t="shared" ref="V322:Z322" si="790">V310</f>
        <v>#DIV/0!</v>
      </c>
      <c r="W322" s="6" t="e">
        <f t="shared" si="790"/>
        <v>#DIV/0!</v>
      </c>
      <c r="X322" s="6" t="e">
        <f t="shared" si="790"/>
        <v>#DIV/0!</v>
      </c>
      <c r="Y322" s="6" t="e">
        <f t="shared" si="790"/>
        <v>#DIV/0!</v>
      </c>
      <c r="Z322" s="6" t="e">
        <f t="shared" si="790"/>
        <v>#DIV/0!</v>
      </c>
    </row>
    <row r="323" spans="1:26" x14ac:dyDescent="0.2">
      <c r="A323" s="7" t="s">
        <v>147</v>
      </c>
      <c r="B323" s="6">
        <f t="shared" si="702"/>
        <v>10</v>
      </c>
      <c r="C323" s="7" t="s">
        <v>160</v>
      </c>
      <c r="D323" s="68">
        <v>70</v>
      </c>
      <c r="E323" s="68">
        <v>0</v>
      </c>
      <c r="F323" s="65">
        <f t="shared" si="697"/>
        <v>0</v>
      </c>
      <c r="G323" s="60" t="e">
        <f t="shared" si="703"/>
        <v>#DIV/0!</v>
      </c>
      <c r="H323" s="65" t="e">
        <f t="shared" ref="H323:J323" si="791">H311</f>
        <v>#DIV/0!</v>
      </c>
      <c r="I323" s="65" t="e">
        <f t="shared" si="791"/>
        <v>#DIV/0!</v>
      </c>
      <c r="J323" s="65" t="e">
        <f t="shared" si="791"/>
        <v>#DIV/0!</v>
      </c>
      <c r="K323" s="69">
        <v>6000</v>
      </c>
      <c r="L323" s="69">
        <f>'Monitoramento Acumulado Geral'!Q323</f>
        <v>0</v>
      </c>
      <c r="M323" s="6">
        <f>(SUM(L314:L323))/K322</f>
        <v>0</v>
      </c>
      <c r="N323" s="35" t="e">
        <f t="shared" si="705"/>
        <v>#DIV/0!</v>
      </c>
      <c r="O323" s="6" t="e">
        <f t="shared" ref="O323:Q323" si="792">O311</f>
        <v>#DIV/0!</v>
      </c>
      <c r="P323" s="6" t="e">
        <f t="shared" si="792"/>
        <v>#DIV/0!</v>
      </c>
      <c r="Q323" s="6" t="e">
        <f t="shared" si="792"/>
        <v>#DIV/0!</v>
      </c>
      <c r="R323" s="69">
        <v>35</v>
      </c>
      <c r="S323" s="69">
        <v>62</v>
      </c>
      <c r="T323" s="6">
        <f t="shared" si="700"/>
        <v>1.7714285714285714</v>
      </c>
      <c r="U323" s="35" t="e">
        <f t="shared" si="707"/>
        <v>#DIV/0!</v>
      </c>
      <c r="V323" s="6" t="e">
        <f t="shared" ref="V323:Z323" si="793">V311</f>
        <v>#DIV/0!</v>
      </c>
      <c r="W323" s="6" t="e">
        <f t="shared" si="793"/>
        <v>#DIV/0!</v>
      </c>
      <c r="X323" s="6" t="e">
        <f t="shared" si="793"/>
        <v>#DIV/0!</v>
      </c>
      <c r="Y323" s="6" t="e">
        <f t="shared" si="793"/>
        <v>#DIV/0!</v>
      </c>
      <c r="Z323" s="6" t="e">
        <f t="shared" si="793"/>
        <v>#DIV/0!</v>
      </c>
    </row>
    <row r="324" spans="1:26" x14ac:dyDescent="0.2">
      <c r="A324" s="7" t="s">
        <v>147</v>
      </c>
      <c r="B324" s="6">
        <f t="shared" si="702"/>
        <v>11</v>
      </c>
      <c r="C324" s="7" t="s">
        <v>161</v>
      </c>
      <c r="D324" s="68">
        <v>70</v>
      </c>
      <c r="E324" s="68">
        <v>0</v>
      </c>
      <c r="F324" s="65">
        <f t="shared" si="697"/>
        <v>0</v>
      </c>
      <c r="G324" s="60" t="e">
        <f t="shared" si="703"/>
        <v>#DIV/0!</v>
      </c>
      <c r="H324" s="65" t="e">
        <f t="shared" ref="H324:J324" si="794">H312</f>
        <v>#DIV/0!</v>
      </c>
      <c r="I324" s="65" t="e">
        <f t="shared" si="794"/>
        <v>#DIV/0!</v>
      </c>
      <c r="J324" s="65" t="e">
        <f t="shared" si="794"/>
        <v>#DIV/0!</v>
      </c>
      <c r="K324" s="69">
        <v>6000</v>
      </c>
      <c r="L324" s="69">
        <f>'Monitoramento Acumulado Geral'!Q324</f>
        <v>0</v>
      </c>
      <c r="M324" s="6">
        <f>(SUM(L314:L324))/K323</f>
        <v>0</v>
      </c>
      <c r="N324" s="35" t="e">
        <f t="shared" si="705"/>
        <v>#DIV/0!</v>
      </c>
      <c r="O324" s="6" t="e">
        <f t="shared" ref="O324:Q324" si="795">O312</f>
        <v>#DIV/0!</v>
      </c>
      <c r="P324" s="6" t="e">
        <f t="shared" si="795"/>
        <v>#DIV/0!</v>
      </c>
      <c r="Q324" s="6" t="e">
        <f t="shared" si="795"/>
        <v>#DIV/0!</v>
      </c>
      <c r="R324" s="69">
        <v>35</v>
      </c>
      <c r="S324" s="69">
        <v>0</v>
      </c>
      <c r="T324" s="6">
        <f t="shared" si="700"/>
        <v>0</v>
      </c>
      <c r="U324" s="35" t="e">
        <f t="shared" si="707"/>
        <v>#DIV/0!</v>
      </c>
      <c r="V324" s="6" t="e">
        <f t="shared" ref="V324:Z324" si="796">V312</f>
        <v>#DIV/0!</v>
      </c>
      <c r="W324" s="6" t="e">
        <f t="shared" si="796"/>
        <v>#DIV/0!</v>
      </c>
      <c r="X324" s="6" t="e">
        <f t="shared" si="796"/>
        <v>#DIV/0!</v>
      </c>
      <c r="Y324" s="6" t="e">
        <f t="shared" si="796"/>
        <v>#DIV/0!</v>
      </c>
      <c r="Z324" s="6" t="e">
        <f t="shared" si="796"/>
        <v>#DIV/0!</v>
      </c>
    </row>
    <row r="325" spans="1:26" x14ac:dyDescent="0.2">
      <c r="A325" s="7" t="s">
        <v>147</v>
      </c>
      <c r="B325" s="6">
        <f t="shared" si="702"/>
        <v>12</v>
      </c>
      <c r="C325" s="7" t="s">
        <v>162</v>
      </c>
      <c r="D325" s="68">
        <v>70</v>
      </c>
      <c r="E325" s="68">
        <v>0</v>
      </c>
      <c r="F325" s="65">
        <f t="shared" si="697"/>
        <v>0</v>
      </c>
      <c r="G325" s="60" t="e">
        <f t="shared" si="703"/>
        <v>#DIV/0!</v>
      </c>
      <c r="H325" s="65" t="e">
        <f t="shared" ref="H325:J325" si="797">H313</f>
        <v>#DIV/0!</v>
      </c>
      <c r="I325" s="65" t="e">
        <f t="shared" si="797"/>
        <v>#DIV/0!</v>
      </c>
      <c r="J325" s="65" t="e">
        <f t="shared" si="797"/>
        <v>#DIV/0!</v>
      </c>
      <c r="K325" s="69">
        <v>6000</v>
      </c>
      <c r="L325" s="69">
        <f>'Monitoramento Acumulado Geral'!Q325</f>
        <v>0</v>
      </c>
      <c r="M325" s="6">
        <f>(SUM(L314:L325))/K324</f>
        <v>0</v>
      </c>
      <c r="N325" s="35" t="e">
        <f t="shared" si="705"/>
        <v>#DIV/0!</v>
      </c>
      <c r="O325" s="6" t="e">
        <f t="shared" ref="O325:Q325" si="798">O313</f>
        <v>#DIV/0!</v>
      </c>
      <c r="P325" s="6" t="e">
        <f t="shared" si="798"/>
        <v>#DIV/0!</v>
      </c>
      <c r="Q325" s="6" t="e">
        <f t="shared" si="798"/>
        <v>#DIV/0!</v>
      </c>
      <c r="R325" s="69">
        <v>35</v>
      </c>
      <c r="S325" s="69">
        <v>0</v>
      </c>
      <c r="T325" s="6">
        <f t="shared" si="700"/>
        <v>0</v>
      </c>
      <c r="U325" s="35" t="e">
        <f t="shared" si="707"/>
        <v>#DIV/0!</v>
      </c>
      <c r="V325" s="6" t="e">
        <f t="shared" ref="V325:Z325" si="799">V313</f>
        <v>#DIV/0!</v>
      </c>
      <c r="W325" s="6" t="e">
        <f t="shared" si="799"/>
        <v>#DIV/0!</v>
      </c>
      <c r="X325" s="6" t="e">
        <f t="shared" si="799"/>
        <v>#DIV/0!</v>
      </c>
      <c r="Y325" s="6" t="e">
        <f t="shared" si="799"/>
        <v>#DIV/0!</v>
      </c>
      <c r="Z325" s="6" t="e">
        <f t="shared" si="799"/>
        <v>#DIV/0!</v>
      </c>
    </row>
    <row r="326" spans="1:26" x14ac:dyDescent="0.2">
      <c r="A326" s="7" t="s">
        <v>71</v>
      </c>
      <c r="B326" s="6">
        <f t="shared" si="702"/>
        <v>1</v>
      </c>
      <c r="C326" s="7" t="s">
        <v>151</v>
      </c>
      <c r="D326" s="68">
        <v>60</v>
      </c>
      <c r="E326" s="68">
        <v>0</v>
      </c>
      <c r="F326" s="65">
        <f t="shared" si="697"/>
        <v>0</v>
      </c>
      <c r="G326" s="60" t="e">
        <f t="shared" si="703"/>
        <v>#DIV/0!</v>
      </c>
      <c r="H326" s="65" t="e">
        <f t="shared" ref="H326:J326" si="800">H314</f>
        <v>#DIV/0!</v>
      </c>
      <c r="I326" s="65" t="e">
        <f t="shared" si="800"/>
        <v>#DIV/0!</v>
      </c>
      <c r="J326" s="65" t="e">
        <f t="shared" si="800"/>
        <v>#DIV/0!</v>
      </c>
      <c r="K326" s="69">
        <v>10000</v>
      </c>
      <c r="L326" s="69">
        <f>'Monitoramento Acumulado Geral'!Q326</f>
        <v>0</v>
      </c>
      <c r="M326" s="6">
        <f>L326/K326</f>
        <v>0</v>
      </c>
      <c r="N326" s="35" t="e">
        <f t="shared" si="705"/>
        <v>#DIV/0!</v>
      </c>
      <c r="O326" s="6" t="e">
        <f t="shared" ref="O326:Q326" si="801">O314</f>
        <v>#DIV/0!</v>
      </c>
      <c r="P326" s="6" t="e">
        <f t="shared" si="801"/>
        <v>#DIV/0!</v>
      </c>
      <c r="Q326" s="6" t="e">
        <f t="shared" si="801"/>
        <v>#DIV/0!</v>
      </c>
      <c r="R326" s="69">
        <v>67</v>
      </c>
      <c r="S326" s="69">
        <v>0</v>
      </c>
      <c r="T326" s="6">
        <f t="shared" si="700"/>
        <v>0</v>
      </c>
      <c r="U326" s="35" t="e">
        <f t="shared" si="707"/>
        <v>#DIV/0!</v>
      </c>
      <c r="V326" s="6" t="e">
        <f t="shared" ref="V326:Z326" si="802">V314</f>
        <v>#DIV/0!</v>
      </c>
      <c r="W326" s="6" t="e">
        <f t="shared" si="802"/>
        <v>#DIV/0!</v>
      </c>
      <c r="X326" s="6" t="e">
        <f t="shared" si="802"/>
        <v>#DIV/0!</v>
      </c>
      <c r="Y326" s="6" t="e">
        <f t="shared" si="802"/>
        <v>#DIV/0!</v>
      </c>
      <c r="Z326" s="6" t="e">
        <f t="shared" si="802"/>
        <v>#DIV/0!</v>
      </c>
    </row>
    <row r="327" spans="1:26" x14ac:dyDescent="0.2">
      <c r="A327" s="7" t="s">
        <v>71</v>
      </c>
      <c r="B327" s="6">
        <f t="shared" si="702"/>
        <v>2</v>
      </c>
      <c r="C327" s="7" t="s">
        <v>152</v>
      </c>
      <c r="D327" s="68">
        <v>60</v>
      </c>
      <c r="E327" s="68">
        <v>0</v>
      </c>
      <c r="F327" s="65">
        <f t="shared" si="697"/>
        <v>0</v>
      </c>
      <c r="G327" s="60" t="e">
        <f t="shared" si="703"/>
        <v>#DIV/0!</v>
      </c>
      <c r="H327" s="65" t="e">
        <f t="shared" ref="H327:J327" si="803">H315</f>
        <v>#DIV/0!</v>
      </c>
      <c r="I327" s="65" t="e">
        <f t="shared" si="803"/>
        <v>#DIV/0!</v>
      </c>
      <c r="J327" s="65" t="e">
        <f t="shared" si="803"/>
        <v>#DIV/0!</v>
      </c>
      <c r="K327" s="69">
        <v>10000</v>
      </c>
      <c r="L327" s="69">
        <f>'Monitoramento Acumulado Geral'!Q327</f>
        <v>0</v>
      </c>
      <c r="M327" s="6">
        <f>(SUM(L326:L327))/K326</f>
        <v>0</v>
      </c>
      <c r="N327" s="35" t="e">
        <f t="shared" si="705"/>
        <v>#DIV/0!</v>
      </c>
      <c r="O327" s="6" t="e">
        <f t="shared" ref="O327:Q327" si="804">O315</f>
        <v>#DIV/0!</v>
      </c>
      <c r="P327" s="6" t="e">
        <f t="shared" si="804"/>
        <v>#DIV/0!</v>
      </c>
      <c r="Q327" s="6" t="e">
        <f t="shared" si="804"/>
        <v>#DIV/0!</v>
      </c>
      <c r="R327" s="69">
        <v>67</v>
      </c>
      <c r="S327" s="69">
        <v>0</v>
      </c>
      <c r="T327" s="6">
        <f t="shared" si="700"/>
        <v>0</v>
      </c>
      <c r="U327" s="35" t="e">
        <f t="shared" si="707"/>
        <v>#DIV/0!</v>
      </c>
      <c r="V327" s="6" t="e">
        <f t="shared" ref="V327:Z327" si="805">V315</f>
        <v>#DIV/0!</v>
      </c>
      <c r="W327" s="6" t="e">
        <f t="shared" si="805"/>
        <v>#DIV/0!</v>
      </c>
      <c r="X327" s="6" t="e">
        <f t="shared" si="805"/>
        <v>#DIV/0!</v>
      </c>
      <c r="Y327" s="6" t="e">
        <f t="shared" si="805"/>
        <v>#DIV/0!</v>
      </c>
      <c r="Z327" s="6" t="e">
        <f t="shared" si="805"/>
        <v>#DIV/0!</v>
      </c>
    </row>
    <row r="328" spans="1:26" x14ac:dyDescent="0.2">
      <c r="A328" s="7" t="s">
        <v>71</v>
      </c>
      <c r="B328" s="6">
        <f t="shared" si="702"/>
        <v>3</v>
      </c>
      <c r="C328" s="7" t="s">
        <v>153</v>
      </c>
      <c r="D328" s="68">
        <v>60</v>
      </c>
      <c r="E328" s="68">
        <v>24</v>
      </c>
      <c r="F328" s="65">
        <f t="shared" si="697"/>
        <v>0.4</v>
      </c>
      <c r="G328" s="60" t="e">
        <f t="shared" si="703"/>
        <v>#DIV/0!</v>
      </c>
      <c r="H328" s="65" t="e">
        <f t="shared" ref="H328:J328" si="806">H316</f>
        <v>#DIV/0!</v>
      </c>
      <c r="I328" s="65" t="e">
        <f t="shared" si="806"/>
        <v>#DIV/0!</v>
      </c>
      <c r="J328" s="65" t="e">
        <f t="shared" si="806"/>
        <v>#DIV/0!</v>
      </c>
      <c r="K328" s="69">
        <v>10000</v>
      </c>
      <c r="L328" s="69">
        <f>'Monitoramento Acumulado Geral'!Q328</f>
        <v>1855</v>
      </c>
      <c r="M328" s="6">
        <f>(SUM(L326:L328))/K327</f>
        <v>0.1855</v>
      </c>
      <c r="N328" s="35" t="e">
        <f t="shared" si="705"/>
        <v>#DIV/0!</v>
      </c>
      <c r="O328" s="6" t="e">
        <f t="shared" ref="O328:Q328" si="807">O316</f>
        <v>#DIV/0!</v>
      </c>
      <c r="P328" s="6" t="e">
        <f t="shared" si="807"/>
        <v>#DIV/0!</v>
      </c>
      <c r="Q328" s="6" t="e">
        <f t="shared" si="807"/>
        <v>#DIV/0!</v>
      </c>
      <c r="R328" s="69">
        <v>67</v>
      </c>
      <c r="S328" s="69">
        <v>0</v>
      </c>
      <c r="T328" s="6">
        <f t="shared" si="700"/>
        <v>0</v>
      </c>
      <c r="U328" s="35" t="e">
        <f t="shared" si="707"/>
        <v>#DIV/0!</v>
      </c>
      <c r="V328" s="6" t="e">
        <f t="shared" ref="V328:Z328" si="808">V316</f>
        <v>#DIV/0!</v>
      </c>
      <c r="W328" s="6" t="e">
        <f t="shared" si="808"/>
        <v>#DIV/0!</v>
      </c>
      <c r="X328" s="6" t="e">
        <f t="shared" si="808"/>
        <v>#DIV/0!</v>
      </c>
      <c r="Y328" s="6" t="e">
        <f t="shared" si="808"/>
        <v>#DIV/0!</v>
      </c>
      <c r="Z328" s="6" t="e">
        <f t="shared" si="808"/>
        <v>#DIV/0!</v>
      </c>
    </row>
    <row r="329" spans="1:26" x14ac:dyDescent="0.2">
      <c r="A329" s="7" t="s">
        <v>71</v>
      </c>
      <c r="B329" s="6">
        <f t="shared" si="702"/>
        <v>4</v>
      </c>
      <c r="C329" s="7" t="s">
        <v>154</v>
      </c>
      <c r="D329" s="68">
        <v>60</v>
      </c>
      <c r="E329" s="68">
        <v>33</v>
      </c>
      <c r="F329" s="65">
        <f t="shared" si="697"/>
        <v>0.55000000000000004</v>
      </c>
      <c r="G329" s="60" t="e">
        <f t="shared" si="703"/>
        <v>#DIV/0!</v>
      </c>
      <c r="H329" s="65" t="e">
        <f t="shared" ref="H329:J329" si="809">H317</f>
        <v>#DIV/0!</v>
      </c>
      <c r="I329" s="65" t="e">
        <f t="shared" si="809"/>
        <v>#DIV/0!</v>
      </c>
      <c r="J329" s="65" t="e">
        <f t="shared" si="809"/>
        <v>#DIV/0!</v>
      </c>
      <c r="K329" s="69">
        <v>10000</v>
      </c>
      <c r="L329" s="69">
        <f>'Monitoramento Acumulado Geral'!Q329</f>
        <v>2655</v>
      </c>
      <c r="M329" s="6">
        <f>(SUM(L326:L329))/K328</f>
        <v>0.45100000000000001</v>
      </c>
      <c r="N329" s="35" t="e">
        <f t="shared" si="705"/>
        <v>#DIV/0!</v>
      </c>
      <c r="O329" s="6" t="e">
        <f t="shared" ref="O329:Q329" si="810">O317</f>
        <v>#DIV/0!</v>
      </c>
      <c r="P329" s="6" t="e">
        <f t="shared" si="810"/>
        <v>#DIV/0!</v>
      </c>
      <c r="Q329" s="6" t="e">
        <f t="shared" si="810"/>
        <v>#DIV/0!</v>
      </c>
      <c r="R329" s="69">
        <v>67</v>
      </c>
      <c r="S329" s="69">
        <v>0</v>
      </c>
      <c r="T329" s="6">
        <f t="shared" si="700"/>
        <v>0</v>
      </c>
      <c r="U329" s="35" t="e">
        <f t="shared" si="707"/>
        <v>#DIV/0!</v>
      </c>
      <c r="V329" s="6" t="e">
        <f t="shared" ref="V329:Z329" si="811">V317</f>
        <v>#DIV/0!</v>
      </c>
      <c r="W329" s="6" t="e">
        <f t="shared" si="811"/>
        <v>#DIV/0!</v>
      </c>
      <c r="X329" s="6" t="e">
        <f t="shared" si="811"/>
        <v>#DIV/0!</v>
      </c>
      <c r="Y329" s="6" t="e">
        <f t="shared" si="811"/>
        <v>#DIV/0!</v>
      </c>
      <c r="Z329" s="6" t="e">
        <f t="shared" si="811"/>
        <v>#DIV/0!</v>
      </c>
    </row>
    <row r="330" spans="1:26" x14ac:dyDescent="0.2">
      <c r="A330" s="7" t="s">
        <v>71</v>
      </c>
      <c r="B330" s="6">
        <f t="shared" si="702"/>
        <v>5</v>
      </c>
      <c r="C330" s="7" t="s">
        <v>155</v>
      </c>
      <c r="D330" s="68">
        <v>60</v>
      </c>
      <c r="E330" s="68">
        <v>48</v>
      </c>
      <c r="F330" s="65">
        <f t="shared" si="697"/>
        <v>0.8</v>
      </c>
      <c r="G330" s="60" t="e">
        <f t="shared" si="703"/>
        <v>#DIV/0!</v>
      </c>
      <c r="H330" s="65" t="e">
        <f t="shared" ref="H330:J330" si="812">H318</f>
        <v>#DIV/0!</v>
      </c>
      <c r="I330" s="65" t="e">
        <f t="shared" si="812"/>
        <v>#DIV/0!</v>
      </c>
      <c r="J330" s="65" t="e">
        <f t="shared" si="812"/>
        <v>#DIV/0!</v>
      </c>
      <c r="K330" s="69">
        <v>10000</v>
      </c>
      <c r="L330" s="69">
        <f>'Monitoramento Acumulado Geral'!Q330</f>
        <v>1</v>
      </c>
      <c r="M330" s="6">
        <f>(SUM(L326:L330))/K329</f>
        <v>0.4511</v>
      </c>
      <c r="N330" s="35" t="e">
        <f t="shared" si="705"/>
        <v>#DIV/0!</v>
      </c>
      <c r="O330" s="6" t="e">
        <f t="shared" ref="O330:Q330" si="813">O318</f>
        <v>#DIV/0!</v>
      </c>
      <c r="P330" s="6" t="e">
        <f t="shared" si="813"/>
        <v>#DIV/0!</v>
      </c>
      <c r="Q330" s="6" t="e">
        <f t="shared" si="813"/>
        <v>#DIV/0!</v>
      </c>
      <c r="R330" s="69">
        <v>67</v>
      </c>
      <c r="S330" s="69">
        <v>100</v>
      </c>
      <c r="T330" s="6">
        <f t="shared" si="700"/>
        <v>1.4925373134328359</v>
      </c>
      <c r="U330" s="35" t="e">
        <f t="shared" si="707"/>
        <v>#DIV/0!</v>
      </c>
      <c r="V330" s="6" t="e">
        <f t="shared" ref="V330:Z330" si="814">V318</f>
        <v>#DIV/0!</v>
      </c>
      <c r="W330" s="6" t="e">
        <f t="shared" si="814"/>
        <v>#DIV/0!</v>
      </c>
      <c r="X330" s="6" t="e">
        <f t="shared" si="814"/>
        <v>#DIV/0!</v>
      </c>
      <c r="Y330" s="6" t="e">
        <f t="shared" si="814"/>
        <v>#DIV/0!</v>
      </c>
      <c r="Z330" s="6" t="e">
        <f t="shared" si="814"/>
        <v>#DIV/0!</v>
      </c>
    </row>
    <row r="331" spans="1:26" x14ac:dyDescent="0.2">
      <c r="A331" s="7" t="s">
        <v>71</v>
      </c>
      <c r="B331" s="6">
        <f t="shared" si="702"/>
        <v>6</v>
      </c>
      <c r="C331" s="7" t="s">
        <v>156</v>
      </c>
      <c r="D331" s="68">
        <v>60</v>
      </c>
      <c r="E331" s="68">
        <v>48</v>
      </c>
      <c r="F331" s="65">
        <f t="shared" si="697"/>
        <v>0.8</v>
      </c>
      <c r="G331" s="60" t="e">
        <f t="shared" si="703"/>
        <v>#DIV/0!</v>
      </c>
      <c r="H331" s="65" t="e">
        <f t="shared" ref="H331:J331" si="815">H319</f>
        <v>#DIV/0!</v>
      </c>
      <c r="I331" s="65" t="e">
        <f t="shared" si="815"/>
        <v>#DIV/0!</v>
      </c>
      <c r="J331" s="65" t="e">
        <f t="shared" si="815"/>
        <v>#DIV/0!</v>
      </c>
      <c r="K331" s="69">
        <v>10000</v>
      </c>
      <c r="L331" s="69">
        <f>'Monitoramento Acumulado Geral'!Q331</f>
        <v>0</v>
      </c>
      <c r="M331" s="6">
        <f>(SUM(L326:L331))/K330</f>
        <v>0.4511</v>
      </c>
      <c r="N331" s="35" t="e">
        <f t="shared" si="705"/>
        <v>#DIV/0!</v>
      </c>
      <c r="O331" s="6" t="e">
        <f t="shared" ref="O331:Q331" si="816">O319</f>
        <v>#DIV/0!</v>
      </c>
      <c r="P331" s="6" t="e">
        <f t="shared" si="816"/>
        <v>#DIV/0!</v>
      </c>
      <c r="Q331" s="6" t="e">
        <f t="shared" si="816"/>
        <v>#DIV/0!</v>
      </c>
      <c r="R331" s="69">
        <v>67</v>
      </c>
      <c r="S331" s="69">
        <v>100</v>
      </c>
      <c r="T331" s="6">
        <f t="shared" si="700"/>
        <v>1.4925373134328359</v>
      </c>
      <c r="U331" s="35" t="e">
        <f t="shared" si="707"/>
        <v>#DIV/0!</v>
      </c>
      <c r="V331" s="6" t="e">
        <f t="shared" ref="V331:Z331" si="817">V319</f>
        <v>#DIV/0!</v>
      </c>
      <c r="W331" s="6" t="e">
        <f t="shared" si="817"/>
        <v>#DIV/0!</v>
      </c>
      <c r="X331" s="6" t="e">
        <f t="shared" si="817"/>
        <v>#DIV/0!</v>
      </c>
      <c r="Y331" s="6" t="e">
        <f t="shared" si="817"/>
        <v>#DIV/0!</v>
      </c>
      <c r="Z331" s="6" t="e">
        <f t="shared" si="817"/>
        <v>#DIV/0!</v>
      </c>
    </row>
    <row r="332" spans="1:26" x14ac:dyDescent="0.2">
      <c r="A332" s="7" t="s">
        <v>71</v>
      </c>
      <c r="B332" s="6">
        <f t="shared" si="702"/>
        <v>7</v>
      </c>
      <c r="C332" s="7" t="s">
        <v>157</v>
      </c>
      <c r="D332" s="68">
        <v>60</v>
      </c>
      <c r="E332" s="68">
        <v>48</v>
      </c>
      <c r="F332" s="65">
        <f t="shared" si="697"/>
        <v>0.8</v>
      </c>
      <c r="G332" s="60" t="e">
        <f t="shared" si="703"/>
        <v>#DIV/0!</v>
      </c>
      <c r="H332" s="65" t="e">
        <f t="shared" ref="H332:J332" si="818">H320</f>
        <v>#DIV/0!</v>
      </c>
      <c r="I332" s="65" t="e">
        <f t="shared" si="818"/>
        <v>#DIV/0!</v>
      </c>
      <c r="J332" s="65" t="e">
        <f t="shared" si="818"/>
        <v>#DIV/0!</v>
      </c>
      <c r="K332" s="69">
        <v>10000</v>
      </c>
      <c r="L332" s="69">
        <f>'Monitoramento Acumulado Geral'!Q332</f>
        <v>0</v>
      </c>
      <c r="M332" s="6">
        <f>(SUM(L326:L332))/K331</f>
        <v>0.4511</v>
      </c>
      <c r="N332" s="35" t="e">
        <f t="shared" si="705"/>
        <v>#DIV/0!</v>
      </c>
      <c r="O332" s="6" t="e">
        <f t="shared" ref="O332:Q332" si="819">O320</f>
        <v>#DIV/0!</v>
      </c>
      <c r="P332" s="6" t="e">
        <f t="shared" si="819"/>
        <v>#DIV/0!</v>
      </c>
      <c r="Q332" s="6" t="e">
        <f t="shared" si="819"/>
        <v>#DIV/0!</v>
      </c>
      <c r="R332" s="69">
        <v>67</v>
      </c>
      <c r="S332" s="69">
        <v>100</v>
      </c>
      <c r="T332" s="6">
        <f t="shared" si="700"/>
        <v>1.4925373134328359</v>
      </c>
      <c r="U332" s="35" t="e">
        <f t="shared" si="707"/>
        <v>#DIV/0!</v>
      </c>
      <c r="V332" s="6" t="e">
        <f t="shared" ref="V332:Z332" si="820">V320</f>
        <v>#DIV/0!</v>
      </c>
      <c r="W332" s="6" t="e">
        <f t="shared" si="820"/>
        <v>#DIV/0!</v>
      </c>
      <c r="X332" s="6" t="e">
        <f t="shared" si="820"/>
        <v>#DIV/0!</v>
      </c>
      <c r="Y332" s="6" t="e">
        <f t="shared" si="820"/>
        <v>#DIV/0!</v>
      </c>
      <c r="Z332" s="6" t="e">
        <f t="shared" si="820"/>
        <v>#DIV/0!</v>
      </c>
    </row>
    <row r="333" spans="1:26" x14ac:dyDescent="0.2">
      <c r="A333" s="7" t="s">
        <v>71</v>
      </c>
      <c r="B333" s="6">
        <f t="shared" si="702"/>
        <v>8</v>
      </c>
      <c r="C333" s="7" t="s">
        <v>158</v>
      </c>
      <c r="D333" s="68">
        <v>60</v>
      </c>
      <c r="E333" s="68">
        <v>48</v>
      </c>
      <c r="F333" s="65">
        <f t="shared" si="697"/>
        <v>0.8</v>
      </c>
      <c r="G333" s="60" t="e">
        <f t="shared" si="703"/>
        <v>#DIV/0!</v>
      </c>
      <c r="H333" s="65" t="e">
        <f t="shared" ref="H333:J333" si="821">H321</f>
        <v>#DIV/0!</v>
      </c>
      <c r="I333" s="65" t="e">
        <f t="shared" si="821"/>
        <v>#DIV/0!</v>
      </c>
      <c r="J333" s="65" t="e">
        <f t="shared" si="821"/>
        <v>#DIV/0!</v>
      </c>
      <c r="K333" s="69">
        <v>10000</v>
      </c>
      <c r="L333" s="69">
        <f>'Monitoramento Acumulado Geral'!Q333</f>
        <v>0</v>
      </c>
      <c r="M333" s="6">
        <f>(SUM(L326:L333))/K332</f>
        <v>0.4511</v>
      </c>
      <c r="N333" s="35" t="e">
        <f t="shared" si="705"/>
        <v>#DIV/0!</v>
      </c>
      <c r="O333" s="6" t="e">
        <f t="shared" ref="O333:Q333" si="822">O321</f>
        <v>#DIV/0!</v>
      </c>
      <c r="P333" s="6" t="e">
        <f t="shared" si="822"/>
        <v>#DIV/0!</v>
      </c>
      <c r="Q333" s="6" t="e">
        <f t="shared" si="822"/>
        <v>#DIV/0!</v>
      </c>
      <c r="R333" s="69">
        <v>67</v>
      </c>
      <c r="S333" s="69">
        <v>100</v>
      </c>
      <c r="T333" s="6">
        <f t="shared" si="700"/>
        <v>1.4925373134328359</v>
      </c>
      <c r="U333" s="35" t="e">
        <f t="shared" si="707"/>
        <v>#DIV/0!</v>
      </c>
      <c r="V333" s="6" t="e">
        <f t="shared" ref="V333:Z333" si="823">V321</f>
        <v>#DIV/0!</v>
      </c>
      <c r="W333" s="6" t="e">
        <f t="shared" si="823"/>
        <v>#DIV/0!</v>
      </c>
      <c r="X333" s="6" t="e">
        <f t="shared" si="823"/>
        <v>#DIV/0!</v>
      </c>
      <c r="Y333" s="6" t="e">
        <f t="shared" si="823"/>
        <v>#DIV/0!</v>
      </c>
      <c r="Z333" s="6" t="e">
        <f t="shared" si="823"/>
        <v>#DIV/0!</v>
      </c>
    </row>
    <row r="334" spans="1:26" x14ac:dyDescent="0.2">
      <c r="A334" s="7" t="s">
        <v>71</v>
      </c>
      <c r="B334" s="6">
        <f t="shared" si="702"/>
        <v>9</v>
      </c>
      <c r="C334" s="7" t="s">
        <v>159</v>
      </c>
      <c r="D334" s="68">
        <v>60</v>
      </c>
      <c r="E334" s="68">
        <v>48</v>
      </c>
      <c r="F334" s="65">
        <f t="shared" si="697"/>
        <v>0.8</v>
      </c>
      <c r="G334" s="60" t="e">
        <f t="shared" si="703"/>
        <v>#DIV/0!</v>
      </c>
      <c r="H334" s="65" t="e">
        <f t="shared" ref="H334:J334" si="824">H322</f>
        <v>#DIV/0!</v>
      </c>
      <c r="I334" s="65" t="e">
        <f t="shared" si="824"/>
        <v>#DIV/0!</v>
      </c>
      <c r="J334" s="65" t="e">
        <f t="shared" si="824"/>
        <v>#DIV/0!</v>
      </c>
      <c r="K334" s="69">
        <v>10000</v>
      </c>
      <c r="L334" s="69">
        <f>'Monitoramento Acumulado Geral'!Q334</f>
        <v>0</v>
      </c>
      <c r="M334" s="6">
        <f>(SUM(L326:L334))/K333</f>
        <v>0.4511</v>
      </c>
      <c r="N334" s="35" t="e">
        <f t="shared" si="705"/>
        <v>#DIV/0!</v>
      </c>
      <c r="O334" s="6" t="e">
        <f t="shared" ref="O334:Q334" si="825">O322</f>
        <v>#DIV/0!</v>
      </c>
      <c r="P334" s="6" t="e">
        <f t="shared" si="825"/>
        <v>#DIV/0!</v>
      </c>
      <c r="Q334" s="6" t="e">
        <f t="shared" si="825"/>
        <v>#DIV/0!</v>
      </c>
      <c r="R334" s="69">
        <v>67</v>
      </c>
      <c r="S334" s="69">
        <v>100</v>
      </c>
      <c r="T334" s="6">
        <f t="shared" si="700"/>
        <v>1.4925373134328359</v>
      </c>
      <c r="U334" s="35" t="e">
        <f t="shared" si="707"/>
        <v>#DIV/0!</v>
      </c>
      <c r="V334" s="6" t="e">
        <f t="shared" ref="V334:Z334" si="826">V322</f>
        <v>#DIV/0!</v>
      </c>
      <c r="W334" s="6" t="e">
        <f t="shared" si="826"/>
        <v>#DIV/0!</v>
      </c>
      <c r="X334" s="6" t="e">
        <f t="shared" si="826"/>
        <v>#DIV/0!</v>
      </c>
      <c r="Y334" s="6" t="e">
        <f t="shared" si="826"/>
        <v>#DIV/0!</v>
      </c>
      <c r="Z334" s="6" t="e">
        <f t="shared" si="826"/>
        <v>#DIV/0!</v>
      </c>
    </row>
    <row r="335" spans="1:26" x14ac:dyDescent="0.2">
      <c r="A335" s="7" t="s">
        <v>71</v>
      </c>
      <c r="B335" s="6">
        <f t="shared" si="702"/>
        <v>10</v>
      </c>
      <c r="C335" s="7" t="s">
        <v>160</v>
      </c>
      <c r="D335" s="68">
        <v>60</v>
      </c>
      <c r="E335" s="68">
        <v>48</v>
      </c>
      <c r="F335" s="65">
        <f t="shared" si="697"/>
        <v>0.8</v>
      </c>
      <c r="G335" s="60" t="e">
        <f t="shared" si="703"/>
        <v>#DIV/0!</v>
      </c>
      <c r="H335" s="65" t="e">
        <f t="shared" ref="H335:J335" si="827">H323</f>
        <v>#DIV/0!</v>
      </c>
      <c r="I335" s="65" t="e">
        <f t="shared" si="827"/>
        <v>#DIV/0!</v>
      </c>
      <c r="J335" s="65" t="e">
        <f t="shared" si="827"/>
        <v>#DIV/0!</v>
      </c>
      <c r="K335" s="69">
        <v>10000</v>
      </c>
      <c r="L335" s="69">
        <f>'Monitoramento Acumulado Geral'!Q335</f>
        <v>0</v>
      </c>
      <c r="M335" s="6">
        <f>(SUM(L326:L335))/K334</f>
        <v>0.4511</v>
      </c>
      <c r="N335" s="35" t="e">
        <f t="shared" si="705"/>
        <v>#DIV/0!</v>
      </c>
      <c r="O335" s="6" t="e">
        <f t="shared" ref="O335:Q335" si="828">O323</f>
        <v>#DIV/0!</v>
      </c>
      <c r="P335" s="6" t="e">
        <f t="shared" si="828"/>
        <v>#DIV/0!</v>
      </c>
      <c r="Q335" s="6" t="e">
        <f t="shared" si="828"/>
        <v>#DIV/0!</v>
      </c>
      <c r="R335" s="69">
        <v>67</v>
      </c>
      <c r="S335" s="69">
        <v>100</v>
      </c>
      <c r="T335" s="6">
        <f t="shared" si="700"/>
        <v>1.4925373134328359</v>
      </c>
      <c r="U335" s="35" t="e">
        <f t="shared" si="707"/>
        <v>#DIV/0!</v>
      </c>
      <c r="V335" s="6" t="e">
        <f t="shared" ref="V335:Z335" si="829">V323</f>
        <v>#DIV/0!</v>
      </c>
      <c r="W335" s="6" t="e">
        <f t="shared" si="829"/>
        <v>#DIV/0!</v>
      </c>
      <c r="X335" s="6" t="e">
        <f t="shared" si="829"/>
        <v>#DIV/0!</v>
      </c>
      <c r="Y335" s="6" t="e">
        <f t="shared" si="829"/>
        <v>#DIV/0!</v>
      </c>
      <c r="Z335" s="6" t="e">
        <f t="shared" si="829"/>
        <v>#DIV/0!</v>
      </c>
    </row>
    <row r="336" spans="1:26" x14ac:dyDescent="0.2">
      <c r="A336" s="7" t="s">
        <v>71</v>
      </c>
      <c r="B336" s="6">
        <f t="shared" si="702"/>
        <v>11</v>
      </c>
      <c r="C336" s="7" t="s">
        <v>161</v>
      </c>
      <c r="D336" s="68">
        <v>60</v>
      </c>
      <c r="E336" s="68">
        <v>0</v>
      </c>
      <c r="F336" s="65">
        <f t="shared" si="697"/>
        <v>0</v>
      </c>
      <c r="G336" s="60" t="e">
        <f t="shared" si="703"/>
        <v>#DIV/0!</v>
      </c>
      <c r="H336" s="65" t="e">
        <f t="shared" ref="H336:J336" si="830">H324</f>
        <v>#DIV/0!</v>
      </c>
      <c r="I336" s="65" t="e">
        <f t="shared" si="830"/>
        <v>#DIV/0!</v>
      </c>
      <c r="J336" s="65" t="e">
        <f t="shared" si="830"/>
        <v>#DIV/0!</v>
      </c>
      <c r="K336" s="69">
        <v>10000</v>
      </c>
      <c r="L336" s="69">
        <f>'Monitoramento Acumulado Geral'!Q336</f>
        <v>0</v>
      </c>
      <c r="M336" s="6">
        <f>(SUM(L326:L336))/K335</f>
        <v>0.4511</v>
      </c>
      <c r="N336" s="35" t="e">
        <f t="shared" si="705"/>
        <v>#DIV/0!</v>
      </c>
      <c r="O336" s="6" t="e">
        <f t="shared" ref="O336:Q336" si="831">O324</f>
        <v>#DIV/0!</v>
      </c>
      <c r="P336" s="6" t="e">
        <f t="shared" si="831"/>
        <v>#DIV/0!</v>
      </c>
      <c r="Q336" s="6" t="e">
        <f t="shared" si="831"/>
        <v>#DIV/0!</v>
      </c>
      <c r="R336" s="69">
        <v>67</v>
      </c>
      <c r="S336" s="69">
        <v>0</v>
      </c>
      <c r="T336" s="6">
        <f t="shared" si="700"/>
        <v>0</v>
      </c>
      <c r="U336" s="35" t="e">
        <f t="shared" si="707"/>
        <v>#DIV/0!</v>
      </c>
      <c r="V336" s="6" t="e">
        <f t="shared" ref="V336:Z336" si="832">V324</f>
        <v>#DIV/0!</v>
      </c>
      <c r="W336" s="6" t="e">
        <f t="shared" si="832"/>
        <v>#DIV/0!</v>
      </c>
      <c r="X336" s="6" t="e">
        <f t="shared" si="832"/>
        <v>#DIV/0!</v>
      </c>
      <c r="Y336" s="6" t="e">
        <f t="shared" si="832"/>
        <v>#DIV/0!</v>
      </c>
      <c r="Z336" s="6" t="e">
        <f t="shared" si="832"/>
        <v>#DIV/0!</v>
      </c>
    </row>
    <row r="337" spans="1:26" x14ac:dyDescent="0.2">
      <c r="A337" s="7" t="s">
        <v>71</v>
      </c>
      <c r="B337" s="6">
        <f t="shared" si="702"/>
        <v>12</v>
      </c>
      <c r="C337" s="7" t="s">
        <v>162</v>
      </c>
      <c r="D337" s="68">
        <v>60</v>
      </c>
      <c r="E337" s="68">
        <v>0</v>
      </c>
      <c r="F337" s="65">
        <f t="shared" si="697"/>
        <v>0</v>
      </c>
      <c r="G337" s="60" t="e">
        <f t="shared" si="703"/>
        <v>#DIV/0!</v>
      </c>
      <c r="H337" s="65" t="e">
        <f t="shared" ref="H337:J337" si="833">H325</f>
        <v>#DIV/0!</v>
      </c>
      <c r="I337" s="65" t="e">
        <f t="shared" si="833"/>
        <v>#DIV/0!</v>
      </c>
      <c r="J337" s="65" t="e">
        <f t="shared" si="833"/>
        <v>#DIV/0!</v>
      </c>
      <c r="K337" s="69">
        <v>10000</v>
      </c>
      <c r="L337" s="69">
        <f>'Monitoramento Acumulado Geral'!Q337</f>
        <v>0</v>
      </c>
      <c r="M337" s="6">
        <f>(SUM(L326:L337))/K336</f>
        <v>0.4511</v>
      </c>
      <c r="N337" s="35" t="e">
        <f t="shared" si="705"/>
        <v>#DIV/0!</v>
      </c>
      <c r="O337" s="6" t="e">
        <f t="shared" ref="O337:Q337" si="834">O325</f>
        <v>#DIV/0!</v>
      </c>
      <c r="P337" s="6" t="e">
        <f t="shared" si="834"/>
        <v>#DIV/0!</v>
      </c>
      <c r="Q337" s="6" t="e">
        <f t="shared" si="834"/>
        <v>#DIV/0!</v>
      </c>
      <c r="R337" s="69">
        <v>67</v>
      </c>
      <c r="S337" s="69">
        <v>0</v>
      </c>
      <c r="T337" s="6">
        <f t="shared" si="700"/>
        <v>0</v>
      </c>
      <c r="U337" s="35" t="e">
        <f t="shared" si="707"/>
        <v>#DIV/0!</v>
      </c>
      <c r="V337" s="6" t="e">
        <f t="shared" ref="V337:Z337" si="835">V325</f>
        <v>#DIV/0!</v>
      </c>
      <c r="W337" s="6" t="e">
        <f t="shared" si="835"/>
        <v>#DIV/0!</v>
      </c>
      <c r="X337" s="6" t="e">
        <f t="shared" si="835"/>
        <v>#DIV/0!</v>
      </c>
      <c r="Y337" s="6" t="e">
        <f t="shared" si="835"/>
        <v>#DIV/0!</v>
      </c>
      <c r="Z337" s="6" t="e">
        <f t="shared" si="835"/>
        <v>#DIV/0!</v>
      </c>
    </row>
    <row r="338" spans="1:26" x14ac:dyDescent="0.2">
      <c r="A338" s="7" t="s">
        <v>75</v>
      </c>
      <c r="B338" s="6">
        <f t="shared" si="702"/>
        <v>1</v>
      </c>
      <c r="C338" s="7" t="s">
        <v>151</v>
      </c>
      <c r="D338" s="68">
        <v>75</v>
      </c>
      <c r="E338" s="68">
        <v>8</v>
      </c>
      <c r="F338" s="65">
        <f t="shared" si="697"/>
        <v>0.10666666666666667</v>
      </c>
      <c r="G338" s="60" t="e">
        <f t="shared" si="703"/>
        <v>#DIV/0!</v>
      </c>
      <c r="H338" s="65" t="e">
        <f t="shared" ref="H338:J338" si="836">H326</f>
        <v>#DIV/0!</v>
      </c>
      <c r="I338" s="65" t="e">
        <f t="shared" si="836"/>
        <v>#DIV/0!</v>
      </c>
      <c r="J338" s="65" t="e">
        <f t="shared" si="836"/>
        <v>#DIV/0!</v>
      </c>
      <c r="K338" s="69">
        <v>36000</v>
      </c>
      <c r="L338" s="69">
        <f>'Monitoramento Acumulado Geral'!Q338</f>
        <v>541</v>
      </c>
      <c r="M338" s="6">
        <f>L338/K338</f>
        <v>1.5027777777777777E-2</v>
      </c>
      <c r="N338" s="35" t="e">
        <f t="shared" si="705"/>
        <v>#DIV/0!</v>
      </c>
      <c r="O338" s="6" t="e">
        <f t="shared" ref="O338:Q338" si="837">O326</f>
        <v>#DIV/0!</v>
      </c>
      <c r="P338" s="6" t="e">
        <f t="shared" si="837"/>
        <v>#DIV/0!</v>
      </c>
      <c r="Q338" s="6" t="e">
        <f t="shared" si="837"/>
        <v>#DIV/0!</v>
      </c>
      <c r="R338" s="69">
        <v>79</v>
      </c>
      <c r="S338" s="69">
        <v>0</v>
      </c>
      <c r="T338" s="6">
        <f t="shared" si="700"/>
        <v>0</v>
      </c>
      <c r="U338" s="35" t="e">
        <f t="shared" si="707"/>
        <v>#DIV/0!</v>
      </c>
      <c r="V338" s="6" t="e">
        <f t="shared" ref="V338:Z338" si="838">V326</f>
        <v>#DIV/0!</v>
      </c>
      <c r="W338" s="6" t="e">
        <f t="shared" si="838"/>
        <v>#DIV/0!</v>
      </c>
      <c r="X338" s="6" t="e">
        <f t="shared" si="838"/>
        <v>#DIV/0!</v>
      </c>
      <c r="Y338" s="6" t="e">
        <f t="shared" si="838"/>
        <v>#DIV/0!</v>
      </c>
      <c r="Z338" s="6" t="e">
        <f t="shared" si="838"/>
        <v>#DIV/0!</v>
      </c>
    </row>
    <row r="339" spans="1:26" x14ac:dyDescent="0.2">
      <c r="A339" s="7" t="s">
        <v>75</v>
      </c>
      <c r="B339" s="6">
        <f t="shared" si="702"/>
        <v>2</v>
      </c>
      <c r="C339" s="7" t="s">
        <v>152</v>
      </c>
      <c r="D339" s="68">
        <v>75</v>
      </c>
      <c r="E339" s="68">
        <v>14</v>
      </c>
      <c r="F339" s="65">
        <f t="shared" si="697"/>
        <v>0.18666666666666668</v>
      </c>
      <c r="G339" s="60" t="e">
        <f t="shared" si="703"/>
        <v>#DIV/0!</v>
      </c>
      <c r="H339" s="65" t="e">
        <f t="shared" ref="H339:J339" si="839">H327</f>
        <v>#DIV/0!</v>
      </c>
      <c r="I339" s="65" t="e">
        <f t="shared" si="839"/>
        <v>#DIV/0!</v>
      </c>
      <c r="J339" s="65" t="e">
        <f t="shared" si="839"/>
        <v>#DIV/0!</v>
      </c>
      <c r="K339" s="69">
        <v>36000</v>
      </c>
      <c r="L339" s="69">
        <f>'Monitoramento Acumulado Geral'!Q339</f>
        <v>3499.8</v>
      </c>
      <c r="M339" s="6">
        <f>(SUM(L338:L339))/K338</f>
        <v>0.11224444444444445</v>
      </c>
      <c r="N339" s="35" t="e">
        <f t="shared" si="705"/>
        <v>#DIV/0!</v>
      </c>
      <c r="O339" s="6" t="e">
        <f t="shared" ref="O339:Q339" si="840">O327</f>
        <v>#DIV/0!</v>
      </c>
      <c r="P339" s="6" t="e">
        <f t="shared" si="840"/>
        <v>#DIV/0!</v>
      </c>
      <c r="Q339" s="6" t="e">
        <f t="shared" si="840"/>
        <v>#DIV/0!</v>
      </c>
      <c r="R339" s="69">
        <v>79</v>
      </c>
      <c r="S339" s="69">
        <v>0</v>
      </c>
      <c r="T339" s="6">
        <f t="shared" si="700"/>
        <v>0</v>
      </c>
      <c r="U339" s="35" t="e">
        <f t="shared" si="707"/>
        <v>#DIV/0!</v>
      </c>
      <c r="V339" s="6" t="e">
        <f t="shared" ref="V339:Z339" si="841">V327</f>
        <v>#DIV/0!</v>
      </c>
      <c r="W339" s="6" t="e">
        <f t="shared" si="841"/>
        <v>#DIV/0!</v>
      </c>
      <c r="X339" s="6" t="e">
        <f t="shared" si="841"/>
        <v>#DIV/0!</v>
      </c>
      <c r="Y339" s="6" t="e">
        <f t="shared" si="841"/>
        <v>#DIV/0!</v>
      </c>
      <c r="Z339" s="6" t="e">
        <f t="shared" si="841"/>
        <v>#DIV/0!</v>
      </c>
    </row>
    <row r="340" spans="1:26" x14ac:dyDescent="0.2">
      <c r="A340" s="7" t="s">
        <v>75</v>
      </c>
      <c r="B340" s="6">
        <f t="shared" si="702"/>
        <v>3</v>
      </c>
      <c r="C340" s="7" t="s">
        <v>153</v>
      </c>
      <c r="D340" s="68">
        <v>75</v>
      </c>
      <c r="E340" s="68">
        <v>19</v>
      </c>
      <c r="F340" s="65">
        <f t="shared" si="697"/>
        <v>0.25333333333333335</v>
      </c>
      <c r="G340" s="60" t="e">
        <f t="shared" si="703"/>
        <v>#DIV/0!</v>
      </c>
      <c r="H340" s="65" t="e">
        <f t="shared" ref="H340:J340" si="842">H328</f>
        <v>#DIV/0!</v>
      </c>
      <c r="I340" s="65" t="e">
        <f t="shared" si="842"/>
        <v>#DIV/0!</v>
      </c>
      <c r="J340" s="65" t="e">
        <f t="shared" si="842"/>
        <v>#DIV/0!</v>
      </c>
      <c r="K340" s="69">
        <v>36000</v>
      </c>
      <c r="L340" s="69">
        <f>'Monitoramento Acumulado Geral'!Q340</f>
        <v>2744</v>
      </c>
      <c r="M340" s="6">
        <f>(SUM(L338:L340))/K339</f>
        <v>0.18846666666666667</v>
      </c>
      <c r="N340" s="35" t="e">
        <f t="shared" si="705"/>
        <v>#DIV/0!</v>
      </c>
      <c r="O340" s="6" t="e">
        <f t="shared" ref="O340:Q340" si="843">O328</f>
        <v>#DIV/0!</v>
      </c>
      <c r="P340" s="6" t="e">
        <f t="shared" si="843"/>
        <v>#DIV/0!</v>
      </c>
      <c r="Q340" s="6" t="e">
        <f t="shared" si="843"/>
        <v>#DIV/0!</v>
      </c>
      <c r="R340" s="69">
        <v>79</v>
      </c>
      <c r="S340" s="69">
        <v>0</v>
      </c>
      <c r="T340" s="6">
        <f t="shared" si="700"/>
        <v>0</v>
      </c>
      <c r="U340" s="35" t="e">
        <f t="shared" si="707"/>
        <v>#DIV/0!</v>
      </c>
      <c r="V340" s="6" t="e">
        <f t="shared" ref="V340:Z340" si="844">V328</f>
        <v>#DIV/0!</v>
      </c>
      <c r="W340" s="6" t="e">
        <f t="shared" si="844"/>
        <v>#DIV/0!</v>
      </c>
      <c r="X340" s="6" t="e">
        <f t="shared" si="844"/>
        <v>#DIV/0!</v>
      </c>
      <c r="Y340" s="6" t="e">
        <f t="shared" si="844"/>
        <v>#DIV/0!</v>
      </c>
      <c r="Z340" s="6" t="e">
        <f t="shared" si="844"/>
        <v>#DIV/0!</v>
      </c>
    </row>
    <row r="341" spans="1:26" x14ac:dyDescent="0.2">
      <c r="A341" s="7" t="s">
        <v>75</v>
      </c>
      <c r="B341" s="6">
        <f t="shared" si="702"/>
        <v>4</v>
      </c>
      <c r="C341" s="7" t="s">
        <v>154</v>
      </c>
      <c r="D341" s="68">
        <v>75</v>
      </c>
      <c r="E341" s="68">
        <v>31</v>
      </c>
      <c r="F341" s="65">
        <f t="shared" si="697"/>
        <v>0.41333333333333333</v>
      </c>
      <c r="G341" s="60" t="e">
        <f t="shared" si="703"/>
        <v>#DIV/0!</v>
      </c>
      <c r="H341" s="65" t="e">
        <f t="shared" ref="H341:J341" si="845">H329</f>
        <v>#DIV/0!</v>
      </c>
      <c r="I341" s="65" t="e">
        <f t="shared" si="845"/>
        <v>#DIV/0!</v>
      </c>
      <c r="J341" s="65" t="e">
        <f t="shared" si="845"/>
        <v>#DIV/0!</v>
      </c>
      <c r="K341" s="69">
        <v>36000</v>
      </c>
      <c r="L341" s="69">
        <f>'Monitoramento Acumulado Geral'!Q341</f>
        <v>4745</v>
      </c>
      <c r="M341" s="6">
        <f>(SUM(L338:L341))/K340</f>
        <v>0.32027222222222218</v>
      </c>
      <c r="N341" s="35" t="e">
        <f t="shared" si="705"/>
        <v>#DIV/0!</v>
      </c>
      <c r="O341" s="6" t="e">
        <f t="shared" ref="O341:Q341" si="846">O329</f>
        <v>#DIV/0!</v>
      </c>
      <c r="P341" s="6" t="e">
        <f t="shared" si="846"/>
        <v>#DIV/0!</v>
      </c>
      <c r="Q341" s="6" t="e">
        <f t="shared" si="846"/>
        <v>#DIV/0!</v>
      </c>
      <c r="R341" s="69">
        <v>79</v>
      </c>
      <c r="S341" s="69">
        <v>0</v>
      </c>
      <c r="T341" s="6">
        <f t="shared" si="700"/>
        <v>0</v>
      </c>
      <c r="U341" s="35" t="e">
        <f t="shared" si="707"/>
        <v>#DIV/0!</v>
      </c>
      <c r="V341" s="6" t="e">
        <f t="shared" ref="V341:Z341" si="847">V329</f>
        <v>#DIV/0!</v>
      </c>
      <c r="W341" s="6" t="e">
        <f t="shared" si="847"/>
        <v>#DIV/0!</v>
      </c>
      <c r="X341" s="6" t="e">
        <f t="shared" si="847"/>
        <v>#DIV/0!</v>
      </c>
      <c r="Y341" s="6" t="e">
        <f t="shared" si="847"/>
        <v>#DIV/0!</v>
      </c>
      <c r="Z341" s="6" t="e">
        <f t="shared" si="847"/>
        <v>#DIV/0!</v>
      </c>
    </row>
    <row r="342" spans="1:26" x14ac:dyDescent="0.2">
      <c r="A342" s="7" t="s">
        <v>75</v>
      </c>
      <c r="B342" s="6">
        <f t="shared" si="702"/>
        <v>5</v>
      </c>
      <c r="C342" s="7" t="s">
        <v>155</v>
      </c>
      <c r="D342" s="68">
        <v>75</v>
      </c>
      <c r="E342" s="68">
        <v>50</v>
      </c>
      <c r="F342" s="65">
        <f t="shared" si="697"/>
        <v>0.66666666666666663</v>
      </c>
      <c r="G342" s="60" t="e">
        <f t="shared" si="703"/>
        <v>#DIV/0!</v>
      </c>
      <c r="H342" s="65" t="e">
        <f t="shared" ref="H342:J342" si="848">H330</f>
        <v>#DIV/0!</v>
      </c>
      <c r="I342" s="65" t="e">
        <f t="shared" si="848"/>
        <v>#DIV/0!</v>
      </c>
      <c r="J342" s="65" t="e">
        <f t="shared" si="848"/>
        <v>#DIV/0!</v>
      </c>
      <c r="K342" s="69">
        <v>36000</v>
      </c>
      <c r="L342" s="69">
        <f>'Monitoramento Acumulado Geral'!Q342</f>
        <v>4251</v>
      </c>
      <c r="M342" s="6">
        <f>(SUM(L338:L342))/K341</f>
        <v>0.43835555555555555</v>
      </c>
      <c r="N342" s="35" t="e">
        <f t="shared" si="705"/>
        <v>#DIV/0!</v>
      </c>
      <c r="O342" s="6" t="e">
        <f t="shared" ref="O342:Q342" si="849">O330</f>
        <v>#DIV/0!</v>
      </c>
      <c r="P342" s="6" t="e">
        <f t="shared" si="849"/>
        <v>#DIV/0!</v>
      </c>
      <c r="Q342" s="6" t="e">
        <f t="shared" si="849"/>
        <v>#DIV/0!</v>
      </c>
      <c r="R342" s="69">
        <v>79</v>
      </c>
      <c r="S342" s="69">
        <v>17</v>
      </c>
      <c r="T342" s="6">
        <f t="shared" si="700"/>
        <v>0.21518987341772153</v>
      </c>
      <c r="U342" s="35" t="e">
        <f t="shared" si="707"/>
        <v>#DIV/0!</v>
      </c>
      <c r="V342" s="6" t="e">
        <f t="shared" ref="V342:Z342" si="850">V330</f>
        <v>#DIV/0!</v>
      </c>
      <c r="W342" s="6" t="e">
        <f t="shared" si="850"/>
        <v>#DIV/0!</v>
      </c>
      <c r="X342" s="6" t="e">
        <f t="shared" si="850"/>
        <v>#DIV/0!</v>
      </c>
      <c r="Y342" s="6" t="e">
        <f t="shared" si="850"/>
        <v>#DIV/0!</v>
      </c>
      <c r="Z342" s="6" t="e">
        <f t="shared" si="850"/>
        <v>#DIV/0!</v>
      </c>
    </row>
    <row r="343" spans="1:26" x14ac:dyDescent="0.2">
      <c r="A343" s="7" t="s">
        <v>75</v>
      </c>
      <c r="B343" s="6">
        <f t="shared" si="702"/>
        <v>6</v>
      </c>
      <c r="C343" s="7" t="s">
        <v>156</v>
      </c>
      <c r="D343" s="68">
        <v>75</v>
      </c>
      <c r="E343" s="68">
        <v>56</v>
      </c>
      <c r="F343" s="65">
        <f t="shared" si="697"/>
        <v>0.7466666666666667</v>
      </c>
      <c r="G343" s="60" t="e">
        <f t="shared" si="703"/>
        <v>#DIV/0!</v>
      </c>
      <c r="H343" s="65" t="e">
        <f t="shared" ref="H343:J343" si="851">H331</f>
        <v>#DIV/0!</v>
      </c>
      <c r="I343" s="65" t="e">
        <f t="shared" si="851"/>
        <v>#DIV/0!</v>
      </c>
      <c r="J343" s="65" t="e">
        <f t="shared" si="851"/>
        <v>#DIV/0!</v>
      </c>
      <c r="K343" s="69">
        <v>36000</v>
      </c>
      <c r="L343" s="69">
        <f>'Monitoramento Acumulado Geral'!Q343</f>
        <v>1501</v>
      </c>
      <c r="M343" s="6">
        <f>(SUM(L338:L343))/K342</f>
        <v>0.48004999999999998</v>
      </c>
      <c r="N343" s="35" t="e">
        <f t="shared" si="705"/>
        <v>#DIV/0!</v>
      </c>
      <c r="O343" s="6" t="e">
        <f t="shared" ref="O343:Q343" si="852">O331</f>
        <v>#DIV/0!</v>
      </c>
      <c r="P343" s="6" t="e">
        <f t="shared" si="852"/>
        <v>#DIV/0!</v>
      </c>
      <c r="Q343" s="6" t="e">
        <f t="shared" si="852"/>
        <v>#DIV/0!</v>
      </c>
      <c r="R343" s="69">
        <v>79</v>
      </c>
      <c r="S343" s="69">
        <v>17</v>
      </c>
      <c r="T343" s="6">
        <f t="shared" si="700"/>
        <v>0.21518987341772153</v>
      </c>
      <c r="U343" s="35" t="e">
        <f t="shared" si="707"/>
        <v>#DIV/0!</v>
      </c>
      <c r="V343" s="6" t="e">
        <f t="shared" ref="V343:Z343" si="853">V331</f>
        <v>#DIV/0!</v>
      </c>
      <c r="W343" s="6" t="e">
        <f t="shared" si="853"/>
        <v>#DIV/0!</v>
      </c>
      <c r="X343" s="6" t="e">
        <f t="shared" si="853"/>
        <v>#DIV/0!</v>
      </c>
      <c r="Y343" s="6" t="e">
        <f t="shared" si="853"/>
        <v>#DIV/0!</v>
      </c>
      <c r="Z343" s="6" t="e">
        <f t="shared" si="853"/>
        <v>#DIV/0!</v>
      </c>
    </row>
    <row r="344" spans="1:26" x14ac:dyDescent="0.2">
      <c r="A344" s="7" t="s">
        <v>75</v>
      </c>
      <c r="B344" s="6">
        <f t="shared" si="702"/>
        <v>7</v>
      </c>
      <c r="C344" s="7" t="s">
        <v>157</v>
      </c>
      <c r="D344" s="68">
        <v>75</v>
      </c>
      <c r="E344" s="68">
        <v>57</v>
      </c>
      <c r="F344" s="65">
        <f t="shared" si="697"/>
        <v>0.76</v>
      </c>
      <c r="G344" s="60" t="e">
        <f t="shared" si="703"/>
        <v>#DIV/0!</v>
      </c>
      <c r="H344" s="65" t="e">
        <f t="shared" ref="H344:J344" si="854">H332</f>
        <v>#DIV/0!</v>
      </c>
      <c r="I344" s="65" t="e">
        <f t="shared" si="854"/>
        <v>#DIV/0!</v>
      </c>
      <c r="J344" s="65" t="e">
        <f t="shared" si="854"/>
        <v>#DIV/0!</v>
      </c>
      <c r="K344" s="69">
        <v>36000</v>
      </c>
      <c r="L344" s="69">
        <f>'Monitoramento Acumulado Geral'!Q344</f>
        <v>9204.7999999999993</v>
      </c>
      <c r="M344" s="6">
        <f>(SUM(L338:L344))/K343</f>
        <v>0.73573888888888883</v>
      </c>
      <c r="N344" s="35" t="e">
        <f t="shared" si="705"/>
        <v>#DIV/0!</v>
      </c>
      <c r="O344" s="6" t="e">
        <f t="shared" ref="O344:Q344" si="855">O332</f>
        <v>#DIV/0!</v>
      </c>
      <c r="P344" s="6" t="e">
        <f t="shared" si="855"/>
        <v>#DIV/0!</v>
      </c>
      <c r="Q344" s="6" t="e">
        <f t="shared" si="855"/>
        <v>#DIV/0!</v>
      </c>
      <c r="R344" s="69">
        <v>79</v>
      </c>
      <c r="S344" s="69">
        <v>17</v>
      </c>
      <c r="T344" s="6">
        <f t="shared" si="700"/>
        <v>0.21518987341772153</v>
      </c>
      <c r="U344" s="35" t="e">
        <f t="shared" si="707"/>
        <v>#DIV/0!</v>
      </c>
      <c r="V344" s="6" t="e">
        <f t="shared" ref="V344:Z344" si="856">V332</f>
        <v>#DIV/0!</v>
      </c>
      <c r="W344" s="6" t="e">
        <f t="shared" si="856"/>
        <v>#DIV/0!</v>
      </c>
      <c r="X344" s="6" t="e">
        <f t="shared" si="856"/>
        <v>#DIV/0!</v>
      </c>
      <c r="Y344" s="6" t="e">
        <f t="shared" si="856"/>
        <v>#DIV/0!</v>
      </c>
      <c r="Z344" s="6" t="e">
        <f t="shared" si="856"/>
        <v>#DIV/0!</v>
      </c>
    </row>
    <row r="345" spans="1:26" x14ac:dyDescent="0.2">
      <c r="A345" s="7" t="s">
        <v>75</v>
      </c>
      <c r="B345" s="6">
        <f t="shared" si="702"/>
        <v>8</v>
      </c>
      <c r="C345" s="7" t="s">
        <v>158</v>
      </c>
      <c r="D345" s="68">
        <v>75</v>
      </c>
      <c r="E345" s="68">
        <v>61</v>
      </c>
      <c r="F345" s="65">
        <f t="shared" si="697"/>
        <v>0.81333333333333335</v>
      </c>
      <c r="G345" s="60" t="e">
        <f t="shared" si="703"/>
        <v>#DIV/0!</v>
      </c>
      <c r="H345" s="65" t="e">
        <f t="shared" ref="H345:J345" si="857">H333</f>
        <v>#DIV/0!</v>
      </c>
      <c r="I345" s="65" t="e">
        <f t="shared" si="857"/>
        <v>#DIV/0!</v>
      </c>
      <c r="J345" s="65" t="e">
        <f t="shared" si="857"/>
        <v>#DIV/0!</v>
      </c>
      <c r="K345" s="69">
        <v>36000</v>
      </c>
      <c r="L345" s="69">
        <f>'Monitoramento Acumulado Geral'!Q345</f>
        <v>4353</v>
      </c>
      <c r="M345" s="6">
        <f>(SUM(L338:L345))/K344</f>
        <v>0.8566555555555555</v>
      </c>
      <c r="N345" s="35" t="e">
        <f t="shared" si="705"/>
        <v>#DIV/0!</v>
      </c>
      <c r="O345" s="6" t="e">
        <f t="shared" ref="O345:Q345" si="858">O333</f>
        <v>#DIV/0!</v>
      </c>
      <c r="P345" s="6" t="e">
        <f t="shared" si="858"/>
        <v>#DIV/0!</v>
      </c>
      <c r="Q345" s="6" t="e">
        <f t="shared" si="858"/>
        <v>#DIV/0!</v>
      </c>
      <c r="R345" s="69">
        <v>79</v>
      </c>
      <c r="S345" s="69">
        <v>17</v>
      </c>
      <c r="T345" s="6">
        <f t="shared" si="700"/>
        <v>0.21518987341772153</v>
      </c>
      <c r="U345" s="35" t="e">
        <f t="shared" si="707"/>
        <v>#DIV/0!</v>
      </c>
      <c r="V345" s="6" t="e">
        <f t="shared" ref="V345:Z345" si="859">V333</f>
        <v>#DIV/0!</v>
      </c>
      <c r="W345" s="6" t="e">
        <f t="shared" si="859"/>
        <v>#DIV/0!</v>
      </c>
      <c r="X345" s="6" t="e">
        <f t="shared" si="859"/>
        <v>#DIV/0!</v>
      </c>
      <c r="Y345" s="6" t="e">
        <f t="shared" si="859"/>
        <v>#DIV/0!</v>
      </c>
      <c r="Z345" s="6" t="e">
        <f t="shared" si="859"/>
        <v>#DIV/0!</v>
      </c>
    </row>
    <row r="346" spans="1:26" x14ac:dyDescent="0.2">
      <c r="A346" s="7" t="s">
        <v>75</v>
      </c>
      <c r="B346" s="6">
        <f t="shared" si="702"/>
        <v>9</v>
      </c>
      <c r="C346" s="7" t="s">
        <v>159</v>
      </c>
      <c r="D346" s="68">
        <v>75</v>
      </c>
      <c r="E346" s="68">
        <v>78</v>
      </c>
      <c r="F346" s="65">
        <f t="shared" si="697"/>
        <v>1.04</v>
      </c>
      <c r="G346" s="60" t="e">
        <f t="shared" si="703"/>
        <v>#DIV/0!</v>
      </c>
      <c r="H346" s="65" t="e">
        <f t="shared" ref="H346:J346" si="860">H334</f>
        <v>#DIV/0!</v>
      </c>
      <c r="I346" s="65" t="e">
        <f t="shared" si="860"/>
        <v>#DIV/0!</v>
      </c>
      <c r="J346" s="65" t="e">
        <f t="shared" si="860"/>
        <v>#DIV/0!</v>
      </c>
      <c r="K346" s="69">
        <v>36000</v>
      </c>
      <c r="L346" s="69">
        <f>'Monitoramento Acumulado Geral'!Q346</f>
        <v>17300</v>
      </c>
      <c r="M346" s="6">
        <f>(SUM(L338:L346))/K345</f>
        <v>1.3372111111111111</v>
      </c>
      <c r="N346" s="35" t="e">
        <f t="shared" si="705"/>
        <v>#DIV/0!</v>
      </c>
      <c r="O346" s="6" t="e">
        <f t="shared" ref="O346:Q346" si="861">O334</f>
        <v>#DIV/0!</v>
      </c>
      <c r="P346" s="6" t="e">
        <f t="shared" si="861"/>
        <v>#DIV/0!</v>
      </c>
      <c r="Q346" s="6" t="e">
        <f t="shared" si="861"/>
        <v>#DIV/0!</v>
      </c>
      <c r="R346" s="69">
        <v>79</v>
      </c>
      <c r="S346" s="69">
        <v>17</v>
      </c>
      <c r="T346" s="6">
        <f t="shared" si="700"/>
        <v>0.21518987341772153</v>
      </c>
      <c r="U346" s="35" t="e">
        <f t="shared" si="707"/>
        <v>#DIV/0!</v>
      </c>
      <c r="V346" s="6" t="e">
        <f t="shared" ref="V346:Z346" si="862">V334</f>
        <v>#DIV/0!</v>
      </c>
      <c r="W346" s="6" t="e">
        <f t="shared" si="862"/>
        <v>#DIV/0!</v>
      </c>
      <c r="X346" s="6" t="e">
        <f t="shared" si="862"/>
        <v>#DIV/0!</v>
      </c>
      <c r="Y346" s="6" t="e">
        <f t="shared" si="862"/>
        <v>#DIV/0!</v>
      </c>
      <c r="Z346" s="6" t="e">
        <f t="shared" si="862"/>
        <v>#DIV/0!</v>
      </c>
    </row>
    <row r="347" spans="1:26" x14ac:dyDescent="0.2">
      <c r="A347" s="7" t="s">
        <v>75</v>
      </c>
      <c r="B347" s="6">
        <f t="shared" si="702"/>
        <v>10</v>
      </c>
      <c r="C347" s="7" t="s">
        <v>160</v>
      </c>
      <c r="D347" s="68">
        <v>75</v>
      </c>
      <c r="E347" s="68">
        <v>78</v>
      </c>
      <c r="F347" s="65">
        <f t="shared" si="697"/>
        <v>1.04</v>
      </c>
      <c r="G347" s="60" t="e">
        <f t="shared" si="703"/>
        <v>#DIV/0!</v>
      </c>
      <c r="H347" s="65" t="e">
        <f t="shared" ref="H347:J347" si="863">H335</f>
        <v>#DIV/0!</v>
      </c>
      <c r="I347" s="65" t="e">
        <f t="shared" si="863"/>
        <v>#DIV/0!</v>
      </c>
      <c r="J347" s="65" t="e">
        <f t="shared" si="863"/>
        <v>#DIV/0!</v>
      </c>
      <c r="K347" s="69">
        <v>36000</v>
      </c>
      <c r="L347" s="69">
        <f>'Monitoramento Acumulado Geral'!Q347</f>
        <v>0</v>
      </c>
      <c r="M347" s="6">
        <f>(SUM(L338:L347))/K346</f>
        <v>1.3372111111111111</v>
      </c>
      <c r="N347" s="35" t="e">
        <f t="shared" si="705"/>
        <v>#DIV/0!</v>
      </c>
      <c r="O347" s="6" t="e">
        <f t="shared" ref="O347:Q347" si="864">O335</f>
        <v>#DIV/0!</v>
      </c>
      <c r="P347" s="6" t="e">
        <f t="shared" si="864"/>
        <v>#DIV/0!</v>
      </c>
      <c r="Q347" s="6" t="e">
        <f t="shared" si="864"/>
        <v>#DIV/0!</v>
      </c>
      <c r="R347" s="69">
        <v>79</v>
      </c>
      <c r="S347" s="69">
        <v>17</v>
      </c>
      <c r="T347" s="6">
        <f t="shared" si="700"/>
        <v>0.21518987341772153</v>
      </c>
      <c r="U347" s="35" t="e">
        <f t="shared" si="707"/>
        <v>#DIV/0!</v>
      </c>
      <c r="V347" s="6" t="e">
        <f t="shared" ref="V347:Z347" si="865">V335</f>
        <v>#DIV/0!</v>
      </c>
      <c r="W347" s="6" t="e">
        <f t="shared" si="865"/>
        <v>#DIV/0!</v>
      </c>
      <c r="X347" s="6" t="e">
        <f t="shared" si="865"/>
        <v>#DIV/0!</v>
      </c>
      <c r="Y347" s="6" t="e">
        <f t="shared" si="865"/>
        <v>#DIV/0!</v>
      </c>
      <c r="Z347" s="6" t="e">
        <f t="shared" si="865"/>
        <v>#DIV/0!</v>
      </c>
    </row>
    <row r="348" spans="1:26" x14ac:dyDescent="0.2">
      <c r="A348" s="7" t="s">
        <v>75</v>
      </c>
      <c r="B348" s="6">
        <f t="shared" si="702"/>
        <v>11</v>
      </c>
      <c r="C348" s="7" t="s">
        <v>161</v>
      </c>
      <c r="D348" s="68">
        <v>75</v>
      </c>
      <c r="E348" s="68">
        <v>0</v>
      </c>
      <c r="F348" s="65">
        <f t="shared" si="697"/>
        <v>0</v>
      </c>
      <c r="G348" s="60" t="e">
        <f t="shared" si="703"/>
        <v>#DIV/0!</v>
      </c>
      <c r="H348" s="65" t="e">
        <f t="shared" ref="H348:J348" si="866">H336</f>
        <v>#DIV/0!</v>
      </c>
      <c r="I348" s="65" t="e">
        <f t="shared" si="866"/>
        <v>#DIV/0!</v>
      </c>
      <c r="J348" s="65" t="e">
        <f t="shared" si="866"/>
        <v>#DIV/0!</v>
      </c>
      <c r="K348" s="69">
        <v>36000</v>
      </c>
      <c r="L348" s="69">
        <f>'Monitoramento Acumulado Geral'!Q348</f>
        <v>0</v>
      </c>
      <c r="M348" s="6">
        <f>(SUM(L338:L348))/K347</f>
        <v>1.3372111111111111</v>
      </c>
      <c r="N348" s="35" t="e">
        <f t="shared" si="705"/>
        <v>#DIV/0!</v>
      </c>
      <c r="O348" s="6" t="e">
        <f t="shared" ref="O348:Q348" si="867">O336</f>
        <v>#DIV/0!</v>
      </c>
      <c r="P348" s="6" t="e">
        <f t="shared" si="867"/>
        <v>#DIV/0!</v>
      </c>
      <c r="Q348" s="6" t="e">
        <f t="shared" si="867"/>
        <v>#DIV/0!</v>
      </c>
      <c r="R348" s="69">
        <v>79</v>
      </c>
      <c r="S348" s="69">
        <v>0</v>
      </c>
      <c r="T348" s="6">
        <f t="shared" si="700"/>
        <v>0</v>
      </c>
      <c r="U348" s="35" t="e">
        <f t="shared" si="707"/>
        <v>#DIV/0!</v>
      </c>
      <c r="V348" s="6" t="e">
        <f t="shared" ref="V348:Z348" si="868">V336</f>
        <v>#DIV/0!</v>
      </c>
      <c r="W348" s="6" t="e">
        <f t="shared" si="868"/>
        <v>#DIV/0!</v>
      </c>
      <c r="X348" s="6" t="e">
        <f t="shared" si="868"/>
        <v>#DIV/0!</v>
      </c>
      <c r="Y348" s="6" t="e">
        <f t="shared" si="868"/>
        <v>#DIV/0!</v>
      </c>
      <c r="Z348" s="6" t="e">
        <f t="shared" si="868"/>
        <v>#DIV/0!</v>
      </c>
    </row>
    <row r="349" spans="1:26" x14ac:dyDescent="0.2">
      <c r="A349" s="7" t="s">
        <v>75</v>
      </c>
      <c r="B349" s="6">
        <f t="shared" si="702"/>
        <v>12</v>
      </c>
      <c r="C349" s="7" t="s">
        <v>162</v>
      </c>
      <c r="D349" s="68">
        <v>75</v>
      </c>
      <c r="E349" s="68">
        <v>0</v>
      </c>
      <c r="F349" s="65">
        <f t="shared" si="697"/>
        <v>0</v>
      </c>
      <c r="G349" s="60" t="e">
        <f t="shared" si="703"/>
        <v>#DIV/0!</v>
      </c>
      <c r="H349" s="65" t="e">
        <f t="shared" ref="H349:J349" si="869">H337</f>
        <v>#DIV/0!</v>
      </c>
      <c r="I349" s="65" t="e">
        <f t="shared" si="869"/>
        <v>#DIV/0!</v>
      </c>
      <c r="J349" s="65" t="e">
        <f t="shared" si="869"/>
        <v>#DIV/0!</v>
      </c>
      <c r="K349" s="69">
        <v>36000</v>
      </c>
      <c r="L349" s="69">
        <f>'Monitoramento Acumulado Geral'!Q349</f>
        <v>0</v>
      </c>
      <c r="M349" s="6">
        <f>(SUM(L338:L349))/K348</f>
        <v>1.3372111111111111</v>
      </c>
      <c r="N349" s="35" t="e">
        <f t="shared" si="705"/>
        <v>#DIV/0!</v>
      </c>
      <c r="O349" s="6" t="e">
        <f t="shared" ref="O349:Q349" si="870">O337</f>
        <v>#DIV/0!</v>
      </c>
      <c r="P349" s="6" t="e">
        <f t="shared" si="870"/>
        <v>#DIV/0!</v>
      </c>
      <c r="Q349" s="6" t="e">
        <f t="shared" si="870"/>
        <v>#DIV/0!</v>
      </c>
      <c r="R349" s="69">
        <v>79</v>
      </c>
      <c r="S349" s="69">
        <v>0</v>
      </c>
      <c r="T349" s="6">
        <f t="shared" si="700"/>
        <v>0</v>
      </c>
      <c r="U349" s="35" t="e">
        <f t="shared" si="707"/>
        <v>#DIV/0!</v>
      </c>
      <c r="V349" s="6" t="e">
        <f t="shared" ref="V349:Z349" si="871">V337</f>
        <v>#DIV/0!</v>
      </c>
      <c r="W349" s="6" t="e">
        <f t="shared" si="871"/>
        <v>#DIV/0!</v>
      </c>
      <c r="X349" s="6" t="e">
        <f t="shared" si="871"/>
        <v>#DIV/0!</v>
      </c>
      <c r="Y349" s="6" t="e">
        <f t="shared" si="871"/>
        <v>#DIV/0!</v>
      </c>
      <c r="Z349" s="6" t="e">
        <f t="shared" si="871"/>
        <v>#DIV/0!</v>
      </c>
    </row>
    <row r="350" spans="1:26" x14ac:dyDescent="0.2">
      <c r="A350" s="7" t="s">
        <v>46</v>
      </c>
      <c r="B350" s="6">
        <f t="shared" si="702"/>
        <v>1</v>
      </c>
      <c r="C350" s="7" t="s">
        <v>151</v>
      </c>
      <c r="D350" s="68">
        <v>75</v>
      </c>
      <c r="E350" s="68">
        <v>0</v>
      </c>
      <c r="F350" s="65">
        <f t="shared" si="697"/>
        <v>0</v>
      </c>
      <c r="G350" s="60" t="e">
        <f t="shared" si="703"/>
        <v>#DIV/0!</v>
      </c>
      <c r="H350" s="65" t="e">
        <f t="shared" ref="H350:J350" si="872">H338</f>
        <v>#DIV/0!</v>
      </c>
      <c r="I350" s="65" t="e">
        <f t="shared" si="872"/>
        <v>#DIV/0!</v>
      </c>
      <c r="J350" s="65" t="e">
        <f t="shared" si="872"/>
        <v>#DIV/0!</v>
      </c>
      <c r="K350" s="69">
        <v>10000</v>
      </c>
      <c r="L350" s="69">
        <f>'Monitoramento Acumulado Geral'!Q350</f>
        <v>0</v>
      </c>
      <c r="M350" s="6">
        <f>L350/K350</f>
        <v>0</v>
      </c>
      <c r="N350" s="35" t="e">
        <f t="shared" si="705"/>
        <v>#DIV/0!</v>
      </c>
      <c r="O350" s="6" t="e">
        <f t="shared" ref="O350:Q350" si="873">O338</f>
        <v>#DIV/0!</v>
      </c>
      <c r="P350" s="6" t="e">
        <f t="shared" si="873"/>
        <v>#DIV/0!</v>
      </c>
      <c r="Q350" s="6" t="e">
        <f t="shared" si="873"/>
        <v>#DIV/0!</v>
      </c>
      <c r="R350" s="69">
        <v>51</v>
      </c>
      <c r="S350" s="69">
        <v>0</v>
      </c>
      <c r="T350" s="6">
        <f t="shared" si="700"/>
        <v>0</v>
      </c>
      <c r="U350" s="35" t="e">
        <f t="shared" si="707"/>
        <v>#DIV/0!</v>
      </c>
      <c r="V350" s="6" t="e">
        <f t="shared" ref="V350:Z350" si="874">V338</f>
        <v>#DIV/0!</v>
      </c>
      <c r="W350" s="6" t="e">
        <f t="shared" si="874"/>
        <v>#DIV/0!</v>
      </c>
      <c r="X350" s="6" t="e">
        <f t="shared" si="874"/>
        <v>#DIV/0!</v>
      </c>
      <c r="Y350" s="6" t="e">
        <f t="shared" si="874"/>
        <v>#DIV/0!</v>
      </c>
      <c r="Z350" s="6" t="e">
        <f t="shared" si="874"/>
        <v>#DIV/0!</v>
      </c>
    </row>
    <row r="351" spans="1:26" x14ac:dyDescent="0.2">
      <c r="A351" s="7" t="s">
        <v>46</v>
      </c>
      <c r="B351" s="6">
        <f t="shared" si="702"/>
        <v>2</v>
      </c>
      <c r="C351" s="7" t="s">
        <v>152</v>
      </c>
      <c r="D351" s="68">
        <v>75</v>
      </c>
      <c r="E351" s="68">
        <v>0</v>
      </c>
      <c r="F351" s="65">
        <f t="shared" si="697"/>
        <v>0</v>
      </c>
      <c r="G351" s="60" t="e">
        <f t="shared" si="703"/>
        <v>#DIV/0!</v>
      </c>
      <c r="H351" s="65" t="e">
        <f t="shared" ref="H351:J351" si="875">H339</f>
        <v>#DIV/0!</v>
      </c>
      <c r="I351" s="65" t="e">
        <f t="shared" si="875"/>
        <v>#DIV/0!</v>
      </c>
      <c r="J351" s="65" t="e">
        <f t="shared" si="875"/>
        <v>#DIV/0!</v>
      </c>
      <c r="K351" s="69">
        <v>10000</v>
      </c>
      <c r="L351" s="69">
        <f>'Monitoramento Acumulado Geral'!Q351</f>
        <v>0</v>
      </c>
      <c r="M351" s="6">
        <f>(SUM(L350:L351))/K350</f>
        <v>0</v>
      </c>
      <c r="N351" s="35" t="e">
        <f t="shared" si="705"/>
        <v>#DIV/0!</v>
      </c>
      <c r="O351" s="6" t="e">
        <f t="shared" ref="O351:Q351" si="876">O339</f>
        <v>#DIV/0!</v>
      </c>
      <c r="P351" s="6" t="e">
        <f t="shared" si="876"/>
        <v>#DIV/0!</v>
      </c>
      <c r="Q351" s="6" t="e">
        <f t="shared" si="876"/>
        <v>#DIV/0!</v>
      </c>
      <c r="R351" s="69">
        <v>51</v>
      </c>
      <c r="S351" s="69">
        <v>0</v>
      </c>
      <c r="T351" s="6">
        <f t="shared" si="700"/>
        <v>0</v>
      </c>
      <c r="U351" s="35" t="e">
        <f t="shared" si="707"/>
        <v>#DIV/0!</v>
      </c>
      <c r="V351" s="6" t="e">
        <f t="shared" ref="V351:Z351" si="877">V339</f>
        <v>#DIV/0!</v>
      </c>
      <c r="W351" s="6" t="e">
        <f t="shared" si="877"/>
        <v>#DIV/0!</v>
      </c>
      <c r="X351" s="6" t="e">
        <f t="shared" si="877"/>
        <v>#DIV/0!</v>
      </c>
      <c r="Y351" s="6" t="e">
        <f t="shared" si="877"/>
        <v>#DIV/0!</v>
      </c>
      <c r="Z351" s="6" t="e">
        <f t="shared" si="877"/>
        <v>#DIV/0!</v>
      </c>
    </row>
    <row r="352" spans="1:26" x14ac:dyDescent="0.2">
      <c r="A352" s="7" t="s">
        <v>46</v>
      </c>
      <c r="B352" s="6">
        <f t="shared" si="702"/>
        <v>3</v>
      </c>
      <c r="C352" s="7" t="s">
        <v>153</v>
      </c>
      <c r="D352" s="68">
        <v>75</v>
      </c>
      <c r="E352" s="68">
        <v>0</v>
      </c>
      <c r="F352" s="65">
        <f t="shared" si="697"/>
        <v>0</v>
      </c>
      <c r="G352" s="60" t="e">
        <f t="shared" si="703"/>
        <v>#DIV/0!</v>
      </c>
      <c r="H352" s="65" t="e">
        <f t="shared" ref="H352:J352" si="878">H340</f>
        <v>#DIV/0!</v>
      </c>
      <c r="I352" s="65" t="e">
        <f t="shared" si="878"/>
        <v>#DIV/0!</v>
      </c>
      <c r="J352" s="65" t="e">
        <f t="shared" si="878"/>
        <v>#DIV/0!</v>
      </c>
      <c r="K352" s="69">
        <v>10000</v>
      </c>
      <c r="L352" s="69">
        <f>'Monitoramento Acumulado Geral'!Q352</f>
        <v>0</v>
      </c>
      <c r="M352" s="6">
        <f>(SUM(L350:L352))/K351</f>
        <v>0</v>
      </c>
      <c r="N352" s="35" t="e">
        <f t="shared" si="705"/>
        <v>#DIV/0!</v>
      </c>
      <c r="O352" s="6" t="e">
        <f t="shared" ref="O352:Q352" si="879">O340</f>
        <v>#DIV/0!</v>
      </c>
      <c r="P352" s="6" t="e">
        <f t="shared" si="879"/>
        <v>#DIV/0!</v>
      </c>
      <c r="Q352" s="6" t="e">
        <f t="shared" si="879"/>
        <v>#DIV/0!</v>
      </c>
      <c r="R352" s="69">
        <v>51</v>
      </c>
      <c r="S352" s="69">
        <v>0</v>
      </c>
      <c r="T352" s="6">
        <f t="shared" si="700"/>
        <v>0</v>
      </c>
      <c r="U352" s="35" t="e">
        <f t="shared" si="707"/>
        <v>#DIV/0!</v>
      </c>
      <c r="V352" s="6" t="e">
        <f t="shared" ref="V352:Z352" si="880">V340</f>
        <v>#DIV/0!</v>
      </c>
      <c r="W352" s="6" t="e">
        <f t="shared" si="880"/>
        <v>#DIV/0!</v>
      </c>
      <c r="X352" s="6" t="e">
        <f t="shared" si="880"/>
        <v>#DIV/0!</v>
      </c>
      <c r="Y352" s="6" t="e">
        <f t="shared" si="880"/>
        <v>#DIV/0!</v>
      </c>
      <c r="Z352" s="6" t="e">
        <f t="shared" si="880"/>
        <v>#DIV/0!</v>
      </c>
    </row>
    <row r="353" spans="1:26" x14ac:dyDescent="0.2">
      <c r="A353" s="7" t="s">
        <v>46</v>
      </c>
      <c r="B353" s="6">
        <f t="shared" si="702"/>
        <v>4</v>
      </c>
      <c r="C353" s="7" t="s">
        <v>154</v>
      </c>
      <c r="D353" s="68">
        <v>75</v>
      </c>
      <c r="E353" s="68">
        <v>0</v>
      </c>
      <c r="F353" s="65">
        <f t="shared" si="697"/>
        <v>0</v>
      </c>
      <c r="G353" s="60" t="e">
        <f t="shared" si="703"/>
        <v>#DIV/0!</v>
      </c>
      <c r="H353" s="65" t="e">
        <f t="shared" ref="H353:J353" si="881">H341</f>
        <v>#DIV/0!</v>
      </c>
      <c r="I353" s="65" t="e">
        <f t="shared" si="881"/>
        <v>#DIV/0!</v>
      </c>
      <c r="J353" s="65" t="e">
        <f t="shared" si="881"/>
        <v>#DIV/0!</v>
      </c>
      <c r="K353" s="69">
        <v>10000</v>
      </c>
      <c r="L353" s="69">
        <f>'Monitoramento Acumulado Geral'!Q353</f>
        <v>0</v>
      </c>
      <c r="M353" s="6">
        <f>(SUM(L350:L353))/K352</f>
        <v>0</v>
      </c>
      <c r="N353" s="35" t="e">
        <f t="shared" si="705"/>
        <v>#DIV/0!</v>
      </c>
      <c r="O353" s="6" t="e">
        <f t="shared" ref="O353:Q353" si="882">O341</f>
        <v>#DIV/0!</v>
      </c>
      <c r="P353" s="6" t="e">
        <f t="shared" si="882"/>
        <v>#DIV/0!</v>
      </c>
      <c r="Q353" s="6" t="e">
        <f t="shared" si="882"/>
        <v>#DIV/0!</v>
      </c>
      <c r="R353" s="69">
        <v>51</v>
      </c>
      <c r="S353" s="69">
        <v>0</v>
      </c>
      <c r="T353" s="6">
        <f t="shared" si="700"/>
        <v>0</v>
      </c>
      <c r="U353" s="35" t="e">
        <f t="shared" si="707"/>
        <v>#DIV/0!</v>
      </c>
      <c r="V353" s="6" t="e">
        <f t="shared" ref="V353:Z353" si="883">V341</f>
        <v>#DIV/0!</v>
      </c>
      <c r="W353" s="6" t="e">
        <f t="shared" si="883"/>
        <v>#DIV/0!</v>
      </c>
      <c r="X353" s="6" t="e">
        <f t="shared" si="883"/>
        <v>#DIV/0!</v>
      </c>
      <c r="Y353" s="6" t="e">
        <f t="shared" si="883"/>
        <v>#DIV/0!</v>
      </c>
      <c r="Z353" s="6" t="e">
        <f t="shared" si="883"/>
        <v>#DIV/0!</v>
      </c>
    </row>
    <row r="354" spans="1:26" x14ac:dyDescent="0.2">
      <c r="A354" s="7" t="s">
        <v>46</v>
      </c>
      <c r="B354" s="6">
        <f t="shared" si="702"/>
        <v>5</v>
      </c>
      <c r="C354" s="7" t="s">
        <v>155</v>
      </c>
      <c r="D354" s="68">
        <v>75</v>
      </c>
      <c r="E354" s="68">
        <v>0</v>
      </c>
      <c r="F354" s="65">
        <f t="shared" si="697"/>
        <v>0</v>
      </c>
      <c r="G354" s="60" t="e">
        <f t="shared" si="703"/>
        <v>#DIV/0!</v>
      </c>
      <c r="H354" s="65" t="e">
        <f t="shared" ref="H354:J354" si="884">H342</f>
        <v>#DIV/0!</v>
      </c>
      <c r="I354" s="65" t="e">
        <f t="shared" si="884"/>
        <v>#DIV/0!</v>
      </c>
      <c r="J354" s="65" t="e">
        <f t="shared" si="884"/>
        <v>#DIV/0!</v>
      </c>
      <c r="K354" s="69">
        <v>10000</v>
      </c>
      <c r="L354" s="69">
        <f>'Monitoramento Acumulado Geral'!Q354</f>
        <v>0</v>
      </c>
      <c r="M354" s="6">
        <f>(SUM(L350:L354))/K353</f>
        <v>0</v>
      </c>
      <c r="N354" s="35" t="e">
        <f t="shared" si="705"/>
        <v>#DIV/0!</v>
      </c>
      <c r="O354" s="6" t="e">
        <f t="shared" ref="O354:Q354" si="885">O342</f>
        <v>#DIV/0!</v>
      </c>
      <c r="P354" s="6" t="e">
        <f t="shared" si="885"/>
        <v>#DIV/0!</v>
      </c>
      <c r="Q354" s="6" t="e">
        <f t="shared" si="885"/>
        <v>#DIV/0!</v>
      </c>
      <c r="R354" s="69">
        <v>51</v>
      </c>
      <c r="S354" s="69">
        <v>15</v>
      </c>
      <c r="T354" s="6">
        <f t="shared" si="700"/>
        <v>0.29411764705882354</v>
      </c>
      <c r="U354" s="35" t="e">
        <f t="shared" si="707"/>
        <v>#DIV/0!</v>
      </c>
      <c r="V354" s="6" t="e">
        <f t="shared" ref="V354:Z354" si="886">V342</f>
        <v>#DIV/0!</v>
      </c>
      <c r="W354" s="6" t="e">
        <f t="shared" si="886"/>
        <v>#DIV/0!</v>
      </c>
      <c r="X354" s="6" t="e">
        <f t="shared" si="886"/>
        <v>#DIV/0!</v>
      </c>
      <c r="Y354" s="6" t="e">
        <f t="shared" si="886"/>
        <v>#DIV/0!</v>
      </c>
      <c r="Z354" s="6" t="e">
        <f t="shared" si="886"/>
        <v>#DIV/0!</v>
      </c>
    </row>
    <row r="355" spans="1:26" x14ac:dyDescent="0.2">
      <c r="A355" s="7" t="s">
        <v>46</v>
      </c>
      <c r="B355" s="6">
        <f t="shared" si="702"/>
        <v>6</v>
      </c>
      <c r="C355" s="7" t="s">
        <v>156</v>
      </c>
      <c r="D355" s="68">
        <v>75</v>
      </c>
      <c r="E355" s="68">
        <v>0</v>
      </c>
      <c r="F355" s="65">
        <f t="shared" si="697"/>
        <v>0</v>
      </c>
      <c r="G355" s="60" t="e">
        <f t="shared" si="703"/>
        <v>#DIV/0!</v>
      </c>
      <c r="H355" s="65" t="e">
        <f t="shared" ref="H355:J355" si="887">H343</f>
        <v>#DIV/0!</v>
      </c>
      <c r="I355" s="65" t="e">
        <f t="shared" si="887"/>
        <v>#DIV/0!</v>
      </c>
      <c r="J355" s="65" t="e">
        <f t="shared" si="887"/>
        <v>#DIV/0!</v>
      </c>
      <c r="K355" s="69">
        <v>10000</v>
      </c>
      <c r="L355" s="69">
        <f>'Monitoramento Acumulado Geral'!Q355</f>
        <v>0</v>
      </c>
      <c r="M355" s="6">
        <f>(SUM(L350:L355))/K354</f>
        <v>0</v>
      </c>
      <c r="N355" s="35" t="e">
        <f t="shared" si="705"/>
        <v>#DIV/0!</v>
      </c>
      <c r="O355" s="6" t="e">
        <f t="shared" ref="O355:Q355" si="888">O343</f>
        <v>#DIV/0!</v>
      </c>
      <c r="P355" s="6" t="e">
        <f t="shared" si="888"/>
        <v>#DIV/0!</v>
      </c>
      <c r="Q355" s="6" t="e">
        <f t="shared" si="888"/>
        <v>#DIV/0!</v>
      </c>
      <c r="R355" s="69">
        <v>51</v>
      </c>
      <c r="S355" s="69">
        <v>15</v>
      </c>
      <c r="T355" s="6">
        <f t="shared" si="700"/>
        <v>0.29411764705882354</v>
      </c>
      <c r="U355" s="35" t="e">
        <f t="shared" si="707"/>
        <v>#DIV/0!</v>
      </c>
      <c r="V355" s="6" t="e">
        <f t="shared" ref="V355:Z355" si="889">V343</f>
        <v>#DIV/0!</v>
      </c>
      <c r="W355" s="6" t="e">
        <f t="shared" si="889"/>
        <v>#DIV/0!</v>
      </c>
      <c r="X355" s="6" t="e">
        <f t="shared" si="889"/>
        <v>#DIV/0!</v>
      </c>
      <c r="Y355" s="6" t="e">
        <f t="shared" si="889"/>
        <v>#DIV/0!</v>
      </c>
      <c r="Z355" s="6" t="e">
        <f t="shared" si="889"/>
        <v>#DIV/0!</v>
      </c>
    </row>
    <row r="356" spans="1:26" x14ac:dyDescent="0.2">
      <c r="A356" s="7" t="s">
        <v>46</v>
      </c>
      <c r="B356" s="6">
        <f t="shared" si="702"/>
        <v>7</v>
      </c>
      <c r="C356" s="7" t="s">
        <v>157</v>
      </c>
      <c r="D356" s="68">
        <v>75</v>
      </c>
      <c r="E356" s="68">
        <v>0</v>
      </c>
      <c r="F356" s="65">
        <f t="shared" si="697"/>
        <v>0</v>
      </c>
      <c r="G356" s="60" t="e">
        <f t="shared" si="703"/>
        <v>#DIV/0!</v>
      </c>
      <c r="H356" s="65" t="e">
        <f t="shared" ref="H356:J356" si="890">H344</f>
        <v>#DIV/0!</v>
      </c>
      <c r="I356" s="65" t="e">
        <f t="shared" si="890"/>
        <v>#DIV/0!</v>
      </c>
      <c r="J356" s="65" t="e">
        <f t="shared" si="890"/>
        <v>#DIV/0!</v>
      </c>
      <c r="K356" s="69">
        <v>10000</v>
      </c>
      <c r="L356" s="69">
        <f>'Monitoramento Acumulado Geral'!Q356</f>
        <v>0</v>
      </c>
      <c r="M356" s="6">
        <f>(SUM(L350:L356))/K355</f>
        <v>0</v>
      </c>
      <c r="N356" s="35" t="e">
        <f t="shared" si="705"/>
        <v>#DIV/0!</v>
      </c>
      <c r="O356" s="6" t="e">
        <f t="shared" ref="O356:Q356" si="891">O344</f>
        <v>#DIV/0!</v>
      </c>
      <c r="P356" s="6" t="e">
        <f t="shared" si="891"/>
        <v>#DIV/0!</v>
      </c>
      <c r="Q356" s="6" t="e">
        <f t="shared" si="891"/>
        <v>#DIV/0!</v>
      </c>
      <c r="R356" s="69">
        <v>51</v>
      </c>
      <c r="S356" s="69">
        <v>15</v>
      </c>
      <c r="T356" s="6">
        <f t="shared" si="700"/>
        <v>0.29411764705882354</v>
      </c>
      <c r="U356" s="35" t="e">
        <f t="shared" si="707"/>
        <v>#DIV/0!</v>
      </c>
      <c r="V356" s="6" t="e">
        <f t="shared" ref="V356:Z356" si="892">V344</f>
        <v>#DIV/0!</v>
      </c>
      <c r="W356" s="6" t="e">
        <f t="shared" si="892"/>
        <v>#DIV/0!</v>
      </c>
      <c r="X356" s="6" t="e">
        <f t="shared" si="892"/>
        <v>#DIV/0!</v>
      </c>
      <c r="Y356" s="6" t="e">
        <f t="shared" si="892"/>
        <v>#DIV/0!</v>
      </c>
      <c r="Z356" s="6" t="e">
        <f t="shared" si="892"/>
        <v>#DIV/0!</v>
      </c>
    </row>
    <row r="357" spans="1:26" x14ac:dyDescent="0.2">
      <c r="A357" s="7" t="s">
        <v>46</v>
      </c>
      <c r="B357" s="6">
        <f t="shared" si="702"/>
        <v>8</v>
      </c>
      <c r="C357" s="7" t="s">
        <v>158</v>
      </c>
      <c r="D357" s="68">
        <v>75</v>
      </c>
      <c r="E357" s="68">
        <v>0</v>
      </c>
      <c r="F357" s="65">
        <f t="shared" si="697"/>
        <v>0</v>
      </c>
      <c r="G357" s="60" t="e">
        <f t="shared" si="703"/>
        <v>#DIV/0!</v>
      </c>
      <c r="H357" s="65" t="e">
        <f t="shared" ref="H357:J357" si="893">H345</f>
        <v>#DIV/0!</v>
      </c>
      <c r="I357" s="65" t="e">
        <f t="shared" si="893"/>
        <v>#DIV/0!</v>
      </c>
      <c r="J357" s="65" t="e">
        <f t="shared" si="893"/>
        <v>#DIV/0!</v>
      </c>
      <c r="K357" s="69">
        <v>10000</v>
      </c>
      <c r="L357" s="69">
        <f>'Monitoramento Acumulado Geral'!Q357</f>
        <v>0</v>
      </c>
      <c r="M357" s="6">
        <f>(SUM(L350:L357))/K356</f>
        <v>0</v>
      </c>
      <c r="N357" s="35" t="e">
        <f t="shared" si="705"/>
        <v>#DIV/0!</v>
      </c>
      <c r="O357" s="6" t="e">
        <f t="shared" ref="O357:Q357" si="894">O345</f>
        <v>#DIV/0!</v>
      </c>
      <c r="P357" s="6" t="e">
        <f t="shared" si="894"/>
        <v>#DIV/0!</v>
      </c>
      <c r="Q357" s="6" t="e">
        <f t="shared" si="894"/>
        <v>#DIV/0!</v>
      </c>
      <c r="R357" s="69">
        <v>51</v>
      </c>
      <c r="S357" s="69">
        <v>15</v>
      </c>
      <c r="T357" s="6">
        <f t="shared" si="700"/>
        <v>0.29411764705882354</v>
      </c>
      <c r="U357" s="35" t="e">
        <f t="shared" si="707"/>
        <v>#DIV/0!</v>
      </c>
      <c r="V357" s="6" t="e">
        <f t="shared" ref="V357:Z357" si="895">V345</f>
        <v>#DIV/0!</v>
      </c>
      <c r="W357" s="6" t="e">
        <f t="shared" si="895"/>
        <v>#DIV/0!</v>
      </c>
      <c r="X357" s="6" t="e">
        <f t="shared" si="895"/>
        <v>#DIV/0!</v>
      </c>
      <c r="Y357" s="6" t="e">
        <f t="shared" si="895"/>
        <v>#DIV/0!</v>
      </c>
      <c r="Z357" s="6" t="e">
        <f t="shared" si="895"/>
        <v>#DIV/0!</v>
      </c>
    </row>
    <row r="358" spans="1:26" x14ac:dyDescent="0.2">
      <c r="A358" s="7" t="s">
        <v>46</v>
      </c>
      <c r="B358" s="6">
        <f t="shared" si="702"/>
        <v>9</v>
      </c>
      <c r="C358" s="7" t="s">
        <v>159</v>
      </c>
      <c r="D358" s="68">
        <v>75</v>
      </c>
      <c r="E358" s="68">
        <v>0</v>
      </c>
      <c r="F358" s="65">
        <f t="shared" si="697"/>
        <v>0</v>
      </c>
      <c r="G358" s="60" t="e">
        <f t="shared" si="703"/>
        <v>#DIV/0!</v>
      </c>
      <c r="H358" s="65" t="e">
        <f t="shared" ref="H358:J358" si="896">H346</f>
        <v>#DIV/0!</v>
      </c>
      <c r="I358" s="65" t="e">
        <f t="shared" si="896"/>
        <v>#DIV/0!</v>
      </c>
      <c r="J358" s="65" t="e">
        <f t="shared" si="896"/>
        <v>#DIV/0!</v>
      </c>
      <c r="K358" s="69">
        <v>10000</v>
      </c>
      <c r="L358" s="69">
        <f>'Monitoramento Acumulado Geral'!Q358</f>
        <v>0</v>
      </c>
      <c r="M358" s="6">
        <f>(SUM(L350:L358))/K357</f>
        <v>0</v>
      </c>
      <c r="N358" s="35" t="e">
        <f t="shared" si="705"/>
        <v>#DIV/0!</v>
      </c>
      <c r="O358" s="6" t="e">
        <f t="shared" ref="O358:Q358" si="897">O346</f>
        <v>#DIV/0!</v>
      </c>
      <c r="P358" s="6" t="e">
        <f t="shared" si="897"/>
        <v>#DIV/0!</v>
      </c>
      <c r="Q358" s="6" t="e">
        <f t="shared" si="897"/>
        <v>#DIV/0!</v>
      </c>
      <c r="R358" s="69">
        <v>51</v>
      </c>
      <c r="S358" s="69">
        <v>15</v>
      </c>
      <c r="T358" s="6">
        <f t="shared" si="700"/>
        <v>0.29411764705882354</v>
      </c>
      <c r="U358" s="35" t="e">
        <f t="shared" si="707"/>
        <v>#DIV/0!</v>
      </c>
      <c r="V358" s="6" t="e">
        <f t="shared" ref="V358:Z358" si="898">V346</f>
        <v>#DIV/0!</v>
      </c>
      <c r="W358" s="6" t="e">
        <f t="shared" si="898"/>
        <v>#DIV/0!</v>
      </c>
      <c r="X358" s="6" t="e">
        <f t="shared" si="898"/>
        <v>#DIV/0!</v>
      </c>
      <c r="Y358" s="6" t="e">
        <f t="shared" si="898"/>
        <v>#DIV/0!</v>
      </c>
      <c r="Z358" s="6" t="e">
        <f t="shared" si="898"/>
        <v>#DIV/0!</v>
      </c>
    </row>
    <row r="359" spans="1:26" x14ac:dyDescent="0.2">
      <c r="A359" s="7" t="s">
        <v>46</v>
      </c>
      <c r="B359" s="6">
        <f t="shared" si="702"/>
        <v>10</v>
      </c>
      <c r="C359" s="7" t="s">
        <v>160</v>
      </c>
      <c r="D359" s="68">
        <v>75</v>
      </c>
      <c r="E359" s="68">
        <v>0</v>
      </c>
      <c r="F359" s="65">
        <f t="shared" si="697"/>
        <v>0</v>
      </c>
      <c r="G359" s="60" t="e">
        <f t="shared" si="703"/>
        <v>#DIV/0!</v>
      </c>
      <c r="H359" s="65" t="e">
        <f t="shared" ref="H359:J359" si="899">H347</f>
        <v>#DIV/0!</v>
      </c>
      <c r="I359" s="65" t="e">
        <f t="shared" si="899"/>
        <v>#DIV/0!</v>
      </c>
      <c r="J359" s="65" t="e">
        <f t="shared" si="899"/>
        <v>#DIV/0!</v>
      </c>
      <c r="K359" s="69">
        <v>10000</v>
      </c>
      <c r="L359" s="69">
        <f>'Monitoramento Acumulado Geral'!Q359</f>
        <v>0</v>
      </c>
      <c r="M359" s="6">
        <f>(SUM(L350:L359))/K358</f>
        <v>0</v>
      </c>
      <c r="N359" s="35" t="e">
        <f t="shared" si="705"/>
        <v>#DIV/0!</v>
      </c>
      <c r="O359" s="6" t="e">
        <f t="shared" ref="O359:Q359" si="900">O347</f>
        <v>#DIV/0!</v>
      </c>
      <c r="P359" s="6" t="e">
        <f t="shared" si="900"/>
        <v>#DIV/0!</v>
      </c>
      <c r="Q359" s="6" t="e">
        <f t="shared" si="900"/>
        <v>#DIV/0!</v>
      </c>
      <c r="R359" s="69">
        <v>51</v>
      </c>
      <c r="S359" s="69">
        <v>15</v>
      </c>
      <c r="T359" s="6">
        <f t="shared" si="700"/>
        <v>0.29411764705882354</v>
      </c>
      <c r="U359" s="35" t="e">
        <f t="shared" si="707"/>
        <v>#DIV/0!</v>
      </c>
      <c r="V359" s="6" t="e">
        <f t="shared" ref="V359:Z359" si="901">V347</f>
        <v>#DIV/0!</v>
      </c>
      <c r="W359" s="6" t="e">
        <f t="shared" si="901"/>
        <v>#DIV/0!</v>
      </c>
      <c r="X359" s="6" t="e">
        <f t="shared" si="901"/>
        <v>#DIV/0!</v>
      </c>
      <c r="Y359" s="6" t="e">
        <f t="shared" si="901"/>
        <v>#DIV/0!</v>
      </c>
      <c r="Z359" s="6" t="e">
        <f t="shared" si="901"/>
        <v>#DIV/0!</v>
      </c>
    </row>
    <row r="360" spans="1:26" x14ac:dyDescent="0.2">
      <c r="A360" s="7" t="s">
        <v>46</v>
      </c>
      <c r="B360" s="6">
        <f t="shared" si="702"/>
        <v>11</v>
      </c>
      <c r="C360" s="7" t="s">
        <v>161</v>
      </c>
      <c r="D360" s="68">
        <v>75</v>
      </c>
      <c r="E360" s="68">
        <v>0</v>
      </c>
      <c r="F360" s="65">
        <f t="shared" si="697"/>
        <v>0</v>
      </c>
      <c r="G360" s="60" t="e">
        <f t="shared" si="703"/>
        <v>#DIV/0!</v>
      </c>
      <c r="H360" s="65" t="e">
        <f t="shared" ref="H360:J360" si="902">H348</f>
        <v>#DIV/0!</v>
      </c>
      <c r="I360" s="65" t="e">
        <f t="shared" si="902"/>
        <v>#DIV/0!</v>
      </c>
      <c r="J360" s="65" t="e">
        <f t="shared" si="902"/>
        <v>#DIV/0!</v>
      </c>
      <c r="K360" s="69">
        <v>10000</v>
      </c>
      <c r="L360" s="69">
        <f>'Monitoramento Acumulado Geral'!Q360</f>
        <v>0</v>
      </c>
      <c r="M360" s="6">
        <f>(SUM(L350:L360))/K359</f>
        <v>0</v>
      </c>
      <c r="N360" s="35" t="e">
        <f t="shared" si="705"/>
        <v>#DIV/0!</v>
      </c>
      <c r="O360" s="6" t="e">
        <f t="shared" ref="O360:Q360" si="903">O348</f>
        <v>#DIV/0!</v>
      </c>
      <c r="P360" s="6" t="e">
        <f t="shared" si="903"/>
        <v>#DIV/0!</v>
      </c>
      <c r="Q360" s="6" t="e">
        <f t="shared" si="903"/>
        <v>#DIV/0!</v>
      </c>
      <c r="R360" s="69">
        <v>51</v>
      </c>
      <c r="S360" s="69">
        <v>0</v>
      </c>
      <c r="T360" s="6">
        <f t="shared" si="700"/>
        <v>0</v>
      </c>
      <c r="U360" s="35" t="e">
        <f t="shared" si="707"/>
        <v>#DIV/0!</v>
      </c>
      <c r="V360" s="6" t="e">
        <f t="shared" ref="V360:Z360" si="904">V348</f>
        <v>#DIV/0!</v>
      </c>
      <c r="W360" s="6" t="e">
        <f t="shared" si="904"/>
        <v>#DIV/0!</v>
      </c>
      <c r="X360" s="6" t="e">
        <f t="shared" si="904"/>
        <v>#DIV/0!</v>
      </c>
      <c r="Y360" s="6" t="e">
        <f t="shared" si="904"/>
        <v>#DIV/0!</v>
      </c>
      <c r="Z360" s="6" t="e">
        <f t="shared" si="904"/>
        <v>#DIV/0!</v>
      </c>
    </row>
    <row r="361" spans="1:26" x14ac:dyDescent="0.2">
      <c r="A361" s="7" t="s">
        <v>46</v>
      </c>
      <c r="B361" s="6">
        <f t="shared" si="702"/>
        <v>12</v>
      </c>
      <c r="C361" s="7" t="s">
        <v>162</v>
      </c>
      <c r="D361" s="68">
        <v>75</v>
      </c>
      <c r="E361" s="68">
        <v>0</v>
      </c>
      <c r="F361" s="65">
        <f t="shared" si="697"/>
        <v>0</v>
      </c>
      <c r="G361" s="60" t="e">
        <f t="shared" si="703"/>
        <v>#DIV/0!</v>
      </c>
      <c r="H361" s="65" t="e">
        <f t="shared" ref="H361:J361" si="905">H349</f>
        <v>#DIV/0!</v>
      </c>
      <c r="I361" s="65" t="e">
        <f t="shared" si="905"/>
        <v>#DIV/0!</v>
      </c>
      <c r="J361" s="65" t="e">
        <f t="shared" si="905"/>
        <v>#DIV/0!</v>
      </c>
      <c r="K361" s="69">
        <v>10000</v>
      </c>
      <c r="L361" s="69">
        <f>'Monitoramento Acumulado Geral'!Q361</f>
        <v>0</v>
      </c>
      <c r="M361" s="6">
        <f>(SUM(L350:L361))/K360</f>
        <v>0</v>
      </c>
      <c r="N361" s="35" t="e">
        <f t="shared" si="705"/>
        <v>#DIV/0!</v>
      </c>
      <c r="O361" s="6" t="e">
        <f t="shared" ref="O361:Q361" si="906">O349</f>
        <v>#DIV/0!</v>
      </c>
      <c r="P361" s="6" t="e">
        <f t="shared" si="906"/>
        <v>#DIV/0!</v>
      </c>
      <c r="Q361" s="6" t="e">
        <f t="shared" si="906"/>
        <v>#DIV/0!</v>
      </c>
      <c r="R361" s="69">
        <v>51</v>
      </c>
      <c r="S361" s="69">
        <v>0</v>
      </c>
      <c r="T361" s="6">
        <f t="shared" si="700"/>
        <v>0</v>
      </c>
      <c r="U361" s="35" t="e">
        <f t="shared" si="707"/>
        <v>#DIV/0!</v>
      </c>
      <c r="V361" s="6" t="e">
        <f t="shared" ref="V361:Z361" si="907">V349</f>
        <v>#DIV/0!</v>
      </c>
      <c r="W361" s="6" t="e">
        <f t="shared" si="907"/>
        <v>#DIV/0!</v>
      </c>
      <c r="X361" s="6" t="e">
        <f t="shared" si="907"/>
        <v>#DIV/0!</v>
      </c>
      <c r="Y361" s="6" t="e">
        <f t="shared" si="907"/>
        <v>#DIV/0!</v>
      </c>
      <c r="Z361" s="6" t="e">
        <f t="shared" si="907"/>
        <v>#DIV/0!</v>
      </c>
    </row>
    <row r="362" spans="1:26" x14ac:dyDescent="0.2">
      <c r="A362" s="7" t="s">
        <v>36</v>
      </c>
      <c r="B362" s="6">
        <f t="shared" si="702"/>
        <v>1</v>
      </c>
      <c r="C362" s="7" t="s">
        <v>151</v>
      </c>
      <c r="D362" s="68">
        <v>75</v>
      </c>
      <c r="E362" s="68">
        <v>0</v>
      </c>
      <c r="F362" s="65">
        <f t="shared" si="697"/>
        <v>0</v>
      </c>
      <c r="G362" s="60" t="e">
        <f t="shared" si="703"/>
        <v>#DIV/0!</v>
      </c>
      <c r="H362" s="65" t="e">
        <f t="shared" ref="H362:J362" si="908">H350</f>
        <v>#DIV/0!</v>
      </c>
      <c r="I362" s="65" t="e">
        <f t="shared" si="908"/>
        <v>#DIV/0!</v>
      </c>
      <c r="J362" s="65" t="e">
        <f t="shared" si="908"/>
        <v>#DIV/0!</v>
      </c>
      <c r="K362" s="69">
        <v>21600</v>
      </c>
      <c r="L362" s="69">
        <f>'Monitoramento Acumulado Geral'!Q362</f>
        <v>0</v>
      </c>
      <c r="M362" s="6">
        <f>L362/K362</f>
        <v>0</v>
      </c>
      <c r="N362" s="35" t="e">
        <f t="shared" si="705"/>
        <v>#DIV/0!</v>
      </c>
      <c r="O362" s="6" t="e">
        <f t="shared" ref="O362:Q362" si="909">O338</f>
        <v>#DIV/0!</v>
      </c>
      <c r="P362" s="6" t="e">
        <f t="shared" si="909"/>
        <v>#DIV/0!</v>
      </c>
      <c r="Q362" s="6" t="e">
        <f t="shared" si="909"/>
        <v>#DIV/0!</v>
      </c>
      <c r="R362" s="69">
        <v>70</v>
      </c>
      <c r="S362" s="69">
        <v>0</v>
      </c>
      <c r="T362" s="6">
        <f t="shared" si="700"/>
        <v>0</v>
      </c>
      <c r="U362" s="35" t="e">
        <f t="shared" si="707"/>
        <v>#DIV/0!</v>
      </c>
      <c r="V362" s="6" t="e">
        <f t="shared" ref="V362:Z362" si="910">V350</f>
        <v>#DIV/0!</v>
      </c>
      <c r="W362" s="6" t="e">
        <f t="shared" si="910"/>
        <v>#DIV/0!</v>
      </c>
      <c r="X362" s="6" t="e">
        <f t="shared" si="910"/>
        <v>#DIV/0!</v>
      </c>
      <c r="Y362" s="6" t="e">
        <f t="shared" si="910"/>
        <v>#DIV/0!</v>
      </c>
      <c r="Z362" s="6" t="e">
        <f t="shared" si="910"/>
        <v>#DIV/0!</v>
      </c>
    </row>
    <row r="363" spans="1:26" x14ac:dyDescent="0.2">
      <c r="A363" s="7" t="s">
        <v>36</v>
      </c>
      <c r="B363" s="6">
        <f t="shared" si="702"/>
        <v>2</v>
      </c>
      <c r="C363" s="7" t="s">
        <v>152</v>
      </c>
      <c r="D363" s="68">
        <v>75</v>
      </c>
      <c r="E363" s="68">
        <v>0</v>
      </c>
      <c r="F363" s="65">
        <f t="shared" si="697"/>
        <v>0</v>
      </c>
      <c r="G363" s="60" t="e">
        <f t="shared" si="703"/>
        <v>#DIV/0!</v>
      </c>
      <c r="H363" s="65" t="e">
        <f t="shared" ref="H363:J363" si="911">H351</f>
        <v>#DIV/0!</v>
      </c>
      <c r="I363" s="65" t="e">
        <f t="shared" si="911"/>
        <v>#DIV/0!</v>
      </c>
      <c r="J363" s="65" t="e">
        <f t="shared" si="911"/>
        <v>#DIV/0!</v>
      </c>
      <c r="K363" s="69">
        <v>21600</v>
      </c>
      <c r="L363" s="69">
        <f>'Monitoramento Acumulado Geral'!Q363</f>
        <v>0</v>
      </c>
      <c r="M363" s="6">
        <f>(SUM(L362:L363))/K362</f>
        <v>0</v>
      </c>
      <c r="N363" s="35" t="e">
        <f t="shared" si="705"/>
        <v>#DIV/0!</v>
      </c>
      <c r="O363" s="6" t="e">
        <f t="shared" ref="O363:Q363" si="912">O339</f>
        <v>#DIV/0!</v>
      </c>
      <c r="P363" s="6" t="e">
        <f t="shared" si="912"/>
        <v>#DIV/0!</v>
      </c>
      <c r="Q363" s="6" t="e">
        <f t="shared" si="912"/>
        <v>#DIV/0!</v>
      </c>
      <c r="R363" s="69">
        <v>70</v>
      </c>
      <c r="S363" s="69">
        <v>0</v>
      </c>
      <c r="T363" s="6">
        <f t="shared" si="700"/>
        <v>0</v>
      </c>
      <c r="U363" s="35" t="e">
        <f t="shared" si="707"/>
        <v>#DIV/0!</v>
      </c>
      <c r="V363" s="6" t="e">
        <f t="shared" ref="V363:Z363" si="913">V351</f>
        <v>#DIV/0!</v>
      </c>
      <c r="W363" s="6" t="e">
        <f t="shared" si="913"/>
        <v>#DIV/0!</v>
      </c>
      <c r="X363" s="6" t="e">
        <f t="shared" si="913"/>
        <v>#DIV/0!</v>
      </c>
      <c r="Y363" s="6" t="e">
        <f t="shared" si="913"/>
        <v>#DIV/0!</v>
      </c>
      <c r="Z363" s="6" t="e">
        <f t="shared" si="913"/>
        <v>#DIV/0!</v>
      </c>
    </row>
    <row r="364" spans="1:26" x14ac:dyDescent="0.2">
      <c r="A364" s="7" t="s">
        <v>36</v>
      </c>
      <c r="B364" s="6">
        <f t="shared" si="702"/>
        <v>3</v>
      </c>
      <c r="C364" s="7" t="s">
        <v>153</v>
      </c>
      <c r="D364" s="68">
        <v>75</v>
      </c>
      <c r="E364" s="68">
        <v>0</v>
      </c>
      <c r="F364" s="65">
        <f t="shared" si="697"/>
        <v>0</v>
      </c>
      <c r="G364" s="60" t="e">
        <f t="shared" si="703"/>
        <v>#DIV/0!</v>
      </c>
      <c r="H364" s="65" t="e">
        <f t="shared" ref="H364:J364" si="914">H352</f>
        <v>#DIV/0!</v>
      </c>
      <c r="I364" s="65" t="e">
        <f t="shared" si="914"/>
        <v>#DIV/0!</v>
      </c>
      <c r="J364" s="65" t="e">
        <f t="shared" si="914"/>
        <v>#DIV/0!</v>
      </c>
      <c r="K364" s="69">
        <v>21600</v>
      </c>
      <c r="L364" s="69">
        <f>'Monitoramento Acumulado Geral'!Q364</f>
        <v>0</v>
      </c>
      <c r="M364" s="6">
        <f>(SUM(L362:L364))/K363</f>
        <v>0</v>
      </c>
      <c r="N364" s="35" t="e">
        <f t="shared" si="705"/>
        <v>#DIV/0!</v>
      </c>
      <c r="O364" s="6" t="e">
        <f t="shared" ref="O364:Q364" si="915">O340</f>
        <v>#DIV/0!</v>
      </c>
      <c r="P364" s="6" t="e">
        <f t="shared" si="915"/>
        <v>#DIV/0!</v>
      </c>
      <c r="Q364" s="6" t="e">
        <f t="shared" si="915"/>
        <v>#DIV/0!</v>
      </c>
      <c r="R364" s="69">
        <v>70</v>
      </c>
      <c r="S364" s="69">
        <v>0</v>
      </c>
      <c r="T364" s="6">
        <f t="shared" si="700"/>
        <v>0</v>
      </c>
      <c r="U364" s="35" t="e">
        <f t="shared" si="707"/>
        <v>#DIV/0!</v>
      </c>
      <c r="V364" s="6" t="e">
        <f t="shared" ref="V364:Z364" si="916">V352</f>
        <v>#DIV/0!</v>
      </c>
      <c r="W364" s="6" t="e">
        <f t="shared" si="916"/>
        <v>#DIV/0!</v>
      </c>
      <c r="X364" s="6" t="e">
        <f t="shared" si="916"/>
        <v>#DIV/0!</v>
      </c>
      <c r="Y364" s="6" t="e">
        <f t="shared" si="916"/>
        <v>#DIV/0!</v>
      </c>
      <c r="Z364" s="6" t="e">
        <f t="shared" si="916"/>
        <v>#DIV/0!</v>
      </c>
    </row>
    <row r="365" spans="1:26" x14ac:dyDescent="0.2">
      <c r="A365" s="7" t="s">
        <v>36</v>
      </c>
      <c r="B365" s="6">
        <f t="shared" si="702"/>
        <v>4</v>
      </c>
      <c r="C365" s="7" t="s">
        <v>154</v>
      </c>
      <c r="D365" s="68">
        <v>75</v>
      </c>
      <c r="E365" s="68">
        <v>0</v>
      </c>
      <c r="F365" s="65">
        <f t="shared" si="697"/>
        <v>0</v>
      </c>
      <c r="G365" s="60" t="e">
        <f t="shared" si="703"/>
        <v>#DIV/0!</v>
      </c>
      <c r="H365" s="65" t="e">
        <f t="shared" ref="H365:J365" si="917">H353</f>
        <v>#DIV/0!</v>
      </c>
      <c r="I365" s="65" t="e">
        <f t="shared" si="917"/>
        <v>#DIV/0!</v>
      </c>
      <c r="J365" s="65" t="e">
        <f t="shared" si="917"/>
        <v>#DIV/0!</v>
      </c>
      <c r="K365" s="69">
        <v>21600</v>
      </c>
      <c r="L365" s="69">
        <f>'Monitoramento Acumulado Geral'!Q365</f>
        <v>0</v>
      </c>
      <c r="M365" s="6">
        <f>(SUM(L362:L365))/K364</f>
        <v>0</v>
      </c>
      <c r="N365" s="35" t="e">
        <f t="shared" si="705"/>
        <v>#DIV/0!</v>
      </c>
      <c r="O365" s="6" t="e">
        <f t="shared" ref="O365:Q365" si="918">O341</f>
        <v>#DIV/0!</v>
      </c>
      <c r="P365" s="6" t="e">
        <f t="shared" si="918"/>
        <v>#DIV/0!</v>
      </c>
      <c r="Q365" s="6" t="e">
        <f t="shared" si="918"/>
        <v>#DIV/0!</v>
      </c>
      <c r="R365" s="69">
        <v>70</v>
      </c>
      <c r="S365" s="69">
        <v>0</v>
      </c>
      <c r="T365" s="6">
        <f t="shared" si="700"/>
        <v>0</v>
      </c>
      <c r="U365" s="35" t="e">
        <f t="shared" si="707"/>
        <v>#DIV/0!</v>
      </c>
      <c r="V365" s="6" t="e">
        <f t="shared" ref="V365:Z365" si="919">V353</f>
        <v>#DIV/0!</v>
      </c>
      <c r="W365" s="6" t="e">
        <f t="shared" si="919"/>
        <v>#DIV/0!</v>
      </c>
      <c r="X365" s="6" t="e">
        <f t="shared" si="919"/>
        <v>#DIV/0!</v>
      </c>
      <c r="Y365" s="6" t="e">
        <f t="shared" si="919"/>
        <v>#DIV/0!</v>
      </c>
      <c r="Z365" s="6" t="e">
        <f t="shared" si="919"/>
        <v>#DIV/0!</v>
      </c>
    </row>
    <row r="366" spans="1:26" x14ac:dyDescent="0.2">
      <c r="A366" s="7" t="s">
        <v>36</v>
      </c>
      <c r="B366" s="6">
        <f t="shared" si="702"/>
        <v>5</v>
      </c>
      <c r="C366" s="7" t="s">
        <v>155</v>
      </c>
      <c r="D366" s="68">
        <v>75</v>
      </c>
      <c r="E366" s="68">
        <v>0</v>
      </c>
      <c r="F366" s="65">
        <f t="shared" si="697"/>
        <v>0</v>
      </c>
      <c r="G366" s="60" t="e">
        <f t="shared" si="703"/>
        <v>#DIV/0!</v>
      </c>
      <c r="H366" s="65" t="e">
        <f t="shared" ref="H366:J366" si="920">H354</f>
        <v>#DIV/0!</v>
      </c>
      <c r="I366" s="65" t="e">
        <f t="shared" si="920"/>
        <v>#DIV/0!</v>
      </c>
      <c r="J366" s="65" t="e">
        <f t="shared" si="920"/>
        <v>#DIV/0!</v>
      </c>
      <c r="K366" s="69">
        <v>21600</v>
      </c>
      <c r="L366" s="69">
        <f>'Monitoramento Acumulado Geral'!Q366</f>
        <v>0</v>
      </c>
      <c r="M366" s="6">
        <f>(SUM(L362:L366))/K365</f>
        <v>0</v>
      </c>
      <c r="N366" s="35" t="e">
        <f t="shared" si="705"/>
        <v>#DIV/0!</v>
      </c>
      <c r="O366" s="6" t="e">
        <f t="shared" ref="O366:Q366" si="921">O342</f>
        <v>#DIV/0!</v>
      </c>
      <c r="P366" s="6" t="e">
        <f t="shared" si="921"/>
        <v>#DIV/0!</v>
      </c>
      <c r="Q366" s="6" t="e">
        <f t="shared" si="921"/>
        <v>#DIV/0!</v>
      </c>
      <c r="R366" s="69">
        <v>70</v>
      </c>
      <c r="S366" s="69">
        <v>6</v>
      </c>
      <c r="T366" s="6">
        <f t="shared" si="700"/>
        <v>8.5714285714285715E-2</v>
      </c>
      <c r="U366" s="35" t="e">
        <f t="shared" si="707"/>
        <v>#DIV/0!</v>
      </c>
      <c r="V366" s="6" t="e">
        <f t="shared" ref="V366:Z366" si="922">V354</f>
        <v>#DIV/0!</v>
      </c>
      <c r="W366" s="6" t="e">
        <f t="shared" si="922"/>
        <v>#DIV/0!</v>
      </c>
      <c r="X366" s="6" t="e">
        <f t="shared" si="922"/>
        <v>#DIV/0!</v>
      </c>
      <c r="Y366" s="6" t="e">
        <f t="shared" si="922"/>
        <v>#DIV/0!</v>
      </c>
      <c r="Z366" s="6" t="e">
        <f t="shared" si="922"/>
        <v>#DIV/0!</v>
      </c>
    </row>
    <row r="367" spans="1:26" x14ac:dyDescent="0.2">
      <c r="A367" s="7" t="s">
        <v>36</v>
      </c>
      <c r="B367" s="6">
        <f t="shared" si="702"/>
        <v>6</v>
      </c>
      <c r="C367" s="7" t="s">
        <v>156</v>
      </c>
      <c r="D367" s="68">
        <v>75</v>
      </c>
      <c r="E367" s="68">
        <v>0</v>
      </c>
      <c r="F367" s="65">
        <f t="shared" si="697"/>
        <v>0</v>
      </c>
      <c r="G367" s="60" t="e">
        <f t="shared" si="703"/>
        <v>#DIV/0!</v>
      </c>
      <c r="H367" s="65" t="e">
        <f t="shared" ref="H367:J367" si="923">H355</f>
        <v>#DIV/0!</v>
      </c>
      <c r="I367" s="65" t="e">
        <f t="shared" si="923"/>
        <v>#DIV/0!</v>
      </c>
      <c r="J367" s="65" t="e">
        <f t="shared" si="923"/>
        <v>#DIV/0!</v>
      </c>
      <c r="K367" s="69">
        <v>21600</v>
      </c>
      <c r="L367" s="69">
        <f>'Monitoramento Acumulado Geral'!Q367</f>
        <v>0</v>
      </c>
      <c r="M367" s="6">
        <f>(SUM(L362:L367))/K366</f>
        <v>0</v>
      </c>
      <c r="N367" s="35" t="e">
        <f t="shared" si="705"/>
        <v>#DIV/0!</v>
      </c>
      <c r="O367" s="6" t="e">
        <f t="shared" ref="O367:Q367" si="924">O343</f>
        <v>#DIV/0!</v>
      </c>
      <c r="P367" s="6" t="e">
        <f t="shared" si="924"/>
        <v>#DIV/0!</v>
      </c>
      <c r="Q367" s="6" t="e">
        <f t="shared" si="924"/>
        <v>#DIV/0!</v>
      </c>
      <c r="R367" s="69">
        <v>70</v>
      </c>
      <c r="S367" s="69">
        <v>6</v>
      </c>
      <c r="T367" s="6">
        <f t="shared" si="700"/>
        <v>8.5714285714285715E-2</v>
      </c>
      <c r="U367" s="35" t="e">
        <f t="shared" si="707"/>
        <v>#DIV/0!</v>
      </c>
      <c r="V367" s="6" t="e">
        <f t="shared" ref="V367:Z367" si="925">V355</f>
        <v>#DIV/0!</v>
      </c>
      <c r="W367" s="6" t="e">
        <f t="shared" si="925"/>
        <v>#DIV/0!</v>
      </c>
      <c r="X367" s="6" t="e">
        <f t="shared" si="925"/>
        <v>#DIV/0!</v>
      </c>
      <c r="Y367" s="6" t="e">
        <f t="shared" si="925"/>
        <v>#DIV/0!</v>
      </c>
      <c r="Z367" s="6" t="e">
        <f t="shared" si="925"/>
        <v>#DIV/0!</v>
      </c>
    </row>
    <row r="368" spans="1:26" x14ac:dyDescent="0.2">
      <c r="A368" s="7" t="s">
        <v>36</v>
      </c>
      <c r="B368" s="6">
        <f t="shared" si="702"/>
        <v>7</v>
      </c>
      <c r="C368" s="7" t="s">
        <v>157</v>
      </c>
      <c r="D368" s="68">
        <v>75</v>
      </c>
      <c r="E368" s="68">
        <v>0</v>
      </c>
      <c r="F368" s="65">
        <f t="shared" si="697"/>
        <v>0</v>
      </c>
      <c r="G368" s="60" t="e">
        <f t="shared" si="703"/>
        <v>#DIV/0!</v>
      </c>
      <c r="H368" s="65" t="e">
        <f t="shared" ref="H368:J368" si="926">H356</f>
        <v>#DIV/0!</v>
      </c>
      <c r="I368" s="65" t="e">
        <f t="shared" si="926"/>
        <v>#DIV/0!</v>
      </c>
      <c r="J368" s="65" t="e">
        <f t="shared" si="926"/>
        <v>#DIV/0!</v>
      </c>
      <c r="K368" s="69">
        <v>21600</v>
      </c>
      <c r="L368" s="69">
        <f>'Monitoramento Acumulado Geral'!Q368</f>
        <v>0</v>
      </c>
      <c r="M368" s="6">
        <f>(SUM(L362:L368))/K367</f>
        <v>0</v>
      </c>
      <c r="N368" s="35" t="e">
        <f t="shared" si="705"/>
        <v>#DIV/0!</v>
      </c>
      <c r="O368" s="6" t="e">
        <f t="shared" ref="O368:Q368" si="927">O344</f>
        <v>#DIV/0!</v>
      </c>
      <c r="P368" s="6" t="e">
        <f t="shared" si="927"/>
        <v>#DIV/0!</v>
      </c>
      <c r="Q368" s="6" t="e">
        <f t="shared" si="927"/>
        <v>#DIV/0!</v>
      </c>
      <c r="R368" s="69">
        <v>70</v>
      </c>
      <c r="S368" s="69">
        <v>6</v>
      </c>
      <c r="T368" s="6">
        <f t="shared" si="700"/>
        <v>8.5714285714285715E-2</v>
      </c>
      <c r="U368" s="35" t="e">
        <f t="shared" si="707"/>
        <v>#DIV/0!</v>
      </c>
      <c r="V368" s="6" t="e">
        <f t="shared" ref="V368:Z368" si="928">V356</f>
        <v>#DIV/0!</v>
      </c>
      <c r="W368" s="6" t="e">
        <f t="shared" si="928"/>
        <v>#DIV/0!</v>
      </c>
      <c r="X368" s="6" t="e">
        <f t="shared" si="928"/>
        <v>#DIV/0!</v>
      </c>
      <c r="Y368" s="6" t="e">
        <f t="shared" si="928"/>
        <v>#DIV/0!</v>
      </c>
      <c r="Z368" s="6" t="e">
        <f t="shared" si="928"/>
        <v>#DIV/0!</v>
      </c>
    </row>
    <row r="369" spans="1:26" x14ac:dyDescent="0.2">
      <c r="A369" s="7" t="s">
        <v>36</v>
      </c>
      <c r="B369" s="6">
        <f t="shared" si="702"/>
        <v>8</v>
      </c>
      <c r="C369" s="7" t="s">
        <v>158</v>
      </c>
      <c r="D369" s="68">
        <v>75</v>
      </c>
      <c r="E369" s="68">
        <v>0</v>
      </c>
      <c r="F369" s="65">
        <f t="shared" si="697"/>
        <v>0</v>
      </c>
      <c r="G369" s="60" t="e">
        <f t="shared" si="703"/>
        <v>#DIV/0!</v>
      </c>
      <c r="H369" s="65" t="e">
        <f t="shared" ref="H369:J369" si="929">H357</f>
        <v>#DIV/0!</v>
      </c>
      <c r="I369" s="65" t="e">
        <f t="shared" si="929"/>
        <v>#DIV/0!</v>
      </c>
      <c r="J369" s="65" t="e">
        <f t="shared" si="929"/>
        <v>#DIV/0!</v>
      </c>
      <c r="K369" s="69">
        <v>21600</v>
      </c>
      <c r="L369" s="69">
        <f>'Monitoramento Acumulado Geral'!Q369</f>
        <v>0</v>
      </c>
      <c r="M369" s="6">
        <f>(SUM(L362:L369))/K368</f>
        <v>0</v>
      </c>
      <c r="N369" s="35" t="e">
        <f t="shared" si="705"/>
        <v>#DIV/0!</v>
      </c>
      <c r="O369" s="6" t="e">
        <f t="shared" ref="O369:Q369" si="930">O345</f>
        <v>#DIV/0!</v>
      </c>
      <c r="P369" s="6" t="e">
        <f t="shared" si="930"/>
        <v>#DIV/0!</v>
      </c>
      <c r="Q369" s="6" t="e">
        <f t="shared" si="930"/>
        <v>#DIV/0!</v>
      </c>
      <c r="R369" s="69">
        <v>70</v>
      </c>
      <c r="S369" s="69">
        <v>6</v>
      </c>
      <c r="T369" s="6">
        <f t="shared" si="700"/>
        <v>8.5714285714285715E-2</v>
      </c>
      <c r="U369" s="35" t="e">
        <f t="shared" si="707"/>
        <v>#DIV/0!</v>
      </c>
      <c r="V369" s="6" t="e">
        <f t="shared" ref="V369:Z369" si="931">V357</f>
        <v>#DIV/0!</v>
      </c>
      <c r="W369" s="6" t="e">
        <f t="shared" si="931"/>
        <v>#DIV/0!</v>
      </c>
      <c r="X369" s="6" t="e">
        <f t="shared" si="931"/>
        <v>#DIV/0!</v>
      </c>
      <c r="Y369" s="6" t="e">
        <f t="shared" si="931"/>
        <v>#DIV/0!</v>
      </c>
      <c r="Z369" s="6" t="e">
        <f t="shared" si="931"/>
        <v>#DIV/0!</v>
      </c>
    </row>
    <row r="370" spans="1:26" x14ac:dyDescent="0.2">
      <c r="A370" s="7" t="s">
        <v>36</v>
      </c>
      <c r="B370" s="6">
        <f t="shared" si="702"/>
        <v>9</v>
      </c>
      <c r="C370" s="7" t="s">
        <v>159</v>
      </c>
      <c r="D370" s="68">
        <v>75</v>
      </c>
      <c r="E370" s="68">
        <v>0</v>
      </c>
      <c r="F370" s="65">
        <f t="shared" ref="F370:F433" si="932">E370/D370</f>
        <v>0</v>
      </c>
      <c r="G370" s="60" t="e">
        <f t="shared" si="703"/>
        <v>#DIV/0!</v>
      </c>
      <c r="H370" s="65" t="e">
        <f t="shared" ref="H370:J370" si="933">H358</f>
        <v>#DIV/0!</v>
      </c>
      <c r="I370" s="65" t="e">
        <f t="shared" si="933"/>
        <v>#DIV/0!</v>
      </c>
      <c r="J370" s="65" t="e">
        <f t="shared" si="933"/>
        <v>#DIV/0!</v>
      </c>
      <c r="K370" s="69">
        <v>21600</v>
      </c>
      <c r="L370" s="69">
        <f>'Monitoramento Acumulado Geral'!Q370</f>
        <v>0</v>
      </c>
      <c r="M370" s="6">
        <f>(SUM(L362:L370))/K369</f>
        <v>0</v>
      </c>
      <c r="N370" s="35" t="e">
        <f t="shared" si="705"/>
        <v>#DIV/0!</v>
      </c>
      <c r="O370" s="6" t="e">
        <f t="shared" ref="O370:Q370" si="934">O346</f>
        <v>#DIV/0!</v>
      </c>
      <c r="P370" s="6" t="e">
        <f t="shared" si="934"/>
        <v>#DIV/0!</v>
      </c>
      <c r="Q370" s="6" t="e">
        <f t="shared" si="934"/>
        <v>#DIV/0!</v>
      </c>
      <c r="R370" s="69">
        <v>70</v>
      </c>
      <c r="S370" s="69">
        <v>6</v>
      </c>
      <c r="T370" s="6">
        <f t="shared" ref="T370:T433" si="935">S370/R370</f>
        <v>8.5714285714285715E-2</v>
      </c>
      <c r="U370" s="35" t="e">
        <f t="shared" si="707"/>
        <v>#DIV/0!</v>
      </c>
      <c r="V370" s="6" t="e">
        <f t="shared" ref="V370:Z370" si="936">V358</f>
        <v>#DIV/0!</v>
      </c>
      <c r="W370" s="6" t="e">
        <f t="shared" si="936"/>
        <v>#DIV/0!</v>
      </c>
      <c r="X370" s="6" t="e">
        <f t="shared" si="936"/>
        <v>#DIV/0!</v>
      </c>
      <c r="Y370" s="6" t="e">
        <f t="shared" si="936"/>
        <v>#DIV/0!</v>
      </c>
      <c r="Z370" s="6" t="e">
        <f t="shared" si="936"/>
        <v>#DIV/0!</v>
      </c>
    </row>
    <row r="371" spans="1:26" x14ac:dyDescent="0.2">
      <c r="A371" s="7" t="s">
        <v>36</v>
      </c>
      <c r="B371" s="6">
        <f t="shared" ref="B371:B434" si="937">_xlfn.IFS(C371="Janeiro",1,C371="Fevereiro",2,C371="Março",3,C371="Abril",4,C371="Maio",5,C371="Junho",6,C371="Julho",7,C371="Agosto",8,C371="Setembro",9,C371="Outubro",10,C371="Novembro",11,C371="Dezembro",12,TRUE,0)</f>
        <v>10</v>
      </c>
      <c r="C371" s="7" t="s">
        <v>160</v>
      </c>
      <c r="D371" s="68">
        <v>75</v>
      </c>
      <c r="E371" s="68">
        <v>0</v>
      </c>
      <c r="F371" s="65">
        <f t="shared" si="932"/>
        <v>0</v>
      </c>
      <c r="G371" s="60" t="e">
        <f t="shared" ref="G371:G434" si="938">IF(F371&gt;=I371,"Desempenho Ótimo",(IF(F371&gt;H371,"Desempenho Bom",(IF(F371&gt;J371,"Desempenho Médio",IF(F371&lt;=J371,"Desempenho Deficitário",0))))))</f>
        <v>#DIV/0!</v>
      </c>
      <c r="H371" s="65" t="e">
        <f t="shared" ref="H371:J371" si="939">H359</f>
        <v>#DIV/0!</v>
      </c>
      <c r="I371" s="65" t="e">
        <f t="shared" si="939"/>
        <v>#DIV/0!</v>
      </c>
      <c r="J371" s="65" t="e">
        <f t="shared" si="939"/>
        <v>#DIV/0!</v>
      </c>
      <c r="K371" s="69">
        <v>21600</v>
      </c>
      <c r="L371" s="69">
        <f>'Monitoramento Acumulado Geral'!Q371</f>
        <v>0</v>
      </c>
      <c r="M371" s="6">
        <f>(SUM(L362:L371))/K370</f>
        <v>0</v>
      </c>
      <c r="N371" s="35" t="e">
        <f t="shared" ref="N371:N434" si="940">IF(M371&gt;=P371,"Desempenho Ótimo",(IF(M371&gt;O371,"Desempenho Bom",(IF(M371&gt;Q371,"Desempenho Médio",IF(M371&lt;=Q371,"Desempenho Deficitário",0))))))</f>
        <v>#DIV/0!</v>
      </c>
      <c r="O371" s="6" t="e">
        <f t="shared" ref="O371:Q371" si="941">O347</f>
        <v>#DIV/0!</v>
      </c>
      <c r="P371" s="6" t="e">
        <f t="shared" si="941"/>
        <v>#DIV/0!</v>
      </c>
      <c r="Q371" s="6" t="e">
        <f t="shared" si="941"/>
        <v>#DIV/0!</v>
      </c>
      <c r="R371" s="69">
        <v>70</v>
      </c>
      <c r="S371" s="69">
        <v>6</v>
      </c>
      <c r="T371" s="6">
        <f t="shared" si="935"/>
        <v>8.5714285714285715E-2</v>
      </c>
      <c r="U371" s="35" t="e">
        <f t="shared" ref="U371:U434" si="942">IF(T371&gt;=W371,"Desempenho Ótimo",(IF(T371&gt;V371,"Desempenho Bom",(IF(T371&gt;X371,"Desempenho Médio",IF(T371&lt;=X371,"Desempenho Deficitário",0))))))</f>
        <v>#DIV/0!</v>
      </c>
      <c r="V371" s="6" t="e">
        <f t="shared" ref="V371:Z371" si="943">V359</f>
        <v>#DIV/0!</v>
      </c>
      <c r="W371" s="6" t="e">
        <f t="shared" si="943"/>
        <v>#DIV/0!</v>
      </c>
      <c r="X371" s="6" t="e">
        <f t="shared" si="943"/>
        <v>#DIV/0!</v>
      </c>
      <c r="Y371" s="6" t="e">
        <f t="shared" si="943"/>
        <v>#DIV/0!</v>
      </c>
      <c r="Z371" s="6" t="e">
        <f t="shared" si="943"/>
        <v>#DIV/0!</v>
      </c>
    </row>
    <row r="372" spans="1:26" x14ac:dyDescent="0.2">
      <c r="A372" s="7" t="s">
        <v>36</v>
      </c>
      <c r="B372" s="6">
        <f t="shared" si="937"/>
        <v>11</v>
      </c>
      <c r="C372" s="7" t="s">
        <v>161</v>
      </c>
      <c r="D372" s="68">
        <v>75</v>
      </c>
      <c r="E372" s="68">
        <v>0</v>
      </c>
      <c r="F372" s="65">
        <f t="shared" si="932"/>
        <v>0</v>
      </c>
      <c r="G372" s="60" t="e">
        <f t="shared" si="938"/>
        <v>#DIV/0!</v>
      </c>
      <c r="H372" s="65" t="e">
        <f t="shared" ref="H372:J372" si="944">H360</f>
        <v>#DIV/0!</v>
      </c>
      <c r="I372" s="65" t="e">
        <f t="shared" si="944"/>
        <v>#DIV/0!</v>
      </c>
      <c r="J372" s="65" t="e">
        <f t="shared" si="944"/>
        <v>#DIV/0!</v>
      </c>
      <c r="K372" s="69">
        <v>21600</v>
      </c>
      <c r="L372" s="69">
        <f>'Monitoramento Acumulado Geral'!Q372</f>
        <v>0</v>
      </c>
      <c r="M372" s="6">
        <f>(SUM(L362:L372))/K371</f>
        <v>0</v>
      </c>
      <c r="N372" s="35" t="e">
        <f t="shared" si="940"/>
        <v>#DIV/0!</v>
      </c>
      <c r="O372" s="6" t="e">
        <f t="shared" ref="O372:Q372" si="945">O348</f>
        <v>#DIV/0!</v>
      </c>
      <c r="P372" s="6" t="e">
        <f t="shared" si="945"/>
        <v>#DIV/0!</v>
      </c>
      <c r="Q372" s="6" t="e">
        <f t="shared" si="945"/>
        <v>#DIV/0!</v>
      </c>
      <c r="R372" s="69">
        <v>70</v>
      </c>
      <c r="S372" s="69">
        <v>0</v>
      </c>
      <c r="T372" s="6">
        <f t="shared" si="935"/>
        <v>0</v>
      </c>
      <c r="U372" s="35" t="e">
        <f t="shared" si="942"/>
        <v>#DIV/0!</v>
      </c>
      <c r="V372" s="6" t="e">
        <f t="shared" ref="V372:Z372" si="946">V360</f>
        <v>#DIV/0!</v>
      </c>
      <c r="W372" s="6" t="e">
        <f t="shared" si="946"/>
        <v>#DIV/0!</v>
      </c>
      <c r="X372" s="6" t="e">
        <f t="shared" si="946"/>
        <v>#DIV/0!</v>
      </c>
      <c r="Y372" s="6" t="e">
        <f t="shared" si="946"/>
        <v>#DIV/0!</v>
      </c>
      <c r="Z372" s="6" t="e">
        <f t="shared" si="946"/>
        <v>#DIV/0!</v>
      </c>
    </row>
    <row r="373" spans="1:26" x14ac:dyDescent="0.2">
      <c r="A373" s="7" t="s">
        <v>36</v>
      </c>
      <c r="B373" s="6">
        <f t="shared" si="937"/>
        <v>12</v>
      </c>
      <c r="C373" s="7" t="s">
        <v>162</v>
      </c>
      <c r="D373" s="68">
        <v>75</v>
      </c>
      <c r="E373" s="68">
        <v>0</v>
      </c>
      <c r="F373" s="65">
        <f t="shared" si="932"/>
        <v>0</v>
      </c>
      <c r="G373" s="60" t="e">
        <f t="shared" si="938"/>
        <v>#DIV/0!</v>
      </c>
      <c r="H373" s="65" t="e">
        <f t="shared" ref="H373:J373" si="947">H361</f>
        <v>#DIV/0!</v>
      </c>
      <c r="I373" s="65" t="e">
        <f t="shared" si="947"/>
        <v>#DIV/0!</v>
      </c>
      <c r="J373" s="65" t="e">
        <f t="shared" si="947"/>
        <v>#DIV/0!</v>
      </c>
      <c r="K373" s="69">
        <v>21600</v>
      </c>
      <c r="L373" s="69">
        <f>'Monitoramento Acumulado Geral'!Q373</f>
        <v>0</v>
      </c>
      <c r="M373" s="6">
        <f>(SUM(L362:L373))/K372</f>
        <v>0</v>
      </c>
      <c r="N373" s="35" t="e">
        <f t="shared" si="940"/>
        <v>#DIV/0!</v>
      </c>
      <c r="O373" s="6" t="e">
        <f t="shared" ref="O373:Q373" si="948">O349</f>
        <v>#DIV/0!</v>
      </c>
      <c r="P373" s="6" t="e">
        <f t="shared" si="948"/>
        <v>#DIV/0!</v>
      </c>
      <c r="Q373" s="6" t="e">
        <f t="shared" si="948"/>
        <v>#DIV/0!</v>
      </c>
      <c r="R373" s="69">
        <v>70</v>
      </c>
      <c r="S373" s="69">
        <v>0</v>
      </c>
      <c r="T373" s="6">
        <f t="shared" si="935"/>
        <v>0</v>
      </c>
      <c r="U373" s="35" t="e">
        <f t="shared" si="942"/>
        <v>#DIV/0!</v>
      </c>
      <c r="V373" s="6" t="e">
        <f t="shared" ref="V373:Z373" si="949">V361</f>
        <v>#DIV/0!</v>
      </c>
      <c r="W373" s="6" t="e">
        <f t="shared" si="949"/>
        <v>#DIV/0!</v>
      </c>
      <c r="X373" s="6" t="e">
        <f t="shared" si="949"/>
        <v>#DIV/0!</v>
      </c>
      <c r="Y373" s="6" t="e">
        <f t="shared" si="949"/>
        <v>#DIV/0!</v>
      </c>
      <c r="Z373" s="6" t="e">
        <f t="shared" si="949"/>
        <v>#DIV/0!</v>
      </c>
    </row>
    <row r="374" spans="1:26" x14ac:dyDescent="0.2">
      <c r="A374" s="7" t="s">
        <v>82</v>
      </c>
      <c r="B374" s="6">
        <f t="shared" si="937"/>
        <v>1</v>
      </c>
      <c r="C374" s="7" t="s">
        <v>151</v>
      </c>
      <c r="D374" s="68">
        <v>75</v>
      </c>
      <c r="E374" s="68">
        <v>0</v>
      </c>
      <c r="F374" s="65">
        <f t="shared" si="932"/>
        <v>0</v>
      </c>
      <c r="G374" s="60" t="e">
        <f t="shared" si="938"/>
        <v>#DIV/0!</v>
      </c>
      <c r="H374" s="65" t="e">
        <f t="shared" ref="H374:J374" si="950">H362</f>
        <v>#DIV/0!</v>
      </c>
      <c r="I374" s="65" t="e">
        <f t="shared" si="950"/>
        <v>#DIV/0!</v>
      </c>
      <c r="J374" s="65" t="e">
        <f t="shared" si="950"/>
        <v>#DIV/0!</v>
      </c>
      <c r="K374" s="69">
        <v>21000</v>
      </c>
      <c r="L374" s="69">
        <f>'Monitoramento Acumulado Geral'!Q374</f>
        <v>0</v>
      </c>
      <c r="M374" s="6">
        <f>L374/K374</f>
        <v>0</v>
      </c>
      <c r="N374" s="35" t="e">
        <f t="shared" si="940"/>
        <v>#DIV/0!</v>
      </c>
      <c r="O374" s="6" t="e">
        <f t="shared" ref="O374:Q374" si="951">O362</f>
        <v>#DIV/0!</v>
      </c>
      <c r="P374" s="6" t="e">
        <f t="shared" si="951"/>
        <v>#DIV/0!</v>
      </c>
      <c r="Q374" s="6" t="e">
        <f t="shared" si="951"/>
        <v>#DIV/0!</v>
      </c>
      <c r="R374" s="69">
        <v>74</v>
      </c>
      <c r="S374" s="69">
        <v>0</v>
      </c>
      <c r="T374" s="6">
        <f t="shared" si="935"/>
        <v>0</v>
      </c>
      <c r="U374" s="35" t="e">
        <f t="shared" si="942"/>
        <v>#DIV/0!</v>
      </c>
      <c r="V374" s="6" t="e">
        <f t="shared" ref="V374:Z374" si="952">V362</f>
        <v>#DIV/0!</v>
      </c>
      <c r="W374" s="6" t="e">
        <f t="shared" si="952"/>
        <v>#DIV/0!</v>
      </c>
      <c r="X374" s="6" t="e">
        <f t="shared" si="952"/>
        <v>#DIV/0!</v>
      </c>
      <c r="Y374" s="6" t="e">
        <f t="shared" si="952"/>
        <v>#DIV/0!</v>
      </c>
      <c r="Z374" s="6" t="e">
        <f t="shared" si="952"/>
        <v>#DIV/0!</v>
      </c>
    </row>
    <row r="375" spans="1:26" x14ac:dyDescent="0.2">
      <c r="A375" s="7" t="s">
        <v>82</v>
      </c>
      <c r="B375" s="6">
        <f t="shared" si="937"/>
        <v>2</v>
      </c>
      <c r="C375" s="7" t="s">
        <v>152</v>
      </c>
      <c r="D375" s="68">
        <v>75</v>
      </c>
      <c r="E375" s="68">
        <v>0</v>
      </c>
      <c r="F375" s="65">
        <f t="shared" si="932"/>
        <v>0</v>
      </c>
      <c r="G375" s="60" t="e">
        <f t="shared" si="938"/>
        <v>#DIV/0!</v>
      </c>
      <c r="H375" s="65" t="e">
        <f t="shared" ref="H375:J375" si="953">H363</f>
        <v>#DIV/0!</v>
      </c>
      <c r="I375" s="65" t="e">
        <f t="shared" si="953"/>
        <v>#DIV/0!</v>
      </c>
      <c r="J375" s="65" t="e">
        <f t="shared" si="953"/>
        <v>#DIV/0!</v>
      </c>
      <c r="K375" s="69">
        <v>21000</v>
      </c>
      <c r="L375" s="69">
        <f>'Monitoramento Acumulado Geral'!Q375</f>
        <v>0</v>
      </c>
      <c r="M375" s="6">
        <f>(SUM(L374:L375))/K374</f>
        <v>0</v>
      </c>
      <c r="N375" s="35" t="e">
        <f t="shared" si="940"/>
        <v>#DIV/0!</v>
      </c>
      <c r="O375" s="6" t="e">
        <f t="shared" ref="O375:Q375" si="954">O363</f>
        <v>#DIV/0!</v>
      </c>
      <c r="P375" s="6" t="e">
        <f t="shared" si="954"/>
        <v>#DIV/0!</v>
      </c>
      <c r="Q375" s="6" t="e">
        <f t="shared" si="954"/>
        <v>#DIV/0!</v>
      </c>
      <c r="R375" s="69">
        <v>74</v>
      </c>
      <c r="S375" s="69">
        <v>0</v>
      </c>
      <c r="T375" s="6">
        <f t="shared" si="935"/>
        <v>0</v>
      </c>
      <c r="U375" s="35" t="e">
        <f t="shared" si="942"/>
        <v>#DIV/0!</v>
      </c>
      <c r="V375" s="6" t="e">
        <f t="shared" ref="V375:Z375" si="955">V363</f>
        <v>#DIV/0!</v>
      </c>
      <c r="W375" s="6" t="e">
        <f t="shared" si="955"/>
        <v>#DIV/0!</v>
      </c>
      <c r="X375" s="6" t="e">
        <f t="shared" si="955"/>
        <v>#DIV/0!</v>
      </c>
      <c r="Y375" s="6" t="e">
        <f t="shared" si="955"/>
        <v>#DIV/0!</v>
      </c>
      <c r="Z375" s="6" t="e">
        <f t="shared" si="955"/>
        <v>#DIV/0!</v>
      </c>
    </row>
    <row r="376" spans="1:26" x14ac:dyDescent="0.2">
      <c r="A376" s="7" t="s">
        <v>82</v>
      </c>
      <c r="B376" s="6">
        <f t="shared" si="937"/>
        <v>3</v>
      </c>
      <c r="C376" s="7" t="s">
        <v>153</v>
      </c>
      <c r="D376" s="68">
        <v>75</v>
      </c>
      <c r="E376" s="68">
        <v>57</v>
      </c>
      <c r="F376" s="65">
        <f t="shared" si="932"/>
        <v>0.76</v>
      </c>
      <c r="G376" s="60" t="e">
        <f t="shared" si="938"/>
        <v>#DIV/0!</v>
      </c>
      <c r="H376" s="65" t="e">
        <f t="shared" ref="H376:J376" si="956">H364</f>
        <v>#DIV/0!</v>
      </c>
      <c r="I376" s="65" t="e">
        <f t="shared" si="956"/>
        <v>#DIV/0!</v>
      </c>
      <c r="J376" s="65" t="e">
        <f t="shared" si="956"/>
        <v>#DIV/0!</v>
      </c>
      <c r="K376" s="69">
        <v>21000</v>
      </c>
      <c r="L376" s="69">
        <f>'Monitoramento Acumulado Geral'!Q376</f>
        <v>1800</v>
      </c>
      <c r="M376" s="6">
        <f>(SUM(L374:L376))/K375</f>
        <v>8.5714285714285715E-2</v>
      </c>
      <c r="N376" s="35" t="e">
        <f t="shared" si="940"/>
        <v>#DIV/0!</v>
      </c>
      <c r="O376" s="6" t="e">
        <f t="shared" ref="O376:Q376" si="957">O364</f>
        <v>#DIV/0!</v>
      </c>
      <c r="P376" s="6" t="e">
        <f t="shared" si="957"/>
        <v>#DIV/0!</v>
      </c>
      <c r="Q376" s="6" t="e">
        <f t="shared" si="957"/>
        <v>#DIV/0!</v>
      </c>
      <c r="R376" s="69">
        <v>74</v>
      </c>
      <c r="S376" s="69">
        <v>0</v>
      </c>
      <c r="T376" s="6">
        <f t="shared" si="935"/>
        <v>0</v>
      </c>
      <c r="U376" s="35" t="e">
        <f t="shared" si="942"/>
        <v>#DIV/0!</v>
      </c>
      <c r="V376" s="6" t="e">
        <f t="shared" ref="V376:Z376" si="958">V364</f>
        <v>#DIV/0!</v>
      </c>
      <c r="W376" s="6" t="e">
        <f t="shared" si="958"/>
        <v>#DIV/0!</v>
      </c>
      <c r="X376" s="6" t="e">
        <f t="shared" si="958"/>
        <v>#DIV/0!</v>
      </c>
      <c r="Y376" s="6" t="e">
        <f t="shared" si="958"/>
        <v>#DIV/0!</v>
      </c>
      <c r="Z376" s="6" t="e">
        <f t="shared" si="958"/>
        <v>#DIV/0!</v>
      </c>
    </row>
    <row r="377" spans="1:26" x14ac:dyDescent="0.2">
      <c r="A377" s="7" t="s">
        <v>82</v>
      </c>
      <c r="B377" s="6">
        <f t="shared" si="937"/>
        <v>4</v>
      </c>
      <c r="C377" s="7" t="s">
        <v>154</v>
      </c>
      <c r="D377" s="68">
        <v>75</v>
      </c>
      <c r="E377" s="68">
        <v>57</v>
      </c>
      <c r="F377" s="65">
        <f t="shared" si="932"/>
        <v>0.76</v>
      </c>
      <c r="G377" s="60" t="e">
        <f t="shared" si="938"/>
        <v>#DIV/0!</v>
      </c>
      <c r="H377" s="65" t="e">
        <f t="shared" ref="H377:J377" si="959">H365</f>
        <v>#DIV/0!</v>
      </c>
      <c r="I377" s="65" t="e">
        <f t="shared" si="959"/>
        <v>#DIV/0!</v>
      </c>
      <c r="J377" s="65" t="e">
        <f t="shared" si="959"/>
        <v>#DIV/0!</v>
      </c>
      <c r="K377" s="69">
        <v>21000</v>
      </c>
      <c r="L377" s="69">
        <f>'Monitoramento Acumulado Geral'!Q377</f>
        <v>0</v>
      </c>
      <c r="M377" s="6">
        <f>(SUM(L374:L377))/K376</f>
        <v>8.5714285714285715E-2</v>
      </c>
      <c r="N377" s="35" t="e">
        <f t="shared" si="940"/>
        <v>#DIV/0!</v>
      </c>
      <c r="O377" s="6" t="e">
        <f t="shared" ref="O377:Q377" si="960">O365</f>
        <v>#DIV/0!</v>
      </c>
      <c r="P377" s="6" t="e">
        <f t="shared" si="960"/>
        <v>#DIV/0!</v>
      </c>
      <c r="Q377" s="6" t="e">
        <f t="shared" si="960"/>
        <v>#DIV/0!</v>
      </c>
      <c r="R377" s="69">
        <v>74</v>
      </c>
      <c r="S377" s="69">
        <v>0</v>
      </c>
      <c r="T377" s="6">
        <f t="shared" si="935"/>
        <v>0</v>
      </c>
      <c r="U377" s="35" t="e">
        <f t="shared" si="942"/>
        <v>#DIV/0!</v>
      </c>
      <c r="V377" s="6" t="e">
        <f t="shared" ref="V377:Z377" si="961">V365</f>
        <v>#DIV/0!</v>
      </c>
      <c r="W377" s="6" t="e">
        <f t="shared" si="961"/>
        <v>#DIV/0!</v>
      </c>
      <c r="X377" s="6" t="e">
        <f t="shared" si="961"/>
        <v>#DIV/0!</v>
      </c>
      <c r="Y377" s="6" t="e">
        <f t="shared" si="961"/>
        <v>#DIV/0!</v>
      </c>
      <c r="Z377" s="6" t="e">
        <f t="shared" si="961"/>
        <v>#DIV/0!</v>
      </c>
    </row>
    <row r="378" spans="1:26" x14ac:dyDescent="0.2">
      <c r="A378" s="7" t="s">
        <v>82</v>
      </c>
      <c r="B378" s="6">
        <f t="shared" si="937"/>
        <v>5</v>
      </c>
      <c r="C378" s="7" t="s">
        <v>155</v>
      </c>
      <c r="D378" s="68">
        <v>75</v>
      </c>
      <c r="E378" s="68">
        <v>57</v>
      </c>
      <c r="F378" s="65">
        <f t="shared" si="932"/>
        <v>0.76</v>
      </c>
      <c r="G378" s="60" t="e">
        <f t="shared" si="938"/>
        <v>#DIV/0!</v>
      </c>
      <c r="H378" s="65" t="e">
        <f t="shared" ref="H378:J378" si="962">H366</f>
        <v>#DIV/0!</v>
      </c>
      <c r="I378" s="65" t="e">
        <f t="shared" si="962"/>
        <v>#DIV/0!</v>
      </c>
      <c r="J378" s="65" t="e">
        <f t="shared" si="962"/>
        <v>#DIV/0!</v>
      </c>
      <c r="K378" s="69">
        <v>21000</v>
      </c>
      <c r="L378" s="69">
        <f>'Monitoramento Acumulado Geral'!Q378</f>
        <v>0</v>
      </c>
      <c r="M378" s="6">
        <f>(SUM(L374:L378))/K377</f>
        <v>8.5714285714285715E-2</v>
      </c>
      <c r="N378" s="35" t="e">
        <f t="shared" si="940"/>
        <v>#DIV/0!</v>
      </c>
      <c r="O378" s="6" t="e">
        <f t="shared" ref="O378:Q378" si="963">O366</f>
        <v>#DIV/0!</v>
      </c>
      <c r="P378" s="6" t="e">
        <f t="shared" si="963"/>
        <v>#DIV/0!</v>
      </c>
      <c r="Q378" s="6" t="e">
        <f t="shared" si="963"/>
        <v>#DIV/0!</v>
      </c>
      <c r="R378" s="69">
        <v>74</v>
      </c>
      <c r="S378" s="69">
        <v>0</v>
      </c>
      <c r="T378" s="6">
        <f t="shared" si="935"/>
        <v>0</v>
      </c>
      <c r="U378" s="35" t="e">
        <f t="shared" si="942"/>
        <v>#DIV/0!</v>
      </c>
      <c r="V378" s="6" t="e">
        <f t="shared" ref="V378:Z378" si="964">V366</f>
        <v>#DIV/0!</v>
      </c>
      <c r="W378" s="6" t="e">
        <f t="shared" si="964"/>
        <v>#DIV/0!</v>
      </c>
      <c r="X378" s="6" t="e">
        <f t="shared" si="964"/>
        <v>#DIV/0!</v>
      </c>
      <c r="Y378" s="6" t="e">
        <f t="shared" si="964"/>
        <v>#DIV/0!</v>
      </c>
      <c r="Z378" s="6" t="e">
        <f t="shared" si="964"/>
        <v>#DIV/0!</v>
      </c>
    </row>
    <row r="379" spans="1:26" x14ac:dyDescent="0.2">
      <c r="A379" s="7" t="s">
        <v>82</v>
      </c>
      <c r="B379" s="6">
        <f t="shared" si="937"/>
        <v>6</v>
      </c>
      <c r="C379" s="7" t="s">
        <v>156</v>
      </c>
      <c r="D379" s="68">
        <v>75</v>
      </c>
      <c r="E379" s="68">
        <v>75</v>
      </c>
      <c r="F379" s="65">
        <f t="shared" si="932"/>
        <v>1</v>
      </c>
      <c r="G379" s="60" t="e">
        <f t="shared" si="938"/>
        <v>#DIV/0!</v>
      </c>
      <c r="H379" s="65" t="e">
        <f t="shared" ref="H379:J379" si="965">H367</f>
        <v>#DIV/0!</v>
      </c>
      <c r="I379" s="65" t="e">
        <f t="shared" si="965"/>
        <v>#DIV/0!</v>
      </c>
      <c r="J379" s="65" t="e">
        <f t="shared" si="965"/>
        <v>#DIV/0!</v>
      </c>
      <c r="K379" s="69">
        <v>21000</v>
      </c>
      <c r="L379" s="69">
        <f>'Monitoramento Acumulado Geral'!Q379</f>
        <v>5320</v>
      </c>
      <c r="M379" s="6">
        <f>(SUM(L374:L379))/K378</f>
        <v>0.33904761904761904</v>
      </c>
      <c r="N379" s="35" t="e">
        <f t="shared" si="940"/>
        <v>#DIV/0!</v>
      </c>
      <c r="O379" s="6" t="e">
        <f t="shared" ref="O379:Q379" si="966">O367</f>
        <v>#DIV/0!</v>
      </c>
      <c r="P379" s="6" t="e">
        <f t="shared" si="966"/>
        <v>#DIV/0!</v>
      </c>
      <c r="Q379" s="6" t="e">
        <f t="shared" si="966"/>
        <v>#DIV/0!</v>
      </c>
      <c r="R379" s="69">
        <v>74</v>
      </c>
      <c r="S379" s="69">
        <v>0</v>
      </c>
      <c r="T379" s="6">
        <f t="shared" si="935"/>
        <v>0</v>
      </c>
      <c r="U379" s="35" t="e">
        <f t="shared" si="942"/>
        <v>#DIV/0!</v>
      </c>
      <c r="V379" s="6" t="e">
        <f t="shared" ref="V379:Z379" si="967">V367</f>
        <v>#DIV/0!</v>
      </c>
      <c r="W379" s="6" t="e">
        <f t="shared" si="967"/>
        <v>#DIV/0!</v>
      </c>
      <c r="X379" s="6" t="e">
        <f t="shared" si="967"/>
        <v>#DIV/0!</v>
      </c>
      <c r="Y379" s="6" t="e">
        <f t="shared" si="967"/>
        <v>#DIV/0!</v>
      </c>
      <c r="Z379" s="6" t="e">
        <f t="shared" si="967"/>
        <v>#DIV/0!</v>
      </c>
    </row>
    <row r="380" spans="1:26" x14ac:dyDescent="0.2">
      <c r="A380" s="7" t="s">
        <v>82</v>
      </c>
      <c r="B380" s="6">
        <f t="shared" si="937"/>
        <v>7</v>
      </c>
      <c r="C380" s="7" t="s">
        <v>157</v>
      </c>
      <c r="D380" s="68">
        <v>75</v>
      </c>
      <c r="E380" s="68">
        <v>92</v>
      </c>
      <c r="F380" s="65">
        <f t="shared" si="932"/>
        <v>1.2266666666666666</v>
      </c>
      <c r="G380" s="60" t="e">
        <f t="shared" si="938"/>
        <v>#DIV/0!</v>
      </c>
      <c r="H380" s="65" t="e">
        <f t="shared" ref="H380:J380" si="968">H368</f>
        <v>#DIV/0!</v>
      </c>
      <c r="I380" s="65" t="e">
        <f t="shared" si="968"/>
        <v>#DIV/0!</v>
      </c>
      <c r="J380" s="65" t="e">
        <f t="shared" si="968"/>
        <v>#DIV/0!</v>
      </c>
      <c r="K380" s="69">
        <v>21000</v>
      </c>
      <c r="L380" s="69">
        <f>'Monitoramento Acumulado Geral'!Q380</f>
        <v>34618.230000000003</v>
      </c>
      <c r="M380" s="6">
        <f>(SUM(L374:L380))/K379</f>
        <v>1.9875347619047621</v>
      </c>
      <c r="N380" s="35" t="e">
        <f t="shared" si="940"/>
        <v>#DIV/0!</v>
      </c>
      <c r="O380" s="6" t="e">
        <f t="shared" ref="O380:Q380" si="969">O368</f>
        <v>#DIV/0!</v>
      </c>
      <c r="P380" s="6" t="e">
        <f t="shared" si="969"/>
        <v>#DIV/0!</v>
      </c>
      <c r="Q380" s="6" t="e">
        <f t="shared" si="969"/>
        <v>#DIV/0!</v>
      </c>
      <c r="R380" s="69">
        <v>74</v>
      </c>
      <c r="S380" s="69">
        <v>0</v>
      </c>
      <c r="T380" s="6">
        <f t="shared" si="935"/>
        <v>0</v>
      </c>
      <c r="U380" s="35" t="e">
        <f t="shared" si="942"/>
        <v>#DIV/0!</v>
      </c>
      <c r="V380" s="6" t="e">
        <f t="shared" ref="V380:Z380" si="970">V368</f>
        <v>#DIV/0!</v>
      </c>
      <c r="W380" s="6" t="e">
        <f t="shared" si="970"/>
        <v>#DIV/0!</v>
      </c>
      <c r="X380" s="6" t="e">
        <f t="shared" si="970"/>
        <v>#DIV/0!</v>
      </c>
      <c r="Y380" s="6" t="e">
        <f t="shared" si="970"/>
        <v>#DIV/0!</v>
      </c>
      <c r="Z380" s="6" t="e">
        <f t="shared" si="970"/>
        <v>#DIV/0!</v>
      </c>
    </row>
    <row r="381" spans="1:26" x14ac:dyDescent="0.2">
      <c r="A381" s="7" t="s">
        <v>82</v>
      </c>
      <c r="B381" s="6">
        <f t="shared" si="937"/>
        <v>8</v>
      </c>
      <c r="C381" s="7" t="s">
        <v>158</v>
      </c>
      <c r="D381" s="68">
        <v>75</v>
      </c>
      <c r="E381" s="68">
        <v>92</v>
      </c>
      <c r="F381" s="65">
        <f t="shared" si="932"/>
        <v>1.2266666666666666</v>
      </c>
      <c r="G381" s="60" t="e">
        <f t="shared" si="938"/>
        <v>#DIV/0!</v>
      </c>
      <c r="H381" s="65" t="e">
        <f t="shared" ref="H381:J381" si="971">H369</f>
        <v>#DIV/0!</v>
      </c>
      <c r="I381" s="65" t="e">
        <f t="shared" si="971"/>
        <v>#DIV/0!</v>
      </c>
      <c r="J381" s="65" t="e">
        <f t="shared" si="971"/>
        <v>#DIV/0!</v>
      </c>
      <c r="K381" s="69">
        <v>21000</v>
      </c>
      <c r="L381" s="69">
        <f>'Monitoramento Acumulado Geral'!Q381</f>
        <v>0</v>
      </c>
      <c r="M381" s="6">
        <f>(SUM(L374:L381))/K380</f>
        <v>1.9875347619047621</v>
      </c>
      <c r="N381" s="35" t="e">
        <f t="shared" si="940"/>
        <v>#DIV/0!</v>
      </c>
      <c r="O381" s="6" t="e">
        <f t="shared" ref="O381:Q381" si="972">O369</f>
        <v>#DIV/0!</v>
      </c>
      <c r="P381" s="6" t="e">
        <f t="shared" si="972"/>
        <v>#DIV/0!</v>
      </c>
      <c r="Q381" s="6" t="e">
        <f t="shared" si="972"/>
        <v>#DIV/0!</v>
      </c>
      <c r="R381" s="69">
        <v>74</v>
      </c>
      <c r="S381" s="69">
        <v>0</v>
      </c>
      <c r="T381" s="6">
        <f t="shared" si="935"/>
        <v>0</v>
      </c>
      <c r="U381" s="35" t="e">
        <f t="shared" si="942"/>
        <v>#DIV/0!</v>
      </c>
      <c r="V381" s="6" t="e">
        <f t="shared" ref="V381:Z381" si="973">V369</f>
        <v>#DIV/0!</v>
      </c>
      <c r="W381" s="6" t="e">
        <f t="shared" si="973"/>
        <v>#DIV/0!</v>
      </c>
      <c r="X381" s="6" t="e">
        <f t="shared" si="973"/>
        <v>#DIV/0!</v>
      </c>
      <c r="Y381" s="6" t="e">
        <f t="shared" si="973"/>
        <v>#DIV/0!</v>
      </c>
      <c r="Z381" s="6" t="e">
        <f t="shared" si="973"/>
        <v>#DIV/0!</v>
      </c>
    </row>
    <row r="382" spans="1:26" x14ac:dyDescent="0.2">
      <c r="A382" s="7" t="s">
        <v>82</v>
      </c>
      <c r="B382" s="6">
        <f t="shared" si="937"/>
        <v>9</v>
      </c>
      <c r="C382" s="7" t="s">
        <v>159</v>
      </c>
      <c r="D382" s="68">
        <v>75</v>
      </c>
      <c r="E382" s="68">
        <v>92</v>
      </c>
      <c r="F382" s="65">
        <f t="shared" si="932"/>
        <v>1.2266666666666666</v>
      </c>
      <c r="G382" s="60" t="e">
        <f t="shared" si="938"/>
        <v>#DIV/0!</v>
      </c>
      <c r="H382" s="65" t="e">
        <f t="shared" ref="H382:J382" si="974">H370</f>
        <v>#DIV/0!</v>
      </c>
      <c r="I382" s="65" t="e">
        <f t="shared" si="974"/>
        <v>#DIV/0!</v>
      </c>
      <c r="J382" s="65" t="e">
        <f t="shared" si="974"/>
        <v>#DIV/0!</v>
      </c>
      <c r="K382" s="69">
        <v>21000</v>
      </c>
      <c r="L382" s="69">
        <f>'Monitoramento Acumulado Geral'!Q382</f>
        <v>0</v>
      </c>
      <c r="M382" s="6">
        <f>(SUM(L374:L382))/K381</f>
        <v>1.9875347619047621</v>
      </c>
      <c r="N382" s="35" t="e">
        <f t="shared" si="940"/>
        <v>#DIV/0!</v>
      </c>
      <c r="O382" s="6" t="e">
        <f t="shared" ref="O382:Q382" si="975">O370</f>
        <v>#DIV/0!</v>
      </c>
      <c r="P382" s="6" t="e">
        <f t="shared" si="975"/>
        <v>#DIV/0!</v>
      </c>
      <c r="Q382" s="6" t="e">
        <f t="shared" si="975"/>
        <v>#DIV/0!</v>
      </c>
      <c r="R382" s="69">
        <v>74</v>
      </c>
      <c r="S382" s="69">
        <v>0</v>
      </c>
      <c r="T382" s="6">
        <f t="shared" si="935"/>
        <v>0</v>
      </c>
      <c r="U382" s="35" t="e">
        <f t="shared" si="942"/>
        <v>#DIV/0!</v>
      </c>
      <c r="V382" s="6" t="e">
        <f t="shared" ref="V382:Z382" si="976">V370</f>
        <v>#DIV/0!</v>
      </c>
      <c r="W382" s="6" t="e">
        <f t="shared" si="976"/>
        <v>#DIV/0!</v>
      </c>
      <c r="X382" s="6" t="e">
        <f t="shared" si="976"/>
        <v>#DIV/0!</v>
      </c>
      <c r="Y382" s="6" t="e">
        <f t="shared" si="976"/>
        <v>#DIV/0!</v>
      </c>
      <c r="Z382" s="6" t="e">
        <f t="shared" si="976"/>
        <v>#DIV/0!</v>
      </c>
    </row>
    <row r="383" spans="1:26" x14ac:dyDescent="0.2">
      <c r="A383" s="7" t="s">
        <v>82</v>
      </c>
      <c r="B383" s="6">
        <f t="shared" si="937"/>
        <v>10</v>
      </c>
      <c r="C383" s="7" t="s">
        <v>160</v>
      </c>
      <c r="D383" s="68">
        <v>75</v>
      </c>
      <c r="E383" s="68">
        <v>92</v>
      </c>
      <c r="F383" s="65">
        <f t="shared" si="932"/>
        <v>1.2266666666666666</v>
      </c>
      <c r="G383" s="60" t="e">
        <f t="shared" si="938"/>
        <v>#DIV/0!</v>
      </c>
      <c r="H383" s="65" t="e">
        <f t="shared" ref="H383:J383" si="977">H371</f>
        <v>#DIV/0!</v>
      </c>
      <c r="I383" s="65" t="e">
        <f t="shared" si="977"/>
        <v>#DIV/0!</v>
      </c>
      <c r="J383" s="65" t="e">
        <f t="shared" si="977"/>
        <v>#DIV/0!</v>
      </c>
      <c r="K383" s="69">
        <v>21000</v>
      </c>
      <c r="L383" s="69">
        <f>'Monitoramento Acumulado Geral'!Q383</f>
        <v>0</v>
      </c>
      <c r="M383" s="6">
        <f>(SUM(L374:L383))/K382</f>
        <v>1.9875347619047621</v>
      </c>
      <c r="N383" s="35" t="e">
        <f t="shared" si="940"/>
        <v>#DIV/0!</v>
      </c>
      <c r="O383" s="6" t="e">
        <f t="shared" ref="O383:Q383" si="978">O371</f>
        <v>#DIV/0!</v>
      </c>
      <c r="P383" s="6" t="e">
        <f t="shared" si="978"/>
        <v>#DIV/0!</v>
      </c>
      <c r="Q383" s="6" t="e">
        <f t="shared" si="978"/>
        <v>#DIV/0!</v>
      </c>
      <c r="R383" s="69">
        <v>74</v>
      </c>
      <c r="S383" s="69">
        <v>0</v>
      </c>
      <c r="T383" s="6">
        <f t="shared" si="935"/>
        <v>0</v>
      </c>
      <c r="U383" s="35" t="e">
        <f t="shared" si="942"/>
        <v>#DIV/0!</v>
      </c>
      <c r="V383" s="6" t="e">
        <f t="shared" ref="V383:Z383" si="979">V371</f>
        <v>#DIV/0!</v>
      </c>
      <c r="W383" s="6" t="e">
        <f t="shared" si="979"/>
        <v>#DIV/0!</v>
      </c>
      <c r="X383" s="6" t="e">
        <f t="shared" si="979"/>
        <v>#DIV/0!</v>
      </c>
      <c r="Y383" s="6" t="e">
        <f t="shared" si="979"/>
        <v>#DIV/0!</v>
      </c>
      <c r="Z383" s="6" t="e">
        <f t="shared" si="979"/>
        <v>#DIV/0!</v>
      </c>
    </row>
    <row r="384" spans="1:26" x14ac:dyDescent="0.2">
      <c r="A384" s="7" t="s">
        <v>82</v>
      </c>
      <c r="B384" s="6">
        <f t="shared" si="937"/>
        <v>11</v>
      </c>
      <c r="C384" s="7" t="s">
        <v>161</v>
      </c>
      <c r="D384" s="68">
        <v>75</v>
      </c>
      <c r="E384" s="68">
        <v>0</v>
      </c>
      <c r="F384" s="65">
        <f t="shared" si="932"/>
        <v>0</v>
      </c>
      <c r="G384" s="60" t="e">
        <f t="shared" si="938"/>
        <v>#DIV/0!</v>
      </c>
      <c r="H384" s="65" t="e">
        <f t="shared" ref="H384:J384" si="980">H372</f>
        <v>#DIV/0!</v>
      </c>
      <c r="I384" s="65" t="e">
        <f t="shared" si="980"/>
        <v>#DIV/0!</v>
      </c>
      <c r="J384" s="65" t="e">
        <f t="shared" si="980"/>
        <v>#DIV/0!</v>
      </c>
      <c r="K384" s="69">
        <v>21000</v>
      </c>
      <c r="L384" s="69">
        <f>'Monitoramento Acumulado Geral'!Q384</f>
        <v>0</v>
      </c>
      <c r="M384" s="6">
        <f>(SUM(L374:L384))/K383</f>
        <v>1.9875347619047621</v>
      </c>
      <c r="N384" s="35" t="e">
        <f t="shared" si="940"/>
        <v>#DIV/0!</v>
      </c>
      <c r="O384" s="6" t="e">
        <f t="shared" ref="O384:Q384" si="981">O372</f>
        <v>#DIV/0!</v>
      </c>
      <c r="P384" s="6" t="e">
        <f t="shared" si="981"/>
        <v>#DIV/0!</v>
      </c>
      <c r="Q384" s="6" t="e">
        <f t="shared" si="981"/>
        <v>#DIV/0!</v>
      </c>
      <c r="R384" s="69">
        <v>74</v>
      </c>
      <c r="S384" s="69">
        <v>0</v>
      </c>
      <c r="T384" s="6">
        <f t="shared" si="935"/>
        <v>0</v>
      </c>
      <c r="U384" s="35" t="e">
        <f t="shared" si="942"/>
        <v>#DIV/0!</v>
      </c>
      <c r="V384" s="6" t="e">
        <f t="shared" ref="V384:Z384" si="982">V372</f>
        <v>#DIV/0!</v>
      </c>
      <c r="W384" s="6" t="e">
        <f t="shared" si="982"/>
        <v>#DIV/0!</v>
      </c>
      <c r="X384" s="6" t="e">
        <f t="shared" si="982"/>
        <v>#DIV/0!</v>
      </c>
      <c r="Y384" s="6" t="e">
        <f t="shared" si="982"/>
        <v>#DIV/0!</v>
      </c>
      <c r="Z384" s="6" t="e">
        <f t="shared" si="982"/>
        <v>#DIV/0!</v>
      </c>
    </row>
    <row r="385" spans="1:26" x14ac:dyDescent="0.2">
      <c r="A385" s="7" t="s">
        <v>82</v>
      </c>
      <c r="B385" s="6">
        <f t="shared" si="937"/>
        <v>12</v>
      </c>
      <c r="C385" s="7" t="s">
        <v>162</v>
      </c>
      <c r="D385" s="68">
        <v>75</v>
      </c>
      <c r="E385" s="68">
        <v>0</v>
      </c>
      <c r="F385" s="65">
        <f t="shared" si="932"/>
        <v>0</v>
      </c>
      <c r="G385" s="60" t="e">
        <f t="shared" si="938"/>
        <v>#DIV/0!</v>
      </c>
      <c r="H385" s="65" t="e">
        <f t="shared" ref="H385:J385" si="983">H373</f>
        <v>#DIV/0!</v>
      </c>
      <c r="I385" s="65" t="e">
        <f t="shared" si="983"/>
        <v>#DIV/0!</v>
      </c>
      <c r="J385" s="65" t="e">
        <f t="shared" si="983"/>
        <v>#DIV/0!</v>
      </c>
      <c r="K385" s="69">
        <v>21000</v>
      </c>
      <c r="L385" s="69">
        <f>'Monitoramento Acumulado Geral'!Q385</f>
        <v>0</v>
      </c>
      <c r="M385" s="6">
        <f>(SUM(L374:L385))/K384</f>
        <v>1.9875347619047621</v>
      </c>
      <c r="N385" s="35" t="e">
        <f t="shared" si="940"/>
        <v>#DIV/0!</v>
      </c>
      <c r="O385" s="6" t="e">
        <f t="shared" ref="O385:Q385" si="984">O373</f>
        <v>#DIV/0!</v>
      </c>
      <c r="P385" s="6" t="e">
        <f t="shared" si="984"/>
        <v>#DIV/0!</v>
      </c>
      <c r="Q385" s="6" t="e">
        <f t="shared" si="984"/>
        <v>#DIV/0!</v>
      </c>
      <c r="R385" s="69">
        <v>74</v>
      </c>
      <c r="S385" s="69">
        <v>0</v>
      </c>
      <c r="T385" s="6">
        <f t="shared" si="935"/>
        <v>0</v>
      </c>
      <c r="U385" s="35" t="e">
        <f t="shared" si="942"/>
        <v>#DIV/0!</v>
      </c>
      <c r="V385" s="6" t="e">
        <f t="shared" ref="V385:Z385" si="985">V373</f>
        <v>#DIV/0!</v>
      </c>
      <c r="W385" s="6" t="e">
        <f t="shared" si="985"/>
        <v>#DIV/0!</v>
      </c>
      <c r="X385" s="6" t="e">
        <f t="shared" si="985"/>
        <v>#DIV/0!</v>
      </c>
      <c r="Y385" s="6" t="e">
        <f t="shared" si="985"/>
        <v>#DIV/0!</v>
      </c>
      <c r="Z385" s="6" t="e">
        <f t="shared" si="985"/>
        <v>#DIV/0!</v>
      </c>
    </row>
    <row r="386" spans="1:26" x14ac:dyDescent="0.2">
      <c r="A386" s="7" t="s">
        <v>64</v>
      </c>
      <c r="B386" s="6">
        <f t="shared" si="937"/>
        <v>1</v>
      </c>
      <c r="C386" s="7" t="s">
        <v>151</v>
      </c>
      <c r="D386" s="68">
        <v>75</v>
      </c>
      <c r="E386" s="68">
        <v>0</v>
      </c>
      <c r="F386" s="65">
        <f t="shared" si="932"/>
        <v>0</v>
      </c>
      <c r="G386" s="60" t="e">
        <f t="shared" si="938"/>
        <v>#DIV/0!</v>
      </c>
      <c r="H386" s="65" t="e">
        <f t="shared" ref="H386:J386" si="986">H374</f>
        <v>#DIV/0!</v>
      </c>
      <c r="I386" s="65" t="e">
        <f t="shared" si="986"/>
        <v>#DIV/0!</v>
      </c>
      <c r="J386" s="65" t="e">
        <f t="shared" si="986"/>
        <v>#DIV/0!</v>
      </c>
      <c r="K386" s="69">
        <v>34000</v>
      </c>
      <c r="L386" s="69">
        <f>'Monitoramento Acumulado Geral'!Q386</f>
        <v>0</v>
      </c>
      <c r="M386" s="6">
        <f>L386/K386</f>
        <v>0</v>
      </c>
      <c r="N386" s="35" t="e">
        <f t="shared" si="940"/>
        <v>#DIV/0!</v>
      </c>
      <c r="O386" s="6" t="e">
        <f t="shared" ref="O386:Q386" si="987">O374</f>
        <v>#DIV/0!</v>
      </c>
      <c r="P386" s="6" t="e">
        <f t="shared" si="987"/>
        <v>#DIV/0!</v>
      </c>
      <c r="Q386" s="6" t="e">
        <f t="shared" si="987"/>
        <v>#DIV/0!</v>
      </c>
      <c r="R386" s="69">
        <v>43</v>
      </c>
      <c r="S386" s="69">
        <v>11</v>
      </c>
      <c r="T386" s="6">
        <f t="shared" si="935"/>
        <v>0.2558139534883721</v>
      </c>
      <c r="U386" s="35" t="e">
        <f t="shared" si="942"/>
        <v>#DIV/0!</v>
      </c>
      <c r="V386" s="6" t="e">
        <f t="shared" ref="V386:Z386" si="988">V374</f>
        <v>#DIV/0!</v>
      </c>
      <c r="W386" s="6" t="e">
        <f t="shared" si="988"/>
        <v>#DIV/0!</v>
      </c>
      <c r="X386" s="6" t="e">
        <f t="shared" si="988"/>
        <v>#DIV/0!</v>
      </c>
      <c r="Y386" s="6" t="e">
        <f t="shared" si="988"/>
        <v>#DIV/0!</v>
      </c>
      <c r="Z386" s="6" t="e">
        <f t="shared" si="988"/>
        <v>#DIV/0!</v>
      </c>
    </row>
    <row r="387" spans="1:26" x14ac:dyDescent="0.2">
      <c r="A387" s="7" t="s">
        <v>64</v>
      </c>
      <c r="B387" s="6">
        <f t="shared" si="937"/>
        <v>2</v>
      </c>
      <c r="C387" s="7" t="s">
        <v>152</v>
      </c>
      <c r="D387" s="68">
        <v>75</v>
      </c>
      <c r="E387" s="68">
        <v>0</v>
      </c>
      <c r="F387" s="65">
        <f t="shared" si="932"/>
        <v>0</v>
      </c>
      <c r="G387" s="60" t="e">
        <f t="shared" si="938"/>
        <v>#DIV/0!</v>
      </c>
      <c r="H387" s="65" t="e">
        <f t="shared" ref="H387:J387" si="989">H375</f>
        <v>#DIV/0!</v>
      </c>
      <c r="I387" s="65" t="e">
        <f t="shared" si="989"/>
        <v>#DIV/0!</v>
      </c>
      <c r="J387" s="65" t="e">
        <f t="shared" si="989"/>
        <v>#DIV/0!</v>
      </c>
      <c r="K387" s="69">
        <v>34000</v>
      </c>
      <c r="L387" s="69">
        <f>'Monitoramento Acumulado Geral'!Q387</f>
        <v>0</v>
      </c>
      <c r="M387" s="6">
        <f>(SUM(L386:L387))/K386</f>
        <v>0</v>
      </c>
      <c r="N387" s="35" t="e">
        <f t="shared" si="940"/>
        <v>#DIV/0!</v>
      </c>
      <c r="O387" s="6" t="e">
        <f t="shared" ref="O387:Q387" si="990">O375</f>
        <v>#DIV/0!</v>
      </c>
      <c r="P387" s="6" t="e">
        <f t="shared" si="990"/>
        <v>#DIV/0!</v>
      </c>
      <c r="Q387" s="6" t="e">
        <f t="shared" si="990"/>
        <v>#DIV/0!</v>
      </c>
      <c r="R387" s="69">
        <v>43</v>
      </c>
      <c r="S387" s="69">
        <v>11</v>
      </c>
      <c r="T387" s="6">
        <f t="shared" si="935"/>
        <v>0.2558139534883721</v>
      </c>
      <c r="U387" s="35" t="e">
        <f t="shared" si="942"/>
        <v>#DIV/0!</v>
      </c>
      <c r="V387" s="6" t="e">
        <f t="shared" ref="V387:Z387" si="991">V375</f>
        <v>#DIV/0!</v>
      </c>
      <c r="W387" s="6" t="e">
        <f t="shared" si="991"/>
        <v>#DIV/0!</v>
      </c>
      <c r="X387" s="6" t="e">
        <f t="shared" si="991"/>
        <v>#DIV/0!</v>
      </c>
      <c r="Y387" s="6" t="e">
        <f t="shared" si="991"/>
        <v>#DIV/0!</v>
      </c>
      <c r="Z387" s="6" t="e">
        <f t="shared" si="991"/>
        <v>#DIV/0!</v>
      </c>
    </row>
    <row r="388" spans="1:26" x14ac:dyDescent="0.2">
      <c r="A388" s="7" t="s">
        <v>64</v>
      </c>
      <c r="B388" s="6">
        <f t="shared" si="937"/>
        <v>3</v>
      </c>
      <c r="C388" s="7" t="s">
        <v>153</v>
      </c>
      <c r="D388" s="68">
        <v>75</v>
      </c>
      <c r="E388" s="68">
        <v>0</v>
      </c>
      <c r="F388" s="65">
        <f t="shared" si="932"/>
        <v>0</v>
      </c>
      <c r="G388" s="60" t="e">
        <f t="shared" si="938"/>
        <v>#DIV/0!</v>
      </c>
      <c r="H388" s="65" t="e">
        <f t="shared" ref="H388:J388" si="992">H376</f>
        <v>#DIV/0!</v>
      </c>
      <c r="I388" s="65" t="e">
        <f t="shared" si="992"/>
        <v>#DIV/0!</v>
      </c>
      <c r="J388" s="65" t="e">
        <f t="shared" si="992"/>
        <v>#DIV/0!</v>
      </c>
      <c r="K388" s="69">
        <v>34000</v>
      </c>
      <c r="L388" s="69">
        <f>'Monitoramento Acumulado Geral'!Q388</f>
        <v>0</v>
      </c>
      <c r="M388" s="6">
        <f>(SUM(L386:L388))/K387</f>
        <v>0</v>
      </c>
      <c r="N388" s="35" t="e">
        <f t="shared" si="940"/>
        <v>#DIV/0!</v>
      </c>
      <c r="O388" s="6" t="e">
        <f t="shared" ref="O388:Q388" si="993">O376</f>
        <v>#DIV/0!</v>
      </c>
      <c r="P388" s="6" t="e">
        <f t="shared" si="993"/>
        <v>#DIV/0!</v>
      </c>
      <c r="Q388" s="6" t="e">
        <f t="shared" si="993"/>
        <v>#DIV/0!</v>
      </c>
      <c r="R388" s="69">
        <v>43</v>
      </c>
      <c r="S388" s="69">
        <v>11</v>
      </c>
      <c r="T388" s="6">
        <f t="shared" si="935"/>
        <v>0.2558139534883721</v>
      </c>
      <c r="U388" s="35" t="e">
        <f t="shared" si="942"/>
        <v>#DIV/0!</v>
      </c>
      <c r="V388" s="6" t="e">
        <f t="shared" ref="V388:Z388" si="994">V376</f>
        <v>#DIV/0!</v>
      </c>
      <c r="W388" s="6" t="e">
        <f t="shared" si="994"/>
        <v>#DIV/0!</v>
      </c>
      <c r="X388" s="6" t="e">
        <f t="shared" si="994"/>
        <v>#DIV/0!</v>
      </c>
      <c r="Y388" s="6" t="e">
        <f t="shared" si="994"/>
        <v>#DIV/0!</v>
      </c>
      <c r="Z388" s="6" t="e">
        <f t="shared" si="994"/>
        <v>#DIV/0!</v>
      </c>
    </row>
    <row r="389" spans="1:26" x14ac:dyDescent="0.2">
      <c r="A389" s="7" t="s">
        <v>64</v>
      </c>
      <c r="B389" s="6">
        <f t="shared" si="937"/>
        <v>4</v>
      </c>
      <c r="C389" s="7" t="s">
        <v>154</v>
      </c>
      <c r="D389" s="68">
        <v>75</v>
      </c>
      <c r="E389" s="68">
        <v>0</v>
      </c>
      <c r="F389" s="65">
        <f t="shared" si="932"/>
        <v>0</v>
      </c>
      <c r="G389" s="60" t="e">
        <f t="shared" si="938"/>
        <v>#DIV/0!</v>
      </c>
      <c r="H389" s="65" t="e">
        <f t="shared" ref="H389:J389" si="995">H377</f>
        <v>#DIV/0!</v>
      </c>
      <c r="I389" s="65" t="e">
        <f t="shared" si="995"/>
        <v>#DIV/0!</v>
      </c>
      <c r="J389" s="65" t="e">
        <f t="shared" si="995"/>
        <v>#DIV/0!</v>
      </c>
      <c r="K389" s="69">
        <v>34000</v>
      </c>
      <c r="L389" s="69">
        <f>'Monitoramento Acumulado Geral'!Q389</f>
        <v>0</v>
      </c>
      <c r="M389" s="6">
        <f>(SUM(L386:L389))/K388</f>
        <v>0</v>
      </c>
      <c r="N389" s="35" t="e">
        <f t="shared" si="940"/>
        <v>#DIV/0!</v>
      </c>
      <c r="O389" s="6" t="e">
        <f t="shared" ref="O389:Q389" si="996">O377</f>
        <v>#DIV/0!</v>
      </c>
      <c r="P389" s="6" t="e">
        <f t="shared" si="996"/>
        <v>#DIV/0!</v>
      </c>
      <c r="Q389" s="6" t="e">
        <f t="shared" si="996"/>
        <v>#DIV/0!</v>
      </c>
      <c r="R389" s="69">
        <v>43</v>
      </c>
      <c r="S389" s="69">
        <v>11</v>
      </c>
      <c r="T389" s="6">
        <f t="shared" si="935"/>
        <v>0.2558139534883721</v>
      </c>
      <c r="U389" s="35" t="e">
        <f t="shared" si="942"/>
        <v>#DIV/0!</v>
      </c>
      <c r="V389" s="6" t="e">
        <f t="shared" ref="V389:Z389" si="997">V377</f>
        <v>#DIV/0!</v>
      </c>
      <c r="W389" s="6" t="e">
        <f t="shared" si="997"/>
        <v>#DIV/0!</v>
      </c>
      <c r="X389" s="6" t="e">
        <f t="shared" si="997"/>
        <v>#DIV/0!</v>
      </c>
      <c r="Y389" s="6" t="e">
        <f t="shared" si="997"/>
        <v>#DIV/0!</v>
      </c>
      <c r="Z389" s="6" t="e">
        <f t="shared" si="997"/>
        <v>#DIV/0!</v>
      </c>
    </row>
    <row r="390" spans="1:26" x14ac:dyDescent="0.2">
      <c r="A390" s="7" t="s">
        <v>64</v>
      </c>
      <c r="B390" s="6">
        <f t="shared" si="937"/>
        <v>5</v>
      </c>
      <c r="C390" s="7" t="s">
        <v>155</v>
      </c>
      <c r="D390" s="68">
        <v>75</v>
      </c>
      <c r="E390" s="68">
        <v>0</v>
      </c>
      <c r="F390" s="65">
        <f t="shared" si="932"/>
        <v>0</v>
      </c>
      <c r="G390" s="60" t="e">
        <f t="shared" si="938"/>
        <v>#DIV/0!</v>
      </c>
      <c r="H390" s="65" t="e">
        <f t="shared" ref="H390:J390" si="998">H378</f>
        <v>#DIV/0!</v>
      </c>
      <c r="I390" s="65" t="e">
        <f t="shared" si="998"/>
        <v>#DIV/0!</v>
      </c>
      <c r="J390" s="65" t="e">
        <f t="shared" si="998"/>
        <v>#DIV/0!</v>
      </c>
      <c r="K390" s="69">
        <v>34000</v>
      </c>
      <c r="L390" s="69">
        <f>'Monitoramento Acumulado Geral'!Q390</f>
        <v>0</v>
      </c>
      <c r="M390" s="6">
        <f>(SUM(L386:L390))/K389</f>
        <v>0</v>
      </c>
      <c r="N390" s="35" t="e">
        <f t="shared" si="940"/>
        <v>#DIV/0!</v>
      </c>
      <c r="O390" s="6" t="e">
        <f t="shared" ref="O390:Q390" si="999">O378</f>
        <v>#DIV/0!</v>
      </c>
      <c r="P390" s="6" t="e">
        <f t="shared" si="999"/>
        <v>#DIV/0!</v>
      </c>
      <c r="Q390" s="6" t="e">
        <f t="shared" si="999"/>
        <v>#DIV/0!</v>
      </c>
      <c r="R390" s="69">
        <v>43</v>
      </c>
      <c r="S390" s="69">
        <v>33</v>
      </c>
      <c r="T390" s="6">
        <f t="shared" si="935"/>
        <v>0.76744186046511631</v>
      </c>
      <c r="U390" s="35" t="e">
        <f t="shared" si="942"/>
        <v>#DIV/0!</v>
      </c>
      <c r="V390" s="6" t="e">
        <f t="shared" ref="V390:Z390" si="1000">V378</f>
        <v>#DIV/0!</v>
      </c>
      <c r="W390" s="6" t="e">
        <f t="shared" si="1000"/>
        <v>#DIV/0!</v>
      </c>
      <c r="X390" s="6" t="e">
        <f t="shared" si="1000"/>
        <v>#DIV/0!</v>
      </c>
      <c r="Y390" s="6" t="e">
        <f t="shared" si="1000"/>
        <v>#DIV/0!</v>
      </c>
      <c r="Z390" s="6" t="e">
        <f t="shared" si="1000"/>
        <v>#DIV/0!</v>
      </c>
    </row>
    <row r="391" spans="1:26" x14ac:dyDescent="0.2">
      <c r="A391" s="7" t="s">
        <v>64</v>
      </c>
      <c r="B391" s="6">
        <f t="shared" si="937"/>
        <v>6</v>
      </c>
      <c r="C391" s="7" t="s">
        <v>156</v>
      </c>
      <c r="D391" s="68">
        <v>75</v>
      </c>
      <c r="E391" s="68">
        <v>0</v>
      </c>
      <c r="F391" s="65">
        <f t="shared" si="932"/>
        <v>0</v>
      </c>
      <c r="G391" s="60" t="e">
        <f t="shared" si="938"/>
        <v>#DIV/0!</v>
      </c>
      <c r="H391" s="65" t="e">
        <f t="shared" ref="H391:J391" si="1001">H379</f>
        <v>#DIV/0!</v>
      </c>
      <c r="I391" s="65" t="e">
        <f t="shared" si="1001"/>
        <v>#DIV/0!</v>
      </c>
      <c r="J391" s="65" t="e">
        <f t="shared" si="1001"/>
        <v>#DIV/0!</v>
      </c>
      <c r="K391" s="69">
        <v>34000</v>
      </c>
      <c r="L391" s="69">
        <f>'Monitoramento Acumulado Geral'!Q391</f>
        <v>0</v>
      </c>
      <c r="M391" s="6">
        <f>(SUM(L386:L391))/K390</f>
        <v>0</v>
      </c>
      <c r="N391" s="35" t="e">
        <f t="shared" si="940"/>
        <v>#DIV/0!</v>
      </c>
      <c r="O391" s="6" t="e">
        <f t="shared" ref="O391:Q391" si="1002">O379</f>
        <v>#DIV/0!</v>
      </c>
      <c r="P391" s="6" t="e">
        <f t="shared" si="1002"/>
        <v>#DIV/0!</v>
      </c>
      <c r="Q391" s="6" t="e">
        <f t="shared" si="1002"/>
        <v>#DIV/0!</v>
      </c>
      <c r="R391" s="69">
        <v>43</v>
      </c>
      <c r="S391" s="69">
        <v>33</v>
      </c>
      <c r="T391" s="6">
        <f t="shared" si="935"/>
        <v>0.76744186046511631</v>
      </c>
      <c r="U391" s="35" t="e">
        <f t="shared" si="942"/>
        <v>#DIV/0!</v>
      </c>
      <c r="V391" s="6" t="e">
        <f t="shared" ref="V391:Z391" si="1003">V379</f>
        <v>#DIV/0!</v>
      </c>
      <c r="W391" s="6" t="e">
        <f t="shared" si="1003"/>
        <v>#DIV/0!</v>
      </c>
      <c r="X391" s="6" t="e">
        <f t="shared" si="1003"/>
        <v>#DIV/0!</v>
      </c>
      <c r="Y391" s="6" t="e">
        <f t="shared" si="1003"/>
        <v>#DIV/0!</v>
      </c>
      <c r="Z391" s="6" t="e">
        <f t="shared" si="1003"/>
        <v>#DIV/0!</v>
      </c>
    </row>
    <row r="392" spans="1:26" x14ac:dyDescent="0.2">
      <c r="A392" s="7" t="s">
        <v>64</v>
      </c>
      <c r="B392" s="6">
        <f t="shared" si="937"/>
        <v>7</v>
      </c>
      <c r="C392" s="7" t="s">
        <v>157</v>
      </c>
      <c r="D392" s="68">
        <v>75</v>
      </c>
      <c r="E392" s="68">
        <v>0</v>
      </c>
      <c r="F392" s="65">
        <f t="shared" si="932"/>
        <v>0</v>
      </c>
      <c r="G392" s="60" t="e">
        <f t="shared" si="938"/>
        <v>#DIV/0!</v>
      </c>
      <c r="H392" s="65" t="e">
        <f t="shared" ref="H392:J392" si="1004">H380</f>
        <v>#DIV/0!</v>
      </c>
      <c r="I392" s="65" t="e">
        <f t="shared" si="1004"/>
        <v>#DIV/0!</v>
      </c>
      <c r="J392" s="65" t="e">
        <f t="shared" si="1004"/>
        <v>#DIV/0!</v>
      </c>
      <c r="K392" s="69">
        <v>34000</v>
      </c>
      <c r="L392" s="69">
        <f>'Monitoramento Acumulado Geral'!Q392</f>
        <v>0</v>
      </c>
      <c r="M392" s="6">
        <f>(SUM(L386:L392))/K391</f>
        <v>0</v>
      </c>
      <c r="N392" s="35" t="e">
        <f t="shared" si="940"/>
        <v>#DIV/0!</v>
      </c>
      <c r="O392" s="6" t="e">
        <f t="shared" ref="O392:Q392" si="1005">O380</f>
        <v>#DIV/0!</v>
      </c>
      <c r="P392" s="6" t="e">
        <f t="shared" si="1005"/>
        <v>#DIV/0!</v>
      </c>
      <c r="Q392" s="6" t="e">
        <f t="shared" si="1005"/>
        <v>#DIV/0!</v>
      </c>
      <c r="R392" s="69">
        <v>43</v>
      </c>
      <c r="S392" s="69">
        <v>33</v>
      </c>
      <c r="T392" s="6">
        <f t="shared" si="935"/>
        <v>0.76744186046511631</v>
      </c>
      <c r="U392" s="35" t="e">
        <f t="shared" si="942"/>
        <v>#DIV/0!</v>
      </c>
      <c r="V392" s="6" t="e">
        <f t="shared" ref="V392:Z392" si="1006">V380</f>
        <v>#DIV/0!</v>
      </c>
      <c r="W392" s="6" t="e">
        <f t="shared" si="1006"/>
        <v>#DIV/0!</v>
      </c>
      <c r="X392" s="6" t="e">
        <f t="shared" si="1006"/>
        <v>#DIV/0!</v>
      </c>
      <c r="Y392" s="6" t="e">
        <f t="shared" si="1006"/>
        <v>#DIV/0!</v>
      </c>
      <c r="Z392" s="6" t="e">
        <f t="shared" si="1006"/>
        <v>#DIV/0!</v>
      </c>
    </row>
    <row r="393" spans="1:26" x14ac:dyDescent="0.2">
      <c r="A393" s="7" t="s">
        <v>64</v>
      </c>
      <c r="B393" s="6">
        <f t="shared" si="937"/>
        <v>8</v>
      </c>
      <c r="C393" s="7" t="s">
        <v>158</v>
      </c>
      <c r="D393" s="68">
        <v>75</v>
      </c>
      <c r="E393" s="68">
        <v>0</v>
      </c>
      <c r="F393" s="65">
        <f t="shared" si="932"/>
        <v>0</v>
      </c>
      <c r="G393" s="60" t="e">
        <f t="shared" si="938"/>
        <v>#DIV/0!</v>
      </c>
      <c r="H393" s="65" t="e">
        <f t="shared" ref="H393:J393" si="1007">H381</f>
        <v>#DIV/0!</v>
      </c>
      <c r="I393" s="65" t="e">
        <f t="shared" si="1007"/>
        <v>#DIV/0!</v>
      </c>
      <c r="J393" s="65" t="e">
        <f t="shared" si="1007"/>
        <v>#DIV/0!</v>
      </c>
      <c r="K393" s="69">
        <v>34000</v>
      </c>
      <c r="L393" s="69">
        <f>'Monitoramento Acumulado Geral'!Q393</f>
        <v>0</v>
      </c>
      <c r="M393" s="6">
        <f>(SUM(L386:L393))/K392</f>
        <v>0</v>
      </c>
      <c r="N393" s="35" t="e">
        <f t="shared" si="940"/>
        <v>#DIV/0!</v>
      </c>
      <c r="O393" s="6" t="e">
        <f t="shared" ref="O393:Q393" si="1008">O381</f>
        <v>#DIV/0!</v>
      </c>
      <c r="P393" s="6" t="e">
        <f t="shared" si="1008"/>
        <v>#DIV/0!</v>
      </c>
      <c r="Q393" s="6" t="e">
        <f t="shared" si="1008"/>
        <v>#DIV/0!</v>
      </c>
      <c r="R393" s="69">
        <v>43</v>
      </c>
      <c r="S393" s="69">
        <v>33</v>
      </c>
      <c r="T393" s="6">
        <f t="shared" si="935"/>
        <v>0.76744186046511631</v>
      </c>
      <c r="U393" s="35" t="e">
        <f t="shared" si="942"/>
        <v>#DIV/0!</v>
      </c>
      <c r="V393" s="6" t="e">
        <f t="shared" ref="V393:Z393" si="1009">V381</f>
        <v>#DIV/0!</v>
      </c>
      <c r="W393" s="6" t="e">
        <f t="shared" si="1009"/>
        <v>#DIV/0!</v>
      </c>
      <c r="X393" s="6" t="e">
        <f t="shared" si="1009"/>
        <v>#DIV/0!</v>
      </c>
      <c r="Y393" s="6" t="e">
        <f t="shared" si="1009"/>
        <v>#DIV/0!</v>
      </c>
      <c r="Z393" s="6" t="e">
        <f t="shared" si="1009"/>
        <v>#DIV/0!</v>
      </c>
    </row>
    <row r="394" spans="1:26" x14ac:dyDescent="0.2">
      <c r="A394" s="7" t="s">
        <v>64</v>
      </c>
      <c r="B394" s="6">
        <f t="shared" si="937"/>
        <v>9</v>
      </c>
      <c r="C394" s="7" t="s">
        <v>159</v>
      </c>
      <c r="D394" s="68">
        <v>75</v>
      </c>
      <c r="E394" s="68">
        <v>0</v>
      </c>
      <c r="F394" s="65">
        <f t="shared" si="932"/>
        <v>0</v>
      </c>
      <c r="G394" s="60" t="e">
        <f t="shared" si="938"/>
        <v>#DIV/0!</v>
      </c>
      <c r="H394" s="65" t="e">
        <f t="shared" ref="H394:J394" si="1010">H382</f>
        <v>#DIV/0!</v>
      </c>
      <c r="I394" s="65" t="e">
        <f t="shared" si="1010"/>
        <v>#DIV/0!</v>
      </c>
      <c r="J394" s="65" t="e">
        <f t="shared" si="1010"/>
        <v>#DIV/0!</v>
      </c>
      <c r="K394" s="69">
        <v>34000</v>
      </c>
      <c r="L394" s="69">
        <f>'Monitoramento Acumulado Geral'!Q394</f>
        <v>0</v>
      </c>
      <c r="M394" s="6">
        <f>(SUM(L386:L394))/K393</f>
        <v>0</v>
      </c>
      <c r="N394" s="35" t="e">
        <f t="shared" si="940"/>
        <v>#DIV/0!</v>
      </c>
      <c r="O394" s="6" t="e">
        <f t="shared" ref="O394:Q394" si="1011">O382</f>
        <v>#DIV/0!</v>
      </c>
      <c r="P394" s="6" t="e">
        <f t="shared" si="1011"/>
        <v>#DIV/0!</v>
      </c>
      <c r="Q394" s="6" t="e">
        <f t="shared" si="1011"/>
        <v>#DIV/0!</v>
      </c>
      <c r="R394" s="69">
        <v>43</v>
      </c>
      <c r="S394" s="69">
        <v>33</v>
      </c>
      <c r="T394" s="6">
        <f t="shared" si="935"/>
        <v>0.76744186046511631</v>
      </c>
      <c r="U394" s="35" t="e">
        <f t="shared" si="942"/>
        <v>#DIV/0!</v>
      </c>
      <c r="V394" s="6" t="e">
        <f t="shared" ref="V394:Z394" si="1012">V382</f>
        <v>#DIV/0!</v>
      </c>
      <c r="W394" s="6" t="e">
        <f t="shared" si="1012"/>
        <v>#DIV/0!</v>
      </c>
      <c r="X394" s="6" t="e">
        <f t="shared" si="1012"/>
        <v>#DIV/0!</v>
      </c>
      <c r="Y394" s="6" t="e">
        <f t="shared" si="1012"/>
        <v>#DIV/0!</v>
      </c>
      <c r="Z394" s="6" t="e">
        <f t="shared" si="1012"/>
        <v>#DIV/0!</v>
      </c>
    </row>
    <row r="395" spans="1:26" x14ac:dyDescent="0.2">
      <c r="A395" s="7" t="s">
        <v>64</v>
      </c>
      <c r="B395" s="6">
        <f t="shared" si="937"/>
        <v>10</v>
      </c>
      <c r="C395" s="7" t="s">
        <v>160</v>
      </c>
      <c r="D395" s="68">
        <v>75</v>
      </c>
      <c r="E395" s="68">
        <v>0</v>
      </c>
      <c r="F395" s="65">
        <f t="shared" si="932"/>
        <v>0</v>
      </c>
      <c r="G395" s="60" t="e">
        <f t="shared" si="938"/>
        <v>#DIV/0!</v>
      </c>
      <c r="H395" s="65" t="e">
        <f t="shared" ref="H395:J395" si="1013">H383</f>
        <v>#DIV/0!</v>
      </c>
      <c r="I395" s="65" t="e">
        <f t="shared" si="1013"/>
        <v>#DIV/0!</v>
      </c>
      <c r="J395" s="65" t="e">
        <f t="shared" si="1013"/>
        <v>#DIV/0!</v>
      </c>
      <c r="K395" s="69">
        <v>34000</v>
      </c>
      <c r="L395" s="69">
        <f>'Monitoramento Acumulado Geral'!Q395</f>
        <v>0</v>
      </c>
      <c r="M395" s="6">
        <f>(SUM(L386:L395))/K394</f>
        <v>0</v>
      </c>
      <c r="N395" s="35" t="e">
        <f t="shared" si="940"/>
        <v>#DIV/0!</v>
      </c>
      <c r="O395" s="6" t="e">
        <f t="shared" ref="O395:Q395" si="1014">O383</f>
        <v>#DIV/0!</v>
      </c>
      <c r="P395" s="6" t="e">
        <f t="shared" si="1014"/>
        <v>#DIV/0!</v>
      </c>
      <c r="Q395" s="6" t="e">
        <f t="shared" si="1014"/>
        <v>#DIV/0!</v>
      </c>
      <c r="R395" s="69">
        <v>43</v>
      </c>
      <c r="S395" s="69">
        <v>33</v>
      </c>
      <c r="T395" s="6">
        <f t="shared" si="935"/>
        <v>0.76744186046511631</v>
      </c>
      <c r="U395" s="35" t="e">
        <f t="shared" si="942"/>
        <v>#DIV/0!</v>
      </c>
      <c r="V395" s="6" t="e">
        <f t="shared" ref="V395:Z395" si="1015">V383</f>
        <v>#DIV/0!</v>
      </c>
      <c r="W395" s="6" t="e">
        <f t="shared" si="1015"/>
        <v>#DIV/0!</v>
      </c>
      <c r="X395" s="6" t="e">
        <f t="shared" si="1015"/>
        <v>#DIV/0!</v>
      </c>
      <c r="Y395" s="6" t="e">
        <f t="shared" si="1015"/>
        <v>#DIV/0!</v>
      </c>
      <c r="Z395" s="6" t="e">
        <f t="shared" si="1015"/>
        <v>#DIV/0!</v>
      </c>
    </row>
    <row r="396" spans="1:26" x14ac:dyDescent="0.2">
      <c r="A396" s="7" t="s">
        <v>64</v>
      </c>
      <c r="B396" s="6">
        <f t="shared" si="937"/>
        <v>11</v>
      </c>
      <c r="C396" s="7" t="s">
        <v>161</v>
      </c>
      <c r="D396" s="68">
        <v>75</v>
      </c>
      <c r="E396" s="68">
        <v>0</v>
      </c>
      <c r="F396" s="65">
        <f t="shared" si="932"/>
        <v>0</v>
      </c>
      <c r="G396" s="60" t="e">
        <f t="shared" si="938"/>
        <v>#DIV/0!</v>
      </c>
      <c r="H396" s="65" t="e">
        <f t="shared" ref="H396:J396" si="1016">H384</f>
        <v>#DIV/0!</v>
      </c>
      <c r="I396" s="65" t="e">
        <f t="shared" si="1016"/>
        <v>#DIV/0!</v>
      </c>
      <c r="J396" s="65" t="e">
        <f t="shared" si="1016"/>
        <v>#DIV/0!</v>
      </c>
      <c r="K396" s="69">
        <v>34000</v>
      </c>
      <c r="L396" s="69">
        <f>'Monitoramento Acumulado Geral'!Q396</f>
        <v>0</v>
      </c>
      <c r="M396" s="6">
        <f>(SUM(L386:L396))/K395</f>
        <v>0</v>
      </c>
      <c r="N396" s="35" t="e">
        <f t="shared" si="940"/>
        <v>#DIV/0!</v>
      </c>
      <c r="O396" s="6" t="e">
        <f t="shared" ref="O396:Q396" si="1017">O384</f>
        <v>#DIV/0!</v>
      </c>
      <c r="P396" s="6" t="e">
        <f t="shared" si="1017"/>
        <v>#DIV/0!</v>
      </c>
      <c r="Q396" s="6" t="e">
        <f t="shared" si="1017"/>
        <v>#DIV/0!</v>
      </c>
      <c r="R396" s="69">
        <v>43</v>
      </c>
      <c r="S396" s="69">
        <v>0</v>
      </c>
      <c r="T396" s="6">
        <f t="shared" si="935"/>
        <v>0</v>
      </c>
      <c r="U396" s="35" t="e">
        <f t="shared" si="942"/>
        <v>#DIV/0!</v>
      </c>
      <c r="V396" s="6" t="e">
        <f t="shared" ref="V396:Z396" si="1018">V384</f>
        <v>#DIV/0!</v>
      </c>
      <c r="W396" s="6" t="e">
        <f t="shared" si="1018"/>
        <v>#DIV/0!</v>
      </c>
      <c r="X396" s="6" t="e">
        <f t="shared" si="1018"/>
        <v>#DIV/0!</v>
      </c>
      <c r="Y396" s="6" t="e">
        <f t="shared" si="1018"/>
        <v>#DIV/0!</v>
      </c>
      <c r="Z396" s="6" t="e">
        <f t="shared" si="1018"/>
        <v>#DIV/0!</v>
      </c>
    </row>
    <row r="397" spans="1:26" x14ac:dyDescent="0.2">
      <c r="A397" s="7" t="s">
        <v>64</v>
      </c>
      <c r="B397" s="6">
        <f t="shared" si="937"/>
        <v>12</v>
      </c>
      <c r="C397" s="7" t="s">
        <v>162</v>
      </c>
      <c r="D397" s="68">
        <v>75</v>
      </c>
      <c r="E397" s="68">
        <v>0</v>
      </c>
      <c r="F397" s="65">
        <f t="shared" si="932"/>
        <v>0</v>
      </c>
      <c r="G397" s="60" t="e">
        <f t="shared" si="938"/>
        <v>#DIV/0!</v>
      </c>
      <c r="H397" s="65" t="e">
        <f t="shared" ref="H397:J397" si="1019">H385</f>
        <v>#DIV/0!</v>
      </c>
      <c r="I397" s="65" t="e">
        <f t="shared" si="1019"/>
        <v>#DIV/0!</v>
      </c>
      <c r="J397" s="65" t="e">
        <f t="shared" si="1019"/>
        <v>#DIV/0!</v>
      </c>
      <c r="K397" s="69">
        <v>34000</v>
      </c>
      <c r="L397" s="69">
        <f>'Monitoramento Acumulado Geral'!Q397</f>
        <v>0</v>
      </c>
      <c r="M397" s="6">
        <f>(SUM(L386:L397))/K396</f>
        <v>0</v>
      </c>
      <c r="N397" s="35" t="e">
        <f t="shared" si="940"/>
        <v>#DIV/0!</v>
      </c>
      <c r="O397" s="6" t="e">
        <f t="shared" ref="O397:Q397" si="1020">O385</f>
        <v>#DIV/0!</v>
      </c>
      <c r="P397" s="6" t="e">
        <f t="shared" si="1020"/>
        <v>#DIV/0!</v>
      </c>
      <c r="Q397" s="6" t="e">
        <f t="shared" si="1020"/>
        <v>#DIV/0!</v>
      </c>
      <c r="R397" s="69">
        <v>43</v>
      </c>
      <c r="S397" s="69">
        <v>0</v>
      </c>
      <c r="T397" s="6">
        <f t="shared" si="935"/>
        <v>0</v>
      </c>
      <c r="U397" s="35" t="e">
        <f t="shared" si="942"/>
        <v>#DIV/0!</v>
      </c>
      <c r="V397" s="6" t="e">
        <f t="shared" ref="V397:Z397" si="1021">V385</f>
        <v>#DIV/0!</v>
      </c>
      <c r="W397" s="6" t="e">
        <f t="shared" si="1021"/>
        <v>#DIV/0!</v>
      </c>
      <c r="X397" s="6" t="e">
        <f t="shared" si="1021"/>
        <v>#DIV/0!</v>
      </c>
      <c r="Y397" s="6" t="e">
        <f t="shared" si="1021"/>
        <v>#DIV/0!</v>
      </c>
      <c r="Z397" s="6" t="e">
        <f t="shared" si="1021"/>
        <v>#DIV/0!</v>
      </c>
    </row>
    <row r="398" spans="1:26" x14ac:dyDescent="0.2">
      <c r="A398" s="7" t="s">
        <v>135</v>
      </c>
      <c r="B398" s="6">
        <f t="shared" si="937"/>
        <v>1</v>
      </c>
      <c r="C398" s="7" t="s">
        <v>151</v>
      </c>
      <c r="D398" s="68">
        <v>37</v>
      </c>
      <c r="E398" s="68">
        <v>0</v>
      </c>
      <c r="F398" s="65">
        <f t="shared" si="932"/>
        <v>0</v>
      </c>
      <c r="G398" s="60" t="e">
        <f t="shared" si="938"/>
        <v>#DIV/0!</v>
      </c>
      <c r="H398" s="65" t="e">
        <f t="shared" ref="H398:J398" si="1022">H386</f>
        <v>#DIV/0!</v>
      </c>
      <c r="I398" s="65" t="e">
        <f t="shared" si="1022"/>
        <v>#DIV/0!</v>
      </c>
      <c r="J398" s="65" t="e">
        <f t="shared" si="1022"/>
        <v>#DIV/0!</v>
      </c>
      <c r="K398" s="69">
        <v>7000</v>
      </c>
      <c r="L398" s="69">
        <f>'Monitoramento Acumulado Geral'!Q398</f>
        <v>0</v>
      </c>
      <c r="M398" s="6">
        <f>L398/K398</f>
        <v>0</v>
      </c>
      <c r="N398" s="35" t="e">
        <f t="shared" si="940"/>
        <v>#DIV/0!</v>
      </c>
      <c r="O398" s="6" t="e">
        <f t="shared" ref="O398:Q398" si="1023">O386</f>
        <v>#DIV/0!</v>
      </c>
      <c r="P398" s="6" t="e">
        <f t="shared" si="1023"/>
        <v>#DIV/0!</v>
      </c>
      <c r="Q398" s="6" t="e">
        <f t="shared" si="1023"/>
        <v>#DIV/0!</v>
      </c>
      <c r="R398" s="69">
        <v>33</v>
      </c>
      <c r="S398" s="69">
        <v>0</v>
      </c>
      <c r="T398" s="6">
        <f t="shared" si="935"/>
        <v>0</v>
      </c>
      <c r="U398" s="35" t="e">
        <f t="shared" si="942"/>
        <v>#DIV/0!</v>
      </c>
      <c r="V398" s="6" t="e">
        <f t="shared" ref="V398:Z398" si="1024">V386</f>
        <v>#DIV/0!</v>
      </c>
      <c r="W398" s="6" t="e">
        <f t="shared" si="1024"/>
        <v>#DIV/0!</v>
      </c>
      <c r="X398" s="6" t="e">
        <f t="shared" si="1024"/>
        <v>#DIV/0!</v>
      </c>
      <c r="Y398" s="6" t="e">
        <f t="shared" si="1024"/>
        <v>#DIV/0!</v>
      </c>
      <c r="Z398" s="6" t="e">
        <f t="shared" si="1024"/>
        <v>#DIV/0!</v>
      </c>
    </row>
    <row r="399" spans="1:26" x14ac:dyDescent="0.2">
      <c r="A399" s="7" t="s">
        <v>135</v>
      </c>
      <c r="B399" s="6">
        <f t="shared" si="937"/>
        <v>2</v>
      </c>
      <c r="C399" s="7" t="s">
        <v>152</v>
      </c>
      <c r="D399" s="68">
        <v>37</v>
      </c>
      <c r="E399" s="68">
        <v>0</v>
      </c>
      <c r="F399" s="65">
        <f t="shared" si="932"/>
        <v>0</v>
      </c>
      <c r="G399" s="60" t="e">
        <f t="shared" si="938"/>
        <v>#DIV/0!</v>
      </c>
      <c r="H399" s="65" t="e">
        <f t="shared" ref="H399:J399" si="1025">H387</f>
        <v>#DIV/0!</v>
      </c>
      <c r="I399" s="65" t="e">
        <f t="shared" si="1025"/>
        <v>#DIV/0!</v>
      </c>
      <c r="J399" s="65" t="e">
        <f t="shared" si="1025"/>
        <v>#DIV/0!</v>
      </c>
      <c r="K399" s="69">
        <v>7000</v>
      </c>
      <c r="L399" s="69">
        <f>'Monitoramento Acumulado Geral'!Q399</f>
        <v>0</v>
      </c>
      <c r="M399" s="6">
        <f>(SUM(L398:L399))/K398</f>
        <v>0</v>
      </c>
      <c r="N399" s="35" t="e">
        <f t="shared" si="940"/>
        <v>#DIV/0!</v>
      </c>
      <c r="O399" s="6" t="e">
        <f t="shared" ref="O399:Q399" si="1026">O387</f>
        <v>#DIV/0!</v>
      </c>
      <c r="P399" s="6" t="e">
        <f t="shared" si="1026"/>
        <v>#DIV/0!</v>
      </c>
      <c r="Q399" s="6" t="e">
        <f t="shared" si="1026"/>
        <v>#DIV/0!</v>
      </c>
      <c r="R399" s="69">
        <v>33</v>
      </c>
      <c r="S399" s="69">
        <v>0</v>
      </c>
      <c r="T399" s="6">
        <f t="shared" si="935"/>
        <v>0</v>
      </c>
      <c r="U399" s="35" t="e">
        <f t="shared" si="942"/>
        <v>#DIV/0!</v>
      </c>
      <c r="V399" s="6" t="e">
        <f t="shared" ref="V399:Z399" si="1027">V387</f>
        <v>#DIV/0!</v>
      </c>
      <c r="W399" s="6" t="e">
        <f t="shared" si="1027"/>
        <v>#DIV/0!</v>
      </c>
      <c r="X399" s="6" t="e">
        <f t="shared" si="1027"/>
        <v>#DIV/0!</v>
      </c>
      <c r="Y399" s="6" t="e">
        <f t="shared" si="1027"/>
        <v>#DIV/0!</v>
      </c>
      <c r="Z399" s="6" t="e">
        <f t="shared" si="1027"/>
        <v>#DIV/0!</v>
      </c>
    </row>
    <row r="400" spans="1:26" x14ac:dyDescent="0.2">
      <c r="A400" s="7" t="s">
        <v>135</v>
      </c>
      <c r="B400" s="6">
        <f t="shared" si="937"/>
        <v>3</v>
      </c>
      <c r="C400" s="7" t="s">
        <v>153</v>
      </c>
      <c r="D400" s="68">
        <v>37</v>
      </c>
      <c r="E400" s="68">
        <v>0</v>
      </c>
      <c r="F400" s="65">
        <f t="shared" si="932"/>
        <v>0</v>
      </c>
      <c r="G400" s="60" t="e">
        <f t="shared" si="938"/>
        <v>#DIV/0!</v>
      </c>
      <c r="H400" s="65" t="e">
        <f t="shared" ref="H400:J400" si="1028">H388</f>
        <v>#DIV/0!</v>
      </c>
      <c r="I400" s="65" t="e">
        <f t="shared" si="1028"/>
        <v>#DIV/0!</v>
      </c>
      <c r="J400" s="65" t="e">
        <f t="shared" si="1028"/>
        <v>#DIV/0!</v>
      </c>
      <c r="K400" s="69">
        <v>7000</v>
      </c>
      <c r="L400" s="69">
        <f>'Monitoramento Acumulado Geral'!Q400</f>
        <v>0</v>
      </c>
      <c r="M400" s="6">
        <f>(SUM(L398:L400))/K399</f>
        <v>0</v>
      </c>
      <c r="N400" s="35" t="e">
        <f t="shared" si="940"/>
        <v>#DIV/0!</v>
      </c>
      <c r="O400" s="6" t="e">
        <f t="shared" ref="O400:Q400" si="1029">O388</f>
        <v>#DIV/0!</v>
      </c>
      <c r="P400" s="6" t="e">
        <f t="shared" si="1029"/>
        <v>#DIV/0!</v>
      </c>
      <c r="Q400" s="6" t="e">
        <f t="shared" si="1029"/>
        <v>#DIV/0!</v>
      </c>
      <c r="R400" s="69">
        <v>33</v>
      </c>
      <c r="S400" s="69">
        <v>0</v>
      </c>
      <c r="T400" s="6">
        <f t="shared" si="935"/>
        <v>0</v>
      </c>
      <c r="U400" s="35" t="e">
        <f t="shared" si="942"/>
        <v>#DIV/0!</v>
      </c>
      <c r="V400" s="6" t="e">
        <f t="shared" ref="V400:Z400" si="1030">V388</f>
        <v>#DIV/0!</v>
      </c>
      <c r="W400" s="6" t="e">
        <f t="shared" si="1030"/>
        <v>#DIV/0!</v>
      </c>
      <c r="X400" s="6" t="e">
        <f t="shared" si="1030"/>
        <v>#DIV/0!</v>
      </c>
      <c r="Y400" s="6" t="e">
        <f t="shared" si="1030"/>
        <v>#DIV/0!</v>
      </c>
      <c r="Z400" s="6" t="e">
        <f t="shared" si="1030"/>
        <v>#DIV/0!</v>
      </c>
    </row>
    <row r="401" spans="1:26" x14ac:dyDescent="0.2">
      <c r="A401" s="7" t="s">
        <v>135</v>
      </c>
      <c r="B401" s="6">
        <f t="shared" si="937"/>
        <v>4</v>
      </c>
      <c r="C401" s="7" t="s">
        <v>154</v>
      </c>
      <c r="D401" s="68">
        <v>37</v>
      </c>
      <c r="E401" s="68">
        <v>0</v>
      </c>
      <c r="F401" s="65">
        <f t="shared" si="932"/>
        <v>0</v>
      </c>
      <c r="G401" s="60" t="e">
        <f t="shared" si="938"/>
        <v>#DIV/0!</v>
      </c>
      <c r="H401" s="65" t="e">
        <f t="shared" ref="H401:J401" si="1031">H389</f>
        <v>#DIV/0!</v>
      </c>
      <c r="I401" s="65" t="e">
        <f t="shared" si="1031"/>
        <v>#DIV/0!</v>
      </c>
      <c r="J401" s="65" t="e">
        <f t="shared" si="1031"/>
        <v>#DIV/0!</v>
      </c>
      <c r="K401" s="69">
        <v>7000</v>
      </c>
      <c r="L401" s="69">
        <f>'Monitoramento Acumulado Geral'!Q401</f>
        <v>0</v>
      </c>
      <c r="M401" s="6">
        <f>(SUM(L398:L401))/K400</f>
        <v>0</v>
      </c>
      <c r="N401" s="35" t="e">
        <f t="shared" si="940"/>
        <v>#DIV/0!</v>
      </c>
      <c r="O401" s="6" t="e">
        <f t="shared" ref="O401:Q401" si="1032">O389</f>
        <v>#DIV/0!</v>
      </c>
      <c r="P401" s="6" t="e">
        <f t="shared" si="1032"/>
        <v>#DIV/0!</v>
      </c>
      <c r="Q401" s="6" t="e">
        <f t="shared" si="1032"/>
        <v>#DIV/0!</v>
      </c>
      <c r="R401" s="69">
        <v>33</v>
      </c>
      <c r="S401" s="69">
        <v>0</v>
      </c>
      <c r="T401" s="6">
        <f t="shared" si="935"/>
        <v>0</v>
      </c>
      <c r="U401" s="35" t="e">
        <f t="shared" si="942"/>
        <v>#DIV/0!</v>
      </c>
      <c r="V401" s="6" t="e">
        <f t="shared" ref="V401:Z401" si="1033">V389</f>
        <v>#DIV/0!</v>
      </c>
      <c r="W401" s="6" t="e">
        <f t="shared" si="1033"/>
        <v>#DIV/0!</v>
      </c>
      <c r="X401" s="6" t="e">
        <f t="shared" si="1033"/>
        <v>#DIV/0!</v>
      </c>
      <c r="Y401" s="6" t="e">
        <f t="shared" si="1033"/>
        <v>#DIV/0!</v>
      </c>
      <c r="Z401" s="6" t="e">
        <f t="shared" si="1033"/>
        <v>#DIV/0!</v>
      </c>
    </row>
    <row r="402" spans="1:26" x14ac:dyDescent="0.2">
      <c r="A402" s="7" t="s">
        <v>135</v>
      </c>
      <c r="B402" s="6">
        <f t="shared" si="937"/>
        <v>5</v>
      </c>
      <c r="C402" s="7" t="s">
        <v>155</v>
      </c>
      <c r="D402" s="68">
        <v>37</v>
      </c>
      <c r="E402" s="68">
        <v>83</v>
      </c>
      <c r="F402" s="65">
        <f t="shared" si="932"/>
        <v>2.2432432432432434</v>
      </c>
      <c r="G402" s="60" t="e">
        <f t="shared" si="938"/>
        <v>#DIV/0!</v>
      </c>
      <c r="H402" s="65" t="e">
        <f t="shared" ref="H402:J402" si="1034">H390</f>
        <v>#DIV/0!</v>
      </c>
      <c r="I402" s="65" t="e">
        <f t="shared" si="1034"/>
        <v>#DIV/0!</v>
      </c>
      <c r="J402" s="65" t="e">
        <f t="shared" si="1034"/>
        <v>#DIV/0!</v>
      </c>
      <c r="K402" s="69">
        <v>7000</v>
      </c>
      <c r="L402" s="69">
        <f>'Monitoramento Acumulado Geral'!Q402</f>
        <v>1400</v>
      </c>
      <c r="M402" s="6">
        <f>(SUM(L398:L402))/K401</f>
        <v>0.2</v>
      </c>
      <c r="N402" s="35" t="e">
        <f t="shared" si="940"/>
        <v>#DIV/0!</v>
      </c>
      <c r="O402" s="6" t="e">
        <f t="shared" ref="O402:Q402" si="1035">O390</f>
        <v>#DIV/0!</v>
      </c>
      <c r="P402" s="6" t="e">
        <f t="shared" si="1035"/>
        <v>#DIV/0!</v>
      </c>
      <c r="Q402" s="6" t="e">
        <f t="shared" si="1035"/>
        <v>#DIV/0!</v>
      </c>
      <c r="R402" s="69">
        <v>33</v>
      </c>
      <c r="S402" s="69">
        <v>33</v>
      </c>
      <c r="T402" s="6">
        <f t="shared" si="935"/>
        <v>1</v>
      </c>
      <c r="U402" s="35" t="e">
        <f t="shared" si="942"/>
        <v>#DIV/0!</v>
      </c>
      <c r="V402" s="6" t="e">
        <f t="shared" ref="V402:Z402" si="1036">V390</f>
        <v>#DIV/0!</v>
      </c>
      <c r="W402" s="6" t="e">
        <f t="shared" si="1036"/>
        <v>#DIV/0!</v>
      </c>
      <c r="X402" s="6" t="e">
        <f t="shared" si="1036"/>
        <v>#DIV/0!</v>
      </c>
      <c r="Y402" s="6" t="e">
        <f t="shared" si="1036"/>
        <v>#DIV/0!</v>
      </c>
      <c r="Z402" s="6" t="e">
        <f t="shared" si="1036"/>
        <v>#DIV/0!</v>
      </c>
    </row>
    <row r="403" spans="1:26" x14ac:dyDescent="0.2">
      <c r="A403" s="7" t="s">
        <v>135</v>
      </c>
      <c r="B403" s="6">
        <f t="shared" si="937"/>
        <v>6</v>
      </c>
      <c r="C403" s="7" t="s">
        <v>156</v>
      </c>
      <c r="D403" s="68">
        <v>37</v>
      </c>
      <c r="E403" s="68">
        <v>100</v>
      </c>
      <c r="F403" s="65">
        <f t="shared" si="932"/>
        <v>2.7027027027027026</v>
      </c>
      <c r="G403" s="60" t="e">
        <f t="shared" si="938"/>
        <v>#DIV/0!</v>
      </c>
      <c r="H403" s="65" t="e">
        <f t="shared" ref="H403:J403" si="1037">H391</f>
        <v>#DIV/0!</v>
      </c>
      <c r="I403" s="65" t="e">
        <f t="shared" si="1037"/>
        <v>#DIV/0!</v>
      </c>
      <c r="J403" s="65" t="e">
        <f t="shared" si="1037"/>
        <v>#DIV/0!</v>
      </c>
      <c r="K403" s="69">
        <v>7000</v>
      </c>
      <c r="L403" s="69">
        <f>'Monitoramento Acumulado Geral'!Q403</f>
        <v>1400</v>
      </c>
      <c r="M403" s="6">
        <f>(SUM(L398:L403))/K402</f>
        <v>0.4</v>
      </c>
      <c r="N403" s="35" t="e">
        <f t="shared" si="940"/>
        <v>#DIV/0!</v>
      </c>
      <c r="O403" s="6" t="e">
        <f t="shared" ref="O403:Q403" si="1038">O391</f>
        <v>#DIV/0!</v>
      </c>
      <c r="P403" s="6" t="e">
        <f t="shared" si="1038"/>
        <v>#DIV/0!</v>
      </c>
      <c r="Q403" s="6" t="e">
        <f t="shared" si="1038"/>
        <v>#DIV/0!</v>
      </c>
      <c r="R403" s="69">
        <v>33</v>
      </c>
      <c r="S403" s="69">
        <v>33</v>
      </c>
      <c r="T403" s="6">
        <f t="shared" si="935"/>
        <v>1</v>
      </c>
      <c r="U403" s="35" t="e">
        <f t="shared" si="942"/>
        <v>#DIV/0!</v>
      </c>
      <c r="V403" s="6" t="e">
        <f t="shared" ref="V403:Z403" si="1039">V391</f>
        <v>#DIV/0!</v>
      </c>
      <c r="W403" s="6" t="e">
        <f t="shared" si="1039"/>
        <v>#DIV/0!</v>
      </c>
      <c r="X403" s="6" t="e">
        <f t="shared" si="1039"/>
        <v>#DIV/0!</v>
      </c>
      <c r="Y403" s="6" t="e">
        <f t="shared" si="1039"/>
        <v>#DIV/0!</v>
      </c>
      <c r="Z403" s="6" t="e">
        <f t="shared" si="1039"/>
        <v>#DIV/0!</v>
      </c>
    </row>
    <row r="404" spans="1:26" x14ac:dyDescent="0.2">
      <c r="A404" s="7" t="s">
        <v>135</v>
      </c>
      <c r="B404" s="6">
        <f t="shared" si="937"/>
        <v>7</v>
      </c>
      <c r="C404" s="7" t="s">
        <v>157</v>
      </c>
      <c r="D404" s="68">
        <v>37</v>
      </c>
      <c r="E404" s="68">
        <v>100</v>
      </c>
      <c r="F404" s="65">
        <f t="shared" si="932"/>
        <v>2.7027027027027026</v>
      </c>
      <c r="G404" s="60" t="e">
        <f t="shared" si="938"/>
        <v>#DIV/0!</v>
      </c>
      <c r="H404" s="65" t="e">
        <f t="shared" ref="H404:J404" si="1040">H392</f>
        <v>#DIV/0!</v>
      </c>
      <c r="I404" s="65" t="e">
        <f t="shared" si="1040"/>
        <v>#DIV/0!</v>
      </c>
      <c r="J404" s="65" t="e">
        <f t="shared" si="1040"/>
        <v>#DIV/0!</v>
      </c>
      <c r="K404" s="69">
        <v>7000</v>
      </c>
      <c r="L404" s="69">
        <f>'Monitoramento Acumulado Geral'!Q404</f>
        <v>1200</v>
      </c>
      <c r="M404" s="6">
        <f>(SUM(L398:L404))/K403</f>
        <v>0.5714285714285714</v>
      </c>
      <c r="N404" s="35" t="e">
        <f t="shared" si="940"/>
        <v>#DIV/0!</v>
      </c>
      <c r="O404" s="6" t="e">
        <f t="shared" ref="O404:Q404" si="1041">O392</f>
        <v>#DIV/0!</v>
      </c>
      <c r="P404" s="6" t="e">
        <f t="shared" si="1041"/>
        <v>#DIV/0!</v>
      </c>
      <c r="Q404" s="6" t="e">
        <f t="shared" si="1041"/>
        <v>#DIV/0!</v>
      </c>
      <c r="R404" s="69">
        <v>33</v>
      </c>
      <c r="S404" s="69">
        <v>33</v>
      </c>
      <c r="T404" s="6">
        <f t="shared" si="935"/>
        <v>1</v>
      </c>
      <c r="U404" s="35" t="e">
        <f t="shared" si="942"/>
        <v>#DIV/0!</v>
      </c>
      <c r="V404" s="6" t="e">
        <f t="shared" ref="V404:Z404" si="1042">V392</f>
        <v>#DIV/0!</v>
      </c>
      <c r="W404" s="6" t="e">
        <f t="shared" si="1042"/>
        <v>#DIV/0!</v>
      </c>
      <c r="X404" s="6" t="e">
        <f t="shared" si="1042"/>
        <v>#DIV/0!</v>
      </c>
      <c r="Y404" s="6" t="e">
        <f t="shared" si="1042"/>
        <v>#DIV/0!</v>
      </c>
      <c r="Z404" s="6" t="e">
        <f t="shared" si="1042"/>
        <v>#DIV/0!</v>
      </c>
    </row>
    <row r="405" spans="1:26" x14ac:dyDescent="0.2">
      <c r="A405" s="7" t="s">
        <v>135</v>
      </c>
      <c r="B405" s="6">
        <f t="shared" si="937"/>
        <v>8</v>
      </c>
      <c r="C405" s="7" t="s">
        <v>158</v>
      </c>
      <c r="D405" s="68">
        <v>37</v>
      </c>
      <c r="E405" s="68">
        <v>100</v>
      </c>
      <c r="F405" s="65">
        <f t="shared" si="932"/>
        <v>2.7027027027027026</v>
      </c>
      <c r="G405" s="60" t="e">
        <f t="shared" si="938"/>
        <v>#DIV/0!</v>
      </c>
      <c r="H405" s="65" t="e">
        <f t="shared" ref="H405:J405" si="1043">H393</f>
        <v>#DIV/0!</v>
      </c>
      <c r="I405" s="65" t="e">
        <f t="shared" si="1043"/>
        <v>#DIV/0!</v>
      </c>
      <c r="J405" s="65" t="e">
        <f t="shared" si="1043"/>
        <v>#DIV/0!</v>
      </c>
      <c r="K405" s="69">
        <v>7000</v>
      </c>
      <c r="L405" s="69">
        <f>'Monitoramento Acumulado Geral'!Q405</f>
        <v>1500</v>
      </c>
      <c r="M405" s="6">
        <f>(SUM(L398:L405))/K404</f>
        <v>0.7857142857142857</v>
      </c>
      <c r="N405" s="35" t="e">
        <f t="shared" si="940"/>
        <v>#DIV/0!</v>
      </c>
      <c r="O405" s="6" t="e">
        <f t="shared" ref="O405:Q405" si="1044">O393</f>
        <v>#DIV/0!</v>
      </c>
      <c r="P405" s="6" t="e">
        <f t="shared" si="1044"/>
        <v>#DIV/0!</v>
      </c>
      <c r="Q405" s="6" t="e">
        <f t="shared" si="1044"/>
        <v>#DIV/0!</v>
      </c>
      <c r="R405" s="69">
        <v>33</v>
      </c>
      <c r="S405" s="69">
        <v>33</v>
      </c>
      <c r="T405" s="6">
        <f t="shared" si="935"/>
        <v>1</v>
      </c>
      <c r="U405" s="35" t="e">
        <f t="shared" si="942"/>
        <v>#DIV/0!</v>
      </c>
      <c r="V405" s="6" t="e">
        <f t="shared" ref="V405:Z405" si="1045">V393</f>
        <v>#DIV/0!</v>
      </c>
      <c r="W405" s="6" t="e">
        <f t="shared" si="1045"/>
        <v>#DIV/0!</v>
      </c>
      <c r="X405" s="6" t="e">
        <f t="shared" si="1045"/>
        <v>#DIV/0!</v>
      </c>
      <c r="Y405" s="6" t="e">
        <f t="shared" si="1045"/>
        <v>#DIV/0!</v>
      </c>
      <c r="Z405" s="6" t="e">
        <f t="shared" si="1045"/>
        <v>#DIV/0!</v>
      </c>
    </row>
    <row r="406" spans="1:26" x14ac:dyDescent="0.2">
      <c r="A406" s="7" t="s">
        <v>135</v>
      </c>
      <c r="B406" s="6">
        <f t="shared" si="937"/>
        <v>9</v>
      </c>
      <c r="C406" s="7" t="s">
        <v>159</v>
      </c>
      <c r="D406" s="68">
        <v>37</v>
      </c>
      <c r="E406" s="68">
        <v>100</v>
      </c>
      <c r="F406" s="65">
        <f t="shared" si="932"/>
        <v>2.7027027027027026</v>
      </c>
      <c r="G406" s="60" t="e">
        <f t="shared" si="938"/>
        <v>#DIV/0!</v>
      </c>
      <c r="H406" s="65" t="e">
        <f t="shared" ref="H406:J406" si="1046">H394</f>
        <v>#DIV/0!</v>
      </c>
      <c r="I406" s="65" t="e">
        <f t="shared" si="1046"/>
        <v>#DIV/0!</v>
      </c>
      <c r="J406" s="65" t="e">
        <f t="shared" si="1046"/>
        <v>#DIV/0!</v>
      </c>
      <c r="K406" s="69">
        <v>7000</v>
      </c>
      <c r="L406" s="69">
        <f>'Monitoramento Acumulado Geral'!Q406</f>
        <v>50</v>
      </c>
      <c r="M406" s="6">
        <f>(SUM(L398:L406))/K405</f>
        <v>0.79285714285714282</v>
      </c>
      <c r="N406" s="35" t="e">
        <f t="shared" si="940"/>
        <v>#DIV/0!</v>
      </c>
      <c r="O406" s="6" t="e">
        <f t="shared" ref="O406:Q406" si="1047">O394</f>
        <v>#DIV/0!</v>
      </c>
      <c r="P406" s="6" t="e">
        <f t="shared" si="1047"/>
        <v>#DIV/0!</v>
      </c>
      <c r="Q406" s="6" t="e">
        <f t="shared" si="1047"/>
        <v>#DIV/0!</v>
      </c>
      <c r="R406" s="69">
        <v>33</v>
      </c>
      <c r="S406" s="69">
        <v>33</v>
      </c>
      <c r="T406" s="6">
        <f t="shared" si="935"/>
        <v>1</v>
      </c>
      <c r="U406" s="35" t="e">
        <f t="shared" si="942"/>
        <v>#DIV/0!</v>
      </c>
      <c r="V406" s="6" t="e">
        <f t="shared" ref="V406:Z406" si="1048">V394</f>
        <v>#DIV/0!</v>
      </c>
      <c r="W406" s="6" t="e">
        <f t="shared" si="1048"/>
        <v>#DIV/0!</v>
      </c>
      <c r="X406" s="6" t="e">
        <f t="shared" si="1048"/>
        <v>#DIV/0!</v>
      </c>
      <c r="Y406" s="6" t="e">
        <f t="shared" si="1048"/>
        <v>#DIV/0!</v>
      </c>
      <c r="Z406" s="6" t="e">
        <f t="shared" si="1048"/>
        <v>#DIV/0!</v>
      </c>
    </row>
    <row r="407" spans="1:26" x14ac:dyDescent="0.2">
      <c r="A407" s="7" t="s">
        <v>135</v>
      </c>
      <c r="B407" s="6">
        <f t="shared" si="937"/>
        <v>10</v>
      </c>
      <c r="C407" s="7" t="s">
        <v>160</v>
      </c>
      <c r="D407" s="68">
        <v>37</v>
      </c>
      <c r="E407" s="68">
        <v>100</v>
      </c>
      <c r="F407" s="65">
        <f t="shared" si="932"/>
        <v>2.7027027027027026</v>
      </c>
      <c r="G407" s="60" t="e">
        <f t="shared" si="938"/>
        <v>#DIV/0!</v>
      </c>
      <c r="H407" s="65" t="e">
        <f t="shared" ref="H407:J407" si="1049">H395</f>
        <v>#DIV/0!</v>
      </c>
      <c r="I407" s="65" t="e">
        <f t="shared" si="1049"/>
        <v>#DIV/0!</v>
      </c>
      <c r="J407" s="65" t="e">
        <f t="shared" si="1049"/>
        <v>#DIV/0!</v>
      </c>
      <c r="K407" s="69">
        <v>7000</v>
      </c>
      <c r="L407" s="69">
        <f>'Monitoramento Acumulado Geral'!Q407</f>
        <v>0</v>
      </c>
      <c r="M407" s="6">
        <f>(SUM(L398:L407))/K406</f>
        <v>0.79285714285714282</v>
      </c>
      <c r="N407" s="35" t="e">
        <f t="shared" si="940"/>
        <v>#DIV/0!</v>
      </c>
      <c r="O407" s="6" t="e">
        <f t="shared" ref="O407:Q407" si="1050">O395</f>
        <v>#DIV/0!</v>
      </c>
      <c r="P407" s="6" t="e">
        <f t="shared" si="1050"/>
        <v>#DIV/0!</v>
      </c>
      <c r="Q407" s="6" t="e">
        <f t="shared" si="1050"/>
        <v>#DIV/0!</v>
      </c>
      <c r="R407" s="69">
        <v>33</v>
      </c>
      <c r="S407" s="69">
        <v>33</v>
      </c>
      <c r="T407" s="6">
        <f t="shared" si="935"/>
        <v>1</v>
      </c>
      <c r="U407" s="35" t="e">
        <f t="shared" si="942"/>
        <v>#DIV/0!</v>
      </c>
      <c r="V407" s="6" t="e">
        <f t="shared" ref="V407:Z407" si="1051">V395</f>
        <v>#DIV/0!</v>
      </c>
      <c r="W407" s="6" t="e">
        <f t="shared" si="1051"/>
        <v>#DIV/0!</v>
      </c>
      <c r="X407" s="6" t="e">
        <f t="shared" si="1051"/>
        <v>#DIV/0!</v>
      </c>
      <c r="Y407" s="6" t="e">
        <f t="shared" si="1051"/>
        <v>#DIV/0!</v>
      </c>
      <c r="Z407" s="6" t="e">
        <f t="shared" si="1051"/>
        <v>#DIV/0!</v>
      </c>
    </row>
    <row r="408" spans="1:26" x14ac:dyDescent="0.2">
      <c r="A408" s="7" t="s">
        <v>135</v>
      </c>
      <c r="B408" s="6">
        <f t="shared" si="937"/>
        <v>11</v>
      </c>
      <c r="C408" s="7" t="s">
        <v>161</v>
      </c>
      <c r="D408" s="68">
        <v>37</v>
      </c>
      <c r="E408" s="68">
        <v>0</v>
      </c>
      <c r="F408" s="65">
        <f t="shared" si="932"/>
        <v>0</v>
      </c>
      <c r="G408" s="60" t="e">
        <f t="shared" si="938"/>
        <v>#DIV/0!</v>
      </c>
      <c r="H408" s="65" t="e">
        <f t="shared" ref="H408:J408" si="1052">H396</f>
        <v>#DIV/0!</v>
      </c>
      <c r="I408" s="65" t="e">
        <f t="shared" si="1052"/>
        <v>#DIV/0!</v>
      </c>
      <c r="J408" s="65" t="e">
        <f t="shared" si="1052"/>
        <v>#DIV/0!</v>
      </c>
      <c r="K408" s="69">
        <v>7000</v>
      </c>
      <c r="L408" s="69">
        <f>'Monitoramento Acumulado Geral'!Q408</f>
        <v>0</v>
      </c>
      <c r="M408" s="6">
        <f>(SUM(L398:L408))/K407</f>
        <v>0.79285714285714282</v>
      </c>
      <c r="N408" s="35" t="e">
        <f t="shared" si="940"/>
        <v>#DIV/0!</v>
      </c>
      <c r="O408" s="6" t="e">
        <f t="shared" ref="O408:Q408" si="1053">O396</f>
        <v>#DIV/0!</v>
      </c>
      <c r="P408" s="6" t="e">
        <f t="shared" si="1053"/>
        <v>#DIV/0!</v>
      </c>
      <c r="Q408" s="6" t="e">
        <f t="shared" si="1053"/>
        <v>#DIV/0!</v>
      </c>
      <c r="R408" s="69">
        <v>33</v>
      </c>
      <c r="S408" s="69">
        <v>0</v>
      </c>
      <c r="T408" s="6">
        <f t="shared" si="935"/>
        <v>0</v>
      </c>
      <c r="U408" s="35" t="e">
        <f t="shared" si="942"/>
        <v>#DIV/0!</v>
      </c>
      <c r="V408" s="6" t="e">
        <f t="shared" ref="V408:Z408" si="1054">V396</f>
        <v>#DIV/0!</v>
      </c>
      <c r="W408" s="6" t="e">
        <f t="shared" si="1054"/>
        <v>#DIV/0!</v>
      </c>
      <c r="X408" s="6" t="e">
        <f t="shared" si="1054"/>
        <v>#DIV/0!</v>
      </c>
      <c r="Y408" s="6" t="e">
        <f t="shared" si="1054"/>
        <v>#DIV/0!</v>
      </c>
      <c r="Z408" s="6" t="e">
        <f t="shared" si="1054"/>
        <v>#DIV/0!</v>
      </c>
    </row>
    <row r="409" spans="1:26" x14ac:dyDescent="0.2">
      <c r="A409" s="7" t="s">
        <v>135</v>
      </c>
      <c r="B409" s="6">
        <f t="shared" si="937"/>
        <v>12</v>
      </c>
      <c r="C409" s="7" t="s">
        <v>162</v>
      </c>
      <c r="D409" s="68">
        <v>37</v>
      </c>
      <c r="E409" s="68">
        <v>0</v>
      </c>
      <c r="F409" s="65">
        <f t="shared" si="932"/>
        <v>0</v>
      </c>
      <c r="G409" s="60" t="e">
        <f t="shared" si="938"/>
        <v>#DIV/0!</v>
      </c>
      <c r="H409" s="65" t="e">
        <f t="shared" ref="H409:J409" si="1055">H397</f>
        <v>#DIV/0!</v>
      </c>
      <c r="I409" s="65" t="e">
        <f t="shared" si="1055"/>
        <v>#DIV/0!</v>
      </c>
      <c r="J409" s="65" t="e">
        <f t="shared" si="1055"/>
        <v>#DIV/0!</v>
      </c>
      <c r="K409" s="69">
        <v>7000</v>
      </c>
      <c r="L409" s="69">
        <f>'Monitoramento Acumulado Geral'!Q409</f>
        <v>0</v>
      </c>
      <c r="M409" s="6">
        <f>(SUM(L398:L409))/K408</f>
        <v>0.79285714285714282</v>
      </c>
      <c r="N409" s="35" t="e">
        <f t="shared" si="940"/>
        <v>#DIV/0!</v>
      </c>
      <c r="O409" s="6" t="e">
        <f t="shared" ref="O409:Q409" si="1056">O397</f>
        <v>#DIV/0!</v>
      </c>
      <c r="P409" s="6" t="e">
        <f t="shared" si="1056"/>
        <v>#DIV/0!</v>
      </c>
      <c r="Q409" s="6" t="e">
        <f t="shared" si="1056"/>
        <v>#DIV/0!</v>
      </c>
      <c r="R409" s="69">
        <v>33</v>
      </c>
      <c r="S409" s="69">
        <v>0</v>
      </c>
      <c r="T409" s="6">
        <f t="shared" si="935"/>
        <v>0</v>
      </c>
      <c r="U409" s="35" t="e">
        <f t="shared" si="942"/>
        <v>#DIV/0!</v>
      </c>
      <c r="V409" s="6" t="e">
        <f t="shared" ref="V409:Z409" si="1057">V397</f>
        <v>#DIV/0!</v>
      </c>
      <c r="W409" s="6" t="e">
        <f t="shared" si="1057"/>
        <v>#DIV/0!</v>
      </c>
      <c r="X409" s="6" t="e">
        <f t="shared" si="1057"/>
        <v>#DIV/0!</v>
      </c>
      <c r="Y409" s="6" t="e">
        <f t="shared" si="1057"/>
        <v>#DIV/0!</v>
      </c>
      <c r="Z409" s="6" t="e">
        <f t="shared" si="1057"/>
        <v>#DIV/0!</v>
      </c>
    </row>
    <row r="410" spans="1:26" x14ac:dyDescent="0.2">
      <c r="A410" s="7" t="s">
        <v>103</v>
      </c>
      <c r="B410" s="6">
        <f t="shared" si="937"/>
        <v>1</v>
      </c>
      <c r="C410" s="7" t="s">
        <v>151</v>
      </c>
      <c r="D410" s="68">
        <v>75</v>
      </c>
      <c r="E410" s="68">
        <v>0</v>
      </c>
      <c r="F410" s="65">
        <f t="shared" si="932"/>
        <v>0</v>
      </c>
      <c r="G410" s="60" t="e">
        <f t="shared" si="938"/>
        <v>#DIV/0!</v>
      </c>
      <c r="H410" s="65" t="e">
        <f t="shared" ref="H410:J410" si="1058">H398</f>
        <v>#DIV/0!</v>
      </c>
      <c r="I410" s="65" t="e">
        <f t="shared" si="1058"/>
        <v>#DIV/0!</v>
      </c>
      <c r="J410" s="65" t="e">
        <f t="shared" si="1058"/>
        <v>#DIV/0!</v>
      </c>
      <c r="K410" s="69">
        <v>102000</v>
      </c>
      <c r="L410" s="69">
        <f>'Monitoramento Acumulado Geral'!Q410</f>
        <v>0</v>
      </c>
      <c r="M410" s="6">
        <f>L410/K410</f>
        <v>0</v>
      </c>
      <c r="N410" s="35" t="e">
        <f t="shared" si="940"/>
        <v>#DIV/0!</v>
      </c>
      <c r="O410" s="6" t="e">
        <f t="shared" ref="O410:Q410" si="1059">O398</f>
        <v>#DIV/0!</v>
      </c>
      <c r="P410" s="6" t="e">
        <f t="shared" si="1059"/>
        <v>#DIV/0!</v>
      </c>
      <c r="Q410" s="6" t="e">
        <f t="shared" si="1059"/>
        <v>#DIV/0!</v>
      </c>
      <c r="R410" s="69">
        <v>80</v>
      </c>
      <c r="S410" s="69">
        <v>7</v>
      </c>
      <c r="T410" s="6">
        <f t="shared" si="935"/>
        <v>8.7499999999999994E-2</v>
      </c>
      <c r="U410" s="35" t="e">
        <f t="shared" si="942"/>
        <v>#DIV/0!</v>
      </c>
      <c r="V410" s="6" t="e">
        <f t="shared" ref="V410:Z410" si="1060">V398</f>
        <v>#DIV/0!</v>
      </c>
      <c r="W410" s="6" t="e">
        <f t="shared" si="1060"/>
        <v>#DIV/0!</v>
      </c>
      <c r="X410" s="6" t="e">
        <f t="shared" si="1060"/>
        <v>#DIV/0!</v>
      </c>
      <c r="Y410" s="6" t="e">
        <f t="shared" si="1060"/>
        <v>#DIV/0!</v>
      </c>
      <c r="Z410" s="6" t="e">
        <f t="shared" si="1060"/>
        <v>#DIV/0!</v>
      </c>
    </row>
    <row r="411" spans="1:26" x14ac:dyDescent="0.2">
      <c r="A411" s="7" t="s">
        <v>103</v>
      </c>
      <c r="B411" s="6">
        <f t="shared" si="937"/>
        <v>2</v>
      </c>
      <c r="C411" s="7" t="s">
        <v>152</v>
      </c>
      <c r="D411" s="68">
        <v>75</v>
      </c>
      <c r="E411" s="68">
        <v>7</v>
      </c>
      <c r="F411" s="65">
        <f t="shared" si="932"/>
        <v>9.3333333333333338E-2</v>
      </c>
      <c r="G411" s="60" t="e">
        <f t="shared" si="938"/>
        <v>#DIV/0!</v>
      </c>
      <c r="H411" s="65" t="e">
        <f t="shared" ref="H411:J411" si="1061">H399</f>
        <v>#DIV/0!</v>
      </c>
      <c r="I411" s="65" t="e">
        <f t="shared" si="1061"/>
        <v>#DIV/0!</v>
      </c>
      <c r="J411" s="65" t="e">
        <f t="shared" si="1061"/>
        <v>#DIV/0!</v>
      </c>
      <c r="K411" s="69">
        <v>102000</v>
      </c>
      <c r="L411" s="69">
        <f>'Monitoramento Acumulado Geral'!Q411</f>
        <v>3900</v>
      </c>
      <c r="M411" s="6">
        <f>(SUM(L410:L411))/K410</f>
        <v>3.8235294117647062E-2</v>
      </c>
      <c r="N411" s="35" t="e">
        <f t="shared" si="940"/>
        <v>#DIV/0!</v>
      </c>
      <c r="O411" s="6" t="e">
        <f t="shared" ref="O411:Q411" si="1062">O399</f>
        <v>#DIV/0!</v>
      </c>
      <c r="P411" s="6" t="e">
        <f t="shared" si="1062"/>
        <v>#DIV/0!</v>
      </c>
      <c r="Q411" s="6" t="e">
        <f t="shared" si="1062"/>
        <v>#DIV/0!</v>
      </c>
      <c r="R411" s="69">
        <v>80</v>
      </c>
      <c r="S411" s="69">
        <v>7</v>
      </c>
      <c r="T411" s="6">
        <f t="shared" si="935"/>
        <v>8.7499999999999994E-2</v>
      </c>
      <c r="U411" s="35" t="e">
        <f t="shared" si="942"/>
        <v>#DIV/0!</v>
      </c>
      <c r="V411" s="6" t="e">
        <f t="shared" ref="V411:Z411" si="1063">V399</f>
        <v>#DIV/0!</v>
      </c>
      <c r="W411" s="6" t="e">
        <f t="shared" si="1063"/>
        <v>#DIV/0!</v>
      </c>
      <c r="X411" s="6" t="e">
        <f t="shared" si="1063"/>
        <v>#DIV/0!</v>
      </c>
      <c r="Y411" s="6" t="e">
        <f t="shared" si="1063"/>
        <v>#DIV/0!</v>
      </c>
      <c r="Z411" s="6" t="e">
        <f t="shared" si="1063"/>
        <v>#DIV/0!</v>
      </c>
    </row>
    <row r="412" spans="1:26" x14ac:dyDescent="0.2">
      <c r="A412" s="7" t="s">
        <v>103</v>
      </c>
      <c r="B412" s="6">
        <f t="shared" si="937"/>
        <v>3</v>
      </c>
      <c r="C412" s="7" t="s">
        <v>153</v>
      </c>
      <c r="D412" s="68">
        <v>75</v>
      </c>
      <c r="E412" s="68">
        <v>17</v>
      </c>
      <c r="F412" s="65">
        <f t="shared" si="932"/>
        <v>0.22666666666666666</v>
      </c>
      <c r="G412" s="60" t="e">
        <f t="shared" si="938"/>
        <v>#DIV/0!</v>
      </c>
      <c r="H412" s="65" t="e">
        <f t="shared" ref="H412:J412" si="1064">H400</f>
        <v>#DIV/0!</v>
      </c>
      <c r="I412" s="65" t="e">
        <f t="shared" si="1064"/>
        <v>#DIV/0!</v>
      </c>
      <c r="J412" s="65" t="e">
        <f t="shared" si="1064"/>
        <v>#DIV/0!</v>
      </c>
      <c r="K412" s="69">
        <v>102000</v>
      </c>
      <c r="L412" s="69">
        <f>'Monitoramento Acumulado Geral'!Q412</f>
        <v>8000</v>
      </c>
      <c r="M412" s="6">
        <f>(SUM(L410:L412))/K411</f>
        <v>0.11666666666666667</v>
      </c>
      <c r="N412" s="35" t="e">
        <f t="shared" si="940"/>
        <v>#DIV/0!</v>
      </c>
      <c r="O412" s="6" t="e">
        <f t="shared" ref="O412:Q412" si="1065">O400</f>
        <v>#DIV/0!</v>
      </c>
      <c r="P412" s="6" t="e">
        <f t="shared" si="1065"/>
        <v>#DIV/0!</v>
      </c>
      <c r="Q412" s="6" t="e">
        <f t="shared" si="1065"/>
        <v>#DIV/0!</v>
      </c>
      <c r="R412" s="69">
        <v>80</v>
      </c>
      <c r="S412" s="69">
        <v>7</v>
      </c>
      <c r="T412" s="6">
        <f t="shared" si="935"/>
        <v>8.7499999999999994E-2</v>
      </c>
      <c r="U412" s="35" t="e">
        <f t="shared" si="942"/>
        <v>#DIV/0!</v>
      </c>
      <c r="V412" s="6" t="e">
        <f t="shared" ref="V412:Z412" si="1066">V400</f>
        <v>#DIV/0!</v>
      </c>
      <c r="W412" s="6" t="e">
        <f t="shared" si="1066"/>
        <v>#DIV/0!</v>
      </c>
      <c r="X412" s="6" t="e">
        <f t="shared" si="1066"/>
        <v>#DIV/0!</v>
      </c>
      <c r="Y412" s="6" t="e">
        <f t="shared" si="1066"/>
        <v>#DIV/0!</v>
      </c>
      <c r="Z412" s="6" t="e">
        <f t="shared" si="1066"/>
        <v>#DIV/0!</v>
      </c>
    </row>
    <row r="413" spans="1:26" x14ac:dyDescent="0.2">
      <c r="A413" s="7" t="s">
        <v>103</v>
      </c>
      <c r="B413" s="6">
        <f t="shared" si="937"/>
        <v>4</v>
      </c>
      <c r="C413" s="7" t="s">
        <v>154</v>
      </c>
      <c r="D413" s="68">
        <v>75</v>
      </c>
      <c r="E413" s="68">
        <v>17</v>
      </c>
      <c r="F413" s="65">
        <f t="shared" si="932"/>
        <v>0.22666666666666666</v>
      </c>
      <c r="G413" s="60" t="e">
        <f t="shared" si="938"/>
        <v>#DIV/0!</v>
      </c>
      <c r="H413" s="65" t="e">
        <f t="shared" ref="H413:J413" si="1067">H401</f>
        <v>#DIV/0!</v>
      </c>
      <c r="I413" s="65" t="e">
        <f t="shared" si="1067"/>
        <v>#DIV/0!</v>
      </c>
      <c r="J413" s="65" t="e">
        <f t="shared" si="1067"/>
        <v>#DIV/0!</v>
      </c>
      <c r="K413" s="69">
        <v>102000</v>
      </c>
      <c r="L413" s="69">
        <f>'Monitoramento Acumulado Geral'!Q413</f>
        <v>0</v>
      </c>
      <c r="M413" s="6">
        <f>(SUM(L410:L413))/K412</f>
        <v>0.11666666666666667</v>
      </c>
      <c r="N413" s="35" t="e">
        <f t="shared" si="940"/>
        <v>#DIV/0!</v>
      </c>
      <c r="O413" s="6" t="e">
        <f t="shared" ref="O413:Q413" si="1068">O401</f>
        <v>#DIV/0!</v>
      </c>
      <c r="P413" s="6" t="e">
        <f t="shared" si="1068"/>
        <v>#DIV/0!</v>
      </c>
      <c r="Q413" s="6" t="e">
        <f t="shared" si="1068"/>
        <v>#DIV/0!</v>
      </c>
      <c r="R413" s="69">
        <v>80</v>
      </c>
      <c r="S413" s="69">
        <v>7</v>
      </c>
      <c r="T413" s="6">
        <f t="shared" si="935"/>
        <v>8.7499999999999994E-2</v>
      </c>
      <c r="U413" s="35" t="e">
        <f t="shared" si="942"/>
        <v>#DIV/0!</v>
      </c>
      <c r="V413" s="6" t="e">
        <f t="shared" ref="V413:Z413" si="1069">V401</f>
        <v>#DIV/0!</v>
      </c>
      <c r="W413" s="6" t="e">
        <f t="shared" si="1069"/>
        <v>#DIV/0!</v>
      </c>
      <c r="X413" s="6" t="e">
        <f t="shared" si="1069"/>
        <v>#DIV/0!</v>
      </c>
      <c r="Y413" s="6" t="e">
        <f t="shared" si="1069"/>
        <v>#DIV/0!</v>
      </c>
      <c r="Z413" s="6" t="e">
        <f t="shared" si="1069"/>
        <v>#DIV/0!</v>
      </c>
    </row>
    <row r="414" spans="1:26" x14ac:dyDescent="0.2">
      <c r="A414" s="7" t="s">
        <v>103</v>
      </c>
      <c r="B414" s="6">
        <f t="shared" si="937"/>
        <v>5</v>
      </c>
      <c r="C414" s="7" t="s">
        <v>155</v>
      </c>
      <c r="D414" s="68">
        <v>75</v>
      </c>
      <c r="E414" s="68">
        <v>17</v>
      </c>
      <c r="F414" s="65">
        <f t="shared" si="932"/>
        <v>0.22666666666666666</v>
      </c>
      <c r="G414" s="60" t="e">
        <f t="shared" si="938"/>
        <v>#DIV/0!</v>
      </c>
      <c r="H414" s="65" t="e">
        <f t="shared" ref="H414:J414" si="1070">H402</f>
        <v>#DIV/0!</v>
      </c>
      <c r="I414" s="65" t="e">
        <f t="shared" si="1070"/>
        <v>#DIV/0!</v>
      </c>
      <c r="J414" s="65" t="e">
        <f t="shared" si="1070"/>
        <v>#DIV/0!</v>
      </c>
      <c r="K414" s="69">
        <v>102000</v>
      </c>
      <c r="L414" s="69">
        <f>'Monitoramento Acumulado Geral'!Q414</f>
        <v>0</v>
      </c>
      <c r="M414" s="6">
        <f>(SUM(L410:L414))/K413</f>
        <v>0.11666666666666667</v>
      </c>
      <c r="N414" s="35" t="e">
        <f t="shared" si="940"/>
        <v>#DIV/0!</v>
      </c>
      <c r="O414" s="6" t="e">
        <f t="shared" ref="O414:Q414" si="1071">O402</f>
        <v>#DIV/0!</v>
      </c>
      <c r="P414" s="6" t="e">
        <f t="shared" si="1071"/>
        <v>#DIV/0!</v>
      </c>
      <c r="Q414" s="6" t="e">
        <f t="shared" si="1071"/>
        <v>#DIV/0!</v>
      </c>
      <c r="R414" s="69">
        <v>80</v>
      </c>
      <c r="S414" s="69">
        <v>24</v>
      </c>
      <c r="T414" s="6">
        <f t="shared" si="935"/>
        <v>0.3</v>
      </c>
      <c r="U414" s="35" t="e">
        <f t="shared" si="942"/>
        <v>#DIV/0!</v>
      </c>
      <c r="V414" s="6" t="e">
        <f t="shared" ref="V414:Z414" si="1072">V402</f>
        <v>#DIV/0!</v>
      </c>
      <c r="W414" s="6" t="e">
        <f t="shared" si="1072"/>
        <v>#DIV/0!</v>
      </c>
      <c r="X414" s="6" t="e">
        <f t="shared" si="1072"/>
        <v>#DIV/0!</v>
      </c>
      <c r="Y414" s="6" t="e">
        <f t="shared" si="1072"/>
        <v>#DIV/0!</v>
      </c>
      <c r="Z414" s="6" t="e">
        <f t="shared" si="1072"/>
        <v>#DIV/0!</v>
      </c>
    </row>
    <row r="415" spans="1:26" x14ac:dyDescent="0.2">
      <c r="A415" s="7" t="s">
        <v>103</v>
      </c>
      <c r="B415" s="6">
        <f t="shared" si="937"/>
        <v>6</v>
      </c>
      <c r="C415" s="7" t="s">
        <v>156</v>
      </c>
      <c r="D415" s="68">
        <v>75</v>
      </c>
      <c r="E415" s="68">
        <v>17</v>
      </c>
      <c r="F415" s="65">
        <f t="shared" si="932"/>
        <v>0.22666666666666666</v>
      </c>
      <c r="G415" s="60" t="e">
        <f t="shared" si="938"/>
        <v>#DIV/0!</v>
      </c>
      <c r="H415" s="65" t="e">
        <f t="shared" ref="H415:J415" si="1073">H403</f>
        <v>#DIV/0!</v>
      </c>
      <c r="I415" s="65" t="e">
        <f t="shared" si="1073"/>
        <v>#DIV/0!</v>
      </c>
      <c r="J415" s="65" t="e">
        <f t="shared" si="1073"/>
        <v>#DIV/0!</v>
      </c>
      <c r="K415" s="69">
        <v>102000</v>
      </c>
      <c r="L415" s="69">
        <f>'Monitoramento Acumulado Geral'!Q415</f>
        <v>0</v>
      </c>
      <c r="M415" s="6">
        <f>(SUM(L410:L415))/K414</f>
        <v>0.11666666666666667</v>
      </c>
      <c r="N415" s="35" t="e">
        <f t="shared" si="940"/>
        <v>#DIV/0!</v>
      </c>
      <c r="O415" s="6" t="e">
        <f t="shared" ref="O415:Q415" si="1074">O403</f>
        <v>#DIV/0!</v>
      </c>
      <c r="P415" s="6" t="e">
        <f t="shared" si="1074"/>
        <v>#DIV/0!</v>
      </c>
      <c r="Q415" s="6" t="e">
        <f t="shared" si="1074"/>
        <v>#DIV/0!</v>
      </c>
      <c r="R415" s="69">
        <v>80</v>
      </c>
      <c r="S415" s="69">
        <v>24</v>
      </c>
      <c r="T415" s="6">
        <f t="shared" si="935"/>
        <v>0.3</v>
      </c>
      <c r="U415" s="35" t="e">
        <f t="shared" si="942"/>
        <v>#DIV/0!</v>
      </c>
      <c r="V415" s="6" t="e">
        <f t="shared" ref="V415:Z415" si="1075">V403</f>
        <v>#DIV/0!</v>
      </c>
      <c r="W415" s="6" t="e">
        <f t="shared" si="1075"/>
        <v>#DIV/0!</v>
      </c>
      <c r="X415" s="6" t="e">
        <f t="shared" si="1075"/>
        <v>#DIV/0!</v>
      </c>
      <c r="Y415" s="6" t="e">
        <f t="shared" si="1075"/>
        <v>#DIV/0!</v>
      </c>
      <c r="Z415" s="6" t="e">
        <f t="shared" si="1075"/>
        <v>#DIV/0!</v>
      </c>
    </row>
    <row r="416" spans="1:26" x14ac:dyDescent="0.2">
      <c r="A416" s="7" t="s">
        <v>103</v>
      </c>
      <c r="B416" s="6">
        <f t="shared" si="937"/>
        <v>7</v>
      </c>
      <c r="C416" s="7" t="s">
        <v>157</v>
      </c>
      <c r="D416" s="68">
        <v>75</v>
      </c>
      <c r="E416" s="68">
        <v>17</v>
      </c>
      <c r="F416" s="65">
        <f t="shared" si="932"/>
        <v>0.22666666666666666</v>
      </c>
      <c r="G416" s="60" t="e">
        <f t="shared" si="938"/>
        <v>#DIV/0!</v>
      </c>
      <c r="H416" s="65" t="e">
        <f t="shared" ref="H416:J416" si="1076">H404</f>
        <v>#DIV/0!</v>
      </c>
      <c r="I416" s="65" t="e">
        <f t="shared" si="1076"/>
        <v>#DIV/0!</v>
      </c>
      <c r="J416" s="65" t="e">
        <f t="shared" si="1076"/>
        <v>#DIV/0!</v>
      </c>
      <c r="K416" s="69">
        <v>102000</v>
      </c>
      <c r="L416" s="69">
        <f>'Monitoramento Acumulado Geral'!Q416</f>
        <v>0</v>
      </c>
      <c r="M416" s="6">
        <f>(SUM(L410:L416))/K415</f>
        <v>0.11666666666666667</v>
      </c>
      <c r="N416" s="35" t="e">
        <f t="shared" si="940"/>
        <v>#DIV/0!</v>
      </c>
      <c r="O416" s="6" t="e">
        <f t="shared" ref="O416:Q416" si="1077">O404</f>
        <v>#DIV/0!</v>
      </c>
      <c r="P416" s="6" t="e">
        <f t="shared" si="1077"/>
        <v>#DIV/0!</v>
      </c>
      <c r="Q416" s="6" t="e">
        <f t="shared" si="1077"/>
        <v>#DIV/0!</v>
      </c>
      <c r="R416" s="69">
        <v>80</v>
      </c>
      <c r="S416" s="69">
        <v>24</v>
      </c>
      <c r="T416" s="6">
        <f t="shared" si="935"/>
        <v>0.3</v>
      </c>
      <c r="U416" s="35" t="e">
        <f t="shared" si="942"/>
        <v>#DIV/0!</v>
      </c>
      <c r="V416" s="6" t="e">
        <f t="shared" ref="V416:Z416" si="1078">V404</f>
        <v>#DIV/0!</v>
      </c>
      <c r="W416" s="6" t="e">
        <f t="shared" si="1078"/>
        <v>#DIV/0!</v>
      </c>
      <c r="X416" s="6" t="e">
        <f t="shared" si="1078"/>
        <v>#DIV/0!</v>
      </c>
      <c r="Y416" s="6" t="e">
        <f t="shared" si="1078"/>
        <v>#DIV/0!</v>
      </c>
      <c r="Z416" s="6" t="e">
        <f t="shared" si="1078"/>
        <v>#DIV/0!</v>
      </c>
    </row>
    <row r="417" spans="1:26" x14ac:dyDescent="0.2">
      <c r="A417" s="7" t="s">
        <v>103</v>
      </c>
      <c r="B417" s="6">
        <f t="shared" si="937"/>
        <v>8</v>
      </c>
      <c r="C417" s="7" t="s">
        <v>158</v>
      </c>
      <c r="D417" s="68">
        <v>75</v>
      </c>
      <c r="E417" s="68">
        <v>41</v>
      </c>
      <c r="F417" s="65">
        <f t="shared" si="932"/>
        <v>0.54666666666666663</v>
      </c>
      <c r="G417" s="60" t="e">
        <f t="shared" si="938"/>
        <v>#DIV/0!</v>
      </c>
      <c r="H417" s="65" t="e">
        <f t="shared" ref="H417:J417" si="1079">H405</f>
        <v>#DIV/0!</v>
      </c>
      <c r="I417" s="65" t="e">
        <f t="shared" si="1079"/>
        <v>#DIV/0!</v>
      </c>
      <c r="J417" s="65" t="e">
        <f t="shared" si="1079"/>
        <v>#DIV/0!</v>
      </c>
      <c r="K417" s="69">
        <v>102000</v>
      </c>
      <c r="L417" s="69">
        <f>'Monitoramento Acumulado Geral'!Q417</f>
        <v>22784.5</v>
      </c>
      <c r="M417" s="6">
        <f>(SUM(L410:L417))/K416</f>
        <v>0.34004411764705883</v>
      </c>
      <c r="N417" s="35" t="e">
        <f t="shared" si="940"/>
        <v>#DIV/0!</v>
      </c>
      <c r="O417" s="6" t="e">
        <f t="shared" ref="O417:Q417" si="1080">O405</f>
        <v>#DIV/0!</v>
      </c>
      <c r="P417" s="6" t="e">
        <f t="shared" si="1080"/>
        <v>#DIV/0!</v>
      </c>
      <c r="Q417" s="6" t="e">
        <f t="shared" si="1080"/>
        <v>#DIV/0!</v>
      </c>
      <c r="R417" s="69">
        <v>80</v>
      </c>
      <c r="S417" s="69">
        <v>24</v>
      </c>
      <c r="T417" s="6">
        <f t="shared" si="935"/>
        <v>0.3</v>
      </c>
      <c r="U417" s="35" t="e">
        <f t="shared" si="942"/>
        <v>#DIV/0!</v>
      </c>
      <c r="V417" s="6" t="e">
        <f t="shared" ref="V417:Z417" si="1081">V405</f>
        <v>#DIV/0!</v>
      </c>
      <c r="W417" s="6" t="e">
        <f t="shared" si="1081"/>
        <v>#DIV/0!</v>
      </c>
      <c r="X417" s="6" t="e">
        <f t="shared" si="1081"/>
        <v>#DIV/0!</v>
      </c>
      <c r="Y417" s="6" t="e">
        <f t="shared" si="1081"/>
        <v>#DIV/0!</v>
      </c>
      <c r="Z417" s="6" t="e">
        <f t="shared" si="1081"/>
        <v>#DIV/0!</v>
      </c>
    </row>
    <row r="418" spans="1:26" x14ac:dyDescent="0.2">
      <c r="A418" s="7" t="s">
        <v>103</v>
      </c>
      <c r="B418" s="6">
        <f t="shared" si="937"/>
        <v>9</v>
      </c>
      <c r="C418" s="7" t="s">
        <v>159</v>
      </c>
      <c r="D418" s="68">
        <v>75</v>
      </c>
      <c r="E418" s="68">
        <v>41</v>
      </c>
      <c r="F418" s="65">
        <f t="shared" si="932"/>
        <v>0.54666666666666663</v>
      </c>
      <c r="G418" s="60" t="e">
        <f t="shared" si="938"/>
        <v>#DIV/0!</v>
      </c>
      <c r="H418" s="65" t="e">
        <f t="shared" ref="H418:J418" si="1082">H406</f>
        <v>#DIV/0!</v>
      </c>
      <c r="I418" s="65" t="e">
        <f t="shared" si="1082"/>
        <v>#DIV/0!</v>
      </c>
      <c r="J418" s="65" t="e">
        <f t="shared" si="1082"/>
        <v>#DIV/0!</v>
      </c>
      <c r="K418" s="69">
        <v>102000</v>
      </c>
      <c r="L418" s="69">
        <f>'Monitoramento Acumulado Geral'!Q418</f>
        <v>0</v>
      </c>
      <c r="M418" s="6">
        <f>(SUM(L410:L418))/K417</f>
        <v>0.34004411764705883</v>
      </c>
      <c r="N418" s="35" t="e">
        <f t="shared" si="940"/>
        <v>#DIV/0!</v>
      </c>
      <c r="O418" s="6" t="e">
        <f t="shared" ref="O418:Q418" si="1083">O406</f>
        <v>#DIV/0!</v>
      </c>
      <c r="P418" s="6" t="e">
        <f t="shared" si="1083"/>
        <v>#DIV/0!</v>
      </c>
      <c r="Q418" s="6" t="e">
        <f t="shared" si="1083"/>
        <v>#DIV/0!</v>
      </c>
      <c r="R418" s="69">
        <v>80</v>
      </c>
      <c r="S418" s="69">
        <v>24</v>
      </c>
      <c r="T418" s="6">
        <f t="shared" si="935"/>
        <v>0.3</v>
      </c>
      <c r="U418" s="35" t="e">
        <f t="shared" si="942"/>
        <v>#DIV/0!</v>
      </c>
      <c r="V418" s="6" t="e">
        <f t="shared" ref="V418:Z418" si="1084">V406</f>
        <v>#DIV/0!</v>
      </c>
      <c r="W418" s="6" t="e">
        <f t="shared" si="1084"/>
        <v>#DIV/0!</v>
      </c>
      <c r="X418" s="6" t="e">
        <f t="shared" si="1084"/>
        <v>#DIV/0!</v>
      </c>
      <c r="Y418" s="6" t="e">
        <f t="shared" si="1084"/>
        <v>#DIV/0!</v>
      </c>
      <c r="Z418" s="6" t="e">
        <f t="shared" si="1084"/>
        <v>#DIV/0!</v>
      </c>
    </row>
    <row r="419" spans="1:26" x14ac:dyDescent="0.2">
      <c r="A419" s="7" t="s">
        <v>103</v>
      </c>
      <c r="B419" s="6">
        <f t="shared" si="937"/>
        <v>10</v>
      </c>
      <c r="C419" s="7" t="s">
        <v>160</v>
      </c>
      <c r="D419" s="68">
        <v>75</v>
      </c>
      <c r="E419" s="68">
        <v>41</v>
      </c>
      <c r="F419" s="65">
        <f t="shared" si="932"/>
        <v>0.54666666666666663</v>
      </c>
      <c r="G419" s="60" t="e">
        <f t="shared" si="938"/>
        <v>#DIV/0!</v>
      </c>
      <c r="H419" s="65" t="e">
        <f t="shared" ref="H419:J419" si="1085">H407</f>
        <v>#DIV/0!</v>
      </c>
      <c r="I419" s="65" t="e">
        <f t="shared" si="1085"/>
        <v>#DIV/0!</v>
      </c>
      <c r="J419" s="65" t="e">
        <f t="shared" si="1085"/>
        <v>#DIV/0!</v>
      </c>
      <c r="K419" s="69">
        <v>102000</v>
      </c>
      <c r="L419" s="69">
        <f>'Monitoramento Acumulado Geral'!Q419</f>
        <v>0</v>
      </c>
      <c r="M419" s="6">
        <f>(SUM(L410:L419))/K418</f>
        <v>0.34004411764705883</v>
      </c>
      <c r="N419" s="35" t="e">
        <f t="shared" si="940"/>
        <v>#DIV/0!</v>
      </c>
      <c r="O419" s="6" t="e">
        <f t="shared" ref="O419:Q419" si="1086">O407</f>
        <v>#DIV/0!</v>
      </c>
      <c r="P419" s="6" t="e">
        <f t="shared" si="1086"/>
        <v>#DIV/0!</v>
      </c>
      <c r="Q419" s="6" t="e">
        <f t="shared" si="1086"/>
        <v>#DIV/0!</v>
      </c>
      <c r="R419" s="69">
        <v>80</v>
      </c>
      <c r="S419" s="69">
        <v>24</v>
      </c>
      <c r="T419" s="6">
        <f t="shared" si="935"/>
        <v>0.3</v>
      </c>
      <c r="U419" s="35" t="e">
        <f t="shared" si="942"/>
        <v>#DIV/0!</v>
      </c>
      <c r="V419" s="6" t="e">
        <f t="shared" ref="V419:Z419" si="1087">V407</f>
        <v>#DIV/0!</v>
      </c>
      <c r="W419" s="6" t="e">
        <f t="shared" si="1087"/>
        <v>#DIV/0!</v>
      </c>
      <c r="X419" s="6" t="e">
        <f t="shared" si="1087"/>
        <v>#DIV/0!</v>
      </c>
      <c r="Y419" s="6" t="e">
        <f t="shared" si="1087"/>
        <v>#DIV/0!</v>
      </c>
      <c r="Z419" s="6" t="e">
        <f t="shared" si="1087"/>
        <v>#DIV/0!</v>
      </c>
    </row>
    <row r="420" spans="1:26" x14ac:dyDescent="0.2">
      <c r="A420" s="7" t="s">
        <v>103</v>
      </c>
      <c r="B420" s="6">
        <f t="shared" si="937"/>
        <v>11</v>
      </c>
      <c r="C420" s="7" t="s">
        <v>161</v>
      </c>
      <c r="D420" s="68">
        <v>75</v>
      </c>
      <c r="E420" s="68">
        <v>0</v>
      </c>
      <c r="F420" s="65">
        <f t="shared" si="932"/>
        <v>0</v>
      </c>
      <c r="G420" s="60" t="e">
        <f t="shared" si="938"/>
        <v>#DIV/0!</v>
      </c>
      <c r="H420" s="65" t="e">
        <f t="shared" ref="H420:J420" si="1088">H408</f>
        <v>#DIV/0!</v>
      </c>
      <c r="I420" s="65" t="e">
        <f t="shared" si="1088"/>
        <v>#DIV/0!</v>
      </c>
      <c r="J420" s="65" t="e">
        <f t="shared" si="1088"/>
        <v>#DIV/0!</v>
      </c>
      <c r="K420" s="69">
        <v>102000</v>
      </c>
      <c r="L420" s="69">
        <f>'Monitoramento Acumulado Geral'!Q420</f>
        <v>0</v>
      </c>
      <c r="M420" s="6">
        <f>(SUM(L410:L420))/K419</f>
        <v>0.34004411764705883</v>
      </c>
      <c r="N420" s="35" t="e">
        <f t="shared" si="940"/>
        <v>#DIV/0!</v>
      </c>
      <c r="O420" s="6" t="e">
        <f t="shared" ref="O420:Q420" si="1089">O408</f>
        <v>#DIV/0!</v>
      </c>
      <c r="P420" s="6" t="e">
        <f t="shared" si="1089"/>
        <v>#DIV/0!</v>
      </c>
      <c r="Q420" s="6" t="e">
        <f t="shared" si="1089"/>
        <v>#DIV/0!</v>
      </c>
      <c r="R420" s="69">
        <v>80</v>
      </c>
      <c r="S420" s="69">
        <v>0</v>
      </c>
      <c r="T420" s="6">
        <f t="shared" si="935"/>
        <v>0</v>
      </c>
      <c r="U420" s="35" t="e">
        <f t="shared" si="942"/>
        <v>#DIV/0!</v>
      </c>
      <c r="V420" s="6" t="e">
        <f t="shared" ref="V420:Z420" si="1090">V408</f>
        <v>#DIV/0!</v>
      </c>
      <c r="W420" s="6" t="e">
        <f t="shared" si="1090"/>
        <v>#DIV/0!</v>
      </c>
      <c r="X420" s="6" t="e">
        <f t="shared" si="1090"/>
        <v>#DIV/0!</v>
      </c>
      <c r="Y420" s="6" t="e">
        <f t="shared" si="1090"/>
        <v>#DIV/0!</v>
      </c>
      <c r="Z420" s="6" t="e">
        <f t="shared" si="1090"/>
        <v>#DIV/0!</v>
      </c>
    </row>
    <row r="421" spans="1:26" x14ac:dyDescent="0.2">
      <c r="A421" s="7" t="s">
        <v>103</v>
      </c>
      <c r="B421" s="6">
        <f t="shared" si="937"/>
        <v>12</v>
      </c>
      <c r="C421" s="7" t="s">
        <v>162</v>
      </c>
      <c r="D421" s="68">
        <v>75</v>
      </c>
      <c r="E421" s="68">
        <v>0</v>
      </c>
      <c r="F421" s="65">
        <f t="shared" si="932"/>
        <v>0</v>
      </c>
      <c r="G421" s="60" t="e">
        <f t="shared" si="938"/>
        <v>#DIV/0!</v>
      </c>
      <c r="H421" s="65" t="e">
        <f t="shared" ref="H421:J421" si="1091">H409</f>
        <v>#DIV/0!</v>
      </c>
      <c r="I421" s="65" t="e">
        <f t="shared" si="1091"/>
        <v>#DIV/0!</v>
      </c>
      <c r="J421" s="65" t="e">
        <f t="shared" si="1091"/>
        <v>#DIV/0!</v>
      </c>
      <c r="K421" s="69">
        <v>102000</v>
      </c>
      <c r="L421" s="69">
        <f>'Monitoramento Acumulado Geral'!Q421</f>
        <v>0</v>
      </c>
      <c r="M421" s="6">
        <f>(SUM(L410:L421))/K420</f>
        <v>0.34004411764705883</v>
      </c>
      <c r="N421" s="35" t="e">
        <f t="shared" si="940"/>
        <v>#DIV/0!</v>
      </c>
      <c r="O421" s="6" t="e">
        <f t="shared" ref="O421:Q421" si="1092">O409</f>
        <v>#DIV/0!</v>
      </c>
      <c r="P421" s="6" t="e">
        <f t="shared" si="1092"/>
        <v>#DIV/0!</v>
      </c>
      <c r="Q421" s="6" t="e">
        <f t="shared" si="1092"/>
        <v>#DIV/0!</v>
      </c>
      <c r="R421" s="69">
        <v>80</v>
      </c>
      <c r="S421" s="69">
        <v>0</v>
      </c>
      <c r="T421" s="6">
        <f t="shared" si="935"/>
        <v>0</v>
      </c>
      <c r="U421" s="35" t="e">
        <f t="shared" si="942"/>
        <v>#DIV/0!</v>
      </c>
      <c r="V421" s="6" t="e">
        <f t="shared" ref="V421:Z421" si="1093">V409</f>
        <v>#DIV/0!</v>
      </c>
      <c r="W421" s="6" t="e">
        <f t="shared" si="1093"/>
        <v>#DIV/0!</v>
      </c>
      <c r="X421" s="6" t="e">
        <f t="shared" si="1093"/>
        <v>#DIV/0!</v>
      </c>
      <c r="Y421" s="6" t="e">
        <f t="shared" si="1093"/>
        <v>#DIV/0!</v>
      </c>
      <c r="Z421" s="6" t="e">
        <f t="shared" si="1093"/>
        <v>#DIV/0!</v>
      </c>
    </row>
    <row r="422" spans="1:26" x14ac:dyDescent="0.2">
      <c r="A422" s="7" t="s">
        <v>85</v>
      </c>
      <c r="B422" s="6">
        <f t="shared" si="937"/>
        <v>1</v>
      </c>
      <c r="C422" s="7" t="s">
        <v>151</v>
      </c>
      <c r="D422" s="68">
        <v>75</v>
      </c>
      <c r="E422" s="68">
        <v>0</v>
      </c>
      <c r="F422" s="65">
        <f t="shared" si="932"/>
        <v>0</v>
      </c>
      <c r="G422" s="60" t="e">
        <f t="shared" si="938"/>
        <v>#DIV/0!</v>
      </c>
      <c r="H422" s="65" t="e">
        <f t="shared" ref="H422:J422" si="1094">H410</f>
        <v>#DIV/0!</v>
      </c>
      <c r="I422" s="65" t="e">
        <f t="shared" si="1094"/>
        <v>#DIV/0!</v>
      </c>
      <c r="J422" s="65" t="e">
        <f t="shared" si="1094"/>
        <v>#DIV/0!</v>
      </c>
      <c r="K422" s="69">
        <v>8100</v>
      </c>
      <c r="L422" s="69">
        <f>'Monitoramento Acumulado Geral'!Q422</f>
        <v>0</v>
      </c>
      <c r="M422" s="6">
        <f>L422/K422</f>
        <v>0</v>
      </c>
      <c r="N422" s="35" t="e">
        <f t="shared" si="940"/>
        <v>#DIV/0!</v>
      </c>
      <c r="O422" s="6" t="e">
        <f t="shared" ref="O422:Q422" si="1095">O410</f>
        <v>#DIV/0!</v>
      </c>
      <c r="P422" s="6" t="e">
        <f t="shared" si="1095"/>
        <v>#DIV/0!</v>
      </c>
      <c r="Q422" s="6" t="e">
        <f t="shared" si="1095"/>
        <v>#DIV/0!</v>
      </c>
      <c r="R422" s="69">
        <v>70</v>
      </c>
      <c r="S422" s="69">
        <v>0</v>
      </c>
      <c r="T422" s="6">
        <f t="shared" si="935"/>
        <v>0</v>
      </c>
      <c r="U422" s="35" t="e">
        <f t="shared" si="942"/>
        <v>#DIV/0!</v>
      </c>
      <c r="V422" s="6" t="e">
        <f t="shared" ref="V422:Z422" si="1096">V410</f>
        <v>#DIV/0!</v>
      </c>
      <c r="W422" s="6" t="e">
        <f t="shared" si="1096"/>
        <v>#DIV/0!</v>
      </c>
      <c r="X422" s="6" t="e">
        <f t="shared" si="1096"/>
        <v>#DIV/0!</v>
      </c>
      <c r="Y422" s="6" t="e">
        <f t="shared" si="1096"/>
        <v>#DIV/0!</v>
      </c>
      <c r="Z422" s="6" t="e">
        <f t="shared" si="1096"/>
        <v>#DIV/0!</v>
      </c>
    </row>
    <row r="423" spans="1:26" x14ac:dyDescent="0.2">
      <c r="A423" s="7" t="s">
        <v>85</v>
      </c>
      <c r="B423" s="6">
        <f t="shared" si="937"/>
        <v>2</v>
      </c>
      <c r="C423" s="7" t="s">
        <v>152</v>
      </c>
      <c r="D423" s="68">
        <v>75</v>
      </c>
      <c r="E423" s="68">
        <v>0</v>
      </c>
      <c r="F423" s="65">
        <f t="shared" si="932"/>
        <v>0</v>
      </c>
      <c r="G423" s="60" t="e">
        <f t="shared" si="938"/>
        <v>#DIV/0!</v>
      </c>
      <c r="H423" s="65" t="e">
        <f t="shared" ref="H423:J423" si="1097">H411</f>
        <v>#DIV/0!</v>
      </c>
      <c r="I423" s="65" t="e">
        <f t="shared" si="1097"/>
        <v>#DIV/0!</v>
      </c>
      <c r="J423" s="65" t="e">
        <f t="shared" si="1097"/>
        <v>#DIV/0!</v>
      </c>
      <c r="K423" s="69">
        <v>8100</v>
      </c>
      <c r="L423" s="69">
        <f>'Monitoramento Acumulado Geral'!Q423</f>
        <v>0</v>
      </c>
      <c r="M423" s="6">
        <f>(SUM(L422:L423))/K422</f>
        <v>0</v>
      </c>
      <c r="N423" s="35" t="e">
        <f t="shared" si="940"/>
        <v>#DIV/0!</v>
      </c>
      <c r="O423" s="6" t="e">
        <f t="shared" ref="O423:Q423" si="1098">O411</f>
        <v>#DIV/0!</v>
      </c>
      <c r="P423" s="6" t="e">
        <f t="shared" si="1098"/>
        <v>#DIV/0!</v>
      </c>
      <c r="Q423" s="6" t="e">
        <f t="shared" si="1098"/>
        <v>#DIV/0!</v>
      </c>
      <c r="R423" s="69">
        <v>70</v>
      </c>
      <c r="S423" s="69">
        <v>0</v>
      </c>
      <c r="T423" s="6">
        <f t="shared" si="935"/>
        <v>0</v>
      </c>
      <c r="U423" s="35" t="e">
        <f t="shared" si="942"/>
        <v>#DIV/0!</v>
      </c>
      <c r="V423" s="6" t="e">
        <f t="shared" ref="V423:Z423" si="1099">V411</f>
        <v>#DIV/0!</v>
      </c>
      <c r="W423" s="6" t="e">
        <f t="shared" si="1099"/>
        <v>#DIV/0!</v>
      </c>
      <c r="X423" s="6" t="e">
        <f t="shared" si="1099"/>
        <v>#DIV/0!</v>
      </c>
      <c r="Y423" s="6" t="e">
        <f t="shared" si="1099"/>
        <v>#DIV/0!</v>
      </c>
      <c r="Z423" s="6" t="e">
        <f t="shared" si="1099"/>
        <v>#DIV/0!</v>
      </c>
    </row>
    <row r="424" spans="1:26" x14ac:dyDescent="0.2">
      <c r="A424" s="7" t="s">
        <v>85</v>
      </c>
      <c r="B424" s="6">
        <f t="shared" si="937"/>
        <v>3</v>
      </c>
      <c r="C424" s="7" t="s">
        <v>153</v>
      </c>
      <c r="D424" s="68">
        <v>75</v>
      </c>
      <c r="E424" s="68">
        <v>0</v>
      </c>
      <c r="F424" s="65">
        <f t="shared" si="932"/>
        <v>0</v>
      </c>
      <c r="G424" s="60" t="e">
        <f t="shared" si="938"/>
        <v>#DIV/0!</v>
      </c>
      <c r="H424" s="65" t="e">
        <f t="shared" ref="H424:J424" si="1100">H412</f>
        <v>#DIV/0!</v>
      </c>
      <c r="I424" s="65" t="e">
        <f t="shared" si="1100"/>
        <v>#DIV/0!</v>
      </c>
      <c r="J424" s="65" t="e">
        <f t="shared" si="1100"/>
        <v>#DIV/0!</v>
      </c>
      <c r="K424" s="69">
        <v>8100</v>
      </c>
      <c r="L424" s="69">
        <f>'Monitoramento Acumulado Geral'!Q424</f>
        <v>0</v>
      </c>
      <c r="M424" s="6">
        <f>(SUM(L422:L424))/K423</f>
        <v>0</v>
      </c>
      <c r="N424" s="35" t="e">
        <f t="shared" si="940"/>
        <v>#DIV/0!</v>
      </c>
      <c r="O424" s="6" t="e">
        <f t="shared" ref="O424:Q424" si="1101">O412</f>
        <v>#DIV/0!</v>
      </c>
      <c r="P424" s="6" t="e">
        <f t="shared" si="1101"/>
        <v>#DIV/0!</v>
      </c>
      <c r="Q424" s="6" t="e">
        <f t="shared" si="1101"/>
        <v>#DIV/0!</v>
      </c>
      <c r="R424" s="69">
        <v>70</v>
      </c>
      <c r="S424" s="69">
        <v>0</v>
      </c>
      <c r="T424" s="6">
        <f t="shared" si="935"/>
        <v>0</v>
      </c>
      <c r="U424" s="35" t="e">
        <f t="shared" si="942"/>
        <v>#DIV/0!</v>
      </c>
      <c r="V424" s="6" t="e">
        <f t="shared" ref="V424:Z424" si="1102">V412</f>
        <v>#DIV/0!</v>
      </c>
      <c r="W424" s="6" t="e">
        <f t="shared" si="1102"/>
        <v>#DIV/0!</v>
      </c>
      <c r="X424" s="6" t="e">
        <f t="shared" si="1102"/>
        <v>#DIV/0!</v>
      </c>
      <c r="Y424" s="6" t="e">
        <f t="shared" si="1102"/>
        <v>#DIV/0!</v>
      </c>
      <c r="Z424" s="6" t="e">
        <f t="shared" si="1102"/>
        <v>#DIV/0!</v>
      </c>
    </row>
    <row r="425" spans="1:26" x14ac:dyDescent="0.2">
      <c r="A425" s="7" t="s">
        <v>85</v>
      </c>
      <c r="B425" s="6">
        <f t="shared" si="937"/>
        <v>4</v>
      </c>
      <c r="C425" s="7" t="s">
        <v>154</v>
      </c>
      <c r="D425" s="68">
        <v>75</v>
      </c>
      <c r="E425" s="68">
        <v>0</v>
      </c>
      <c r="F425" s="65">
        <f t="shared" si="932"/>
        <v>0</v>
      </c>
      <c r="G425" s="60" t="e">
        <f t="shared" si="938"/>
        <v>#DIV/0!</v>
      </c>
      <c r="H425" s="65" t="e">
        <f t="shared" ref="H425:J425" si="1103">H413</f>
        <v>#DIV/0!</v>
      </c>
      <c r="I425" s="65" t="e">
        <f t="shared" si="1103"/>
        <v>#DIV/0!</v>
      </c>
      <c r="J425" s="65" t="e">
        <f t="shared" si="1103"/>
        <v>#DIV/0!</v>
      </c>
      <c r="K425" s="69">
        <v>8100</v>
      </c>
      <c r="L425" s="69">
        <f>'Monitoramento Acumulado Geral'!Q425</f>
        <v>0</v>
      </c>
      <c r="M425" s="6">
        <f>(SUM(L422:L425))/K424</f>
        <v>0</v>
      </c>
      <c r="N425" s="35" t="e">
        <f t="shared" si="940"/>
        <v>#DIV/0!</v>
      </c>
      <c r="O425" s="6" t="e">
        <f t="shared" ref="O425:Q425" si="1104">O413</f>
        <v>#DIV/0!</v>
      </c>
      <c r="P425" s="6" t="e">
        <f t="shared" si="1104"/>
        <v>#DIV/0!</v>
      </c>
      <c r="Q425" s="6" t="e">
        <f t="shared" si="1104"/>
        <v>#DIV/0!</v>
      </c>
      <c r="R425" s="69">
        <v>70</v>
      </c>
      <c r="S425" s="69">
        <v>0</v>
      </c>
      <c r="T425" s="6">
        <f t="shared" si="935"/>
        <v>0</v>
      </c>
      <c r="U425" s="35" t="e">
        <f t="shared" si="942"/>
        <v>#DIV/0!</v>
      </c>
      <c r="V425" s="6" t="e">
        <f t="shared" ref="V425:Z425" si="1105">V413</f>
        <v>#DIV/0!</v>
      </c>
      <c r="W425" s="6" t="e">
        <f t="shared" si="1105"/>
        <v>#DIV/0!</v>
      </c>
      <c r="X425" s="6" t="e">
        <f t="shared" si="1105"/>
        <v>#DIV/0!</v>
      </c>
      <c r="Y425" s="6" t="e">
        <f t="shared" si="1105"/>
        <v>#DIV/0!</v>
      </c>
      <c r="Z425" s="6" t="e">
        <f t="shared" si="1105"/>
        <v>#DIV/0!</v>
      </c>
    </row>
    <row r="426" spans="1:26" x14ac:dyDescent="0.2">
      <c r="A426" s="7" t="s">
        <v>85</v>
      </c>
      <c r="B426" s="6">
        <f t="shared" si="937"/>
        <v>5</v>
      </c>
      <c r="C426" s="7" t="s">
        <v>155</v>
      </c>
      <c r="D426" s="68">
        <v>75</v>
      </c>
      <c r="E426" s="68">
        <v>100</v>
      </c>
      <c r="F426" s="65">
        <f t="shared" si="932"/>
        <v>1.3333333333333333</v>
      </c>
      <c r="G426" s="60" t="e">
        <f t="shared" si="938"/>
        <v>#DIV/0!</v>
      </c>
      <c r="H426" s="65" t="e">
        <f t="shared" ref="H426:J426" si="1106">H414</f>
        <v>#DIV/0!</v>
      </c>
      <c r="I426" s="65" t="e">
        <f t="shared" si="1106"/>
        <v>#DIV/0!</v>
      </c>
      <c r="J426" s="65" t="e">
        <f t="shared" si="1106"/>
        <v>#DIV/0!</v>
      </c>
      <c r="K426" s="69">
        <v>8100</v>
      </c>
      <c r="L426" s="69">
        <f>'Monitoramento Acumulado Geral'!Q426</f>
        <v>300</v>
      </c>
      <c r="M426" s="6">
        <f>(SUM(L422:L426))/K425</f>
        <v>3.7037037037037035E-2</v>
      </c>
      <c r="N426" s="35" t="e">
        <f t="shared" si="940"/>
        <v>#DIV/0!</v>
      </c>
      <c r="O426" s="6" t="e">
        <f t="shared" ref="O426:Q426" si="1107">O414</f>
        <v>#DIV/0!</v>
      </c>
      <c r="P426" s="6" t="e">
        <f t="shared" si="1107"/>
        <v>#DIV/0!</v>
      </c>
      <c r="Q426" s="6" t="e">
        <f t="shared" si="1107"/>
        <v>#DIV/0!</v>
      </c>
      <c r="R426" s="69">
        <v>70</v>
      </c>
      <c r="S426" s="69">
        <v>10</v>
      </c>
      <c r="T426" s="6">
        <f t="shared" si="935"/>
        <v>0.14285714285714285</v>
      </c>
      <c r="U426" s="35" t="e">
        <f t="shared" si="942"/>
        <v>#DIV/0!</v>
      </c>
      <c r="V426" s="6" t="e">
        <f t="shared" ref="V426:Z426" si="1108">V414</f>
        <v>#DIV/0!</v>
      </c>
      <c r="W426" s="6" t="e">
        <f t="shared" si="1108"/>
        <v>#DIV/0!</v>
      </c>
      <c r="X426" s="6" t="e">
        <f t="shared" si="1108"/>
        <v>#DIV/0!</v>
      </c>
      <c r="Y426" s="6" t="e">
        <f t="shared" si="1108"/>
        <v>#DIV/0!</v>
      </c>
      <c r="Z426" s="6" t="e">
        <f t="shared" si="1108"/>
        <v>#DIV/0!</v>
      </c>
    </row>
    <row r="427" spans="1:26" x14ac:dyDescent="0.2">
      <c r="A427" s="7" t="s">
        <v>85</v>
      </c>
      <c r="B427" s="6">
        <f t="shared" si="937"/>
        <v>6</v>
      </c>
      <c r="C427" s="7" t="s">
        <v>156</v>
      </c>
      <c r="D427" s="68">
        <v>75</v>
      </c>
      <c r="E427" s="68">
        <v>100</v>
      </c>
      <c r="F427" s="65">
        <f t="shared" si="932"/>
        <v>1.3333333333333333</v>
      </c>
      <c r="G427" s="60" t="e">
        <f t="shared" si="938"/>
        <v>#DIV/0!</v>
      </c>
      <c r="H427" s="65" t="e">
        <f t="shared" ref="H427:J427" si="1109">H415</f>
        <v>#DIV/0!</v>
      </c>
      <c r="I427" s="65" t="e">
        <f t="shared" si="1109"/>
        <v>#DIV/0!</v>
      </c>
      <c r="J427" s="65" t="e">
        <f t="shared" si="1109"/>
        <v>#DIV/0!</v>
      </c>
      <c r="K427" s="69">
        <v>8100</v>
      </c>
      <c r="L427" s="69">
        <f>'Monitoramento Acumulado Geral'!Q427</f>
        <v>550</v>
      </c>
      <c r="M427" s="6">
        <f>(SUM(L422:L427))/K426</f>
        <v>0.10493827160493827</v>
      </c>
      <c r="N427" s="35" t="e">
        <f t="shared" si="940"/>
        <v>#DIV/0!</v>
      </c>
      <c r="O427" s="6" t="e">
        <f t="shared" ref="O427:Q427" si="1110">O415</f>
        <v>#DIV/0!</v>
      </c>
      <c r="P427" s="6" t="e">
        <f t="shared" si="1110"/>
        <v>#DIV/0!</v>
      </c>
      <c r="Q427" s="6" t="e">
        <f t="shared" si="1110"/>
        <v>#DIV/0!</v>
      </c>
      <c r="R427" s="69">
        <v>70</v>
      </c>
      <c r="S427" s="69">
        <v>10</v>
      </c>
      <c r="T427" s="6">
        <f t="shared" si="935"/>
        <v>0.14285714285714285</v>
      </c>
      <c r="U427" s="35" t="e">
        <f t="shared" si="942"/>
        <v>#DIV/0!</v>
      </c>
      <c r="V427" s="6" t="e">
        <f t="shared" ref="V427:Z427" si="1111">V415</f>
        <v>#DIV/0!</v>
      </c>
      <c r="W427" s="6" t="e">
        <f t="shared" si="1111"/>
        <v>#DIV/0!</v>
      </c>
      <c r="X427" s="6" t="e">
        <f t="shared" si="1111"/>
        <v>#DIV/0!</v>
      </c>
      <c r="Y427" s="6" t="e">
        <f t="shared" si="1111"/>
        <v>#DIV/0!</v>
      </c>
      <c r="Z427" s="6" t="e">
        <f t="shared" si="1111"/>
        <v>#DIV/0!</v>
      </c>
    </row>
    <row r="428" spans="1:26" x14ac:dyDescent="0.2">
      <c r="A428" s="7" t="s">
        <v>85</v>
      </c>
      <c r="B428" s="6">
        <f t="shared" si="937"/>
        <v>7</v>
      </c>
      <c r="C428" s="7" t="s">
        <v>157</v>
      </c>
      <c r="D428" s="68">
        <v>75</v>
      </c>
      <c r="E428" s="68">
        <v>100</v>
      </c>
      <c r="F428" s="65">
        <f t="shared" si="932"/>
        <v>1.3333333333333333</v>
      </c>
      <c r="G428" s="60" t="e">
        <f t="shared" si="938"/>
        <v>#DIV/0!</v>
      </c>
      <c r="H428" s="65" t="e">
        <f t="shared" ref="H428:J428" si="1112">H416</f>
        <v>#DIV/0!</v>
      </c>
      <c r="I428" s="65" t="e">
        <f t="shared" si="1112"/>
        <v>#DIV/0!</v>
      </c>
      <c r="J428" s="65" t="e">
        <f t="shared" si="1112"/>
        <v>#DIV/0!</v>
      </c>
      <c r="K428" s="69">
        <v>8100</v>
      </c>
      <c r="L428" s="69">
        <f>'Monitoramento Acumulado Geral'!Q428</f>
        <v>3100</v>
      </c>
      <c r="M428" s="6">
        <f>(SUM(L422:L428))/K427</f>
        <v>0.48765432098765432</v>
      </c>
      <c r="N428" s="35" t="e">
        <f t="shared" si="940"/>
        <v>#DIV/0!</v>
      </c>
      <c r="O428" s="6" t="e">
        <f t="shared" ref="O428:Q428" si="1113">O416</f>
        <v>#DIV/0!</v>
      </c>
      <c r="P428" s="6" t="e">
        <f t="shared" si="1113"/>
        <v>#DIV/0!</v>
      </c>
      <c r="Q428" s="6" t="e">
        <f t="shared" si="1113"/>
        <v>#DIV/0!</v>
      </c>
      <c r="R428" s="69">
        <v>70</v>
      </c>
      <c r="S428" s="69">
        <v>10</v>
      </c>
      <c r="T428" s="6">
        <f t="shared" si="935"/>
        <v>0.14285714285714285</v>
      </c>
      <c r="U428" s="35" t="e">
        <f t="shared" si="942"/>
        <v>#DIV/0!</v>
      </c>
      <c r="V428" s="6" t="e">
        <f t="shared" ref="V428:Z428" si="1114">V416</f>
        <v>#DIV/0!</v>
      </c>
      <c r="W428" s="6" t="e">
        <f t="shared" si="1114"/>
        <v>#DIV/0!</v>
      </c>
      <c r="X428" s="6" t="e">
        <f t="shared" si="1114"/>
        <v>#DIV/0!</v>
      </c>
      <c r="Y428" s="6" t="e">
        <f t="shared" si="1114"/>
        <v>#DIV/0!</v>
      </c>
      <c r="Z428" s="6" t="e">
        <f t="shared" si="1114"/>
        <v>#DIV/0!</v>
      </c>
    </row>
    <row r="429" spans="1:26" x14ac:dyDescent="0.2">
      <c r="A429" s="7" t="s">
        <v>85</v>
      </c>
      <c r="B429" s="6">
        <f t="shared" si="937"/>
        <v>8</v>
      </c>
      <c r="C429" s="7" t="s">
        <v>158</v>
      </c>
      <c r="D429" s="68">
        <v>75</v>
      </c>
      <c r="E429" s="68">
        <v>100</v>
      </c>
      <c r="F429" s="65">
        <f t="shared" si="932"/>
        <v>1.3333333333333333</v>
      </c>
      <c r="G429" s="60" t="e">
        <f t="shared" si="938"/>
        <v>#DIV/0!</v>
      </c>
      <c r="H429" s="65" t="e">
        <f t="shared" ref="H429:J429" si="1115">H417</f>
        <v>#DIV/0!</v>
      </c>
      <c r="I429" s="65" t="e">
        <f t="shared" si="1115"/>
        <v>#DIV/0!</v>
      </c>
      <c r="J429" s="65" t="e">
        <f t="shared" si="1115"/>
        <v>#DIV/0!</v>
      </c>
      <c r="K429" s="69">
        <v>8100</v>
      </c>
      <c r="L429" s="69">
        <f>'Monitoramento Acumulado Geral'!Q429</f>
        <v>1850</v>
      </c>
      <c r="M429" s="6">
        <f>(SUM(L422:L429))/K428</f>
        <v>0.71604938271604934</v>
      </c>
      <c r="N429" s="35" t="e">
        <f t="shared" si="940"/>
        <v>#DIV/0!</v>
      </c>
      <c r="O429" s="6" t="e">
        <f t="shared" ref="O429:Q429" si="1116">O417</f>
        <v>#DIV/0!</v>
      </c>
      <c r="P429" s="6" t="e">
        <f t="shared" si="1116"/>
        <v>#DIV/0!</v>
      </c>
      <c r="Q429" s="6" t="e">
        <f t="shared" si="1116"/>
        <v>#DIV/0!</v>
      </c>
      <c r="R429" s="69">
        <v>70</v>
      </c>
      <c r="S429" s="69">
        <v>10</v>
      </c>
      <c r="T429" s="6">
        <f t="shared" si="935"/>
        <v>0.14285714285714285</v>
      </c>
      <c r="U429" s="35" t="e">
        <f t="shared" si="942"/>
        <v>#DIV/0!</v>
      </c>
      <c r="V429" s="6" t="e">
        <f t="shared" ref="V429:Z429" si="1117">V417</f>
        <v>#DIV/0!</v>
      </c>
      <c r="W429" s="6" t="e">
        <f t="shared" si="1117"/>
        <v>#DIV/0!</v>
      </c>
      <c r="X429" s="6" t="e">
        <f t="shared" si="1117"/>
        <v>#DIV/0!</v>
      </c>
      <c r="Y429" s="6" t="e">
        <f t="shared" si="1117"/>
        <v>#DIV/0!</v>
      </c>
      <c r="Z429" s="6" t="e">
        <f t="shared" si="1117"/>
        <v>#DIV/0!</v>
      </c>
    </row>
    <row r="430" spans="1:26" x14ac:dyDescent="0.2">
      <c r="A430" s="7" t="s">
        <v>85</v>
      </c>
      <c r="B430" s="6">
        <f t="shared" si="937"/>
        <v>9</v>
      </c>
      <c r="C430" s="7" t="s">
        <v>159</v>
      </c>
      <c r="D430" s="68">
        <v>75</v>
      </c>
      <c r="E430" s="68">
        <v>100</v>
      </c>
      <c r="F430" s="65">
        <f t="shared" si="932"/>
        <v>1.3333333333333333</v>
      </c>
      <c r="G430" s="60" t="e">
        <f t="shared" si="938"/>
        <v>#DIV/0!</v>
      </c>
      <c r="H430" s="65" t="e">
        <f t="shared" ref="H430:J430" si="1118">H418</f>
        <v>#DIV/0!</v>
      </c>
      <c r="I430" s="65" t="e">
        <f t="shared" si="1118"/>
        <v>#DIV/0!</v>
      </c>
      <c r="J430" s="65" t="e">
        <f t="shared" si="1118"/>
        <v>#DIV/0!</v>
      </c>
      <c r="K430" s="69">
        <v>8100</v>
      </c>
      <c r="L430" s="69">
        <f>'Monitoramento Acumulado Geral'!Q430</f>
        <v>890</v>
      </c>
      <c r="M430" s="6">
        <f>(SUM(L422:L430))/K429</f>
        <v>0.82592592592592595</v>
      </c>
      <c r="N430" s="35" t="e">
        <f t="shared" si="940"/>
        <v>#DIV/0!</v>
      </c>
      <c r="O430" s="6" t="e">
        <f t="shared" ref="O430:Q430" si="1119">O418</f>
        <v>#DIV/0!</v>
      </c>
      <c r="P430" s="6" t="e">
        <f t="shared" si="1119"/>
        <v>#DIV/0!</v>
      </c>
      <c r="Q430" s="6" t="e">
        <f t="shared" si="1119"/>
        <v>#DIV/0!</v>
      </c>
      <c r="R430" s="69">
        <v>70</v>
      </c>
      <c r="S430" s="69">
        <v>80</v>
      </c>
      <c r="T430" s="6">
        <f t="shared" si="935"/>
        <v>1.1428571428571428</v>
      </c>
      <c r="U430" s="35" t="e">
        <f t="shared" si="942"/>
        <v>#DIV/0!</v>
      </c>
      <c r="V430" s="6" t="e">
        <f t="shared" ref="V430:Z430" si="1120">V418</f>
        <v>#DIV/0!</v>
      </c>
      <c r="W430" s="6" t="e">
        <f t="shared" si="1120"/>
        <v>#DIV/0!</v>
      </c>
      <c r="X430" s="6" t="e">
        <f t="shared" si="1120"/>
        <v>#DIV/0!</v>
      </c>
      <c r="Y430" s="6" t="e">
        <f t="shared" si="1120"/>
        <v>#DIV/0!</v>
      </c>
      <c r="Z430" s="6" t="e">
        <f t="shared" si="1120"/>
        <v>#DIV/0!</v>
      </c>
    </row>
    <row r="431" spans="1:26" x14ac:dyDescent="0.2">
      <c r="A431" s="7" t="s">
        <v>85</v>
      </c>
      <c r="B431" s="6">
        <f t="shared" si="937"/>
        <v>10</v>
      </c>
      <c r="C431" s="7" t="s">
        <v>160</v>
      </c>
      <c r="D431" s="68">
        <v>75</v>
      </c>
      <c r="E431" s="68">
        <v>100</v>
      </c>
      <c r="F431" s="65">
        <f t="shared" si="932"/>
        <v>1.3333333333333333</v>
      </c>
      <c r="G431" s="60" t="e">
        <f t="shared" si="938"/>
        <v>#DIV/0!</v>
      </c>
      <c r="H431" s="65" t="e">
        <f t="shared" ref="H431:J431" si="1121">H419</f>
        <v>#DIV/0!</v>
      </c>
      <c r="I431" s="65" t="e">
        <f t="shared" si="1121"/>
        <v>#DIV/0!</v>
      </c>
      <c r="J431" s="65" t="e">
        <f t="shared" si="1121"/>
        <v>#DIV/0!</v>
      </c>
      <c r="K431" s="69">
        <v>8100</v>
      </c>
      <c r="L431" s="69">
        <f>'Monitoramento Acumulado Geral'!Q431</f>
        <v>0</v>
      </c>
      <c r="M431" s="6">
        <f>(SUM(L422:L431))/K430</f>
        <v>0.82592592592592595</v>
      </c>
      <c r="N431" s="35" t="e">
        <f t="shared" si="940"/>
        <v>#DIV/0!</v>
      </c>
      <c r="O431" s="6" t="e">
        <f t="shared" ref="O431:Q431" si="1122">O419</f>
        <v>#DIV/0!</v>
      </c>
      <c r="P431" s="6" t="e">
        <f t="shared" si="1122"/>
        <v>#DIV/0!</v>
      </c>
      <c r="Q431" s="6" t="e">
        <f t="shared" si="1122"/>
        <v>#DIV/0!</v>
      </c>
      <c r="R431" s="69">
        <v>70</v>
      </c>
      <c r="S431" s="69">
        <v>80</v>
      </c>
      <c r="T431" s="6">
        <f t="shared" si="935"/>
        <v>1.1428571428571428</v>
      </c>
      <c r="U431" s="35" t="e">
        <f t="shared" si="942"/>
        <v>#DIV/0!</v>
      </c>
      <c r="V431" s="6" t="e">
        <f t="shared" ref="V431:Z431" si="1123">V419</f>
        <v>#DIV/0!</v>
      </c>
      <c r="W431" s="6" t="e">
        <f t="shared" si="1123"/>
        <v>#DIV/0!</v>
      </c>
      <c r="X431" s="6" t="e">
        <f t="shared" si="1123"/>
        <v>#DIV/0!</v>
      </c>
      <c r="Y431" s="6" t="e">
        <f t="shared" si="1123"/>
        <v>#DIV/0!</v>
      </c>
      <c r="Z431" s="6" t="e">
        <f t="shared" si="1123"/>
        <v>#DIV/0!</v>
      </c>
    </row>
    <row r="432" spans="1:26" x14ac:dyDescent="0.2">
      <c r="A432" s="7" t="s">
        <v>85</v>
      </c>
      <c r="B432" s="6">
        <f t="shared" si="937"/>
        <v>11</v>
      </c>
      <c r="C432" s="7" t="s">
        <v>161</v>
      </c>
      <c r="D432" s="68">
        <v>75</v>
      </c>
      <c r="E432" s="68">
        <v>0</v>
      </c>
      <c r="F432" s="65">
        <f t="shared" si="932"/>
        <v>0</v>
      </c>
      <c r="G432" s="60" t="e">
        <f t="shared" si="938"/>
        <v>#DIV/0!</v>
      </c>
      <c r="H432" s="65" t="e">
        <f t="shared" ref="H432:J432" si="1124">H420</f>
        <v>#DIV/0!</v>
      </c>
      <c r="I432" s="65" t="e">
        <f t="shared" si="1124"/>
        <v>#DIV/0!</v>
      </c>
      <c r="J432" s="65" t="e">
        <f t="shared" si="1124"/>
        <v>#DIV/0!</v>
      </c>
      <c r="K432" s="69">
        <v>8100</v>
      </c>
      <c r="L432" s="69">
        <f>'Monitoramento Acumulado Geral'!Q432</f>
        <v>0</v>
      </c>
      <c r="M432" s="6">
        <f>(SUM(L422:L432))/K431</f>
        <v>0.82592592592592595</v>
      </c>
      <c r="N432" s="35" t="e">
        <f t="shared" si="940"/>
        <v>#DIV/0!</v>
      </c>
      <c r="O432" s="6" t="e">
        <f t="shared" ref="O432:Q432" si="1125">O420</f>
        <v>#DIV/0!</v>
      </c>
      <c r="P432" s="6" t="e">
        <f t="shared" si="1125"/>
        <v>#DIV/0!</v>
      </c>
      <c r="Q432" s="6" t="e">
        <f t="shared" si="1125"/>
        <v>#DIV/0!</v>
      </c>
      <c r="R432" s="69">
        <v>70</v>
      </c>
      <c r="S432" s="69">
        <v>0</v>
      </c>
      <c r="T432" s="6">
        <f t="shared" si="935"/>
        <v>0</v>
      </c>
      <c r="U432" s="35" t="e">
        <f t="shared" si="942"/>
        <v>#DIV/0!</v>
      </c>
      <c r="V432" s="6" t="e">
        <f t="shared" ref="V432:Z432" si="1126">V420</f>
        <v>#DIV/0!</v>
      </c>
      <c r="W432" s="6" t="e">
        <f t="shared" si="1126"/>
        <v>#DIV/0!</v>
      </c>
      <c r="X432" s="6" t="e">
        <f t="shared" si="1126"/>
        <v>#DIV/0!</v>
      </c>
      <c r="Y432" s="6" t="e">
        <f t="shared" si="1126"/>
        <v>#DIV/0!</v>
      </c>
      <c r="Z432" s="6" t="e">
        <f t="shared" si="1126"/>
        <v>#DIV/0!</v>
      </c>
    </row>
    <row r="433" spans="1:26" x14ac:dyDescent="0.2">
      <c r="A433" s="7" t="s">
        <v>85</v>
      </c>
      <c r="B433" s="6">
        <f t="shared" si="937"/>
        <v>12</v>
      </c>
      <c r="C433" s="7" t="s">
        <v>162</v>
      </c>
      <c r="D433" s="68">
        <v>75</v>
      </c>
      <c r="E433" s="68">
        <v>0</v>
      </c>
      <c r="F433" s="65">
        <f t="shared" si="932"/>
        <v>0</v>
      </c>
      <c r="G433" s="60" t="e">
        <f t="shared" si="938"/>
        <v>#DIV/0!</v>
      </c>
      <c r="H433" s="65" t="e">
        <f t="shared" ref="H433:J433" si="1127">H421</f>
        <v>#DIV/0!</v>
      </c>
      <c r="I433" s="65" t="e">
        <f t="shared" si="1127"/>
        <v>#DIV/0!</v>
      </c>
      <c r="J433" s="65" t="e">
        <f t="shared" si="1127"/>
        <v>#DIV/0!</v>
      </c>
      <c r="K433" s="69">
        <v>8100</v>
      </c>
      <c r="L433" s="69">
        <f>'Monitoramento Acumulado Geral'!Q433</f>
        <v>0</v>
      </c>
      <c r="M433" s="6">
        <f>(SUM(L422:L433))/K432</f>
        <v>0.82592592592592595</v>
      </c>
      <c r="N433" s="35" t="e">
        <f t="shared" si="940"/>
        <v>#DIV/0!</v>
      </c>
      <c r="O433" s="6" t="e">
        <f t="shared" ref="O433:Q433" si="1128">O421</f>
        <v>#DIV/0!</v>
      </c>
      <c r="P433" s="6" t="e">
        <f t="shared" si="1128"/>
        <v>#DIV/0!</v>
      </c>
      <c r="Q433" s="6" t="e">
        <f t="shared" si="1128"/>
        <v>#DIV/0!</v>
      </c>
      <c r="R433" s="69">
        <v>70</v>
      </c>
      <c r="S433" s="69">
        <v>0</v>
      </c>
      <c r="T433" s="6">
        <f t="shared" si="935"/>
        <v>0</v>
      </c>
      <c r="U433" s="35" t="e">
        <f t="shared" si="942"/>
        <v>#DIV/0!</v>
      </c>
      <c r="V433" s="6" t="e">
        <f t="shared" ref="V433:Z433" si="1129">V421</f>
        <v>#DIV/0!</v>
      </c>
      <c r="W433" s="6" t="e">
        <f t="shared" si="1129"/>
        <v>#DIV/0!</v>
      </c>
      <c r="X433" s="6" t="e">
        <f t="shared" si="1129"/>
        <v>#DIV/0!</v>
      </c>
      <c r="Y433" s="6" t="e">
        <f t="shared" si="1129"/>
        <v>#DIV/0!</v>
      </c>
      <c r="Z433" s="6" t="e">
        <f t="shared" si="1129"/>
        <v>#DIV/0!</v>
      </c>
    </row>
    <row r="434" spans="1:26" x14ac:dyDescent="0.2">
      <c r="A434" s="7" t="s">
        <v>121</v>
      </c>
      <c r="B434" s="6">
        <f t="shared" si="937"/>
        <v>1</v>
      </c>
      <c r="C434" s="7" t="s">
        <v>151</v>
      </c>
      <c r="D434" s="68">
        <v>75</v>
      </c>
      <c r="E434" s="68">
        <v>15</v>
      </c>
      <c r="F434" s="65">
        <f t="shared" ref="F434:F521" si="1130">E434/D434</f>
        <v>0.2</v>
      </c>
      <c r="G434" s="60" t="e">
        <f t="shared" si="938"/>
        <v>#DIV/0!</v>
      </c>
      <c r="H434" s="65" t="e">
        <f t="shared" ref="H434:J434" si="1131">H422</f>
        <v>#DIV/0!</v>
      </c>
      <c r="I434" s="65" t="e">
        <f t="shared" si="1131"/>
        <v>#DIV/0!</v>
      </c>
      <c r="J434" s="65" t="e">
        <f t="shared" si="1131"/>
        <v>#DIV/0!</v>
      </c>
      <c r="K434" s="69">
        <v>125346</v>
      </c>
      <c r="L434" s="69">
        <f>'Monitoramento Acumulado Geral'!Q434</f>
        <v>9000</v>
      </c>
      <c r="M434" s="6">
        <f>L434/K434</f>
        <v>7.1801254128572106E-2</v>
      </c>
      <c r="N434" s="35" t="e">
        <f t="shared" si="940"/>
        <v>#DIV/0!</v>
      </c>
      <c r="O434" s="6" t="e">
        <f t="shared" ref="O434:Q434" si="1132">O422</f>
        <v>#DIV/0!</v>
      </c>
      <c r="P434" s="6" t="e">
        <f t="shared" si="1132"/>
        <v>#DIV/0!</v>
      </c>
      <c r="Q434" s="6" t="e">
        <f t="shared" si="1132"/>
        <v>#DIV/0!</v>
      </c>
      <c r="R434" s="69">
        <v>75</v>
      </c>
      <c r="S434" s="69">
        <v>0</v>
      </c>
      <c r="T434" s="6">
        <f t="shared" ref="T434:T521" si="1133">S434/R434</f>
        <v>0</v>
      </c>
      <c r="U434" s="35" t="e">
        <f t="shared" si="942"/>
        <v>#DIV/0!</v>
      </c>
      <c r="V434" s="6" t="e">
        <f t="shared" ref="V434:Z434" si="1134">V422</f>
        <v>#DIV/0!</v>
      </c>
      <c r="W434" s="6" t="e">
        <f t="shared" si="1134"/>
        <v>#DIV/0!</v>
      </c>
      <c r="X434" s="6" t="e">
        <f t="shared" si="1134"/>
        <v>#DIV/0!</v>
      </c>
      <c r="Y434" s="6" t="e">
        <f t="shared" si="1134"/>
        <v>#DIV/0!</v>
      </c>
      <c r="Z434" s="6" t="e">
        <f t="shared" si="1134"/>
        <v>#DIV/0!</v>
      </c>
    </row>
    <row r="435" spans="1:26" x14ac:dyDescent="0.2">
      <c r="A435" s="7" t="s">
        <v>121</v>
      </c>
      <c r="B435" s="6">
        <f t="shared" ref="B435:B522" si="1135">_xlfn.IFS(C435="Janeiro",1,C435="Fevereiro",2,C435="Março",3,C435="Abril",4,C435="Maio",5,C435="Junho",6,C435="Julho",7,C435="Agosto",8,C435="Setembro",9,C435="Outubro",10,C435="Novembro",11,C435="Dezembro",12,TRUE,0)</f>
        <v>2</v>
      </c>
      <c r="C435" s="7" t="s">
        <v>152</v>
      </c>
      <c r="D435" s="68">
        <v>75</v>
      </c>
      <c r="E435" s="68">
        <v>30</v>
      </c>
      <c r="F435" s="65">
        <f t="shared" si="1130"/>
        <v>0.4</v>
      </c>
      <c r="G435" s="60" t="e">
        <f t="shared" ref="G435:G522" si="1136">IF(F435&gt;=I435,"Desempenho Ótimo",(IF(F435&gt;H435,"Desempenho Bom",(IF(F435&gt;J435,"Desempenho Médio",IF(F435&lt;=J435,"Desempenho Deficitário",0))))))</f>
        <v>#DIV/0!</v>
      </c>
      <c r="H435" s="65" t="e">
        <f t="shared" ref="H435:J435" si="1137">H423</f>
        <v>#DIV/0!</v>
      </c>
      <c r="I435" s="65" t="e">
        <f t="shared" si="1137"/>
        <v>#DIV/0!</v>
      </c>
      <c r="J435" s="65" t="e">
        <f t="shared" si="1137"/>
        <v>#DIV/0!</v>
      </c>
      <c r="K435" s="69">
        <v>125346</v>
      </c>
      <c r="L435" s="69">
        <f>'Monitoramento Acumulado Geral'!Q435</f>
        <v>4600</v>
      </c>
      <c r="M435" s="6">
        <f>(SUM(L434:L435))/K434</f>
        <v>0.10849967290539786</v>
      </c>
      <c r="N435" s="35" t="e">
        <f t="shared" ref="N435:N522" si="1138">IF(M435&gt;=P435,"Desempenho Ótimo",(IF(M435&gt;O435,"Desempenho Bom",(IF(M435&gt;Q435,"Desempenho Médio",IF(M435&lt;=Q435,"Desempenho Deficitário",0))))))</f>
        <v>#DIV/0!</v>
      </c>
      <c r="O435" s="6" t="e">
        <f t="shared" ref="O435:Q435" si="1139">O423</f>
        <v>#DIV/0!</v>
      </c>
      <c r="P435" s="6" t="e">
        <f t="shared" si="1139"/>
        <v>#DIV/0!</v>
      </c>
      <c r="Q435" s="6" t="e">
        <f t="shared" si="1139"/>
        <v>#DIV/0!</v>
      </c>
      <c r="R435" s="69">
        <v>75</v>
      </c>
      <c r="S435" s="69">
        <v>0</v>
      </c>
      <c r="T435" s="6">
        <f t="shared" si="1133"/>
        <v>0</v>
      </c>
      <c r="U435" s="35" t="e">
        <f t="shared" ref="U435:U522" si="1140">IF(T435&gt;=W435,"Desempenho Ótimo",(IF(T435&gt;V435,"Desempenho Bom",(IF(T435&gt;X435,"Desempenho Médio",IF(T435&lt;=X435,"Desempenho Deficitário",0))))))</f>
        <v>#DIV/0!</v>
      </c>
      <c r="V435" s="6" t="e">
        <f t="shared" ref="V435:Z435" si="1141">V423</f>
        <v>#DIV/0!</v>
      </c>
      <c r="W435" s="6" t="e">
        <f t="shared" si="1141"/>
        <v>#DIV/0!</v>
      </c>
      <c r="X435" s="6" t="e">
        <f t="shared" si="1141"/>
        <v>#DIV/0!</v>
      </c>
      <c r="Y435" s="6" t="e">
        <f t="shared" si="1141"/>
        <v>#DIV/0!</v>
      </c>
      <c r="Z435" s="6" t="e">
        <f t="shared" si="1141"/>
        <v>#DIV/0!</v>
      </c>
    </row>
    <row r="436" spans="1:26" x14ac:dyDescent="0.2">
      <c r="A436" s="7" t="s">
        <v>121</v>
      </c>
      <c r="B436" s="6">
        <f t="shared" si="1135"/>
        <v>3</v>
      </c>
      <c r="C436" s="7" t="s">
        <v>153</v>
      </c>
      <c r="D436" s="68">
        <v>75</v>
      </c>
      <c r="E436" s="68">
        <v>41</v>
      </c>
      <c r="F436" s="65">
        <f t="shared" si="1130"/>
        <v>0.54666666666666663</v>
      </c>
      <c r="G436" s="60" t="e">
        <f t="shared" si="1136"/>
        <v>#DIV/0!</v>
      </c>
      <c r="H436" s="65" t="e">
        <f t="shared" ref="H436:J436" si="1142">H424</f>
        <v>#DIV/0!</v>
      </c>
      <c r="I436" s="65" t="e">
        <f t="shared" si="1142"/>
        <v>#DIV/0!</v>
      </c>
      <c r="J436" s="65" t="e">
        <f t="shared" si="1142"/>
        <v>#DIV/0!</v>
      </c>
      <c r="K436" s="69">
        <v>125346</v>
      </c>
      <c r="L436" s="69">
        <f>'Monitoramento Acumulado Geral'!Q436</f>
        <v>19880</v>
      </c>
      <c r="M436" s="6">
        <f>(SUM(L434:L436))/K435</f>
        <v>0.26710066535828825</v>
      </c>
      <c r="N436" s="35" t="e">
        <f t="shared" si="1138"/>
        <v>#DIV/0!</v>
      </c>
      <c r="O436" s="6" t="e">
        <f t="shared" ref="O436:Q436" si="1143">O424</f>
        <v>#DIV/0!</v>
      </c>
      <c r="P436" s="6" t="e">
        <f t="shared" si="1143"/>
        <v>#DIV/0!</v>
      </c>
      <c r="Q436" s="6" t="e">
        <f t="shared" si="1143"/>
        <v>#DIV/0!</v>
      </c>
      <c r="R436" s="69">
        <v>75</v>
      </c>
      <c r="S436" s="69">
        <v>0</v>
      </c>
      <c r="T436" s="6">
        <f t="shared" si="1133"/>
        <v>0</v>
      </c>
      <c r="U436" s="35" t="e">
        <f t="shared" si="1140"/>
        <v>#DIV/0!</v>
      </c>
      <c r="V436" s="6" t="e">
        <f t="shared" ref="V436:Z436" si="1144">V424</f>
        <v>#DIV/0!</v>
      </c>
      <c r="W436" s="6" t="e">
        <f t="shared" si="1144"/>
        <v>#DIV/0!</v>
      </c>
      <c r="X436" s="6" t="e">
        <f t="shared" si="1144"/>
        <v>#DIV/0!</v>
      </c>
      <c r="Y436" s="6" t="e">
        <f t="shared" si="1144"/>
        <v>#DIV/0!</v>
      </c>
      <c r="Z436" s="6" t="e">
        <f t="shared" si="1144"/>
        <v>#DIV/0!</v>
      </c>
    </row>
    <row r="437" spans="1:26" x14ac:dyDescent="0.2">
      <c r="A437" s="7" t="s">
        <v>121</v>
      </c>
      <c r="B437" s="6">
        <f t="shared" si="1135"/>
        <v>4</v>
      </c>
      <c r="C437" s="7" t="s">
        <v>154</v>
      </c>
      <c r="D437" s="68">
        <v>75</v>
      </c>
      <c r="E437" s="68">
        <v>41</v>
      </c>
      <c r="F437" s="65">
        <f t="shared" si="1130"/>
        <v>0.54666666666666663</v>
      </c>
      <c r="G437" s="60" t="e">
        <f t="shared" si="1136"/>
        <v>#DIV/0!</v>
      </c>
      <c r="H437" s="65" t="e">
        <f t="shared" ref="H437:J437" si="1145">H425</f>
        <v>#DIV/0!</v>
      </c>
      <c r="I437" s="65" t="e">
        <f t="shared" si="1145"/>
        <v>#DIV/0!</v>
      </c>
      <c r="J437" s="65" t="e">
        <f t="shared" si="1145"/>
        <v>#DIV/0!</v>
      </c>
      <c r="K437" s="69">
        <v>125346</v>
      </c>
      <c r="L437" s="69">
        <f>'Monitoramento Acumulado Geral'!Q437</f>
        <v>12880</v>
      </c>
      <c r="M437" s="6">
        <f>(SUM(L434:L437))/K436</f>
        <v>0.36985623793340033</v>
      </c>
      <c r="N437" s="35" t="e">
        <f t="shared" si="1138"/>
        <v>#DIV/0!</v>
      </c>
      <c r="O437" s="6" t="e">
        <f t="shared" ref="O437:Q437" si="1146">O425</f>
        <v>#DIV/0!</v>
      </c>
      <c r="P437" s="6" t="e">
        <f t="shared" si="1146"/>
        <v>#DIV/0!</v>
      </c>
      <c r="Q437" s="6" t="e">
        <f t="shared" si="1146"/>
        <v>#DIV/0!</v>
      </c>
      <c r="R437" s="69">
        <v>75</v>
      </c>
      <c r="S437" s="69">
        <v>0</v>
      </c>
      <c r="T437" s="6">
        <f t="shared" si="1133"/>
        <v>0</v>
      </c>
      <c r="U437" s="35" t="e">
        <f t="shared" si="1140"/>
        <v>#DIV/0!</v>
      </c>
      <c r="V437" s="6" t="e">
        <f t="shared" ref="V437:Z437" si="1147">V425</f>
        <v>#DIV/0!</v>
      </c>
      <c r="W437" s="6" t="e">
        <f t="shared" si="1147"/>
        <v>#DIV/0!</v>
      </c>
      <c r="X437" s="6" t="e">
        <f t="shared" si="1147"/>
        <v>#DIV/0!</v>
      </c>
      <c r="Y437" s="6" t="e">
        <f t="shared" si="1147"/>
        <v>#DIV/0!</v>
      </c>
      <c r="Z437" s="6" t="e">
        <f t="shared" si="1147"/>
        <v>#DIV/0!</v>
      </c>
    </row>
    <row r="438" spans="1:26" x14ac:dyDescent="0.2">
      <c r="A438" s="7" t="s">
        <v>121</v>
      </c>
      <c r="B438" s="6">
        <f t="shared" si="1135"/>
        <v>5</v>
      </c>
      <c r="C438" s="7" t="s">
        <v>155</v>
      </c>
      <c r="D438" s="68">
        <v>75</v>
      </c>
      <c r="E438" s="68">
        <v>41</v>
      </c>
      <c r="F438" s="65">
        <f t="shared" si="1130"/>
        <v>0.54666666666666663</v>
      </c>
      <c r="G438" s="60" t="e">
        <f t="shared" si="1136"/>
        <v>#DIV/0!</v>
      </c>
      <c r="H438" s="65" t="e">
        <f t="shared" ref="H438:J438" si="1148">H426</f>
        <v>#DIV/0!</v>
      </c>
      <c r="I438" s="65" t="e">
        <f t="shared" si="1148"/>
        <v>#DIV/0!</v>
      </c>
      <c r="J438" s="65" t="e">
        <f t="shared" si="1148"/>
        <v>#DIV/0!</v>
      </c>
      <c r="K438" s="69">
        <v>125346</v>
      </c>
      <c r="L438" s="69">
        <f>'Monitoramento Acumulado Geral'!Q438</f>
        <v>0</v>
      </c>
      <c r="M438" s="6">
        <f>(SUM(L434:L438))/K437</f>
        <v>0.36985623793340033</v>
      </c>
      <c r="N438" s="35" t="e">
        <f t="shared" si="1138"/>
        <v>#DIV/0!</v>
      </c>
      <c r="O438" s="6" t="e">
        <f t="shared" ref="O438:Q438" si="1149">O426</f>
        <v>#DIV/0!</v>
      </c>
      <c r="P438" s="6" t="e">
        <f t="shared" si="1149"/>
        <v>#DIV/0!</v>
      </c>
      <c r="Q438" s="6" t="e">
        <f t="shared" si="1149"/>
        <v>#DIV/0!</v>
      </c>
      <c r="R438" s="69">
        <v>75</v>
      </c>
      <c r="S438" s="69">
        <v>22</v>
      </c>
      <c r="T438" s="6">
        <f t="shared" si="1133"/>
        <v>0.29333333333333333</v>
      </c>
      <c r="U438" s="35" t="e">
        <f t="shared" si="1140"/>
        <v>#DIV/0!</v>
      </c>
      <c r="V438" s="6" t="e">
        <f t="shared" ref="V438:Z438" si="1150">V426</f>
        <v>#DIV/0!</v>
      </c>
      <c r="W438" s="6" t="e">
        <f t="shared" si="1150"/>
        <v>#DIV/0!</v>
      </c>
      <c r="X438" s="6" t="e">
        <f t="shared" si="1150"/>
        <v>#DIV/0!</v>
      </c>
      <c r="Y438" s="6" t="e">
        <f t="shared" si="1150"/>
        <v>#DIV/0!</v>
      </c>
      <c r="Z438" s="6" t="e">
        <f t="shared" si="1150"/>
        <v>#DIV/0!</v>
      </c>
    </row>
    <row r="439" spans="1:26" x14ac:dyDescent="0.2">
      <c r="A439" s="7" t="s">
        <v>121</v>
      </c>
      <c r="B439" s="6">
        <f t="shared" si="1135"/>
        <v>6</v>
      </c>
      <c r="C439" s="7" t="s">
        <v>156</v>
      </c>
      <c r="D439" s="68">
        <v>75</v>
      </c>
      <c r="E439" s="68">
        <v>41</v>
      </c>
      <c r="F439" s="65">
        <f t="shared" si="1130"/>
        <v>0.54666666666666663</v>
      </c>
      <c r="G439" s="60" t="e">
        <f t="shared" si="1136"/>
        <v>#DIV/0!</v>
      </c>
      <c r="H439" s="65" t="e">
        <f t="shared" ref="H439:J439" si="1151">H427</f>
        <v>#DIV/0!</v>
      </c>
      <c r="I439" s="65" t="e">
        <f t="shared" si="1151"/>
        <v>#DIV/0!</v>
      </c>
      <c r="J439" s="65" t="e">
        <f t="shared" si="1151"/>
        <v>#DIV/0!</v>
      </c>
      <c r="K439" s="69">
        <v>125346</v>
      </c>
      <c r="L439" s="69">
        <f>'Monitoramento Acumulado Geral'!Q439</f>
        <v>296.39999999999998</v>
      </c>
      <c r="M439" s="6">
        <f>(SUM(L434:L439))/K438</f>
        <v>0.37222089256936802</v>
      </c>
      <c r="N439" s="35" t="e">
        <f t="shared" si="1138"/>
        <v>#DIV/0!</v>
      </c>
      <c r="O439" s="6" t="e">
        <f t="shared" ref="O439:Q439" si="1152">O427</f>
        <v>#DIV/0!</v>
      </c>
      <c r="P439" s="6" t="e">
        <f t="shared" si="1152"/>
        <v>#DIV/0!</v>
      </c>
      <c r="Q439" s="6" t="e">
        <f t="shared" si="1152"/>
        <v>#DIV/0!</v>
      </c>
      <c r="R439" s="69">
        <v>75</v>
      </c>
      <c r="S439" s="69">
        <v>22</v>
      </c>
      <c r="T439" s="6">
        <f t="shared" si="1133"/>
        <v>0.29333333333333333</v>
      </c>
      <c r="U439" s="35" t="e">
        <f t="shared" si="1140"/>
        <v>#DIV/0!</v>
      </c>
      <c r="V439" s="6" t="e">
        <f t="shared" ref="V439:Z439" si="1153">V427</f>
        <v>#DIV/0!</v>
      </c>
      <c r="W439" s="6" t="e">
        <f t="shared" si="1153"/>
        <v>#DIV/0!</v>
      </c>
      <c r="X439" s="6" t="e">
        <f t="shared" si="1153"/>
        <v>#DIV/0!</v>
      </c>
      <c r="Y439" s="6" t="e">
        <f t="shared" si="1153"/>
        <v>#DIV/0!</v>
      </c>
      <c r="Z439" s="6" t="e">
        <f t="shared" si="1153"/>
        <v>#DIV/0!</v>
      </c>
    </row>
    <row r="440" spans="1:26" x14ac:dyDescent="0.2">
      <c r="A440" s="7" t="s">
        <v>121</v>
      </c>
      <c r="B440" s="6">
        <f t="shared" si="1135"/>
        <v>7</v>
      </c>
      <c r="C440" s="7" t="s">
        <v>157</v>
      </c>
      <c r="D440" s="68">
        <v>75</v>
      </c>
      <c r="E440" s="68">
        <v>56</v>
      </c>
      <c r="F440" s="65">
        <f t="shared" si="1130"/>
        <v>0.7466666666666667</v>
      </c>
      <c r="G440" s="60" t="e">
        <f t="shared" si="1136"/>
        <v>#DIV/0!</v>
      </c>
      <c r="H440" s="65" t="e">
        <f t="shared" ref="H440:J440" si="1154">H428</f>
        <v>#DIV/0!</v>
      </c>
      <c r="I440" s="65" t="e">
        <f t="shared" si="1154"/>
        <v>#DIV/0!</v>
      </c>
      <c r="J440" s="65" t="e">
        <f t="shared" si="1154"/>
        <v>#DIV/0!</v>
      </c>
      <c r="K440" s="69">
        <v>125346</v>
      </c>
      <c r="L440" s="69">
        <f>'Monitoramento Acumulado Geral'!Q440</f>
        <v>34618.230000000003</v>
      </c>
      <c r="M440" s="6">
        <f>(SUM(L434:L440))/K439</f>
        <v>0.64840226253729683</v>
      </c>
      <c r="N440" s="35" t="e">
        <f t="shared" si="1138"/>
        <v>#DIV/0!</v>
      </c>
      <c r="O440" s="6" t="e">
        <f t="shared" ref="O440:Q440" si="1155">O428</f>
        <v>#DIV/0!</v>
      </c>
      <c r="P440" s="6" t="e">
        <f t="shared" si="1155"/>
        <v>#DIV/0!</v>
      </c>
      <c r="Q440" s="6" t="e">
        <f t="shared" si="1155"/>
        <v>#DIV/0!</v>
      </c>
      <c r="R440" s="69">
        <v>75</v>
      </c>
      <c r="S440" s="69">
        <v>22</v>
      </c>
      <c r="T440" s="6">
        <f t="shared" si="1133"/>
        <v>0.29333333333333333</v>
      </c>
      <c r="U440" s="35" t="e">
        <f t="shared" si="1140"/>
        <v>#DIV/0!</v>
      </c>
      <c r="V440" s="6" t="e">
        <f t="shared" ref="V440:Z440" si="1156">V428</f>
        <v>#DIV/0!</v>
      </c>
      <c r="W440" s="6" t="e">
        <f t="shared" si="1156"/>
        <v>#DIV/0!</v>
      </c>
      <c r="X440" s="6" t="e">
        <f t="shared" si="1156"/>
        <v>#DIV/0!</v>
      </c>
      <c r="Y440" s="6" t="e">
        <f t="shared" si="1156"/>
        <v>#DIV/0!</v>
      </c>
      <c r="Z440" s="6" t="e">
        <f t="shared" si="1156"/>
        <v>#DIV/0!</v>
      </c>
    </row>
    <row r="441" spans="1:26" x14ac:dyDescent="0.2">
      <c r="A441" s="7" t="s">
        <v>121</v>
      </c>
      <c r="B441" s="6">
        <f t="shared" si="1135"/>
        <v>8</v>
      </c>
      <c r="C441" s="7" t="s">
        <v>158</v>
      </c>
      <c r="D441" s="68">
        <v>75</v>
      </c>
      <c r="E441" s="68">
        <v>74</v>
      </c>
      <c r="F441" s="65">
        <f t="shared" si="1130"/>
        <v>0.98666666666666669</v>
      </c>
      <c r="G441" s="60" t="e">
        <f t="shared" si="1136"/>
        <v>#DIV/0!</v>
      </c>
      <c r="H441" s="65" t="e">
        <f t="shared" ref="H441:J441" si="1157">H429</f>
        <v>#DIV/0!</v>
      </c>
      <c r="I441" s="65" t="e">
        <f t="shared" si="1157"/>
        <v>#DIV/0!</v>
      </c>
      <c r="J441" s="65" t="e">
        <f t="shared" si="1157"/>
        <v>#DIV/0!</v>
      </c>
      <c r="K441" s="69">
        <v>125346</v>
      </c>
      <c r="L441" s="69">
        <f>'Monitoramento Acumulado Geral'!Q441</f>
        <v>1035.5999999999999</v>
      </c>
      <c r="M441" s="6">
        <f>(SUM(L434:L441))/K440</f>
        <v>0.65666419351235783</v>
      </c>
      <c r="N441" s="35" t="e">
        <f t="shared" si="1138"/>
        <v>#DIV/0!</v>
      </c>
      <c r="O441" s="6" t="e">
        <f t="shared" ref="O441:Q441" si="1158">O429</f>
        <v>#DIV/0!</v>
      </c>
      <c r="P441" s="6" t="e">
        <f t="shared" si="1158"/>
        <v>#DIV/0!</v>
      </c>
      <c r="Q441" s="6" t="e">
        <f t="shared" si="1158"/>
        <v>#DIV/0!</v>
      </c>
      <c r="R441" s="69">
        <v>75</v>
      </c>
      <c r="S441" s="69">
        <v>22</v>
      </c>
      <c r="T441" s="6">
        <f t="shared" si="1133"/>
        <v>0.29333333333333333</v>
      </c>
      <c r="U441" s="35" t="e">
        <f t="shared" si="1140"/>
        <v>#DIV/0!</v>
      </c>
      <c r="V441" s="6" t="e">
        <f t="shared" ref="V441:Z441" si="1159">V429</f>
        <v>#DIV/0!</v>
      </c>
      <c r="W441" s="6" t="e">
        <f t="shared" si="1159"/>
        <v>#DIV/0!</v>
      </c>
      <c r="X441" s="6" t="e">
        <f t="shared" si="1159"/>
        <v>#DIV/0!</v>
      </c>
      <c r="Y441" s="6" t="e">
        <f t="shared" si="1159"/>
        <v>#DIV/0!</v>
      </c>
      <c r="Z441" s="6" t="e">
        <f t="shared" si="1159"/>
        <v>#DIV/0!</v>
      </c>
    </row>
    <row r="442" spans="1:26" x14ac:dyDescent="0.2">
      <c r="A442" s="7" t="s">
        <v>121</v>
      </c>
      <c r="B442" s="6">
        <f t="shared" si="1135"/>
        <v>9</v>
      </c>
      <c r="C442" s="7" t="s">
        <v>159</v>
      </c>
      <c r="D442" s="68">
        <v>75</v>
      </c>
      <c r="E442" s="68">
        <v>81</v>
      </c>
      <c r="F442" s="65">
        <f t="shared" si="1130"/>
        <v>1.08</v>
      </c>
      <c r="G442" s="60" t="e">
        <f t="shared" si="1136"/>
        <v>#DIV/0!</v>
      </c>
      <c r="H442" s="65" t="e">
        <f t="shared" ref="H442:J442" si="1160">H430</f>
        <v>#DIV/0!</v>
      </c>
      <c r="I442" s="65" t="e">
        <f t="shared" si="1160"/>
        <v>#DIV/0!</v>
      </c>
      <c r="J442" s="65" t="e">
        <f t="shared" si="1160"/>
        <v>#DIV/0!</v>
      </c>
      <c r="K442" s="69">
        <v>125346</v>
      </c>
      <c r="L442" s="69">
        <f>'Monitoramento Acumulado Geral'!Q442</f>
        <v>296.39999999999998</v>
      </c>
      <c r="M442" s="6">
        <f>(SUM(L434:L442))/K441</f>
        <v>0.65902884814832552</v>
      </c>
      <c r="N442" s="35" t="e">
        <f t="shared" si="1138"/>
        <v>#DIV/0!</v>
      </c>
      <c r="O442" s="6" t="e">
        <f t="shared" ref="O442:Q442" si="1161">O430</f>
        <v>#DIV/0!</v>
      </c>
      <c r="P442" s="6" t="e">
        <f t="shared" si="1161"/>
        <v>#DIV/0!</v>
      </c>
      <c r="Q442" s="6" t="e">
        <f t="shared" si="1161"/>
        <v>#DIV/0!</v>
      </c>
      <c r="R442" s="69">
        <v>75</v>
      </c>
      <c r="S442" s="69">
        <v>22</v>
      </c>
      <c r="T442" s="6">
        <f t="shared" si="1133"/>
        <v>0.29333333333333333</v>
      </c>
      <c r="U442" s="35" t="e">
        <f t="shared" si="1140"/>
        <v>#DIV/0!</v>
      </c>
      <c r="V442" s="6" t="e">
        <f t="shared" ref="V442:Z442" si="1162">V430</f>
        <v>#DIV/0!</v>
      </c>
      <c r="W442" s="6" t="e">
        <f t="shared" si="1162"/>
        <v>#DIV/0!</v>
      </c>
      <c r="X442" s="6" t="e">
        <f t="shared" si="1162"/>
        <v>#DIV/0!</v>
      </c>
      <c r="Y442" s="6" t="e">
        <f t="shared" si="1162"/>
        <v>#DIV/0!</v>
      </c>
      <c r="Z442" s="6" t="e">
        <f t="shared" si="1162"/>
        <v>#DIV/0!</v>
      </c>
    </row>
    <row r="443" spans="1:26" x14ac:dyDescent="0.2">
      <c r="A443" s="7" t="s">
        <v>121</v>
      </c>
      <c r="B443" s="6">
        <f t="shared" si="1135"/>
        <v>10</v>
      </c>
      <c r="C443" s="7" t="s">
        <v>160</v>
      </c>
      <c r="D443" s="68">
        <v>75</v>
      </c>
      <c r="E443" s="68">
        <v>81</v>
      </c>
      <c r="F443" s="65">
        <f t="shared" si="1130"/>
        <v>1.08</v>
      </c>
      <c r="G443" s="60" t="e">
        <f t="shared" si="1136"/>
        <v>#DIV/0!</v>
      </c>
      <c r="H443" s="65" t="e">
        <f t="shared" ref="H443:J443" si="1163">H431</f>
        <v>#DIV/0!</v>
      </c>
      <c r="I443" s="65" t="e">
        <f t="shared" si="1163"/>
        <v>#DIV/0!</v>
      </c>
      <c r="J443" s="65" t="e">
        <f t="shared" si="1163"/>
        <v>#DIV/0!</v>
      </c>
      <c r="K443" s="69">
        <v>125346</v>
      </c>
      <c r="L443" s="69">
        <f>'Monitoramento Acumulado Geral'!Q443</f>
        <v>0</v>
      </c>
      <c r="M443" s="6">
        <f>(SUM(L434:L443))/K442</f>
        <v>0.65902884814832552</v>
      </c>
      <c r="N443" s="35" t="e">
        <f t="shared" si="1138"/>
        <v>#DIV/0!</v>
      </c>
      <c r="O443" s="6" t="e">
        <f t="shared" ref="O443:Q443" si="1164">O431</f>
        <v>#DIV/0!</v>
      </c>
      <c r="P443" s="6" t="e">
        <f t="shared" si="1164"/>
        <v>#DIV/0!</v>
      </c>
      <c r="Q443" s="6" t="e">
        <f t="shared" si="1164"/>
        <v>#DIV/0!</v>
      </c>
      <c r="R443" s="69">
        <v>75</v>
      </c>
      <c r="S443" s="69">
        <v>22</v>
      </c>
      <c r="T443" s="6">
        <f t="shared" si="1133"/>
        <v>0.29333333333333333</v>
      </c>
      <c r="U443" s="35" t="e">
        <f t="shared" si="1140"/>
        <v>#DIV/0!</v>
      </c>
      <c r="V443" s="6" t="e">
        <f t="shared" ref="V443:Z443" si="1165">V431</f>
        <v>#DIV/0!</v>
      </c>
      <c r="W443" s="6" t="e">
        <f t="shared" si="1165"/>
        <v>#DIV/0!</v>
      </c>
      <c r="X443" s="6" t="e">
        <f t="shared" si="1165"/>
        <v>#DIV/0!</v>
      </c>
      <c r="Y443" s="6" t="e">
        <f t="shared" si="1165"/>
        <v>#DIV/0!</v>
      </c>
      <c r="Z443" s="6" t="e">
        <f t="shared" si="1165"/>
        <v>#DIV/0!</v>
      </c>
    </row>
    <row r="444" spans="1:26" x14ac:dyDescent="0.2">
      <c r="A444" s="7" t="s">
        <v>121</v>
      </c>
      <c r="B444" s="6">
        <f t="shared" si="1135"/>
        <v>11</v>
      </c>
      <c r="C444" s="7" t="s">
        <v>161</v>
      </c>
      <c r="D444" s="68">
        <v>75</v>
      </c>
      <c r="E444" s="68">
        <v>0</v>
      </c>
      <c r="F444" s="65">
        <f t="shared" si="1130"/>
        <v>0</v>
      </c>
      <c r="G444" s="60" t="e">
        <f t="shared" si="1136"/>
        <v>#DIV/0!</v>
      </c>
      <c r="H444" s="65" t="e">
        <f t="shared" ref="H444:J444" si="1166">H432</f>
        <v>#DIV/0!</v>
      </c>
      <c r="I444" s="65" t="e">
        <f t="shared" si="1166"/>
        <v>#DIV/0!</v>
      </c>
      <c r="J444" s="65" t="e">
        <f t="shared" si="1166"/>
        <v>#DIV/0!</v>
      </c>
      <c r="K444" s="69">
        <v>125346</v>
      </c>
      <c r="L444" s="69">
        <f>'Monitoramento Acumulado Geral'!Q444</f>
        <v>0</v>
      </c>
      <c r="M444" s="6">
        <f>(SUM(L434:L444))/K443</f>
        <v>0.65902884814832552</v>
      </c>
      <c r="N444" s="35" t="e">
        <f t="shared" si="1138"/>
        <v>#DIV/0!</v>
      </c>
      <c r="O444" s="6" t="e">
        <f t="shared" ref="O444:Q444" si="1167">O432</f>
        <v>#DIV/0!</v>
      </c>
      <c r="P444" s="6" t="e">
        <f t="shared" si="1167"/>
        <v>#DIV/0!</v>
      </c>
      <c r="Q444" s="6" t="e">
        <f t="shared" si="1167"/>
        <v>#DIV/0!</v>
      </c>
      <c r="R444" s="69">
        <v>75</v>
      </c>
      <c r="S444" s="69">
        <v>0</v>
      </c>
      <c r="T444" s="6">
        <f t="shared" si="1133"/>
        <v>0</v>
      </c>
      <c r="U444" s="35" t="e">
        <f t="shared" si="1140"/>
        <v>#DIV/0!</v>
      </c>
      <c r="V444" s="6" t="e">
        <f t="shared" ref="V444:Z444" si="1168">V432</f>
        <v>#DIV/0!</v>
      </c>
      <c r="W444" s="6" t="e">
        <f t="shared" si="1168"/>
        <v>#DIV/0!</v>
      </c>
      <c r="X444" s="6" t="e">
        <f t="shared" si="1168"/>
        <v>#DIV/0!</v>
      </c>
      <c r="Y444" s="6" t="e">
        <f t="shared" si="1168"/>
        <v>#DIV/0!</v>
      </c>
      <c r="Z444" s="6" t="e">
        <f t="shared" si="1168"/>
        <v>#DIV/0!</v>
      </c>
    </row>
    <row r="445" spans="1:26" x14ac:dyDescent="0.2">
      <c r="A445" s="7" t="s">
        <v>121</v>
      </c>
      <c r="B445" s="6">
        <f t="shared" si="1135"/>
        <v>12</v>
      </c>
      <c r="C445" s="7" t="s">
        <v>162</v>
      </c>
      <c r="D445" s="68">
        <v>75</v>
      </c>
      <c r="E445" s="68">
        <v>0</v>
      </c>
      <c r="F445" s="65">
        <f t="shared" si="1130"/>
        <v>0</v>
      </c>
      <c r="G445" s="60" t="e">
        <f t="shared" si="1136"/>
        <v>#DIV/0!</v>
      </c>
      <c r="H445" s="65" t="e">
        <f t="shared" ref="H445:J445" si="1169">H433</f>
        <v>#DIV/0!</v>
      </c>
      <c r="I445" s="65" t="e">
        <f t="shared" si="1169"/>
        <v>#DIV/0!</v>
      </c>
      <c r="J445" s="65" t="e">
        <f t="shared" si="1169"/>
        <v>#DIV/0!</v>
      </c>
      <c r="K445" s="69">
        <v>125346</v>
      </c>
      <c r="L445" s="69">
        <f>'Monitoramento Acumulado Geral'!Q445</f>
        <v>0</v>
      </c>
      <c r="M445" s="6">
        <f>(SUM(L434:L445))/K444</f>
        <v>0.65902884814832552</v>
      </c>
      <c r="N445" s="35" t="e">
        <f t="shared" si="1138"/>
        <v>#DIV/0!</v>
      </c>
      <c r="O445" s="6" t="e">
        <f t="shared" ref="O445:Q445" si="1170">O433</f>
        <v>#DIV/0!</v>
      </c>
      <c r="P445" s="6" t="e">
        <f t="shared" si="1170"/>
        <v>#DIV/0!</v>
      </c>
      <c r="Q445" s="6" t="e">
        <f t="shared" si="1170"/>
        <v>#DIV/0!</v>
      </c>
      <c r="R445" s="69">
        <v>75</v>
      </c>
      <c r="S445" s="69">
        <v>0</v>
      </c>
      <c r="T445" s="6">
        <f t="shared" si="1133"/>
        <v>0</v>
      </c>
      <c r="U445" s="35" t="e">
        <f t="shared" si="1140"/>
        <v>#DIV/0!</v>
      </c>
      <c r="V445" s="6" t="e">
        <f t="shared" ref="V445:Z445" si="1171">V433</f>
        <v>#DIV/0!</v>
      </c>
      <c r="W445" s="6" t="e">
        <f t="shared" si="1171"/>
        <v>#DIV/0!</v>
      </c>
      <c r="X445" s="6" t="e">
        <f t="shared" si="1171"/>
        <v>#DIV/0!</v>
      </c>
      <c r="Y445" s="6" t="e">
        <f t="shared" si="1171"/>
        <v>#DIV/0!</v>
      </c>
      <c r="Z445" s="6" t="e">
        <f t="shared" si="1171"/>
        <v>#DIV/0!</v>
      </c>
    </row>
    <row r="446" spans="1:26" x14ac:dyDescent="0.2">
      <c r="A446" t="s">
        <v>314</v>
      </c>
      <c r="B446" s="6">
        <f t="shared" si="1135"/>
        <v>1</v>
      </c>
      <c r="C446" s="7" t="s">
        <v>151</v>
      </c>
      <c r="D446" s="68">
        <v>0</v>
      </c>
      <c r="E446" s="68">
        <v>0</v>
      </c>
      <c r="F446" s="65" t="e">
        <f t="shared" si="1130"/>
        <v>#DIV/0!</v>
      </c>
      <c r="G446" s="60" t="e">
        <f t="shared" si="1136"/>
        <v>#DIV/0!</v>
      </c>
      <c r="H446" s="65" t="e">
        <f t="shared" ref="H446:J446" si="1172">H434</f>
        <v>#DIV/0!</v>
      </c>
      <c r="I446" s="65" t="e">
        <f t="shared" si="1172"/>
        <v>#DIV/0!</v>
      </c>
      <c r="J446" s="65" t="e">
        <f t="shared" si="1172"/>
        <v>#DIV/0!</v>
      </c>
      <c r="K446" s="69">
        <v>0</v>
      </c>
      <c r="L446" s="69">
        <f>'Monitoramento Acumulado Geral'!Q446</f>
        <v>0</v>
      </c>
      <c r="M446" s="6" t="e">
        <f>L446/K446</f>
        <v>#DIV/0!</v>
      </c>
      <c r="N446" s="35" t="e">
        <f t="shared" si="1138"/>
        <v>#DIV/0!</v>
      </c>
      <c r="O446" s="6" t="e">
        <f t="shared" ref="O446:Q446" si="1173">O434</f>
        <v>#DIV/0!</v>
      </c>
      <c r="P446" s="6" t="e">
        <f t="shared" si="1173"/>
        <v>#DIV/0!</v>
      </c>
      <c r="Q446" s="6" t="e">
        <f t="shared" si="1173"/>
        <v>#DIV/0!</v>
      </c>
      <c r="R446" s="69">
        <v>0</v>
      </c>
      <c r="S446" s="69">
        <v>0</v>
      </c>
      <c r="T446" s="6" t="e">
        <f t="shared" si="1133"/>
        <v>#DIV/0!</v>
      </c>
      <c r="U446" s="35" t="e">
        <f t="shared" si="1140"/>
        <v>#DIV/0!</v>
      </c>
      <c r="V446" s="6" t="e">
        <f t="shared" ref="V446:Z446" si="1174">V434</f>
        <v>#DIV/0!</v>
      </c>
      <c r="W446" s="6" t="e">
        <f t="shared" si="1174"/>
        <v>#DIV/0!</v>
      </c>
      <c r="X446" s="6" t="e">
        <f t="shared" si="1174"/>
        <v>#DIV/0!</v>
      </c>
      <c r="Y446" s="6" t="e">
        <f t="shared" si="1174"/>
        <v>#DIV/0!</v>
      </c>
      <c r="Z446" s="6" t="e">
        <f t="shared" si="1174"/>
        <v>#DIV/0!</v>
      </c>
    </row>
    <row r="447" spans="1:26" x14ac:dyDescent="0.2">
      <c r="A447" t="s">
        <v>314</v>
      </c>
      <c r="B447" s="6">
        <f t="shared" si="1135"/>
        <v>2</v>
      </c>
      <c r="C447" s="7" t="s">
        <v>152</v>
      </c>
      <c r="D447" s="68">
        <v>0</v>
      </c>
      <c r="E447" s="68">
        <v>0</v>
      </c>
      <c r="F447" s="65" t="e">
        <f t="shared" si="1130"/>
        <v>#DIV/0!</v>
      </c>
      <c r="G447" s="60" t="e">
        <f t="shared" si="1136"/>
        <v>#DIV/0!</v>
      </c>
      <c r="H447" s="65" t="e">
        <f t="shared" ref="H447:J447" si="1175">H435</f>
        <v>#DIV/0!</v>
      </c>
      <c r="I447" s="65" t="e">
        <f t="shared" si="1175"/>
        <v>#DIV/0!</v>
      </c>
      <c r="J447" s="65" t="e">
        <f t="shared" si="1175"/>
        <v>#DIV/0!</v>
      </c>
      <c r="K447" s="69">
        <v>0</v>
      </c>
      <c r="L447" s="69">
        <f>'Monitoramento Acumulado Geral'!Q447</f>
        <v>0</v>
      </c>
      <c r="M447" s="6" t="e">
        <f>(SUM(L446:L447))/K446</f>
        <v>#DIV/0!</v>
      </c>
      <c r="N447" s="35" t="e">
        <f t="shared" si="1138"/>
        <v>#DIV/0!</v>
      </c>
      <c r="O447" s="6" t="e">
        <f t="shared" ref="O447:Q447" si="1176">O435</f>
        <v>#DIV/0!</v>
      </c>
      <c r="P447" s="6" t="e">
        <f t="shared" si="1176"/>
        <v>#DIV/0!</v>
      </c>
      <c r="Q447" s="6" t="e">
        <f t="shared" si="1176"/>
        <v>#DIV/0!</v>
      </c>
      <c r="R447" s="69">
        <v>0</v>
      </c>
      <c r="S447" s="69">
        <v>0</v>
      </c>
      <c r="T447" s="6" t="e">
        <f t="shared" si="1133"/>
        <v>#DIV/0!</v>
      </c>
      <c r="U447" s="35" t="e">
        <f t="shared" si="1140"/>
        <v>#DIV/0!</v>
      </c>
      <c r="V447" s="6" t="e">
        <f t="shared" ref="V447:Z447" si="1177">V435</f>
        <v>#DIV/0!</v>
      </c>
      <c r="W447" s="6" t="e">
        <f t="shared" si="1177"/>
        <v>#DIV/0!</v>
      </c>
      <c r="X447" s="6" t="e">
        <f t="shared" si="1177"/>
        <v>#DIV/0!</v>
      </c>
      <c r="Y447" s="6" t="e">
        <f t="shared" si="1177"/>
        <v>#DIV/0!</v>
      </c>
      <c r="Z447" s="6" t="e">
        <f t="shared" si="1177"/>
        <v>#DIV/0!</v>
      </c>
    </row>
    <row r="448" spans="1:26" x14ac:dyDescent="0.2">
      <c r="A448" t="s">
        <v>314</v>
      </c>
      <c r="B448" s="6">
        <f t="shared" si="1135"/>
        <v>3</v>
      </c>
      <c r="C448" s="7" t="s">
        <v>153</v>
      </c>
      <c r="D448" s="68">
        <v>0</v>
      </c>
      <c r="E448" s="68">
        <v>0</v>
      </c>
      <c r="F448" s="65" t="e">
        <f t="shared" si="1130"/>
        <v>#DIV/0!</v>
      </c>
      <c r="G448" s="60" t="e">
        <f t="shared" si="1136"/>
        <v>#DIV/0!</v>
      </c>
      <c r="H448" s="65" t="e">
        <f t="shared" ref="H448:J448" si="1178">H436</f>
        <v>#DIV/0!</v>
      </c>
      <c r="I448" s="65" t="e">
        <f t="shared" si="1178"/>
        <v>#DIV/0!</v>
      </c>
      <c r="J448" s="65" t="e">
        <f t="shared" si="1178"/>
        <v>#DIV/0!</v>
      </c>
      <c r="K448" s="69">
        <v>0</v>
      </c>
      <c r="L448" s="69">
        <f>'Monitoramento Acumulado Geral'!Q448</f>
        <v>0</v>
      </c>
      <c r="M448" s="6" t="e">
        <f>(SUM(L446:L448))/K447</f>
        <v>#DIV/0!</v>
      </c>
      <c r="N448" s="35" t="e">
        <f t="shared" si="1138"/>
        <v>#DIV/0!</v>
      </c>
      <c r="O448" s="6" t="e">
        <f t="shared" ref="O448:Q448" si="1179">O436</f>
        <v>#DIV/0!</v>
      </c>
      <c r="P448" s="6" t="e">
        <f t="shared" si="1179"/>
        <v>#DIV/0!</v>
      </c>
      <c r="Q448" s="6" t="e">
        <f t="shared" si="1179"/>
        <v>#DIV/0!</v>
      </c>
      <c r="R448" s="69">
        <v>0</v>
      </c>
      <c r="S448" s="69">
        <v>0</v>
      </c>
      <c r="T448" s="6" t="e">
        <f t="shared" si="1133"/>
        <v>#DIV/0!</v>
      </c>
      <c r="U448" s="35" t="e">
        <f t="shared" si="1140"/>
        <v>#DIV/0!</v>
      </c>
      <c r="V448" s="6" t="e">
        <f t="shared" ref="V448:Z448" si="1180">V436</f>
        <v>#DIV/0!</v>
      </c>
      <c r="W448" s="6" t="e">
        <f t="shared" si="1180"/>
        <v>#DIV/0!</v>
      </c>
      <c r="X448" s="6" t="e">
        <f t="shared" si="1180"/>
        <v>#DIV/0!</v>
      </c>
      <c r="Y448" s="6" t="e">
        <f t="shared" si="1180"/>
        <v>#DIV/0!</v>
      </c>
      <c r="Z448" s="6" t="e">
        <f t="shared" si="1180"/>
        <v>#DIV/0!</v>
      </c>
    </row>
    <row r="449" spans="1:26" x14ac:dyDescent="0.2">
      <c r="A449" t="s">
        <v>314</v>
      </c>
      <c r="B449" s="6">
        <f t="shared" si="1135"/>
        <v>4</v>
      </c>
      <c r="C449" s="7" t="s">
        <v>154</v>
      </c>
      <c r="D449" s="68">
        <v>0</v>
      </c>
      <c r="E449" s="68">
        <v>0</v>
      </c>
      <c r="F449" s="65" t="e">
        <f t="shared" si="1130"/>
        <v>#DIV/0!</v>
      </c>
      <c r="G449" s="60" t="e">
        <f t="shared" si="1136"/>
        <v>#DIV/0!</v>
      </c>
      <c r="H449" s="65" t="e">
        <f t="shared" ref="H449:J449" si="1181">H437</f>
        <v>#DIV/0!</v>
      </c>
      <c r="I449" s="65" t="e">
        <f t="shared" si="1181"/>
        <v>#DIV/0!</v>
      </c>
      <c r="J449" s="65" t="e">
        <f t="shared" si="1181"/>
        <v>#DIV/0!</v>
      </c>
      <c r="K449" s="69">
        <v>0</v>
      </c>
      <c r="L449" s="69">
        <f>'Monitoramento Acumulado Geral'!Q449</f>
        <v>0</v>
      </c>
      <c r="M449" s="6" t="e">
        <f>(SUM(L446:L449))/K448</f>
        <v>#DIV/0!</v>
      </c>
      <c r="N449" s="35" t="e">
        <f t="shared" si="1138"/>
        <v>#DIV/0!</v>
      </c>
      <c r="O449" s="6" t="e">
        <f t="shared" ref="O449:Q449" si="1182">O437</f>
        <v>#DIV/0!</v>
      </c>
      <c r="P449" s="6" t="e">
        <f t="shared" si="1182"/>
        <v>#DIV/0!</v>
      </c>
      <c r="Q449" s="6" t="e">
        <f t="shared" si="1182"/>
        <v>#DIV/0!</v>
      </c>
      <c r="R449" s="69">
        <v>0</v>
      </c>
      <c r="S449" s="69">
        <v>0</v>
      </c>
      <c r="T449" s="6" t="e">
        <f t="shared" si="1133"/>
        <v>#DIV/0!</v>
      </c>
      <c r="U449" s="35" t="e">
        <f t="shared" si="1140"/>
        <v>#DIV/0!</v>
      </c>
      <c r="V449" s="6" t="e">
        <f t="shared" ref="V449:Z449" si="1183">V437</f>
        <v>#DIV/0!</v>
      </c>
      <c r="W449" s="6" t="e">
        <f t="shared" si="1183"/>
        <v>#DIV/0!</v>
      </c>
      <c r="X449" s="6" t="e">
        <f t="shared" si="1183"/>
        <v>#DIV/0!</v>
      </c>
      <c r="Y449" s="6" t="e">
        <f t="shared" si="1183"/>
        <v>#DIV/0!</v>
      </c>
      <c r="Z449" s="6" t="e">
        <f t="shared" si="1183"/>
        <v>#DIV/0!</v>
      </c>
    </row>
    <row r="450" spans="1:26" x14ac:dyDescent="0.2">
      <c r="A450" t="s">
        <v>314</v>
      </c>
      <c r="B450" s="6">
        <f t="shared" si="1135"/>
        <v>5</v>
      </c>
      <c r="C450" s="7" t="s">
        <v>155</v>
      </c>
      <c r="D450" s="68">
        <v>0</v>
      </c>
      <c r="E450" s="68">
        <v>0</v>
      </c>
      <c r="F450" s="65" t="e">
        <f t="shared" si="1130"/>
        <v>#DIV/0!</v>
      </c>
      <c r="G450" s="60" t="e">
        <f t="shared" si="1136"/>
        <v>#DIV/0!</v>
      </c>
      <c r="H450" s="65" t="e">
        <f t="shared" ref="H450:J450" si="1184">H438</f>
        <v>#DIV/0!</v>
      </c>
      <c r="I450" s="65" t="e">
        <f t="shared" si="1184"/>
        <v>#DIV/0!</v>
      </c>
      <c r="J450" s="65" t="e">
        <f t="shared" si="1184"/>
        <v>#DIV/0!</v>
      </c>
      <c r="K450" s="69">
        <v>0</v>
      </c>
      <c r="L450" s="69">
        <f>'Monitoramento Acumulado Geral'!Q450</f>
        <v>0</v>
      </c>
      <c r="M450" s="6" t="e">
        <f>(SUM(L446:L450))/K449</f>
        <v>#DIV/0!</v>
      </c>
      <c r="N450" s="35" t="e">
        <f t="shared" si="1138"/>
        <v>#DIV/0!</v>
      </c>
      <c r="O450" s="6" t="e">
        <f t="shared" ref="O450:Q450" si="1185">O438</f>
        <v>#DIV/0!</v>
      </c>
      <c r="P450" s="6" t="e">
        <f t="shared" si="1185"/>
        <v>#DIV/0!</v>
      </c>
      <c r="Q450" s="6" t="e">
        <f t="shared" si="1185"/>
        <v>#DIV/0!</v>
      </c>
      <c r="R450" s="69">
        <v>0</v>
      </c>
      <c r="S450" s="69">
        <v>0</v>
      </c>
      <c r="T450" s="6" t="e">
        <f t="shared" si="1133"/>
        <v>#DIV/0!</v>
      </c>
      <c r="U450" s="35" t="e">
        <f t="shared" si="1140"/>
        <v>#DIV/0!</v>
      </c>
      <c r="V450" s="6" t="e">
        <f t="shared" ref="V450:Z450" si="1186">V438</f>
        <v>#DIV/0!</v>
      </c>
      <c r="W450" s="6" t="e">
        <f t="shared" si="1186"/>
        <v>#DIV/0!</v>
      </c>
      <c r="X450" s="6" t="e">
        <f t="shared" si="1186"/>
        <v>#DIV/0!</v>
      </c>
      <c r="Y450" s="6" t="e">
        <f t="shared" si="1186"/>
        <v>#DIV/0!</v>
      </c>
      <c r="Z450" s="6" t="e">
        <f t="shared" si="1186"/>
        <v>#DIV/0!</v>
      </c>
    </row>
    <row r="451" spans="1:26" x14ac:dyDescent="0.2">
      <c r="A451" t="s">
        <v>314</v>
      </c>
      <c r="B451" s="6">
        <f t="shared" si="1135"/>
        <v>6</v>
      </c>
      <c r="C451" s="7" t="s">
        <v>156</v>
      </c>
      <c r="D451" s="68">
        <v>0</v>
      </c>
      <c r="E451" s="68">
        <v>0</v>
      </c>
      <c r="F451" s="65" t="e">
        <f t="shared" si="1130"/>
        <v>#DIV/0!</v>
      </c>
      <c r="G451" s="60" t="e">
        <f t="shared" si="1136"/>
        <v>#DIV/0!</v>
      </c>
      <c r="H451" s="65" t="e">
        <f t="shared" ref="H451:J451" si="1187">H439</f>
        <v>#DIV/0!</v>
      </c>
      <c r="I451" s="65" t="e">
        <f t="shared" si="1187"/>
        <v>#DIV/0!</v>
      </c>
      <c r="J451" s="65" t="e">
        <f t="shared" si="1187"/>
        <v>#DIV/0!</v>
      </c>
      <c r="K451" s="69">
        <v>0</v>
      </c>
      <c r="L451" s="69">
        <f>'Monitoramento Acumulado Geral'!Q451</f>
        <v>0</v>
      </c>
      <c r="M451" s="6" t="e">
        <f>(SUM(L446:L451))/K450</f>
        <v>#DIV/0!</v>
      </c>
      <c r="N451" s="35" t="e">
        <f t="shared" si="1138"/>
        <v>#DIV/0!</v>
      </c>
      <c r="O451" s="6" t="e">
        <f t="shared" ref="O451:Q451" si="1188">O439</f>
        <v>#DIV/0!</v>
      </c>
      <c r="P451" s="6" t="e">
        <f t="shared" si="1188"/>
        <v>#DIV/0!</v>
      </c>
      <c r="Q451" s="6" t="e">
        <f t="shared" si="1188"/>
        <v>#DIV/0!</v>
      </c>
      <c r="R451" s="69">
        <v>0</v>
      </c>
      <c r="S451" s="69">
        <v>0</v>
      </c>
      <c r="T451" s="6" t="e">
        <f t="shared" si="1133"/>
        <v>#DIV/0!</v>
      </c>
      <c r="U451" s="35" t="e">
        <f t="shared" si="1140"/>
        <v>#DIV/0!</v>
      </c>
      <c r="V451" s="6" t="e">
        <f t="shared" ref="V451:Z451" si="1189">V439</f>
        <v>#DIV/0!</v>
      </c>
      <c r="W451" s="6" t="e">
        <f t="shared" si="1189"/>
        <v>#DIV/0!</v>
      </c>
      <c r="X451" s="6" t="e">
        <f t="shared" si="1189"/>
        <v>#DIV/0!</v>
      </c>
      <c r="Y451" s="6" t="e">
        <f t="shared" si="1189"/>
        <v>#DIV/0!</v>
      </c>
      <c r="Z451" s="6" t="e">
        <f t="shared" si="1189"/>
        <v>#DIV/0!</v>
      </c>
    </row>
    <row r="452" spans="1:26" x14ac:dyDescent="0.2">
      <c r="A452" t="s">
        <v>314</v>
      </c>
      <c r="B452" s="6">
        <f t="shared" si="1135"/>
        <v>7</v>
      </c>
      <c r="C452" s="7" t="s">
        <v>157</v>
      </c>
      <c r="D452" s="68">
        <v>0</v>
      </c>
      <c r="E452" s="68">
        <v>0</v>
      </c>
      <c r="F452" s="65" t="e">
        <f t="shared" si="1130"/>
        <v>#DIV/0!</v>
      </c>
      <c r="G452" s="60" t="e">
        <f t="shared" si="1136"/>
        <v>#DIV/0!</v>
      </c>
      <c r="H452" s="65" t="e">
        <f t="shared" ref="H452:J452" si="1190">H440</f>
        <v>#DIV/0!</v>
      </c>
      <c r="I452" s="65" t="e">
        <f t="shared" si="1190"/>
        <v>#DIV/0!</v>
      </c>
      <c r="J452" s="65" t="e">
        <f t="shared" si="1190"/>
        <v>#DIV/0!</v>
      </c>
      <c r="K452" s="69">
        <v>0</v>
      </c>
      <c r="L452" s="69">
        <f>'Monitoramento Acumulado Geral'!Q452</f>
        <v>0</v>
      </c>
      <c r="M452" s="6" t="e">
        <f>(SUM(L446:L452))/K451</f>
        <v>#DIV/0!</v>
      </c>
      <c r="N452" s="35" t="e">
        <f t="shared" si="1138"/>
        <v>#DIV/0!</v>
      </c>
      <c r="O452" s="6" t="e">
        <f t="shared" ref="O452:Q452" si="1191">O440</f>
        <v>#DIV/0!</v>
      </c>
      <c r="P452" s="6" t="e">
        <f t="shared" si="1191"/>
        <v>#DIV/0!</v>
      </c>
      <c r="Q452" s="6" t="e">
        <f t="shared" si="1191"/>
        <v>#DIV/0!</v>
      </c>
      <c r="R452" s="69">
        <v>0</v>
      </c>
      <c r="S452" s="69">
        <v>0</v>
      </c>
      <c r="T452" s="6" t="e">
        <f t="shared" si="1133"/>
        <v>#DIV/0!</v>
      </c>
      <c r="U452" s="35" t="e">
        <f t="shared" si="1140"/>
        <v>#DIV/0!</v>
      </c>
      <c r="V452" s="6" t="e">
        <f t="shared" ref="V452:Z452" si="1192">V440</f>
        <v>#DIV/0!</v>
      </c>
      <c r="W452" s="6" t="e">
        <f t="shared" si="1192"/>
        <v>#DIV/0!</v>
      </c>
      <c r="X452" s="6" t="e">
        <f t="shared" si="1192"/>
        <v>#DIV/0!</v>
      </c>
      <c r="Y452" s="6" t="e">
        <f t="shared" si="1192"/>
        <v>#DIV/0!</v>
      </c>
      <c r="Z452" s="6" t="e">
        <f t="shared" si="1192"/>
        <v>#DIV/0!</v>
      </c>
    </row>
    <row r="453" spans="1:26" x14ac:dyDescent="0.2">
      <c r="A453" t="s">
        <v>314</v>
      </c>
      <c r="B453" s="6">
        <f t="shared" si="1135"/>
        <v>8</v>
      </c>
      <c r="C453" s="7" t="s">
        <v>158</v>
      </c>
      <c r="D453" s="68">
        <v>0</v>
      </c>
      <c r="E453" s="68">
        <v>0</v>
      </c>
      <c r="F453" s="65" t="e">
        <f t="shared" si="1130"/>
        <v>#DIV/0!</v>
      </c>
      <c r="G453" s="60" t="e">
        <f t="shared" si="1136"/>
        <v>#DIV/0!</v>
      </c>
      <c r="H453" s="65" t="e">
        <f t="shared" ref="H453:J453" si="1193">H441</f>
        <v>#DIV/0!</v>
      </c>
      <c r="I453" s="65" t="e">
        <f t="shared" si="1193"/>
        <v>#DIV/0!</v>
      </c>
      <c r="J453" s="65" t="e">
        <f t="shared" si="1193"/>
        <v>#DIV/0!</v>
      </c>
      <c r="K453" s="69">
        <v>0</v>
      </c>
      <c r="L453" s="69">
        <f>'Monitoramento Acumulado Geral'!Q453</f>
        <v>0</v>
      </c>
      <c r="M453" s="6" t="e">
        <f>(SUM(L446:L453))/K452</f>
        <v>#DIV/0!</v>
      </c>
      <c r="N453" s="35" t="e">
        <f t="shared" si="1138"/>
        <v>#DIV/0!</v>
      </c>
      <c r="O453" s="6" t="e">
        <f t="shared" ref="O453:Q453" si="1194">O441</f>
        <v>#DIV/0!</v>
      </c>
      <c r="P453" s="6" t="e">
        <f t="shared" si="1194"/>
        <v>#DIV/0!</v>
      </c>
      <c r="Q453" s="6" t="e">
        <f t="shared" si="1194"/>
        <v>#DIV/0!</v>
      </c>
      <c r="R453" s="69">
        <v>0</v>
      </c>
      <c r="S453" s="69">
        <v>0</v>
      </c>
      <c r="T453" s="6" t="e">
        <f t="shared" si="1133"/>
        <v>#DIV/0!</v>
      </c>
      <c r="U453" s="35" t="e">
        <f t="shared" si="1140"/>
        <v>#DIV/0!</v>
      </c>
      <c r="V453" s="6" t="e">
        <f t="shared" ref="V453:Z453" si="1195">V441</f>
        <v>#DIV/0!</v>
      </c>
      <c r="W453" s="6" t="e">
        <f t="shared" si="1195"/>
        <v>#DIV/0!</v>
      </c>
      <c r="X453" s="6" t="e">
        <f t="shared" si="1195"/>
        <v>#DIV/0!</v>
      </c>
      <c r="Y453" s="6" t="e">
        <f t="shared" si="1195"/>
        <v>#DIV/0!</v>
      </c>
      <c r="Z453" s="6" t="e">
        <f t="shared" si="1195"/>
        <v>#DIV/0!</v>
      </c>
    </row>
    <row r="454" spans="1:26" x14ac:dyDescent="0.2">
      <c r="A454" t="s">
        <v>314</v>
      </c>
      <c r="B454" s="6">
        <f t="shared" si="1135"/>
        <v>9</v>
      </c>
      <c r="C454" s="7" t="s">
        <v>159</v>
      </c>
      <c r="D454" s="68">
        <v>0</v>
      </c>
      <c r="E454" s="68">
        <v>0</v>
      </c>
      <c r="F454" s="65" t="e">
        <f t="shared" si="1130"/>
        <v>#DIV/0!</v>
      </c>
      <c r="G454" s="60" t="e">
        <f t="shared" si="1136"/>
        <v>#DIV/0!</v>
      </c>
      <c r="H454" s="65" t="e">
        <f t="shared" ref="H454:J454" si="1196">H442</f>
        <v>#DIV/0!</v>
      </c>
      <c r="I454" s="65" t="e">
        <f t="shared" si="1196"/>
        <v>#DIV/0!</v>
      </c>
      <c r="J454" s="65" t="e">
        <f t="shared" si="1196"/>
        <v>#DIV/0!</v>
      </c>
      <c r="K454" s="69">
        <v>0</v>
      </c>
      <c r="L454" s="69">
        <f>'Monitoramento Acumulado Geral'!Q454</f>
        <v>0</v>
      </c>
      <c r="M454" s="6" t="e">
        <f>(SUM(L446:L454))/K453</f>
        <v>#DIV/0!</v>
      </c>
      <c r="N454" s="35" t="e">
        <f t="shared" si="1138"/>
        <v>#DIV/0!</v>
      </c>
      <c r="O454" s="6" t="e">
        <f t="shared" ref="O454:Q454" si="1197">O442</f>
        <v>#DIV/0!</v>
      </c>
      <c r="P454" s="6" t="e">
        <f t="shared" si="1197"/>
        <v>#DIV/0!</v>
      </c>
      <c r="Q454" s="6" t="e">
        <f t="shared" si="1197"/>
        <v>#DIV/0!</v>
      </c>
      <c r="R454" s="69">
        <v>0</v>
      </c>
      <c r="S454" s="69">
        <v>0</v>
      </c>
      <c r="T454" s="6" t="e">
        <f t="shared" si="1133"/>
        <v>#DIV/0!</v>
      </c>
      <c r="U454" s="35" t="e">
        <f t="shared" si="1140"/>
        <v>#DIV/0!</v>
      </c>
      <c r="V454" s="6" t="e">
        <f t="shared" ref="V454:Z454" si="1198">V442</f>
        <v>#DIV/0!</v>
      </c>
      <c r="W454" s="6" t="e">
        <f t="shared" si="1198"/>
        <v>#DIV/0!</v>
      </c>
      <c r="X454" s="6" t="e">
        <f t="shared" si="1198"/>
        <v>#DIV/0!</v>
      </c>
      <c r="Y454" s="6" t="e">
        <f t="shared" si="1198"/>
        <v>#DIV/0!</v>
      </c>
      <c r="Z454" s="6" t="e">
        <f t="shared" si="1198"/>
        <v>#DIV/0!</v>
      </c>
    </row>
    <row r="455" spans="1:26" x14ac:dyDescent="0.2">
      <c r="A455" t="s">
        <v>314</v>
      </c>
      <c r="B455" s="6">
        <f t="shared" si="1135"/>
        <v>10</v>
      </c>
      <c r="C455" s="7" t="s">
        <v>160</v>
      </c>
      <c r="D455" s="68">
        <v>0</v>
      </c>
      <c r="E455" s="68">
        <v>0</v>
      </c>
      <c r="F455" s="65" t="e">
        <f t="shared" si="1130"/>
        <v>#DIV/0!</v>
      </c>
      <c r="G455" s="60" t="e">
        <f t="shared" si="1136"/>
        <v>#DIV/0!</v>
      </c>
      <c r="H455" s="65" t="e">
        <f t="shared" ref="H455:J455" si="1199">H443</f>
        <v>#DIV/0!</v>
      </c>
      <c r="I455" s="65" t="e">
        <f t="shared" si="1199"/>
        <v>#DIV/0!</v>
      </c>
      <c r="J455" s="65" t="e">
        <f t="shared" si="1199"/>
        <v>#DIV/0!</v>
      </c>
      <c r="K455" s="69">
        <v>0</v>
      </c>
      <c r="L455" s="69">
        <f>'Monitoramento Acumulado Geral'!Q455</f>
        <v>0</v>
      </c>
      <c r="M455" s="6" t="e">
        <f>(SUM(L446:L455))/K454</f>
        <v>#DIV/0!</v>
      </c>
      <c r="N455" s="35" t="e">
        <f t="shared" si="1138"/>
        <v>#DIV/0!</v>
      </c>
      <c r="O455" s="6" t="e">
        <f t="shared" ref="O455:Q455" si="1200">O443</f>
        <v>#DIV/0!</v>
      </c>
      <c r="P455" s="6" t="e">
        <f t="shared" si="1200"/>
        <v>#DIV/0!</v>
      </c>
      <c r="Q455" s="6" t="e">
        <f t="shared" si="1200"/>
        <v>#DIV/0!</v>
      </c>
      <c r="R455" s="69">
        <v>0</v>
      </c>
      <c r="S455" s="69">
        <v>0</v>
      </c>
      <c r="T455" s="6" t="e">
        <f t="shared" si="1133"/>
        <v>#DIV/0!</v>
      </c>
      <c r="U455" s="35" t="e">
        <f t="shared" si="1140"/>
        <v>#DIV/0!</v>
      </c>
      <c r="V455" s="6" t="e">
        <f t="shared" ref="V455:Z455" si="1201">V443</f>
        <v>#DIV/0!</v>
      </c>
      <c r="W455" s="6" t="e">
        <f t="shared" si="1201"/>
        <v>#DIV/0!</v>
      </c>
      <c r="X455" s="6" t="e">
        <f t="shared" si="1201"/>
        <v>#DIV/0!</v>
      </c>
      <c r="Y455" s="6" t="e">
        <f t="shared" si="1201"/>
        <v>#DIV/0!</v>
      </c>
      <c r="Z455" s="6" t="e">
        <f t="shared" si="1201"/>
        <v>#DIV/0!</v>
      </c>
    </row>
    <row r="456" spans="1:26" x14ac:dyDescent="0.2">
      <c r="A456" t="s">
        <v>314</v>
      </c>
      <c r="B456" s="6">
        <f t="shared" si="1135"/>
        <v>11</v>
      </c>
      <c r="C456" s="7" t="s">
        <v>161</v>
      </c>
      <c r="D456" s="68">
        <v>0</v>
      </c>
      <c r="E456" s="68">
        <v>0</v>
      </c>
      <c r="F456" s="65" t="e">
        <f t="shared" si="1130"/>
        <v>#DIV/0!</v>
      </c>
      <c r="G456" s="60" t="e">
        <f t="shared" si="1136"/>
        <v>#DIV/0!</v>
      </c>
      <c r="H456" s="65" t="e">
        <f t="shared" ref="H456:J456" si="1202">H444</f>
        <v>#DIV/0!</v>
      </c>
      <c r="I456" s="65" t="e">
        <f t="shared" si="1202"/>
        <v>#DIV/0!</v>
      </c>
      <c r="J456" s="65" t="e">
        <f t="shared" si="1202"/>
        <v>#DIV/0!</v>
      </c>
      <c r="K456" s="69">
        <v>0</v>
      </c>
      <c r="L456" s="69">
        <f>'Monitoramento Acumulado Geral'!Q456</f>
        <v>0</v>
      </c>
      <c r="M456" s="6" t="e">
        <f>(SUM(L446:L456))/K455</f>
        <v>#DIV/0!</v>
      </c>
      <c r="N456" s="35" t="e">
        <f t="shared" si="1138"/>
        <v>#DIV/0!</v>
      </c>
      <c r="O456" s="6" t="e">
        <f t="shared" ref="O456:Q456" si="1203">O444</f>
        <v>#DIV/0!</v>
      </c>
      <c r="P456" s="6" t="e">
        <f t="shared" si="1203"/>
        <v>#DIV/0!</v>
      </c>
      <c r="Q456" s="6" t="e">
        <f t="shared" si="1203"/>
        <v>#DIV/0!</v>
      </c>
      <c r="R456" s="69">
        <v>0</v>
      </c>
      <c r="S456" s="69">
        <v>0</v>
      </c>
      <c r="T456" s="6" t="e">
        <f t="shared" si="1133"/>
        <v>#DIV/0!</v>
      </c>
      <c r="U456" s="35" t="e">
        <f t="shared" si="1140"/>
        <v>#DIV/0!</v>
      </c>
      <c r="V456" s="6" t="e">
        <f t="shared" ref="V456:Z456" si="1204">V444</f>
        <v>#DIV/0!</v>
      </c>
      <c r="W456" s="6" t="e">
        <f t="shared" si="1204"/>
        <v>#DIV/0!</v>
      </c>
      <c r="X456" s="6" t="e">
        <f t="shared" si="1204"/>
        <v>#DIV/0!</v>
      </c>
      <c r="Y456" s="6" t="e">
        <f t="shared" si="1204"/>
        <v>#DIV/0!</v>
      </c>
      <c r="Z456" s="6" t="e">
        <f t="shared" si="1204"/>
        <v>#DIV/0!</v>
      </c>
    </row>
    <row r="457" spans="1:26" x14ac:dyDescent="0.2">
      <c r="A457" t="s">
        <v>314</v>
      </c>
      <c r="B457" s="6">
        <f t="shared" si="1135"/>
        <v>12</v>
      </c>
      <c r="C457" s="7" t="s">
        <v>162</v>
      </c>
      <c r="D457" s="68">
        <v>0</v>
      </c>
      <c r="E457" s="68">
        <v>0</v>
      </c>
      <c r="F457" s="65" t="e">
        <f t="shared" si="1130"/>
        <v>#DIV/0!</v>
      </c>
      <c r="G457" s="60" t="e">
        <f t="shared" si="1136"/>
        <v>#DIV/0!</v>
      </c>
      <c r="H457" s="65" t="e">
        <f t="shared" ref="H457:J457" si="1205">H445</f>
        <v>#DIV/0!</v>
      </c>
      <c r="I457" s="65" t="e">
        <f t="shared" si="1205"/>
        <v>#DIV/0!</v>
      </c>
      <c r="J457" s="65" t="e">
        <f t="shared" si="1205"/>
        <v>#DIV/0!</v>
      </c>
      <c r="K457" s="69">
        <v>0</v>
      </c>
      <c r="L457" s="69">
        <f>'Monitoramento Acumulado Geral'!Q457</f>
        <v>0</v>
      </c>
      <c r="M457" s="6" t="e">
        <f>(SUM(L446:L457))/K456</f>
        <v>#DIV/0!</v>
      </c>
      <c r="N457" s="35" t="e">
        <f t="shared" si="1138"/>
        <v>#DIV/0!</v>
      </c>
      <c r="O457" s="6" t="e">
        <f t="shared" ref="O457:Q457" si="1206">O445</f>
        <v>#DIV/0!</v>
      </c>
      <c r="P457" s="6" t="e">
        <f t="shared" si="1206"/>
        <v>#DIV/0!</v>
      </c>
      <c r="Q457" s="6" t="e">
        <f t="shared" si="1206"/>
        <v>#DIV/0!</v>
      </c>
      <c r="R457" s="69">
        <v>0</v>
      </c>
      <c r="S457" s="69">
        <v>0</v>
      </c>
      <c r="T457" s="6" t="e">
        <f t="shared" si="1133"/>
        <v>#DIV/0!</v>
      </c>
      <c r="U457" s="35" t="e">
        <f t="shared" si="1140"/>
        <v>#DIV/0!</v>
      </c>
      <c r="V457" s="6" t="e">
        <f t="shared" ref="V457:Z457" si="1207">V445</f>
        <v>#DIV/0!</v>
      </c>
      <c r="W457" s="6" t="e">
        <f t="shared" si="1207"/>
        <v>#DIV/0!</v>
      </c>
      <c r="X457" s="6" t="e">
        <f t="shared" si="1207"/>
        <v>#DIV/0!</v>
      </c>
      <c r="Y457" s="6" t="e">
        <f t="shared" si="1207"/>
        <v>#DIV/0!</v>
      </c>
      <c r="Z457" s="6" t="e">
        <f t="shared" si="1207"/>
        <v>#DIV/0!</v>
      </c>
    </row>
    <row r="458" spans="1:26" x14ac:dyDescent="0.2">
      <c r="A458" t="s">
        <v>315</v>
      </c>
      <c r="B458" s="6">
        <f t="shared" si="1135"/>
        <v>1</v>
      </c>
      <c r="C458" s="7" t="s">
        <v>151</v>
      </c>
      <c r="D458" s="68">
        <v>0</v>
      </c>
      <c r="E458" s="68">
        <v>0</v>
      </c>
      <c r="F458" s="65" t="e">
        <f t="shared" ref="F458:F469" si="1208">E458/D458</f>
        <v>#DIV/0!</v>
      </c>
      <c r="G458" s="60" t="e">
        <f t="shared" si="1136"/>
        <v>#DIV/0!</v>
      </c>
      <c r="H458" s="65" t="e">
        <f t="shared" ref="H458:J458" si="1209">H446</f>
        <v>#DIV/0!</v>
      </c>
      <c r="I458" s="65" t="e">
        <f t="shared" si="1209"/>
        <v>#DIV/0!</v>
      </c>
      <c r="J458" s="65" t="e">
        <f t="shared" si="1209"/>
        <v>#DIV/0!</v>
      </c>
      <c r="K458" s="69">
        <v>0</v>
      </c>
      <c r="L458" s="69">
        <f>'Monitoramento Acumulado Geral'!Q458</f>
        <v>0</v>
      </c>
      <c r="M458" s="6" t="e">
        <f>L458/K458</f>
        <v>#DIV/0!</v>
      </c>
      <c r="N458" s="35" t="e">
        <f t="shared" si="1138"/>
        <v>#DIV/0!</v>
      </c>
      <c r="O458" s="6" t="e">
        <f t="shared" ref="O458:Q458" si="1210">O446</f>
        <v>#DIV/0!</v>
      </c>
      <c r="P458" s="6" t="e">
        <f t="shared" si="1210"/>
        <v>#DIV/0!</v>
      </c>
      <c r="Q458" s="6" t="e">
        <f t="shared" si="1210"/>
        <v>#DIV/0!</v>
      </c>
      <c r="R458" s="69">
        <v>0</v>
      </c>
      <c r="S458" s="69">
        <v>0</v>
      </c>
      <c r="T458" s="6" t="e">
        <f t="shared" ref="T458:T469" si="1211">S458/R458</f>
        <v>#DIV/0!</v>
      </c>
      <c r="U458" s="35" t="e">
        <f t="shared" si="1140"/>
        <v>#DIV/0!</v>
      </c>
      <c r="V458" s="6" t="e">
        <f t="shared" ref="V458:Z458" si="1212">V446</f>
        <v>#DIV/0!</v>
      </c>
      <c r="W458" s="6" t="e">
        <f t="shared" si="1212"/>
        <v>#DIV/0!</v>
      </c>
      <c r="X458" s="6" t="e">
        <f t="shared" si="1212"/>
        <v>#DIV/0!</v>
      </c>
      <c r="Y458" s="6" t="e">
        <f t="shared" si="1212"/>
        <v>#DIV/0!</v>
      </c>
      <c r="Z458" s="6" t="e">
        <f t="shared" si="1212"/>
        <v>#DIV/0!</v>
      </c>
    </row>
    <row r="459" spans="1:26" x14ac:dyDescent="0.2">
      <c r="A459" t="s">
        <v>315</v>
      </c>
      <c r="B459" s="6">
        <f t="shared" si="1135"/>
        <v>2</v>
      </c>
      <c r="C459" s="7" t="s">
        <v>152</v>
      </c>
      <c r="D459" s="68">
        <v>0</v>
      </c>
      <c r="E459" s="68">
        <v>0</v>
      </c>
      <c r="F459" s="65" t="e">
        <f t="shared" si="1208"/>
        <v>#DIV/0!</v>
      </c>
      <c r="G459" s="60" t="e">
        <f t="shared" ref="G459:G469" si="1213">IF(F459&gt;=I459,"Desempenho Ótimo",(IF(F459&gt;H459,"Desempenho Bom",(IF(F459&gt;J459,"Desempenho Médio",IF(F459&lt;=J459,"Desempenho Deficitário",0))))))</f>
        <v>#DIV/0!</v>
      </c>
      <c r="H459" s="65" t="e">
        <f t="shared" ref="H459:J459" si="1214">H447</f>
        <v>#DIV/0!</v>
      </c>
      <c r="I459" s="65" t="e">
        <f t="shared" si="1214"/>
        <v>#DIV/0!</v>
      </c>
      <c r="J459" s="65" t="e">
        <f t="shared" si="1214"/>
        <v>#DIV/0!</v>
      </c>
      <c r="K459" s="69">
        <v>0</v>
      </c>
      <c r="L459" s="69">
        <f>'Monitoramento Acumulado Geral'!Q459</f>
        <v>0</v>
      </c>
      <c r="M459" s="6" t="e">
        <f>(SUM(L458:L459))/K458</f>
        <v>#DIV/0!</v>
      </c>
      <c r="N459" s="35" t="e">
        <f t="shared" ref="N459:N469" si="1215">IF(M459&gt;=P459,"Desempenho Ótimo",(IF(M459&gt;O459,"Desempenho Bom",(IF(M459&gt;Q459,"Desempenho Médio",IF(M459&lt;=Q459,"Desempenho Deficitário",0))))))</f>
        <v>#DIV/0!</v>
      </c>
      <c r="O459" s="6" t="e">
        <f t="shared" ref="O459:Q459" si="1216">O447</f>
        <v>#DIV/0!</v>
      </c>
      <c r="P459" s="6" t="e">
        <f t="shared" si="1216"/>
        <v>#DIV/0!</v>
      </c>
      <c r="Q459" s="6" t="e">
        <f t="shared" si="1216"/>
        <v>#DIV/0!</v>
      </c>
      <c r="R459" s="69">
        <v>0</v>
      </c>
      <c r="S459" s="69">
        <v>0</v>
      </c>
      <c r="T459" s="6" t="e">
        <f t="shared" si="1211"/>
        <v>#DIV/0!</v>
      </c>
      <c r="U459" s="35" t="e">
        <f t="shared" ref="U459:U469" si="1217">IF(T459&gt;=W459,"Desempenho Ótimo",(IF(T459&gt;V459,"Desempenho Bom",(IF(T459&gt;X459,"Desempenho Médio",IF(T459&lt;=X459,"Desempenho Deficitário",0))))))</f>
        <v>#DIV/0!</v>
      </c>
      <c r="V459" s="6" t="e">
        <f t="shared" ref="V459:Z459" si="1218">V447</f>
        <v>#DIV/0!</v>
      </c>
      <c r="W459" s="6" t="e">
        <f t="shared" si="1218"/>
        <v>#DIV/0!</v>
      </c>
      <c r="X459" s="6" t="e">
        <f t="shared" si="1218"/>
        <v>#DIV/0!</v>
      </c>
      <c r="Y459" s="6" t="e">
        <f t="shared" si="1218"/>
        <v>#DIV/0!</v>
      </c>
      <c r="Z459" s="6" t="e">
        <f t="shared" si="1218"/>
        <v>#DIV/0!</v>
      </c>
    </row>
    <row r="460" spans="1:26" x14ac:dyDescent="0.2">
      <c r="A460" t="s">
        <v>315</v>
      </c>
      <c r="B460" s="6">
        <f t="shared" si="1135"/>
        <v>3</v>
      </c>
      <c r="C460" s="7" t="s">
        <v>153</v>
      </c>
      <c r="D460" s="68">
        <v>0</v>
      </c>
      <c r="E460" s="68">
        <v>0</v>
      </c>
      <c r="F460" s="65" t="e">
        <f t="shared" si="1208"/>
        <v>#DIV/0!</v>
      </c>
      <c r="G460" s="60" t="e">
        <f t="shared" si="1213"/>
        <v>#DIV/0!</v>
      </c>
      <c r="H460" s="65" t="e">
        <f t="shared" ref="H460:J460" si="1219">H448</f>
        <v>#DIV/0!</v>
      </c>
      <c r="I460" s="65" t="e">
        <f t="shared" si="1219"/>
        <v>#DIV/0!</v>
      </c>
      <c r="J460" s="65" t="e">
        <f t="shared" si="1219"/>
        <v>#DIV/0!</v>
      </c>
      <c r="K460" s="69">
        <v>0</v>
      </c>
      <c r="L460" s="69">
        <f>'Monitoramento Acumulado Geral'!Q460</f>
        <v>0</v>
      </c>
      <c r="M460" s="6" t="e">
        <f>(SUM(L458:L460))/K459</f>
        <v>#DIV/0!</v>
      </c>
      <c r="N460" s="35" t="e">
        <f t="shared" si="1215"/>
        <v>#DIV/0!</v>
      </c>
      <c r="O460" s="6" t="e">
        <f t="shared" ref="O460:Q460" si="1220">O448</f>
        <v>#DIV/0!</v>
      </c>
      <c r="P460" s="6" t="e">
        <f t="shared" si="1220"/>
        <v>#DIV/0!</v>
      </c>
      <c r="Q460" s="6" t="e">
        <f t="shared" si="1220"/>
        <v>#DIV/0!</v>
      </c>
      <c r="R460" s="69">
        <v>0</v>
      </c>
      <c r="S460" s="69">
        <v>0</v>
      </c>
      <c r="T460" s="6" t="e">
        <f t="shared" si="1211"/>
        <v>#DIV/0!</v>
      </c>
      <c r="U460" s="35" t="e">
        <f t="shared" si="1217"/>
        <v>#DIV/0!</v>
      </c>
      <c r="V460" s="6" t="e">
        <f t="shared" ref="V460:Z460" si="1221">V448</f>
        <v>#DIV/0!</v>
      </c>
      <c r="W460" s="6" t="e">
        <f t="shared" si="1221"/>
        <v>#DIV/0!</v>
      </c>
      <c r="X460" s="6" t="e">
        <f t="shared" si="1221"/>
        <v>#DIV/0!</v>
      </c>
      <c r="Y460" s="6" t="e">
        <f t="shared" si="1221"/>
        <v>#DIV/0!</v>
      </c>
      <c r="Z460" s="6" t="e">
        <f t="shared" si="1221"/>
        <v>#DIV/0!</v>
      </c>
    </row>
    <row r="461" spans="1:26" x14ac:dyDescent="0.2">
      <c r="A461" t="s">
        <v>315</v>
      </c>
      <c r="B461" s="6">
        <f t="shared" si="1135"/>
        <v>4</v>
      </c>
      <c r="C461" s="7" t="s">
        <v>154</v>
      </c>
      <c r="D461" s="68">
        <v>0</v>
      </c>
      <c r="E461" s="68">
        <v>0</v>
      </c>
      <c r="F461" s="65" t="e">
        <f t="shared" si="1208"/>
        <v>#DIV/0!</v>
      </c>
      <c r="G461" s="60" t="e">
        <f t="shared" si="1213"/>
        <v>#DIV/0!</v>
      </c>
      <c r="H461" s="65" t="e">
        <f t="shared" ref="H461:J461" si="1222">H449</f>
        <v>#DIV/0!</v>
      </c>
      <c r="I461" s="65" t="e">
        <f t="shared" si="1222"/>
        <v>#DIV/0!</v>
      </c>
      <c r="J461" s="65" t="e">
        <f t="shared" si="1222"/>
        <v>#DIV/0!</v>
      </c>
      <c r="K461" s="69">
        <v>0</v>
      </c>
      <c r="L461" s="69">
        <f>'Monitoramento Acumulado Geral'!Q461</f>
        <v>0</v>
      </c>
      <c r="M461" s="6" t="e">
        <f>(SUM(L458:L461))/K460</f>
        <v>#DIV/0!</v>
      </c>
      <c r="N461" s="35" t="e">
        <f t="shared" si="1215"/>
        <v>#DIV/0!</v>
      </c>
      <c r="O461" s="6" t="e">
        <f t="shared" ref="O461:Q461" si="1223">O449</f>
        <v>#DIV/0!</v>
      </c>
      <c r="P461" s="6" t="e">
        <f t="shared" si="1223"/>
        <v>#DIV/0!</v>
      </c>
      <c r="Q461" s="6" t="e">
        <f t="shared" si="1223"/>
        <v>#DIV/0!</v>
      </c>
      <c r="R461" s="69">
        <v>0</v>
      </c>
      <c r="S461" s="69">
        <v>0</v>
      </c>
      <c r="T461" s="6" t="e">
        <f t="shared" si="1211"/>
        <v>#DIV/0!</v>
      </c>
      <c r="U461" s="35" t="e">
        <f t="shared" si="1217"/>
        <v>#DIV/0!</v>
      </c>
      <c r="V461" s="6" t="e">
        <f t="shared" ref="V461:Z461" si="1224">V449</f>
        <v>#DIV/0!</v>
      </c>
      <c r="W461" s="6" t="e">
        <f t="shared" si="1224"/>
        <v>#DIV/0!</v>
      </c>
      <c r="X461" s="6" t="e">
        <f t="shared" si="1224"/>
        <v>#DIV/0!</v>
      </c>
      <c r="Y461" s="6" t="e">
        <f t="shared" si="1224"/>
        <v>#DIV/0!</v>
      </c>
      <c r="Z461" s="6" t="e">
        <f t="shared" si="1224"/>
        <v>#DIV/0!</v>
      </c>
    </row>
    <row r="462" spans="1:26" x14ac:dyDescent="0.2">
      <c r="A462" t="s">
        <v>315</v>
      </c>
      <c r="B462" s="6">
        <f t="shared" si="1135"/>
        <v>5</v>
      </c>
      <c r="C462" s="7" t="s">
        <v>155</v>
      </c>
      <c r="D462" s="68">
        <v>0</v>
      </c>
      <c r="E462" s="68">
        <v>0</v>
      </c>
      <c r="F462" s="65" t="e">
        <f t="shared" si="1208"/>
        <v>#DIV/0!</v>
      </c>
      <c r="G462" s="60" t="e">
        <f t="shared" si="1213"/>
        <v>#DIV/0!</v>
      </c>
      <c r="H462" s="65" t="e">
        <f t="shared" ref="H462:J462" si="1225">H450</f>
        <v>#DIV/0!</v>
      </c>
      <c r="I462" s="65" t="e">
        <f t="shared" si="1225"/>
        <v>#DIV/0!</v>
      </c>
      <c r="J462" s="65" t="e">
        <f t="shared" si="1225"/>
        <v>#DIV/0!</v>
      </c>
      <c r="K462" s="69">
        <v>0</v>
      </c>
      <c r="L462" s="69">
        <f>'Monitoramento Acumulado Geral'!Q462</f>
        <v>0</v>
      </c>
      <c r="M462" s="6" t="e">
        <f>(SUM(L458:L462))/K461</f>
        <v>#DIV/0!</v>
      </c>
      <c r="N462" s="35" t="e">
        <f t="shared" si="1215"/>
        <v>#DIV/0!</v>
      </c>
      <c r="O462" s="6" t="e">
        <f t="shared" ref="O462:Q462" si="1226">O450</f>
        <v>#DIV/0!</v>
      </c>
      <c r="P462" s="6" t="e">
        <f t="shared" si="1226"/>
        <v>#DIV/0!</v>
      </c>
      <c r="Q462" s="6" t="e">
        <f t="shared" si="1226"/>
        <v>#DIV/0!</v>
      </c>
      <c r="R462" s="69">
        <v>0</v>
      </c>
      <c r="S462" s="69">
        <v>0</v>
      </c>
      <c r="T462" s="6" t="e">
        <f t="shared" si="1211"/>
        <v>#DIV/0!</v>
      </c>
      <c r="U462" s="35" t="e">
        <f t="shared" si="1217"/>
        <v>#DIV/0!</v>
      </c>
      <c r="V462" s="6" t="e">
        <f t="shared" ref="V462:Z462" si="1227">V450</f>
        <v>#DIV/0!</v>
      </c>
      <c r="W462" s="6" t="e">
        <f t="shared" si="1227"/>
        <v>#DIV/0!</v>
      </c>
      <c r="X462" s="6" t="e">
        <f t="shared" si="1227"/>
        <v>#DIV/0!</v>
      </c>
      <c r="Y462" s="6" t="e">
        <f t="shared" si="1227"/>
        <v>#DIV/0!</v>
      </c>
      <c r="Z462" s="6" t="e">
        <f t="shared" si="1227"/>
        <v>#DIV/0!</v>
      </c>
    </row>
    <row r="463" spans="1:26" x14ac:dyDescent="0.2">
      <c r="A463" t="s">
        <v>315</v>
      </c>
      <c r="B463" s="6">
        <f t="shared" si="1135"/>
        <v>6</v>
      </c>
      <c r="C463" s="7" t="s">
        <v>156</v>
      </c>
      <c r="D463" s="68">
        <v>0</v>
      </c>
      <c r="E463" s="68">
        <v>0</v>
      </c>
      <c r="F463" s="65" t="e">
        <f t="shared" si="1208"/>
        <v>#DIV/0!</v>
      </c>
      <c r="G463" s="60" t="e">
        <f t="shared" si="1213"/>
        <v>#DIV/0!</v>
      </c>
      <c r="H463" s="65" t="e">
        <f t="shared" ref="H463:J463" si="1228">H451</f>
        <v>#DIV/0!</v>
      </c>
      <c r="I463" s="65" t="e">
        <f t="shared" si="1228"/>
        <v>#DIV/0!</v>
      </c>
      <c r="J463" s="65" t="e">
        <f t="shared" si="1228"/>
        <v>#DIV/0!</v>
      </c>
      <c r="K463" s="69">
        <v>0</v>
      </c>
      <c r="L463" s="69">
        <f>'Monitoramento Acumulado Geral'!Q463</f>
        <v>0</v>
      </c>
      <c r="M463" s="6" t="e">
        <f>(SUM(L458:L463))/K462</f>
        <v>#DIV/0!</v>
      </c>
      <c r="N463" s="35" t="e">
        <f t="shared" si="1215"/>
        <v>#DIV/0!</v>
      </c>
      <c r="O463" s="6" t="e">
        <f t="shared" ref="O463:Q463" si="1229">O451</f>
        <v>#DIV/0!</v>
      </c>
      <c r="P463" s="6" t="e">
        <f t="shared" si="1229"/>
        <v>#DIV/0!</v>
      </c>
      <c r="Q463" s="6" t="e">
        <f t="shared" si="1229"/>
        <v>#DIV/0!</v>
      </c>
      <c r="R463" s="69">
        <v>0</v>
      </c>
      <c r="S463" s="69">
        <v>0</v>
      </c>
      <c r="T463" s="6" t="e">
        <f t="shared" si="1211"/>
        <v>#DIV/0!</v>
      </c>
      <c r="U463" s="35" t="e">
        <f t="shared" si="1217"/>
        <v>#DIV/0!</v>
      </c>
      <c r="V463" s="6" t="e">
        <f t="shared" ref="V463:Z463" si="1230">V451</f>
        <v>#DIV/0!</v>
      </c>
      <c r="W463" s="6" t="e">
        <f t="shared" si="1230"/>
        <v>#DIV/0!</v>
      </c>
      <c r="X463" s="6" t="e">
        <f t="shared" si="1230"/>
        <v>#DIV/0!</v>
      </c>
      <c r="Y463" s="6" t="e">
        <f t="shared" si="1230"/>
        <v>#DIV/0!</v>
      </c>
      <c r="Z463" s="6" t="e">
        <f t="shared" si="1230"/>
        <v>#DIV/0!</v>
      </c>
    </row>
    <row r="464" spans="1:26" x14ac:dyDescent="0.2">
      <c r="A464" t="s">
        <v>315</v>
      </c>
      <c r="B464" s="6">
        <f t="shared" si="1135"/>
        <v>7</v>
      </c>
      <c r="C464" s="7" t="s">
        <v>157</v>
      </c>
      <c r="D464" s="68">
        <v>0</v>
      </c>
      <c r="E464" s="68">
        <v>9</v>
      </c>
      <c r="F464" s="65" t="e">
        <f t="shared" si="1208"/>
        <v>#DIV/0!</v>
      </c>
      <c r="G464" s="60" t="e">
        <f t="shared" si="1213"/>
        <v>#DIV/0!</v>
      </c>
      <c r="H464" s="65" t="e">
        <f t="shared" ref="H464:J464" si="1231">H452</f>
        <v>#DIV/0!</v>
      </c>
      <c r="I464" s="65" t="e">
        <f t="shared" si="1231"/>
        <v>#DIV/0!</v>
      </c>
      <c r="J464" s="65" t="e">
        <f t="shared" si="1231"/>
        <v>#DIV/0!</v>
      </c>
      <c r="K464" s="69">
        <v>0</v>
      </c>
      <c r="L464" s="69">
        <f>'Monitoramento Acumulado Geral'!Q464</f>
        <v>0</v>
      </c>
      <c r="M464" s="6" t="e">
        <f>(SUM(L458:L464))/K463</f>
        <v>#DIV/0!</v>
      </c>
      <c r="N464" s="35" t="e">
        <f t="shared" si="1215"/>
        <v>#DIV/0!</v>
      </c>
      <c r="O464" s="6" t="e">
        <f t="shared" ref="O464:Q464" si="1232">O452</f>
        <v>#DIV/0!</v>
      </c>
      <c r="P464" s="6" t="e">
        <f t="shared" si="1232"/>
        <v>#DIV/0!</v>
      </c>
      <c r="Q464" s="6" t="e">
        <f t="shared" si="1232"/>
        <v>#DIV/0!</v>
      </c>
      <c r="R464" s="69">
        <v>0</v>
      </c>
      <c r="S464" s="69">
        <v>0</v>
      </c>
      <c r="T464" s="6" t="e">
        <f t="shared" si="1211"/>
        <v>#DIV/0!</v>
      </c>
      <c r="U464" s="35" t="e">
        <f t="shared" si="1217"/>
        <v>#DIV/0!</v>
      </c>
      <c r="V464" s="6" t="e">
        <f t="shared" ref="V464:Z464" si="1233">V452</f>
        <v>#DIV/0!</v>
      </c>
      <c r="W464" s="6" t="e">
        <f t="shared" si="1233"/>
        <v>#DIV/0!</v>
      </c>
      <c r="X464" s="6" t="e">
        <f t="shared" si="1233"/>
        <v>#DIV/0!</v>
      </c>
      <c r="Y464" s="6" t="e">
        <f t="shared" si="1233"/>
        <v>#DIV/0!</v>
      </c>
      <c r="Z464" s="6" t="e">
        <f t="shared" si="1233"/>
        <v>#DIV/0!</v>
      </c>
    </row>
    <row r="465" spans="1:26" x14ac:dyDescent="0.2">
      <c r="A465" t="s">
        <v>315</v>
      </c>
      <c r="B465" s="6">
        <f t="shared" si="1135"/>
        <v>8</v>
      </c>
      <c r="C465" s="7" t="s">
        <v>158</v>
      </c>
      <c r="D465" s="68">
        <v>0</v>
      </c>
      <c r="E465" s="68">
        <v>9</v>
      </c>
      <c r="F465" s="65" t="e">
        <f t="shared" si="1208"/>
        <v>#DIV/0!</v>
      </c>
      <c r="G465" s="60" t="e">
        <f t="shared" si="1213"/>
        <v>#DIV/0!</v>
      </c>
      <c r="H465" s="65" t="e">
        <f t="shared" ref="H465:J465" si="1234">H453</f>
        <v>#DIV/0!</v>
      </c>
      <c r="I465" s="65" t="e">
        <f t="shared" si="1234"/>
        <v>#DIV/0!</v>
      </c>
      <c r="J465" s="65" t="e">
        <f t="shared" si="1234"/>
        <v>#DIV/0!</v>
      </c>
      <c r="K465" s="69">
        <v>0</v>
      </c>
      <c r="L465" s="69">
        <f>'Monitoramento Acumulado Geral'!Q465</f>
        <v>0</v>
      </c>
      <c r="M465" s="6" t="e">
        <f>(SUM(L458:L465))/K464</f>
        <v>#DIV/0!</v>
      </c>
      <c r="N465" s="35" t="e">
        <f t="shared" si="1215"/>
        <v>#DIV/0!</v>
      </c>
      <c r="O465" s="6" t="e">
        <f t="shared" ref="O465:Q465" si="1235">O453</f>
        <v>#DIV/0!</v>
      </c>
      <c r="P465" s="6" t="e">
        <f t="shared" si="1235"/>
        <v>#DIV/0!</v>
      </c>
      <c r="Q465" s="6" t="e">
        <f t="shared" si="1235"/>
        <v>#DIV/0!</v>
      </c>
      <c r="R465" s="69">
        <v>0</v>
      </c>
      <c r="S465" s="69">
        <v>0</v>
      </c>
      <c r="T465" s="6" t="e">
        <f t="shared" si="1211"/>
        <v>#DIV/0!</v>
      </c>
      <c r="U465" s="35" t="e">
        <f t="shared" si="1217"/>
        <v>#DIV/0!</v>
      </c>
      <c r="V465" s="6" t="e">
        <f t="shared" ref="V465:Z465" si="1236">V453</f>
        <v>#DIV/0!</v>
      </c>
      <c r="W465" s="6" t="e">
        <f t="shared" si="1236"/>
        <v>#DIV/0!</v>
      </c>
      <c r="X465" s="6" t="e">
        <f t="shared" si="1236"/>
        <v>#DIV/0!</v>
      </c>
      <c r="Y465" s="6" t="e">
        <f t="shared" si="1236"/>
        <v>#DIV/0!</v>
      </c>
      <c r="Z465" s="6" t="e">
        <f t="shared" si="1236"/>
        <v>#DIV/0!</v>
      </c>
    </row>
    <row r="466" spans="1:26" x14ac:dyDescent="0.2">
      <c r="A466" t="s">
        <v>315</v>
      </c>
      <c r="B466" s="6">
        <f t="shared" si="1135"/>
        <v>9</v>
      </c>
      <c r="C466" s="7" t="s">
        <v>159</v>
      </c>
      <c r="D466" s="68">
        <v>0</v>
      </c>
      <c r="E466" s="68">
        <v>27</v>
      </c>
      <c r="F466" s="65" t="e">
        <f t="shared" si="1208"/>
        <v>#DIV/0!</v>
      </c>
      <c r="G466" s="60" t="e">
        <f t="shared" si="1213"/>
        <v>#DIV/0!</v>
      </c>
      <c r="H466" s="65" t="e">
        <f t="shared" ref="H466:J466" si="1237">H454</f>
        <v>#DIV/0!</v>
      </c>
      <c r="I466" s="65" t="e">
        <f t="shared" si="1237"/>
        <v>#DIV/0!</v>
      </c>
      <c r="J466" s="65" t="e">
        <f t="shared" si="1237"/>
        <v>#DIV/0!</v>
      </c>
      <c r="K466" s="69">
        <v>0</v>
      </c>
      <c r="L466" s="69">
        <f>'Monitoramento Acumulado Geral'!Q466</f>
        <v>559.17999999999995</v>
      </c>
      <c r="M466" s="6" t="e">
        <f>(SUM(L458:L466))/K465</f>
        <v>#DIV/0!</v>
      </c>
      <c r="N466" s="35" t="e">
        <f t="shared" si="1215"/>
        <v>#DIV/0!</v>
      </c>
      <c r="O466" s="6" t="e">
        <f t="shared" ref="O466:Q466" si="1238">O454</f>
        <v>#DIV/0!</v>
      </c>
      <c r="P466" s="6" t="e">
        <f t="shared" si="1238"/>
        <v>#DIV/0!</v>
      </c>
      <c r="Q466" s="6" t="e">
        <f t="shared" si="1238"/>
        <v>#DIV/0!</v>
      </c>
      <c r="R466" s="69">
        <v>0</v>
      </c>
      <c r="S466" s="69">
        <v>0</v>
      </c>
      <c r="T466" s="6" t="e">
        <f t="shared" si="1211"/>
        <v>#DIV/0!</v>
      </c>
      <c r="U466" s="35" t="e">
        <f t="shared" si="1217"/>
        <v>#DIV/0!</v>
      </c>
      <c r="V466" s="6" t="e">
        <f t="shared" ref="V466:Z466" si="1239">V454</f>
        <v>#DIV/0!</v>
      </c>
      <c r="W466" s="6" t="e">
        <f t="shared" si="1239"/>
        <v>#DIV/0!</v>
      </c>
      <c r="X466" s="6" t="e">
        <f t="shared" si="1239"/>
        <v>#DIV/0!</v>
      </c>
      <c r="Y466" s="6" t="e">
        <f t="shared" si="1239"/>
        <v>#DIV/0!</v>
      </c>
      <c r="Z466" s="6" t="e">
        <f t="shared" si="1239"/>
        <v>#DIV/0!</v>
      </c>
    </row>
    <row r="467" spans="1:26" x14ac:dyDescent="0.2">
      <c r="A467" t="s">
        <v>315</v>
      </c>
      <c r="B467" s="6">
        <f t="shared" si="1135"/>
        <v>10</v>
      </c>
      <c r="C467" s="7" t="s">
        <v>160</v>
      </c>
      <c r="D467" s="68">
        <v>0</v>
      </c>
      <c r="E467" s="68">
        <v>27</v>
      </c>
      <c r="F467" s="65" t="e">
        <f t="shared" si="1208"/>
        <v>#DIV/0!</v>
      </c>
      <c r="G467" s="60" t="e">
        <f t="shared" si="1213"/>
        <v>#DIV/0!</v>
      </c>
      <c r="H467" s="65" t="e">
        <f t="shared" ref="H467:J467" si="1240">H455</f>
        <v>#DIV/0!</v>
      </c>
      <c r="I467" s="65" t="e">
        <f t="shared" si="1240"/>
        <v>#DIV/0!</v>
      </c>
      <c r="J467" s="65" t="e">
        <f t="shared" si="1240"/>
        <v>#DIV/0!</v>
      </c>
      <c r="K467" s="69">
        <v>0</v>
      </c>
      <c r="L467" s="69">
        <f>'Monitoramento Acumulado Geral'!Q467</f>
        <v>0</v>
      </c>
      <c r="M467" s="6" t="e">
        <f>(SUM(L458:L467))/K466</f>
        <v>#DIV/0!</v>
      </c>
      <c r="N467" s="35" t="e">
        <f t="shared" si="1215"/>
        <v>#DIV/0!</v>
      </c>
      <c r="O467" s="6" t="e">
        <f t="shared" ref="O467:Q467" si="1241">O455</f>
        <v>#DIV/0!</v>
      </c>
      <c r="P467" s="6" t="e">
        <f t="shared" si="1241"/>
        <v>#DIV/0!</v>
      </c>
      <c r="Q467" s="6" t="e">
        <f t="shared" si="1241"/>
        <v>#DIV/0!</v>
      </c>
      <c r="R467" s="69">
        <v>0</v>
      </c>
      <c r="S467" s="69">
        <v>0</v>
      </c>
      <c r="T467" s="6" t="e">
        <f t="shared" si="1211"/>
        <v>#DIV/0!</v>
      </c>
      <c r="U467" s="35" t="e">
        <f t="shared" si="1217"/>
        <v>#DIV/0!</v>
      </c>
      <c r="V467" s="6" t="e">
        <f t="shared" ref="V467:Z467" si="1242">V455</f>
        <v>#DIV/0!</v>
      </c>
      <c r="W467" s="6" t="e">
        <f t="shared" si="1242"/>
        <v>#DIV/0!</v>
      </c>
      <c r="X467" s="6" t="e">
        <f t="shared" si="1242"/>
        <v>#DIV/0!</v>
      </c>
      <c r="Y467" s="6" t="e">
        <f t="shared" si="1242"/>
        <v>#DIV/0!</v>
      </c>
      <c r="Z467" s="6" t="e">
        <f t="shared" si="1242"/>
        <v>#DIV/0!</v>
      </c>
    </row>
    <row r="468" spans="1:26" x14ac:dyDescent="0.2">
      <c r="A468" t="s">
        <v>315</v>
      </c>
      <c r="B468" s="6">
        <f t="shared" si="1135"/>
        <v>11</v>
      </c>
      <c r="C468" s="7" t="s">
        <v>161</v>
      </c>
      <c r="D468" s="68">
        <v>0</v>
      </c>
      <c r="E468" s="68"/>
      <c r="F468" s="65" t="e">
        <f t="shared" si="1208"/>
        <v>#DIV/0!</v>
      </c>
      <c r="G468" s="60" t="e">
        <f t="shared" si="1213"/>
        <v>#DIV/0!</v>
      </c>
      <c r="H468" s="65" t="e">
        <f t="shared" ref="H468:J468" si="1243">H456</f>
        <v>#DIV/0!</v>
      </c>
      <c r="I468" s="65" t="e">
        <f t="shared" si="1243"/>
        <v>#DIV/0!</v>
      </c>
      <c r="J468" s="65" t="e">
        <f t="shared" si="1243"/>
        <v>#DIV/0!</v>
      </c>
      <c r="K468" s="69">
        <v>0</v>
      </c>
      <c r="L468" s="69">
        <f>'Monitoramento Acumulado Geral'!Q468</f>
        <v>0</v>
      </c>
      <c r="M468" s="6" t="e">
        <f>(SUM(L458:L468))/K467</f>
        <v>#DIV/0!</v>
      </c>
      <c r="N468" s="35" t="e">
        <f t="shared" si="1215"/>
        <v>#DIV/0!</v>
      </c>
      <c r="O468" s="6" t="e">
        <f t="shared" ref="O468:Q468" si="1244">O456</f>
        <v>#DIV/0!</v>
      </c>
      <c r="P468" s="6" t="e">
        <f t="shared" si="1244"/>
        <v>#DIV/0!</v>
      </c>
      <c r="Q468" s="6" t="e">
        <f t="shared" si="1244"/>
        <v>#DIV/0!</v>
      </c>
      <c r="R468" s="69">
        <v>0</v>
      </c>
      <c r="S468" s="69">
        <v>0</v>
      </c>
      <c r="T468" s="6" t="e">
        <f t="shared" si="1211"/>
        <v>#DIV/0!</v>
      </c>
      <c r="U468" s="35" t="e">
        <f t="shared" si="1217"/>
        <v>#DIV/0!</v>
      </c>
      <c r="V468" s="6" t="e">
        <f t="shared" ref="V468:Z468" si="1245">V456</f>
        <v>#DIV/0!</v>
      </c>
      <c r="W468" s="6" t="e">
        <f t="shared" si="1245"/>
        <v>#DIV/0!</v>
      </c>
      <c r="X468" s="6" t="e">
        <f t="shared" si="1245"/>
        <v>#DIV/0!</v>
      </c>
      <c r="Y468" s="6" t="e">
        <f t="shared" si="1245"/>
        <v>#DIV/0!</v>
      </c>
      <c r="Z468" s="6" t="e">
        <f t="shared" si="1245"/>
        <v>#DIV/0!</v>
      </c>
    </row>
    <row r="469" spans="1:26" x14ac:dyDescent="0.2">
      <c r="A469" t="s">
        <v>315</v>
      </c>
      <c r="B469" s="6">
        <f t="shared" si="1135"/>
        <v>12</v>
      </c>
      <c r="C469" s="7" t="s">
        <v>162</v>
      </c>
      <c r="D469" s="68">
        <v>0</v>
      </c>
      <c r="E469" s="68"/>
      <c r="F469" s="65" t="e">
        <f t="shared" si="1208"/>
        <v>#DIV/0!</v>
      </c>
      <c r="G469" s="60" t="e">
        <f t="shared" si="1213"/>
        <v>#DIV/0!</v>
      </c>
      <c r="H469" s="65" t="e">
        <f t="shared" ref="H469:J469" si="1246">H457</f>
        <v>#DIV/0!</v>
      </c>
      <c r="I469" s="65" t="e">
        <f t="shared" si="1246"/>
        <v>#DIV/0!</v>
      </c>
      <c r="J469" s="65" t="e">
        <f t="shared" si="1246"/>
        <v>#DIV/0!</v>
      </c>
      <c r="K469" s="69">
        <v>0</v>
      </c>
      <c r="L469" s="69">
        <f>'Monitoramento Acumulado Geral'!Q469</f>
        <v>0</v>
      </c>
      <c r="M469" s="6" t="e">
        <f>(SUM(L458:L469))/K468</f>
        <v>#DIV/0!</v>
      </c>
      <c r="N469" s="35" t="e">
        <f t="shared" si="1215"/>
        <v>#DIV/0!</v>
      </c>
      <c r="O469" s="6" t="e">
        <f t="shared" ref="O469:Q469" si="1247">O457</f>
        <v>#DIV/0!</v>
      </c>
      <c r="P469" s="6" t="e">
        <f t="shared" si="1247"/>
        <v>#DIV/0!</v>
      </c>
      <c r="Q469" s="6" t="e">
        <f t="shared" si="1247"/>
        <v>#DIV/0!</v>
      </c>
      <c r="R469" s="69">
        <v>0</v>
      </c>
      <c r="S469" s="69">
        <v>0</v>
      </c>
      <c r="T469" s="6" t="e">
        <f t="shared" si="1211"/>
        <v>#DIV/0!</v>
      </c>
      <c r="U469" s="35" t="e">
        <f t="shared" si="1217"/>
        <v>#DIV/0!</v>
      </c>
      <c r="V469" s="6" t="e">
        <f t="shared" ref="V469:Z469" si="1248">V457</f>
        <v>#DIV/0!</v>
      </c>
      <c r="W469" s="6" t="e">
        <f t="shared" si="1248"/>
        <v>#DIV/0!</v>
      </c>
      <c r="X469" s="6" t="e">
        <f t="shared" si="1248"/>
        <v>#DIV/0!</v>
      </c>
      <c r="Y469" s="6" t="e">
        <f t="shared" si="1248"/>
        <v>#DIV/0!</v>
      </c>
      <c r="Z469" s="6" t="e">
        <f t="shared" si="1248"/>
        <v>#DIV/0!</v>
      </c>
    </row>
    <row r="470" spans="1:26" x14ac:dyDescent="0.2">
      <c r="A470" s="7" t="s">
        <v>116</v>
      </c>
      <c r="B470" s="6">
        <f t="shared" si="1135"/>
        <v>1</v>
      </c>
      <c r="C470" s="7" t="s">
        <v>151</v>
      </c>
      <c r="D470" s="68">
        <v>75</v>
      </c>
      <c r="E470" s="68">
        <v>3</v>
      </c>
      <c r="F470" s="65">
        <f t="shared" si="1130"/>
        <v>0.04</v>
      </c>
      <c r="G470" s="60" t="e">
        <f t="shared" si="1136"/>
        <v>#DIV/0!</v>
      </c>
      <c r="H470" s="65" t="e">
        <f t="shared" ref="H470:J470" si="1249">H458</f>
        <v>#DIV/0!</v>
      </c>
      <c r="I470" s="65" t="e">
        <f t="shared" si="1249"/>
        <v>#DIV/0!</v>
      </c>
      <c r="J470" s="65" t="e">
        <f t="shared" si="1249"/>
        <v>#DIV/0!</v>
      </c>
      <c r="K470" s="69">
        <v>17674.88</v>
      </c>
      <c r="L470" s="69">
        <f>'Monitoramento Acumulado Geral'!Q470</f>
        <v>10</v>
      </c>
      <c r="M470" s="6">
        <f>L470/K470</f>
        <v>5.6577470398667484E-4</v>
      </c>
      <c r="N470" s="35" t="e">
        <f t="shared" si="1138"/>
        <v>#DIV/0!</v>
      </c>
      <c r="O470" s="6" t="e">
        <f t="shared" ref="O470:Q470" si="1250">O458</f>
        <v>#DIV/0!</v>
      </c>
      <c r="P470" s="6" t="e">
        <f t="shared" si="1250"/>
        <v>#DIV/0!</v>
      </c>
      <c r="Q470" s="6" t="e">
        <f t="shared" si="1250"/>
        <v>#DIV/0!</v>
      </c>
      <c r="R470" s="69">
        <v>80</v>
      </c>
      <c r="S470" s="69">
        <v>0</v>
      </c>
      <c r="T470" s="6">
        <f t="shared" si="1133"/>
        <v>0</v>
      </c>
      <c r="U470" s="35" t="e">
        <f t="shared" si="1140"/>
        <v>#DIV/0!</v>
      </c>
      <c r="V470" s="6" t="e">
        <f t="shared" ref="V470:Z470" si="1251">V458</f>
        <v>#DIV/0!</v>
      </c>
      <c r="W470" s="6" t="e">
        <f t="shared" si="1251"/>
        <v>#DIV/0!</v>
      </c>
      <c r="X470" s="6" t="e">
        <f t="shared" si="1251"/>
        <v>#DIV/0!</v>
      </c>
      <c r="Y470" s="6" t="e">
        <f t="shared" si="1251"/>
        <v>#DIV/0!</v>
      </c>
      <c r="Z470" s="6" t="e">
        <f t="shared" si="1251"/>
        <v>#DIV/0!</v>
      </c>
    </row>
    <row r="471" spans="1:26" x14ac:dyDescent="0.2">
      <c r="A471" s="7" t="s">
        <v>116</v>
      </c>
      <c r="B471" s="6">
        <f t="shared" si="1135"/>
        <v>2</v>
      </c>
      <c r="C471" s="7" t="s">
        <v>152</v>
      </c>
      <c r="D471" s="68">
        <v>75</v>
      </c>
      <c r="E471" s="68">
        <v>3</v>
      </c>
      <c r="F471" s="65">
        <f t="shared" si="1130"/>
        <v>0.04</v>
      </c>
      <c r="G471" s="60" t="e">
        <f t="shared" si="1136"/>
        <v>#DIV/0!</v>
      </c>
      <c r="H471" s="65" t="e">
        <f t="shared" ref="H471:J471" si="1252">H459</f>
        <v>#DIV/0!</v>
      </c>
      <c r="I471" s="65" t="e">
        <f t="shared" si="1252"/>
        <v>#DIV/0!</v>
      </c>
      <c r="J471" s="65" t="e">
        <f t="shared" si="1252"/>
        <v>#DIV/0!</v>
      </c>
      <c r="K471" s="69">
        <v>17674.88</v>
      </c>
      <c r="L471" s="69">
        <f>'Monitoramento Acumulado Geral'!Q471</f>
        <v>0</v>
      </c>
      <c r="M471" s="6">
        <f>(SUM(L470:L471))/K470</f>
        <v>5.6577470398667484E-4</v>
      </c>
      <c r="N471" s="35" t="e">
        <f t="shared" si="1138"/>
        <v>#DIV/0!</v>
      </c>
      <c r="O471" s="6" t="e">
        <f t="shared" ref="O471:Q471" si="1253">O459</f>
        <v>#DIV/0!</v>
      </c>
      <c r="P471" s="6" t="e">
        <f t="shared" si="1253"/>
        <v>#DIV/0!</v>
      </c>
      <c r="Q471" s="6" t="e">
        <f t="shared" si="1253"/>
        <v>#DIV/0!</v>
      </c>
      <c r="R471" s="69">
        <v>80</v>
      </c>
      <c r="S471" s="69">
        <v>0</v>
      </c>
      <c r="T471" s="6">
        <f t="shared" si="1133"/>
        <v>0</v>
      </c>
      <c r="U471" s="35" t="e">
        <f t="shared" si="1140"/>
        <v>#DIV/0!</v>
      </c>
      <c r="V471" s="6" t="e">
        <f t="shared" ref="V471:Z471" si="1254">V459</f>
        <v>#DIV/0!</v>
      </c>
      <c r="W471" s="6" t="e">
        <f t="shared" si="1254"/>
        <v>#DIV/0!</v>
      </c>
      <c r="X471" s="6" t="e">
        <f t="shared" si="1254"/>
        <v>#DIV/0!</v>
      </c>
      <c r="Y471" s="6" t="e">
        <f t="shared" si="1254"/>
        <v>#DIV/0!</v>
      </c>
      <c r="Z471" s="6" t="e">
        <f t="shared" si="1254"/>
        <v>#DIV/0!</v>
      </c>
    </row>
    <row r="472" spans="1:26" x14ac:dyDescent="0.2">
      <c r="A472" s="7" t="s">
        <v>116</v>
      </c>
      <c r="B472" s="6">
        <f t="shared" si="1135"/>
        <v>3</v>
      </c>
      <c r="C472" s="7" t="s">
        <v>153</v>
      </c>
      <c r="D472" s="68">
        <v>75</v>
      </c>
      <c r="E472" s="68">
        <v>3</v>
      </c>
      <c r="F472" s="65">
        <f t="shared" si="1130"/>
        <v>0.04</v>
      </c>
      <c r="G472" s="60" t="e">
        <f t="shared" si="1136"/>
        <v>#DIV/0!</v>
      </c>
      <c r="H472" s="65" t="e">
        <f t="shared" ref="H472:J472" si="1255">H460</f>
        <v>#DIV/0!</v>
      </c>
      <c r="I472" s="65" t="e">
        <f t="shared" si="1255"/>
        <v>#DIV/0!</v>
      </c>
      <c r="J472" s="65" t="e">
        <f t="shared" si="1255"/>
        <v>#DIV/0!</v>
      </c>
      <c r="K472" s="69">
        <v>17674.88</v>
      </c>
      <c r="L472" s="69">
        <f>'Monitoramento Acumulado Geral'!Q472</f>
        <v>0</v>
      </c>
      <c r="M472" s="6">
        <f>(SUM(L470:L472))/K471</f>
        <v>5.6577470398667484E-4</v>
      </c>
      <c r="N472" s="35" t="e">
        <f t="shared" si="1138"/>
        <v>#DIV/0!</v>
      </c>
      <c r="O472" s="6" t="e">
        <f t="shared" ref="O472:Q472" si="1256">O460</f>
        <v>#DIV/0!</v>
      </c>
      <c r="P472" s="6" t="e">
        <f t="shared" si="1256"/>
        <v>#DIV/0!</v>
      </c>
      <c r="Q472" s="6" t="e">
        <f t="shared" si="1256"/>
        <v>#DIV/0!</v>
      </c>
      <c r="R472" s="69">
        <v>80</v>
      </c>
      <c r="S472" s="69">
        <v>0</v>
      </c>
      <c r="T472" s="6">
        <f t="shared" si="1133"/>
        <v>0</v>
      </c>
      <c r="U472" s="35" t="e">
        <f t="shared" si="1140"/>
        <v>#DIV/0!</v>
      </c>
      <c r="V472" s="6" t="e">
        <f t="shared" ref="V472:Z472" si="1257">V460</f>
        <v>#DIV/0!</v>
      </c>
      <c r="W472" s="6" t="e">
        <f t="shared" si="1257"/>
        <v>#DIV/0!</v>
      </c>
      <c r="X472" s="6" t="e">
        <f t="shared" si="1257"/>
        <v>#DIV/0!</v>
      </c>
      <c r="Y472" s="6" t="e">
        <f t="shared" si="1257"/>
        <v>#DIV/0!</v>
      </c>
      <c r="Z472" s="6" t="e">
        <f t="shared" si="1257"/>
        <v>#DIV/0!</v>
      </c>
    </row>
    <row r="473" spans="1:26" x14ac:dyDescent="0.2">
      <c r="A473" s="7" t="s">
        <v>116</v>
      </c>
      <c r="B473" s="6">
        <f t="shared" si="1135"/>
        <v>4</v>
      </c>
      <c r="C473" s="7" t="s">
        <v>154</v>
      </c>
      <c r="D473" s="68">
        <v>75</v>
      </c>
      <c r="E473" s="68">
        <v>3</v>
      </c>
      <c r="F473" s="65">
        <f t="shared" si="1130"/>
        <v>0.04</v>
      </c>
      <c r="G473" s="60" t="e">
        <f t="shared" si="1136"/>
        <v>#DIV/0!</v>
      </c>
      <c r="H473" s="65" t="e">
        <f t="shared" ref="H473:J473" si="1258">H461</f>
        <v>#DIV/0!</v>
      </c>
      <c r="I473" s="65" t="e">
        <f t="shared" si="1258"/>
        <v>#DIV/0!</v>
      </c>
      <c r="J473" s="65" t="e">
        <f t="shared" si="1258"/>
        <v>#DIV/0!</v>
      </c>
      <c r="K473" s="69">
        <v>17674.88</v>
      </c>
      <c r="L473" s="69">
        <f>'Monitoramento Acumulado Geral'!Q473</f>
        <v>0</v>
      </c>
      <c r="M473" s="6">
        <f>(SUM(L470:L473))/K472</f>
        <v>5.6577470398667484E-4</v>
      </c>
      <c r="N473" s="35" t="e">
        <f t="shared" si="1138"/>
        <v>#DIV/0!</v>
      </c>
      <c r="O473" s="6" t="e">
        <f t="shared" ref="O473:Q473" si="1259">O461</f>
        <v>#DIV/0!</v>
      </c>
      <c r="P473" s="6" t="e">
        <f t="shared" si="1259"/>
        <v>#DIV/0!</v>
      </c>
      <c r="Q473" s="6" t="e">
        <f t="shared" si="1259"/>
        <v>#DIV/0!</v>
      </c>
      <c r="R473" s="69">
        <v>80</v>
      </c>
      <c r="S473" s="69">
        <v>0</v>
      </c>
      <c r="T473" s="6">
        <f t="shared" si="1133"/>
        <v>0</v>
      </c>
      <c r="U473" s="35" t="e">
        <f t="shared" si="1140"/>
        <v>#DIV/0!</v>
      </c>
      <c r="V473" s="6" t="e">
        <f t="shared" ref="V473:Z473" si="1260">V461</f>
        <v>#DIV/0!</v>
      </c>
      <c r="W473" s="6" t="e">
        <f t="shared" si="1260"/>
        <v>#DIV/0!</v>
      </c>
      <c r="X473" s="6" t="e">
        <f t="shared" si="1260"/>
        <v>#DIV/0!</v>
      </c>
      <c r="Y473" s="6" t="e">
        <f t="shared" si="1260"/>
        <v>#DIV/0!</v>
      </c>
      <c r="Z473" s="6" t="e">
        <f t="shared" si="1260"/>
        <v>#DIV/0!</v>
      </c>
    </row>
    <row r="474" spans="1:26" x14ac:dyDescent="0.2">
      <c r="A474" s="7" t="s">
        <v>116</v>
      </c>
      <c r="B474" s="6">
        <f t="shared" si="1135"/>
        <v>5</v>
      </c>
      <c r="C474" s="7" t="s">
        <v>155</v>
      </c>
      <c r="D474" s="68">
        <v>75</v>
      </c>
      <c r="E474" s="68">
        <v>7</v>
      </c>
      <c r="F474" s="65">
        <f t="shared" si="1130"/>
        <v>9.3333333333333338E-2</v>
      </c>
      <c r="G474" s="60" t="e">
        <f t="shared" si="1136"/>
        <v>#DIV/0!</v>
      </c>
      <c r="H474" s="65" t="e">
        <f t="shared" ref="H474:J474" si="1261">H462</f>
        <v>#DIV/0!</v>
      </c>
      <c r="I474" s="65" t="e">
        <f t="shared" si="1261"/>
        <v>#DIV/0!</v>
      </c>
      <c r="J474" s="65" t="e">
        <f t="shared" si="1261"/>
        <v>#DIV/0!</v>
      </c>
      <c r="K474" s="69">
        <v>17674.88</v>
      </c>
      <c r="L474" s="69">
        <f>'Monitoramento Acumulado Geral'!Q474</f>
        <v>144</v>
      </c>
      <c r="M474" s="6">
        <f>(SUM(L470:L474))/K473</f>
        <v>8.7129304413947929E-3</v>
      </c>
      <c r="N474" s="35" t="e">
        <f t="shared" si="1138"/>
        <v>#DIV/0!</v>
      </c>
      <c r="O474" s="6" t="e">
        <f t="shared" ref="O474:Q474" si="1262">O462</f>
        <v>#DIV/0!</v>
      </c>
      <c r="P474" s="6" t="e">
        <f t="shared" si="1262"/>
        <v>#DIV/0!</v>
      </c>
      <c r="Q474" s="6" t="e">
        <f t="shared" si="1262"/>
        <v>#DIV/0!</v>
      </c>
      <c r="R474" s="69">
        <v>80</v>
      </c>
      <c r="S474" s="69">
        <v>0</v>
      </c>
      <c r="T474" s="6">
        <f t="shared" si="1133"/>
        <v>0</v>
      </c>
      <c r="U474" s="35" t="e">
        <f t="shared" si="1140"/>
        <v>#DIV/0!</v>
      </c>
      <c r="V474" s="6" t="e">
        <f t="shared" ref="V474:Z474" si="1263">V462</f>
        <v>#DIV/0!</v>
      </c>
      <c r="W474" s="6" t="e">
        <f t="shared" si="1263"/>
        <v>#DIV/0!</v>
      </c>
      <c r="X474" s="6" t="e">
        <f t="shared" si="1263"/>
        <v>#DIV/0!</v>
      </c>
      <c r="Y474" s="6" t="e">
        <f t="shared" si="1263"/>
        <v>#DIV/0!</v>
      </c>
      <c r="Z474" s="6" t="e">
        <f t="shared" si="1263"/>
        <v>#DIV/0!</v>
      </c>
    </row>
    <row r="475" spans="1:26" x14ac:dyDescent="0.2">
      <c r="A475" s="7" t="s">
        <v>116</v>
      </c>
      <c r="B475" s="6">
        <f t="shared" si="1135"/>
        <v>6</v>
      </c>
      <c r="C475" s="7" t="s">
        <v>156</v>
      </c>
      <c r="D475" s="68">
        <v>75</v>
      </c>
      <c r="E475" s="68">
        <v>7</v>
      </c>
      <c r="F475" s="65">
        <f t="shared" si="1130"/>
        <v>9.3333333333333338E-2</v>
      </c>
      <c r="G475" s="60" t="e">
        <f t="shared" si="1136"/>
        <v>#DIV/0!</v>
      </c>
      <c r="H475" s="65" t="e">
        <f t="shared" ref="H475:J475" si="1264">H463</f>
        <v>#DIV/0!</v>
      </c>
      <c r="I475" s="65" t="e">
        <f t="shared" si="1264"/>
        <v>#DIV/0!</v>
      </c>
      <c r="J475" s="65" t="e">
        <f t="shared" si="1264"/>
        <v>#DIV/0!</v>
      </c>
      <c r="K475" s="69">
        <v>17674.88</v>
      </c>
      <c r="L475" s="69">
        <f>'Monitoramento Acumulado Geral'!Q475</f>
        <v>60</v>
      </c>
      <c r="M475" s="6">
        <f>(SUM(L470:L475))/K474</f>
        <v>1.2107578665314842E-2</v>
      </c>
      <c r="N475" s="35" t="e">
        <f t="shared" si="1138"/>
        <v>#DIV/0!</v>
      </c>
      <c r="O475" s="6" t="e">
        <f t="shared" ref="O475:Q475" si="1265">O463</f>
        <v>#DIV/0!</v>
      </c>
      <c r="P475" s="6" t="e">
        <f t="shared" si="1265"/>
        <v>#DIV/0!</v>
      </c>
      <c r="Q475" s="6" t="e">
        <f t="shared" si="1265"/>
        <v>#DIV/0!</v>
      </c>
      <c r="R475" s="69">
        <v>80</v>
      </c>
      <c r="S475" s="69">
        <v>0</v>
      </c>
      <c r="T475" s="6">
        <f t="shared" si="1133"/>
        <v>0</v>
      </c>
      <c r="U475" s="35" t="e">
        <f t="shared" si="1140"/>
        <v>#DIV/0!</v>
      </c>
      <c r="V475" s="6" t="e">
        <f t="shared" ref="V475:Z475" si="1266">V463</f>
        <v>#DIV/0!</v>
      </c>
      <c r="W475" s="6" t="e">
        <f t="shared" si="1266"/>
        <v>#DIV/0!</v>
      </c>
      <c r="X475" s="6" t="e">
        <f t="shared" si="1266"/>
        <v>#DIV/0!</v>
      </c>
      <c r="Y475" s="6" t="e">
        <f t="shared" si="1266"/>
        <v>#DIV/0!</v>
      </c>
      <c r="Z475" s="6" t="e">
        <f t="shared" si="1266"/>
        <v>#DIV/0!</v>
      </c>
    </row>
    <row r="476" spans="1:26" x14ac:dyDescent="0.2">
      <c r="A476" s="7" t="s">
        <v>116</v>
      </c>
      <c r="B476" s="6">
        <f t="shared" si="1135"/>
        <v>7</v>
      </c>
      <c r="C476" s="7" t="s">
        <v>157</v>
      </c>
      <c r="D476" s="68">
        <v>75</v>
      </c>
      <c r="E476" s="68">
        <v>7</v>
      </c>
      <c r="F476" s="65">
        <f t="shared" si="1130"/>
        <v>9.3333333333333338E-2</v>
      </c>
      <c r="G476" s="60" t="e">
        <f t="shared" si="1136"/>
        <v>#DIV/0!</v>
      </c>
      <c r="H476" s="65" t="e">
        <f t="shared" ref="H476:J476" si="1267">H464</f>
        <v>#DIV/0!</v>
      </c>
      <c r="I476" s="65" t="e">
        <f t="shared" si="1267"/>
        <v>#DIV/0!</v>
      </c>
      <c r="J476" s="65" t="e">
        <f t="shared" si="1267"/>
        <v>#DIV/0!</v>
      </c>
      <c r="K476" s="69">
        <v>17674.88</v>
      </c>
      <c r="L476" s="69">
        <f>'Monitoramento Acumulado Geral'!Q476</f>
        <v>0</v>
      </c>
      <c r="M476" s="6">
        <f>(SUM(L470:L476))/K475</f>
        <v>1.2107578665314842E-2</v>
      </c>
      <c r="N476" s="35" t="e">
        <f t="shared" si="1138"/>
        <v>#DIV/0!</v>
      </c>
      <c r="O476" s="6" t="e">
        <f t="shared" ref="O476:Q476" si="1268">O464</f>
        <v>#DIV/0!</v>
      </c>
      <c r="P476" s="6" t="e">
        <f t="shared" si="1268"/>
        <v>#DIV/0!</v>
      </c>
      <c r="Q476" s="6" t="e">
        <f t="shared" si="1268"/>
        <v>#DIV/0!</v>
      </c>
      <c r="R476" s="69">
        <v>80</v>
      </c>
      <c r="S476" s="69">
        <v>0</v>
      </c>
      <c r="T476" s="6">
        <f t="shared" si="1133"/>
        <v>0</v>
      </c>
      <c r="U476" s="35" t="e">
        <f t="shared" si="1140"/>
        <v>#DIV/0!</v>
      </c>
      <c r="V476" s="6" t="e">
        <f t="shared" ref="V476:Z476" si="1269">V464</f>
        <v>#DIV/0!</v>
      </c>
      <c r="W476" s="6" t="e">
        <f t="shared" si="1269"/>
        <v>#DIV/0!</v>
      </c>
      <c r="X476" s="6" t="e">
        <f t="shared" si="1269"/>
        <v>#DIV/0!</v>
      </c>
      <c r="Y476" s="6" t="e">
        <f t="shared" si="1269"/>
        <v>#DIV/0!</v>
      </c>
      <c r="Z476" s="6" t="e">
        <f t="shared" si="1269"/>
        <v>#DIV/0!</v>
      </c>
    </row>
    <row r="477" spans="1:26" x14ac:dyDescent="0.2">
      <c r="A477" s="7" t="s">
        <v>116</v>
      </c>
      <c r="B477" s="6">
        <f t="shared" si="1135"/>
        <v>8</v>
      </c>
      <c r="C477" s="7" t="s">
        <v>158</v>
      </c>
      <c r="D477" s="68">
        <v>75</v>
      </c>
      <c r="E477" s="68">
        <v>7</v>
      </c>
      <c r="F477" s="65">
        <f t="shared" si="1130"/>
        <v>9.3333333333333338E-2</v>
      </c>
      <c r="G477" s="60" t="e">
        <f t="shared" si="1136"/>
        <v>#DIV/0!</v>
      </c>
      <c r="H477" s="65" t="e">
        <f t="shared" ref="H477:J477" si="1270">H465</f>
        <v>#DIV/0!</v>
      </c>
      <c r="I477" s="65" t="e">
        <f t="shared" si="1270"/>
        <v>#DIV/0!</v>
      </c>
      <c r="J477" s="65" t="e">
        <f t="shared" si="1270"/>
        <v>#DIV/0!</v>
      </c>
      <c r="K477" s="69">
        <v>17674.88</v>
      </c>
      <c r="L477" s="69">
        <f>'Monitoramento Acumulado Geral'!Q477</f>
        <v>0</v>
      </c>
      <c r="M477" s="6">
        <f>(SUM(L470:L477))/K476</f>
        <v>1.2107578665314842E-2</v>
      </c>
      <c r="N477" s="35" t="e">
        <f t="shared" si="1138"/>
        <v>#DIV/0!</v>
      </c>
      <c r="O477" s="6" t="e">
        <f t="shared" ref="O477:Q477" si="1271">O465</f>
        <v>#DIV/0!</v>
      </c>
      <c r="P477" s="6" t="e">
        <f t="shared" si="1271"/>
        <v>#DIV/0!</v>
      </c>
      <c r="Q477" s="6" t="e">
        <f t="shared" si="1271"/>
        <v>#DIV/0!</v>
      </c>
      <c r="R477" s="69">
        <v>80</v>
      </c>
      <c r="S477" s="69">
        <v>0</v>
      </c>
      <c r="T477" s="6">
        <f t="shared" si="1133"/>
        <v>0</v>
      </c>
      <c r="U477" s="35" t="e">
        <f t="shared" si="1140"/>
        <v>#DIV/0!</v>
      </c>
      <c r="V477" s="6" t="e">
        <f t="shared" ref="V477:Z477" si="1272">V465</f>
        <v>#DIV/0!</v>
      </c>
      <c r="W477" s="6" t="e">
        <f t="shared" si="1272"/>
        <v>#DIV/0!</v>
      </c>
      <c r="X477" s="6" t="e">
        <f t="shared" si="1272"/>
        <v>#DIV/0!</v>
      </c>
      <c r="Y477" s="6" t="e">
        <f t="shared" si="1272"/>
        <v>#DIV/0!</v>
      </c>
      <c r="Z477" s="6" t="e">
        <f t="shared" si="1272"/>
        <v>#DIV/0!</v>
      </c>
    </row>
    <row r="478" spans="1:26" x14ac:dyDescent="0.2">
      <c r="A478" s="7" t="s">
        <v>116</v>
      </c>
      <c r="B478" s="6">
        <f t="shared" si="1135"/>
        <v>9</v>
      </c>
      <c r="C478" s="7" t="s">
        <v>159</v>
      </c>
      <c r="D478" s="68">
        <v>75</v>
      </c>
      <c r="E478" s="68">
        <v>7</v>
      </c>
      <c r="F478" s="65">
        <f t="shared" si="1130"/>
        <v>9.3333333333333338E-2</v>
      </c>
      <c r="G478" s="60" t="e">
        <f t="shared" si="1136"/>
        <v>#DIV/0!</v>
      </c>
      <c r="H478" s="65" t="e">
        <f t="shared" ref="H478:J478" si="1273">H466</f>
        <v>#DIV/0!</v>
      </c>
      <c r="I478" s="65" t="e">
        <f t="shared" si="1273"/>
        <v>#DIV/0!</v>
      </c>
      <c r="J478" s="65" t="e">
        <f t="shared" si="1273"/>
        <v>#DIV/0!</v>
      </c>
      <c r="K478" s="69">
        <v>17674.88</v>
      </c>
      <c r="L478" s="69">
        <f>'Monitoramento Acumulado Geral'!Q478</f>
        <v>0</v>
      </c>
      <c r="M478" s="6">
        <f>(SUM(L470:L478))/K477</f>
        <v>1.2107578665314842E-2</v>
      </c>
      <c r="N478" s="35" t="e">
        <f t="shared" si="1138"/>
        <v>#DIV/0!</v>
      </c>
      <c r="O478" s="6" t="e">
        <f t="shared" ref="O478:Q478" si="1274">O466</f>
        <v>#DIV/0!</v>
      </c>
      <c r="P478" s="6" t="e">
        <f t="shared" si="1274"/>
        <v>#DIV/0!</v>
      </c>
      <c r="Q478" s="6" t="e">
        <f t="shared" si="1274"/>
        <v>#DIV/0!</v>
      </c>
      <c r="R478" s="69">
        <v>80</v>
      </c>
      <c r="S478" s="69">
        <v>0</v>
      </c>
      <c r="T478" s="6">
        <f t="shared" si="1133"/>
        <v>0</v>
      </c>
      <c r="U478" s="35" t="e">
        <f t="shared" si="1140"/>
        <v>#DIV/0!</v>
      </c>
      <c r="V478" s="6" t="e">
        <f t="shared" ref="V478:Z478" si="1275">V466</f>
        <v>#DIV/0!</v>
      </c>
      <c r="W478" s="6" t="e">
        <f t="shared" si="1275"/>
        <v>#DIV/0!</v>
      </c>
      <c r="X478" s="6" t="e">
        <f t="shared" si="1275"/>
        <v>#DIV/0!</v>
      </c>
      <c r="Y478" s="6" t="e">
        <f t="shared" si="1275"/>
        <v>#DIV/0!</v>
      </c>
      <c r="Z478" s="6" t="e">
        <f t="shared" si="1275"/>
        <v>#DIV/0!</v>
      </c>
    </row>
    <row r="479" spans="1:26" x14ac:dyDescent="0.2">
      <c r="A479" s="7" t="s">
        <v>116</v>
      </c>
      <c r="B479" s="6">
        <f t="shared" si="1135"/>
        <v>10</v>
      </c>
      <c r="C479" s="7" t="s">
        <v>160</v>
      </c>
      <c r="D479" s="68">
        <v>75</v>
      </c>
      <c r="E479" s="68">
        <v>7</v>
      </c>
      <c r="F479" s="65">
        <f t="shared" si="1130"/>
        <v>9.3333333333333338E-2</v>
      </c>
      <c r="G479" s="60" t="e">
        <f t="shared" si="1136"/>
        <v>#DIV/0!</v>
      </c>
      <c r="H479" s="65" t="e">
        <f t="shared" ref="H479:J479" si="1276">H467</f>
        <v>#DIV/0!</v>
      </c>
      <c r="I479" s="65" t="e">
        <f t="shared" si="1276"/>
        <v>#DIV/0!</v>
      </c>
      <c r="J479" s="65" t="e">
        <f t="shared" si="1276"/>
        <v>#DIV/0!</v>
      </c>
      <c r="K479" s="69">
        <v>17674.88</v>
      </c>
      <c r="L479" s="69">
        <f>'Monitoramento Acumulado Geral'!Q479</f>
        <v>0</v>
      </c>
      <c r="M479" s="6">
        <f>(SUM(L470:L479))/K478</f>
        <v>1.2107578665314842E-2</v>
      </c>
      <c r="N479" s="35" t="e">
        <f t="shared" si="1138"/>
        <v>#DIV/0!</v>
      </c>
      <c r="O479" s="6" t="e">
        <f t="shared" ref="O479:Q479" si="1277">O467</f>
        <v>#DIV/0!</v>
      </c>
      <c r="P479" s="6" t="e">
        <f t="shared" si="1277"/>
        <v>#DIV/0!</v>
      </c>
      <c r="Q479" s="6" t="e">
        <f t="shared" si="1277"/>
        <v>#DIV/0!</v>
      </c>
      <c r="R479" s="69">
        <v>80</v>
      </c>
      <c r="S479" s="69">
        <v>0</v>
      </c>
      <c r="T479" s="6">
        <f t="shared" si="1133"/>
        <v>0</v>
      </c>
      <c r="U479" s="35" t="e">
        <f t="shared" si="1140"/>
        <v>#DIV/0!</v>
      </c>
      <c r="V479" s="6" t="e">
        <f t="shared" ref="V479:Z479" si="1278">V467</f>
        <v>#DIV/0!</v>
      </c>
      <c r="W479" s="6" t="e">
        <f t="shared" si="1278"/>
        <v>#DIV/0!</v>
      </c>
      <c r="X479" s="6" t="e">
        <f t="shared" si="1278"/>
        <v>#DIV/0!</v>
      </c>
      <c r="Y479" s="6" t="e">
        <f t="shared" si="1278"/>
        <v>#DIV/0!</v>
      </c>
      <c r="Z479" s="6" t="e">
        <f t="shared" si="1278"/>
        <v>#DIV/0!</v>
      </c>
    </row>
    <row r="480" spans="1:26" x14ac:dyDescent="0.2">
      <c r="A480" s="7" t="s">
        <v>116</v>
      </c>
      <c r="B480" s="6">
        <f t="shared" si="1135"/>
        <v>11</v>
      </c>
      <c r="C480" s="7" t="s">
        <v>161</v>
      </c>
      <c r="D480" s="68">
        <v>75</v>
      </c>
      <c r="E480" s="68">
        <v>0</v>
      </c>
      <c r="F480" s="65">
        <f t="shared" si="1130"/>
        <v>0</v>
      </c>
      <c r="G480" s="60" t="e">
        <f t="shared" si="1136"/>
        <v>#DIV/0!</v>
      </c>
      <c r="H480" s="65" t="e">
        <f t="shared" ref="H480:J480" si="1279">H468</f>
        <v>#DIV/0!</v>
      </c>
      <c r="I480" s="65" t="e">
        <f t="shared" si="1279"/>
        <v>#DIV/0!</v>
      </c>
      <c r="J480" s="65" t="e">
        <f t="shared" si="1279"/>
        <v>#DIV/0!</v>
      </c>
      <c r="K480" s="69">
        <v>17674.88</v>
      </c>
      <c r="L480" s="69">
        <f>'Monitoramento Acumulado Geral'!Q480</f>
        <v>0</v>
      </c>
      <c r="M480" s="6">
        <f>(SUM(L470:L480))/K479</f>
        <v>1.2107578665314842E-2</v>
      </c>
      <c r="N480" s="35" t="e">
        <f t="shared" si="1138"/>
        <v>#DIV/0!</v>
      </c>
      <c r="O480" s="6" t="e">
        <f t="shared" ref="O480:Q480" si="1280">O468</f>
        <v>#DIV/0!</v>
      </c>
      <c r="P480" s="6" t="e">
        <f t="shared" si="1280"/>
        <v>#DIV/0!</v>
      </c>
      <c r="Q480" s="6" t="e">
        <f t="shared" si="1280"/>
        <v>#DIV/0!</v>
      </c>
      <c r="R480" s="69">
        <v>80</v>
      </c>
      <c r="S480" s="69">
        <v>0</v>
      </c>
      <c r="T480" s="6">
        <f t="shared" si="1133"/>
        <v>0</v>
      </c>
      <c r="U480" s="35" t="e">
        <f t="shared" si="1140"/>
        <v>#DIV/0!</v>
      </c>
      <c r="V480" s="6" t="e">
        <f t="shared" ref="V480:Z480" si="1281">V468</f>
        <v>#DIV/0!</v>
      </c>
      <c r="W480" s="6" t="e">
        <f t="shared" si="1281"/>
        <v>#DIV/0!</v>
      </c>
      <c r="X480" s="6" t="e">
        <f t="shared" si="1281"/>
        <v>#DIV/0!</v>
      </c>
      <c r="Y480" s="6" t="e">
        <f t="shared" si="1281"/>
        <v>#DIV/0!</v>
      </c>
      <c r="Z480" s="6" t="e">
        <f t="shared" si="1281"/>
        <v>#DIV/0!</v>
      </c>
    </row>
    <row r="481" spans="1:26" x14ac:dyDescent="0.2">
      <c r="A481" s="7" t="s">
        <v>116</v>
      </c>
      <c r="B481" s="6">
        <f t="shared" si="1135"/>
        <v>12</v>
      </c>
      <c r="C481" s="7" t="s">
        <v>162</v>
      </c>
      <c r="D481" s="68">
        <v>75</v>
      </c>
      <c r="E481" s="68">
        <v>0</v>
      </c>
      <c r="F481" s="65">
        <f t="shared" si="1130"/>
        <v>0</v>
      </c>
      <c r="G481" s="60" t="e">
        <f t="shared" si="1136"/>
        <v>#DIV/0!</v>
      </c>
      <c r="H481" s="65" t="e">
        <f t="shared" ref="H481:J481" si="1282">H469</f>
        <v>#DIV/0!</v>
      </c>
      <c r="I481" s="65" t="e">
        <f t="shared" si="1282"/>
        <v>#DIV/0!</v>
      </c>
      <c r="J481" s="65" t="e">
        <f t="shared" si="1282"/>
        <v>#DIV/0!</v>
      </c>
      <c r="K481" s="69">
        <v>17674.88</v>
      </c>
      <c r="L481" s="69">
        <f>'Monitoramento Acumulado Geral'!Q481</f>
        <v>0</v>
      </c>
      <c r="M481" s="6">
        <f>(SUM(L470:L481))/K480</f>
        <v>1.2107578665314842E-2</v>
      </c>
      <c r="N481" s="35" t="e">
        <f t="shared" si="1138"/>
        <v>#DIV/0!</v>
      </c>
      <c r="O481" s="6" t="e">
        <f t="shared" ref="O481:Q481" si="1283">O469</f>
        <v>#DIV/0!</v>
      </c>
      <c r="P481" s="6" t="e">
        <f t="shared" si="1283"/>
        <v>#DIV/0!</v>
      </c>
      <c r="Q481" s="6" t="e">
        <f t="shared" si="1283"/>
        <v>#DIV/0!</v>
      </c>
      <c r="R481" s="69">
        <v>80</v>
      </c>
      <c r="S481" s="69">
        <v>0</v>
      </c>
      <c r="T481" s="6">
        <f t="shared" si="1133"/>
        <v>0</v>
      </c>
      <c r="U481" s="35" t="e">
        <f t="shared" si="1140"/>
        <v>#DIV/0!</v>
      </c>
      <c r="V481" s="6" t="e">
        <f t="shared" ref="V481:Z481" si="1284">V469</f>
        <v>#DIV/0!</v>
      </c>
      <c r="W481" s="6" t="e">
        <f t="shared" si="1284"/>
        <v>#DIV/0!</v>
      </c>
      <c r="X481" s="6" t="e">
        <f t="shared" si="1284"/>
        <v>#DIV/0!</v>
      </c>
      <c r="Y481" s="6" t="e">
        <f t="shared" si="1284"/>
        <v>#DIV/0!</v>
      </c>
      <c r="Z481" s="6" t="e">
        <f t="shared" si="1284"/>
        <v>#DIV/0!</v>
      </c>
    </row>
    <row r="482" spans="1:26" x14ac:dyDescent="0.2">
      <c r="A482" s="7" t="s">
        <v>86</v>
      </c>
      <c r="B482" s="6">
        <f t="shared" si="1135"/>
        <v>1</v>
      </c>
      <c r="C482" s="7" t="s">
        <v>151</v>
      </c>
      <c r="D482" s="68">
        <v>72</v>
      </c>
      <c r="E482" s="68">
        <v>0</v>
      </c>
      <c r="F482" s="65">
        <f t="shared" si="1130"/>
        <v>0</v>
      </c>
      <c r="G482" s="60" t="e">
        <f t="shared" si="1136"/>
        <v>#DIV/0!</v>
      </c>
      <c r="H482" s="65" t="e">
        <f t="shared" ref="H482:J482" si="1285">H470</f>
        <v>#DIV/0!</v>
      </c>
      <c r="I482" s="65" t="e">
        <f t="shared" si="1285"/>
        <v>#DIV/0!</v>
      </c>
      <c r="J482" s="65" t="e">
        <f t="shared" si="1285"/>
        <v>#DIV/0!</v>
      </c>
      <c r="K482" s="69">
        <v>1000</v>
      </c>
      <c r="L482" s="69">
        <f>'Monitoramento Acumulado Geral'!Q482</f>
        <v>0</v>
      </c>
      <c r="M482" s="6">
        <f>L482/K482</f>
        <v>0</v>
      </c>
      <c r="N482" s="35" t="e">
        <f t="shared" si="1138"/>
        <v>#DIV/0!</v>
      </c>
      <c r="O482" s="6" t="e">
        <f t="shared" ref="O482:Q482" si="1286">O458</f>
        <v>#DIV/0!</v>
      </c>
      <c r="P482" s="6" t="e">
        <f t="shared" si="1286"/>
        <v>#DIV/0!</v>
      </c>
      <c r="Q482" s="6" t="e">
        <f t="shared" si="1286"/>
        <v>#DIV/0!</v>
      </c>
      <c r="R482" s="69">
        <v>33</v>
      </c>
      <c r="S482" s="69">
        <v>0</v>
      </c>
      <c r="T482" s="6">
        <f t="shared" si="1133"/>
        <v>0</v>
      </c>
      <c r="U482" s="35" t="e">
        <f t="shared" si="1140"/>
        <v>#DIV/0!</v>
      </c>
      <c r="V482" s="6" t="e">
        <f t="shared" ref="V482:Z482" si="1287">V470</f>
        <v>#DIV/0!</v>
      </c>
      <c r="W482" s="6" t="e">
        <f t="shared" si="1287"/>
        <v>#DIV/0!</v>
      </c>
      <c r="X482" s="6" t="e">
        <f t="shared" si="1287"/>
        <v>#DIV/0!</v>
      </c>
      <c r="Y482" s="6" t="e">
        <f t="shared" si="1287"/>
        <v>#DIV/0!</v>
      </c>
      <c r="Z482" s="6" t="e">
        <f t="shared" si="1287"/>
        <v>#DIV/0!</v>
      </c>
    </row>
    <row r="483" spans="1:26" x14ac:dyDescent="0.2">
      <c r="A483" s="7" t="s">
        <v>86</v>
      </c>
      <c r="B483" s="6">
        <f t="shared" si="1135"/>
        <v>2</v>
      </c>
      <c r="C483" s="7" t="s">
        <v>152</v>
      </c>
      <c r="D483" s="68">
        <v>72</v>
      </c>
      <c r="E483" s="68">
        <v>0</v>
      </c>
      <c r="F483" s="65">
        <f t="shared" si="1130"/>
        <v>0</v>
      </c>
      <c r="G483" s="60" t="e">
        <f t="shared" si="1136"/>
        <v>#DIV/0!</v>
      </c>
      <c r="H483" s="65" t="e">
        <f t="shared" ref="H483:J483" si="1288">H471</f>
        <v>#DIV/0!</v>
      </c>
      <c r="I483" s="65" t="e">
        <f t="shared" si="1288"/>
        <v>#DIV/0!</v>
      </c>
      <c r="J483" s="65" t="e">
        <f t="shared" si="1288"/>
        <v>#DIV/0!</v>
      </c>
      <c r="K483" s="69">
        <v>1000</v>
      </c>
      <c r="L483" s="69">
        <f>'Monitoramento Acumulado Geral'!Q483</f>
        <v>0</v>
      </c>
      <c r="M483" s="6">
        <f>(SUM(L482:L483))/K482</f>
        <v>0</v>
      </c>
      <c r="N483" s="35" t="e">
        <f t="shared" si="1138"/>
        <v>#DIV/0!</v>
      </c>
      <c r="O483" s="6" t="e">
        <f t="shared" ref="O483:Q483" si="1289">O459</f>
        <v>#DIV/0!</v>
      </c>
      <c r="P483" s="6" t="e">
        <f t="shared" si="1289"/>
        <v>#DIV/0!</v>
      </c>
      <c r="Q483" s="6" t="e">
        <f t="shared" si="1289"/>
        <v>#DIV/0!</v>
      </c>
      <c r="R483" s="69">
        <v>33</v>
      </c>
      <c r="S483" s="69">
        <v>0</v>
      </c>
      <c r="T483" s="6">
        <f t="shared" si="1133"/>
        <v>0</v>
      </c>
      <c r="U483" s="35" t="e">
        <f t="shared" si="1140"/>
        <v>#DIV/0!</v>
      </c>
      <c r="V483" s="6" t="e">
        <f t="shared" ref="V483:Z483" si="1290">V471</f>
        <v>#DIV/0!</v>
      </c>
      <c r="W483" s="6" t="e">
        <f t="shared" si="1290"/>
        <v>#DIV/0!</v>
      </c>
      <c r="X483" s="6" t="e">
        <f t="shared" si="1290"/>
        <v>#DIV/0!</v>
      </c>
      <c r="Y483" s="6" t="e">
        <f t="shared" si="1290"/>
        <v>#DIV/0!</v>
      </c>
      <c r="Z483" s="6" t="e">
        <f t="shared" si="1290"/>
        <v>#DIV/0!</v>
      </c>
    </row>
    <row r="484" spans="1:26" x14ac:dyDescent="0.2">
      <c r="A484" s="7" t="s">
        <v>86</v>
      </c>
      <c r="B484" s="6">
        <f t="shared" si="1135"/>
        <v>3</v>
      </c>
      <c r="C484" s="7" t="s">
        <v>153</v>
      </c>
      <c r="D484" s="68">
        <v>72</v>
      </c>
      <c r="E484" s="68">
        <v>0</v>
      </c>
      <c r="F484" s="65">
        <f t="shared" si="1130"/>
        <v>0</v>
      </c>
      <c r="G484" s="60" t="e">
        <f t="shared" si="1136"/>
        <v>#DIV/0!</v>
      </c>
      <c r="H484" s="65" t="e">
        <f t="shared" ref="H484:J484" si="1291">H472</f>
        <v>#DIV/0!</v>
      </c>
      <c r="I484" s="65" t="e">
        <f t="shared" si="1291"/>
        <v>#DIV/0!</v>
      </c>
      <c r="J484" s="65" t="e">
        <f t="shared" si="1291"/>
        <v>#DIV/0!</v>
      </c>
      <c r="K484" s="69">
        <v>1000</v>
      </c>
      <c r="L484" s="69">
        <f>'Monitoramento Acumulado Geral'!Q484</f>
        <v>0</v>
      </c>
      <c r="M484" s="6">
        <f>(SUM(L482:L484))/K483</f>
        <v>0</v>
      </c>
      <c r="N484" s="35" t="e">
        <f t="shared" si="1138"/>
        <v>#DIV/0!</v>
      </c>
      <c r="O484" s="6" t="e">
        <f t="shared" ref="O484:Q484" si="1292">O460</f>
        <v>#DIV/0!</v>
      </c>
      <c r="P484" s="6" t="e">
        <f t="shared" si="1292"/>
        <v>#DIV/0!</v>
      </c>
      <c r="Q484" s="6" t="e">
        <f t="shared" si="1292"/>
        <v>#DIV/0!</v>
      </c>
      <c r="R484" s="69">
        <v>33</v>
      </c>
      <c r="S484" s="69">
        <v>0</v>
      </c>
      <c r="T484" s="6">
        <f t="shared" si="1133"/>
        <v>0</v>
      </c>
      <c r="U484" s="35" t="e">
        <f t="shared" si="1140"/>
        <v>#DIV/0!</v>
      </c>
      <c r="V484" s="6" t="e">
        <f t="shared" ref="V484:Z484" si="1293">V472</f>
        <v>#DIV/0!</v>
      </c>
      <c r="W484" s="6" t="e">
        <f t="shared" si="1293"/>
        <v>#DIV/0!</v>
      </c>
      <c r="X484" s="6" t="e">
        <f t="shared" si="1293"/>
        <v>#DIV/0!</v>
      </c>
      <c r="Y484" s="6" t="e">
        <f t="shared" si="1293"/>
        <v>#DIV/0!</v>
      </c>
      <c r="Z484" s="6" t="e">
        <f t="shared" si="1293"/>
        <v>#DIV/0!</v>
      </c>
    </row>
    <row r="485" spans="1:26" x14ac:dyDescent="0.2">
      <c r="A485" s="7" t="s">
        <v>86</v>
      </c>
      <c r="B485" s="6">
        <f t="shared" si="1135"/>
        <v>4</v>
      </c>
      <c r="C485" s="7" t="s">
        <v>154</v>
      </c>
      <c r="D485" s="68">
        <v>72</v>
      </c>
      <c r="E485" s="68">
        <v>0</v>
      </c>
      <c r="F485" s="65">
        <f t="shared" si="1130"/>
        <v>0</v>
      </c>
      <c r="G485" s="60" t="e">
        <f t="shared" si="1136"/>
        <v>#DIV/0!</v>
      </c>
      <c r="H485" s="65" t="e">
        <f t="shared" ref="H485:J485" si="1294">H473</f>
        <v>#DIV/0!</v>
      </c>
      <c r="I485" s="65" t="e">
        <f t="shared" si="1294"/>
        <v>#DIV/0!</v>
      </c>
      <c r="J485" s="65" t="e">
        <f t="shared" si="1294"/>
        <v>#DIV/0!</v>
      </c>
      <c r="K485" s="69">
        <v>1000</v>
      </c>
      <c r="L485" s="69">
        <f>'Monitoramento Acumulado Geral'!Q485</f>
        <v>0</v>
      </c>
      <c r="M485" s="6">
        <f>(SUM(L482:L485))/K484</f>
        <v>0</v>
      </c>
      <c r="N485" s="35" t="e">
        <f t="shared" si="1138"/>
        <v>#DIV/0!</v>
      </c>
      <c r="O485" s="6" t="e">
        <f t="shared" ref="O485:Q485" si="1295">O461</f>
        <v>#DIV/0!</v>
      </c>
      <c r="P485" s="6" t="e">
        <f t="shared" si="1295"/>
        <v>#DIV/0!</v>
      </c>
      <c r="Q485" s="6" t="e">
        <f t="shared" si="1295"/>
        <v>#DIV/0!</v>
      </c>
      <c r="R485" s="69">
        <v>33</v>
      </c>
      <c r="S485" s="69">
        <v>0</v>
      </c>
      <c r="T485" s="6">
        <f t="shared" si="1133"/>
        <v>0</v>
      </c>
      <c r="U485" s="35" t="e">
        <f t="shared" si="1140"/>
        <v>#DIV/0!</v>
      </c>
      <c r="V485" s="6" t="e">
        <f t="shared" ref="V485:Z485" si="1296">V473</f>
        <v>#DIV/0!</v>
      </c>
      <c r="W485" s="6" t="e">
        <f t="shared" si="1296"/>
        <v>#DIV/0!</v>
      </c>
      <c r="X485" s="6" t="e">
        <f t="shared" si="1296"/>
        <v>#DIV/0!</v>
      </c>
      <c r="Y485" s="6" t="e">
        <f t="shared" si="1296"/>
        <v>#DIV/0!</v>
      </c>
      <c r="Z485" s="6" t="e">
        <f t="shared" si="1296"/>
        <v>#DIV/0!</v>
      </c>
    </row>
    <row r="486" spans="1:26" x14ac:dyDescent="0.2">
      <c r="A486" s="7" t="s">
        <v>86</v>
      </c>
      <c r="B486" s="6">
        <f t="shared" si="1135"/>
        <v>5</v>
      </c>
      <c r="C486" s="7" t="s">
        <v>155</v>
      </c>
      <c r="D486" s="68">
        <v>72</v>
      </c>
      <c r="E486" s="68">
        <v>0</v>
      </c>
      <c r="F486" s="65">
        <f t="shared" si="1130"/>
        <v>0</v>
      </c>
      <c r="G486" s="60" t="e">
        <f t="shared" si="1136"/>
        <v>#DIV/0!</v>
      </c>
      <c r="H486" s="65" t="e">
        <f t="shared" ref="H486:J486" si="1297">H474</f>
        <v>#DIV/0!</v>
      </c>
      <c r="I486" s="65" t="e">
        <f t="shared" si="1297"/>
        <v>#DIV/0!</v>
      </c>
      <c r="J486" s="65" t="e">
        <f t="shared" si="1297"/>
        <v>#DIV/0!</v>
      </c>
      <c r="K486" s="69">
        <v>1000</v>
      </c>
      <c r="L486" s="69">
        <f>'Monitoramento Acumulado Geral'!Q486</f>
        <v>0</v>
      </c>
      <c r="M486" s="6">
        <f>(SUM(L482:L486))/K485</f>
        <v>0</v>
      </c>
      <c r="N486" s="35" t="e">
        <f t="shared" si="1138"/>
        <v>#DIV/0!</v>
      </c>
      <c r="O486" s="6" t="e">
        <f t="shared" ref="O486:Q486" si="1298">O462</f>
        <v>#DIV/0!</v>
      </c>
      <c r="P486" s="6" t="e">
        <f t="shared" si="1298"/>
        <v>#DIV/0!</v>
      </c>
      <c r="Q486" s="6" t="e">
        <f t="shared" si="1298"/>
        <v>#DIV/0!</v>
      </c>
      <c r="R486" s="69">
        <v>33</v>
      </c>
      <c r="S486" s="69">
        <v>0</v>
      </c>
      <c r="T486" s="6">
        <f t="shared" si="1133"/>
        <v>0</v>
      </c>
      <c r="U486" s="35" t="e">
        <f t="shared" si="1140"/>
        <v>#DIV/0!</v>
      </c>
      <c r="V486" s="6" t="e">
        <f t="shared" ref="V486:Z486" si="1299">V474</f>
        <v>#DIV/0!</v>
      </c>
      <c r="W486" s="6" t="e">
        <f t="shared" si="1299"/>
        <v>#DIV/0!</v>
      </c>
      <c r="X486" s="6" t="e">
        <f t="shared" si="1299"/>
        <v>#DIV/0!</v>
      </c>
      <c r="Y486" s="6" t="e">
        <f t="shared" si="1299"/>
        <v>#DIV/0!</v>
      </c>
      <c r="Z486" s="6" t="e">
        <f t="shared" si="1299"/>
        <v>#DIV/0!</v>
      </c>
    </row>
    <row r="487" spans="1:26" x14ac:dyDescent="0.2">
      <c r="A487" s="7" t="s">
        <v>86</v>
      </c>
      <c r="B487" s="6">
        <f t="shared" si="1135"/>
        <v>6</v>
      </c>
      <c r="C487" s="7" t="s">
        <v>156</v>
      </c>
      <c r="D487" s="68">
        <v>72</v>
      </c>
      <c r="E487" s="68">
        <v>0</v>
      </c>
      <c r="F487" s="65">
        <f t="shared" si="1130"/>
        <v>0</v>
      </c>
      <c r="G487" s="60" t="e">
        <f t="shared" si="1136"/>
        <v>#DIV/0!</v>
      </c>
      <c r="H487" s="65" t="e">
        <f t="shared" ref="H487:J487" si="1300">H475</f>
        <v>#DIV/0!</v>
      </c>
      <c r="I487" s="65" t="e">
        <f t="shared" si="1300"/>
        <v>#DIV/0!</v>
      </c>
      <c r="J487" s="65" t="e">
        <f t="shared" si="1300"/>
        <v>#DIV/0!</v>
      </c>
      <c r="K487" s="69">
        <v>1000</v>
      </c>
      <c r="L487" s="69">
        <f>'Monitoramento Acumulado Geral'!Q487</f>
        <v>0</v>
      </c>
      <c r="M487" s="6">
        <f>(SUM(L482:L487))/K486</f>
        <v>0</v>
      </c>
      <c r="N487" s="35" t="e">
        <f t="shared" si="1138"/>
        <v>#DIV/0!</v>
      </c>
      <c r="O487" s="6" t="e">
        <f t="shared" ref="O487:Q487" si="1301">O463</f>
        <v>#DIV/0!</v>
      </c>
      <c r="P487" s="6" t="e">
        <f t="shared" si="1301"/>
        <v>#DIV/0!</v>
      </c>
      <c r="Q487" s="6" t="e">
        <f t="shared" si="1301"/>
        <v>#DIV/0!</v>
      </c>
      <c r="R487" s="69">
        <v>33</v>
      </c>
      <c r="S487" s="69">
        <v>0</v>
      </c>
      <c r="T487" s="6">
        <f t="shared" si="1133"/>
        <v>0</v>
      </c>
      <c r="U487" s="35" t="e">
        <f t="shared" si="1140"/>
        <v>#DIV/0!</v>
      </c>
      <c r="V487" s="6" t="e">
        <f t="shared" ref="V487:Z487" si="1302">V475</f>
        <v>#DIV/0!</v>
      </c>
      <c r="W487" s="6" t="e">
        <f t="shared" si="1302"/>
        <v>#DIV/0!</v>
      </c>
      <c r="X487" s="6" t="e">
        <f t="shared" si="1302"/>
        <v>#DIV/0!</v>
      </c>
      <c r="Y487" s="6" t="e">
        <f t="shared" si="1302"/>
        <v>#DIV/0!</v>
      </c>
      <c r="Z487" s="6" t="e">
        <f t="shared" si="1302"/>
        <v>#DIV/0!</v>
      </c>
    </row>
    <row r="488" spans="1:26" x14ac:dyDescent="0.2">
      <c r="A488" s="7" t="s">
        <v>86</v>
      </c>
      <c r="B488" s="6">
        <f t="shared" si="1135"/>
        <v>7</v>
      </c>
      <c r="C488" s="7" t="s">
        <v>157</v>
      </c>
      <c r="D488" s="68">
        <v>72</v>
      </c>
      <c r="E488" s="68">
        <v>0</v>
      </c>
      <c r="F488" s="65">
        <f t="shared" si="1130"/>
        <v>0</v>
      </c>
      <c r="G488" s="60" t="e">
        <f t="shared" si="1136"/>
        <v>#DIV/0!</v>
      </c>
      <c r="H488" s="65" t="e">
        <f t="shared" ref="H488:J488" si="1303">H476</f>
        <v>#DIV/0!</v>
      </c>
      <c r="I488" s="65" t="e">
        <f t="shared" si="1303"/>
        <v>#DIV/0!</v>
      </c>
      <c r="J488" s="65" t="e">
        <f t="shared" si="1303"/>
        <v>#DIV/0!</v>
      </c>
      <c r="K488" s="69">
        <v>1000</v>
      </c>
      <c r="L488" s="69">
        <f>'Monitoramento Acumulado Geral'!Q488</f>
        <v>0</v>
      </c>
      <c r="M488" s="6">
        <f>(SUM(L482:L488))/K487</f>
        <v>0</v>
      </c>
      <c r="N488" s="35" t="e">
        <f t="shared" si="1138"/>
        <v>#DIV/0!</v>
      </c>
      <c r="O488" s="6" t="e">
        <f t="shared" ref="O488:Q488" si="1304">O464</f>
        <v>#DIV/0!</v>
      </c>
      <c r="P488" s="6" t="e">
        <f t="shared" si="1304"/>
        <v>#DIV/0!</v>
      </c>
      <c r="Q488" s="6" t="e">
        <f t="shared" si="1304"/>
        <v>#DIV/0!</v>
      </c>
      <c r="R488" s="69">
        <v>33</v>
      </c>
      <c r="S488" s="69">
        <v>0</v>
      </c>
      <c r="T488" s="6">
        <f t="shared" si="1133"/>
        <v>0</v>
      </c>
      <c r="U488" s="35" t="e">
        <f t="shared" si="1140"/>
        <v>#DIV/0!</v>
      </c>
      <c r="V488" s="6" t="e">
        <f t="shared" ref="V488:Z488" si="1305">V476</f>
        <v>#DIV/0!</v>
      </c>
      <c r="W488" s="6" t="e">
        <f t="shared" si="1305"/>
        <v>#DIV/0!</v>
      </c>
      <c r="X488" s="6" t="e">
        <f t="shared" si="1305"/>
        <v>#DIV/0!</v>
      </c>
      <c r="Y488" s="6" t="e">
        <f t="shared" si="1305"/>
        <v>#DIV/0!</v>
      </c>
      <c r="Z488" s="6" t="e">
        <f t="shared" si="1305"/>
        <v>#DIV/0!</v>
      </c>
    </row>
    <row r="489" spans="1:26" x14ac:dyDescent="0.2">
      <c r="A489" s="7" t="s">
        <v>86</v>
      </c>
      <c r="B489" s="6">
        <f t="shared" si="1135"/>
        <v>8</v>
      </c>
      <c r="C489" s="7" t="s">
        <v>158</v>
      </c>
      <c r="D489" s="68">
        <v>72</v>
      </c>
      <c r="E489" s="68">
        <v>23</v>
      </c>
      <c r="F489" s="65">
        <f t="shared" si="1130"/>
        <v>0.31944444444444442</v>
      </c>
      <c r="G489" s="60" t="e">
        <f t="shared" si="1136"/>
        <v>#DIV/0!</v>
      </c>
      <c r="H489" s="65" t="e">
        <f t="shared" ref="H489:J489" si="1306">H477</f>
        <v>#DIV/0!</v>
      </c>
      <c r="I489" s="65" t="e">
        <f t="shared" si="1306"/>
        <v>#DIV/0!</v>
      </c>
      <c r="J489" s="65" t="e">
        <f t="shared" si="1306"/>
        <v>#DIV/0!</v>
      </c>
      <c r="K489" s="69">
        <v>1000</v>
      </c>
      <c r="L489" s="69">
        <f>'Monitoramento Acumulado Geral'!Q489</f>
        <v>111</v>
      </c>
      <c r="M489" s="6">
        <f>(SUM(L482:L489))/K488</f>
        <v>0.111</v>
      </c>
      <c r="N489" s="35" t="e">
        <f t="shared" si="1138"/>
        <v>#DIV/0!</v>
      </c>
      <c r="O489" s="6" t="e">
        <f t="shared" ref="O489:Q489" si="1307">O465</f>
        <v>#DIV/0!</v>
      </c>
      <c r="P489" s="6" t="e">
        <f t="shared" si="1307"/>
        <v>#DIV/0!</v>
      </c>
      <c r="Q489" s="6" t="e">
        <f t="shared" si="1307"/>
        <v>#DIV/0!</v>
      </c>
      <c r="R489" s="69">
        <v>33</v>
      </c>
      <c r="S489" s="69">
        <v>0</v>
      </c>
      <c r="T489" s="6">
        <f t="shared" si="1133"/>
        <v>0</v>
      </c>
      <c r="U489" s="35" t="e">
        <f t="shared" si="1140"/>
        <v>#DIV/0!</v>
      </c>
      <c r="V489" s="6" t="e">
        <f t="shared" ref="V489:Z489" si="1308">V477</f>
        <v>#DIV/0!</v>
      </c>
      <c r="W489" s="6" t="e">
        <f t="shared" si="1308"/>
        <v>#DIV/0!</v>
      </c>
      <c r="X489" s="6" t="e">
        <f t="shared" si="1308"/>
        <v>#DIV/0!</v>
      </c>
      <c r="Y489" s="6" t="e">
        <f t="shared" si="1308"/>
        <v>#DIV/0!</v>
      </c>
      <c r="Z489" s="6" t="e">
        <f t="shared" si="1308"/>
        <v>#DIV/0!</v>
      </c>
    </row>
    <row r="490" spans="1:26" x14ac:dyDescent="0.2">
      <c r="A490" s="7" t="s">
        <v>86</v>
      </c>
      <c r="B490" s="6">
        <f t="shared" si="1135"/>
        <v>9</v>
      </c>
      <c r="C490" s="7" t="s">
        <v>159</v>
      </c>
      <c r="D490" s="68">
        <v>72</v>
      </c>
      <c r="E490" s="68">
        <v>69</v>
      </c>
      <c r="F490" s="65">
        <f t="shared" si="1130"/>
        <v>0.95833333333333337</v>
      </c>
      <c r="G490" s="60" t="e">
        <f t="shared" si="1136"/>
        <v>#DIV/0!</v>
      </c>
      <c r="H490" s="65" t="e">
        <f t="shared" ref="H490:J490" si="1309">H478</f>
        <v>#DIV/0!</v>
      </c>
      <c r="I490" s="65" t="e">
        <f t="shared" si="1309"/>
        <v>#DIV/0!</v>
      </c>
      <c r="J490" s="65" t="e">
        <f t="shared" si="1309"/>
        <v>#DIV/0!</v>
      </c>
      <c r="K490" s="69">
        <v>1000</v>
      </c>
      <c r="L490" s="69">
        <f>'Monitoramento Acumulado Geral'!Q490</f>
        <v>2294</v>
      </c>
      <c r="M490" s="6">
        <f>(SUM(L482:L490))/K489</f>
        <v>2.4049999999999998</v>
      </c>
      <c r="N490" s="35" t="e">
        <f t="shared" si="1138"/>
        <v>#DIV/0!</v>
      </c>
      <c r="O490" s="6" t="e">
        <f t="shared" ref="O490:Q490" si="1310">O466</f>
        <v>#DIV/0!</v>
      </c>
      <c r="P490" s="6" t="e">
        <f t="shared" si="1310"/>
        <v>#DIV/0!</v>
      </c>
      <c r="Q490" s="6" t="e">
        <f t="shared" si="1310"/>
        <v>#DIV/0!</v>
      </c>
      <c r="R490" s="69">
        <v>33</v>
      </c>
      <c r="S490" s="69">
        <v>0</v>
      </c>
      <c r="T490" s="6">
        <f t="shared" si="1133"/>
        <v>0</v>
      </c>
      <c r="U490" s="35" t="e">
        <f t="shared" si="1140"/>
        <v>#DIV/0!</v>
      </c>
      <c r="V490" s="6" t="e">
        <f t="shared" ref="V490:Z490" si="1311">V478</f>
        <v>#DIV/0!</v>
      </c>
      <c r="W490" s="6" t="e">
        <f t="shared" si="1311"/>
        <v>#DIV/0!</v>
      </c>
      <c r="X490" s="6" t="e">
        <f t="shared" si="1311"/>
        <v>#DIV/0!</v>
      </c>
      <c r="Y490" s="6" t="e">
        <f t="shared" si="1311"/>
        <v>#DIV/0!</v>
      </c>
      <c r="Z490" s="6" t="e">
        <f t="shared" si="1311"/>
        <v>#DIV/0!</v>
      </c>
    </row>
    <row r="491" spans="1:26" x14ac:dyDescent="0.2">
      <c r="A491" s="7" t="s">
        <v>86</v>
      </c>
      <c r="B491" s="6">
        <f t="shared" si="1135"/>
        <v>10</v>
      </c>
      <c r="C491" s="7" t="s">
        <v>160</v>
      </c>
      <c r="D491" s="68">
        <v>72</v>
      </c>
      <c r="E491" s="68">
        <v>69</v>
      </c>
      <c r="F491" s="65">
        <f t="shared" si="1130"/>
        <v>0.95833333333333337</v>
      </c>
      <c r="G491" s="60" t="e">
        <f t="shared" si="1136"/>
        <v>#DIV/0!</v>
      </c>
      <c r="H491" s="65" t="e">
        <f t="shared" ref="H491:J491" si="1312">H479</f>
        <v>#DIV/0!</v>
      </c>
      <c r="I491" s="65" t="e">
        <f t="shared" si="1312"/>
        <v>#DIV/0!</v>
      </c>
      <c r="J491" s="65" t="e">
        <f t="shared" si="1312"/>
        <v>#DIV/0!</v>
      </c>
      <c r="K491" s="69">
        <v>1000</v>
      </c>
      <c r="L491" s="69">
        <f>'Monitoramento Acumulado Geral'!Q491</f>
        <v>0</v>
      </c>
      <c r="M491" s="6">
        <f>(SUM(L482:L491))/K490</f>
        <v>2.4049999999999998</v>
      </c>
      <c r="N491" s="35" t="e">
        <f t="shared" si="1138"/>
        <v>#DIV/0!</v>
      </c>
      <c r="O491" s="6" t="e">
        <f t="shared" ref="O491:Q491" si="1313">O467</f>
        <v>#DIV/0!</v>
      </c>
      <c r="P491" s="6" t="e">
        <f t="shared" si="1313"/>
        <v>#DIV/0!</v>
      </c>
      <c r="Q491" s="6" t="e">
        <f t="shared" si="1313"/>
        <v>#DIV/0!</v>
      </c>
      <c r="R491" s="69">
        <v>33</v>
      </c>
      <c r="S491" s="69">
        <v>0</v>
      </c>
      <c r="T491" s="6">
        <f t="shared" si="1133"/>
        <v>0</v>
      </c>
      <c r="U491" s="35" t="e">
        <f t="shared" si="1140"/>
        <v>#DIV/0!</v>
      </c>
      <c r="V491" s="6" t="e">
        <f t="shared" ref="V491:Z491" si="1314">V479</f>
        <v>#DIV/0!</v>
      </c>
      <c r="W491" s="6" t="e">
        <f t="shared" si="1314"/>
        <v>#DIV/0!</v>
      </c>
      <c r="X491" s="6" t="e">
        <f t="shared" si="1314"/>
        <v>#DIV/0!</v>
      </c>
      <c r="Y491" s="6" t="e">
        <f t="shared" si="1314"/>
        <v>#DIV/0!</v>
      </c>
      <c r="Z491" s="6" t="e">
        <f t="shared" si="1314"/>
        <v>#DIV/0!</v>
      </c>
    </row>
    <row r="492" spans="1:26" x14ac:dyDescent="0.2">
      <c r="A492" s="7" t="s">
        <v>86</v>
      </c>
      <c r="B492" s="6">
        <f t="shared" si="1135"/>
        <v>11</v>
      </c>
      <c r="C492" s="7" t="s">
        <v>161</v>
      </c>
      <c r="D492" s="68">
        <v>72</v>
      </c>
      <c r="E492" s="68">
        <v>0</v>
      </c>
      <c r="F492" s="65">
        <f t="shared" si="1130"/>
        <v>0</v>
      </c>
      <c r="G492" s="60" t="e">
        <f t="shared" si="1136"/>
        <v>#DIV/0!</v>
      </c>
      <c r="H492" s="65" t="e">
        <f t="shared" ref="H492:J492" si="1315">H480</f>
        <v>#DIV/0!</v>
      </c>
      <c r="I492" s="65" t="e">
        <f t="shared" si="1315"/>
        <v>#DIV/0!</v>
      </c>
      <c r="J492" s="65" t="e">
        <f t="shared" si="1315"/>
        <v>#DIV/0!</v>
      </c>
      <c r="K492" s="69">
        <v>1000</v>
      </c>
      <c r="L492" s="69">
        <f>'Monitoramento Acumulado Geral'!Q492</f>
        <v>0</v>
      </c>
      <c r="M492" s="6">
        <f>(SUM(L482:L492))/K491</f>
        <v>2.4049999999999998</v>
      </c>
      <c r="N492" s="35" t="e">
        <f t="shared" si="1138"/>
        <v>#DIV/0!</v>
      </c>
      <c r="O492" s="6" t="e">
        <f t="shared" ref="O492:Q492" si="1316">O468</f>
        <v>#DIV/0!</v>
      </c>
      <c r="P492" s="6" t="e">
        <f t="shared" si="1316"/>
        <v>#DIV/0!</v>
      </c>
      <c r="Q492" s="6" t="e">
        <f t="shared" si="1316"/>
        <v>#DIV/0!</v>
      </c>
      <c r="R492" s="69">
        <v>33</v>
      </c>
      <c r="S492" s="69">
        <v>0</v>
      </c>
      <c r="T492" s="6">
        <f t="shared" si="1133"/>
        <v>0</v>
      </c>
      <c r="U492" s="35" t="e">
        <f t="shared" si="1140"/>
        <v>#DIV/0!</v>
      </c>
      <c r="V492" s="6" t="e">
        <f t="shared" ref="V492:Z492" si="1317">V480</f>
        <v>#DIV/0!</v>
      </c>
      <c r="W492" s="6" t="e">
        <f t="shared" si="1317"/>
        <v>#DIV/0!</v>
      </c>
      <c r="X492" s="6" t="e">
        <f t="shared" si="1317"/>
        <v>#DIV/0!</v>
      </c>
      <c r="Y492" s="6" t="e">
        <f t="shared" si="1317"/>
        <v>#DIV/0!</v>
      </c>
      <c r="Z492" s="6" t="e">
        <f t="shared" si="1317"/>
        <v>#DIV/0!</v>
      </c>
    </row>
    <row r="493" spans="1:26" x14ac:dyDescent="0.2">
      <c r="A493" s="7" t="s">
        <v>86</v>
      </c>
      <c r="B493" s="6">
        <f t="shared" si="1135"/>
        <v>12</v>
      </c>
      <c r="C493" s="7" t="s">
        <v>162</v>
      </c>
      <c r="D493" s="68">
        <v>72</v>
      </c>
      <c r="E493" s="68">
        <v>0</v>
      </c>
      <c r="F493" s="65">
        <f t="shared" si="1130"/>
        <v>0</v>
      </c>
      <c r="G493" s="60" t="e">
        <f t="shared" si="1136"/>
        <v>#DIV/0!</v>
      </c>
      <c r="H493" s="65" t="e">
        <f t="shared" ref="H493:J493" si="1318">H481</f>
        <v>#DIV/0!</v>
      </c>
      <c r="I493" s="65" t="e">
        <f t="shared" si="1318"/>
        <v>#DIV/0!</v>
      </c>
      <c r="J493" s="65" t="e">
        <f t="shared" si="1318"/>
        <v>#DIV/0!</v>
      </c>
      <c r="K493" s="69">
        <v>1000</v>
      </c>
      <c r="L493" s="69">
        <f>'Monitoramento Acumulado Geral'!Q493</f>
        <v>0</v>
      </c>
      <c r="M493" s="6">
        <f>(SUM(L482:L493))/K492</f>
        <v>2.4049999999999998</v>
      </c>
      <c r="N493" s="35" t="e">
        <f t="shared" si="1138"/>
        <v>#DIV/0!</v>
      </c>
      <c r="O493" s="6" t="e">
        <f t="shared" ref="O493:Q493" si="1319">O469</f>
        <v>#DIV/0!</v>
      </c>
      <c r="P493" s="6" t="e">
        <f t="shared" si="1319"/>
        <v>#DIV/0!</v>
      </c>
      <c r="Q493" s="6" t="e">
        <f t="shared" si="1319"/>
        <v>#DIV/0!</v>
      </c>
      <c r="R493" s="69">
        <v>33</v>
      </c>
      <c r="S493" s="69">
        <v>0</v>
      </c>
      <c r="T493" s="6">
        <f t="shared" si="1133"/>
        <v>0</v>
      </c>
      <c r="U493" s="35" t="e">
        <f t="shared" si="1140"/>
        <v>#DIV/0!</v>
      </c>
      <c r="V493" s="6" t="e">
        <f t="shared" ref="V493:Z493" si="1320">V481</f>
        <v>#DIV/0!</v>
      </c>
      <c r="W493" s="6" t="e">
        <f t="shared" si="1320"/>
        <v>#DIV/0!</v>
      </c>
      <c r="X493" s="6" t="e">
        <f t="shared" si="1320"/>
        <v>#DIV/0!</v>
      </c>
      <c r="Y493" s="6" t="e">
        <f t="shared" si="1320"/>
        <v>#DIV/0!</v>
      </c>
      <c r="Z493" s="6" t="e">
        <f t="shared" si="1320"/>
        <v>#DIV/0!</v>
      </c>
    </row>
    <row r="494" spans="1:26" x14ac:dyDescent="0.2">
      <c r="A494" s="7" t="s">
        <v>102</v>
      </c>
      <c r="B494" s="6">
        <f t="shared" si="1135"/>
        <v>1</v>
      </c>
      <c r="C494" s="7" t="s">
        <v>151</v>
      </c>
      <c r="D494" s="68">
        <v>75</v>
      </c>
      <c r="E494" s="68">
        <v>0</v>
      </c>
      <c r="F494" s="65">
        <f t="shared" si="1130"/>
        <v>0</v>
      </c>
      <c r="G494" s="60" t="e">
        <f t="shared" si="1136"/>
        <v>#DIV/0!</v>
      </c>
      <c r="H494" s="65" t="e">
        <f t="shared" ref="H494:J494" si="1321">H482</f>
        <v>#DIV/0!</v>
      </c>
      <c r="I494" s="65" t="e">
        <f t="shared" si="1321"/>
        <v>#DIV/0!</v>
      </c>
      <c r="J494" s="65" t="e">
        <f t="shared" si="1321"/>
        <v>#DIV/0!</v>
      </c>
      <c r="K494" s="69">
        <v>8325</v>
      </c>
      <c r="L494" s="69">
        <f>'Monitoramento Acumulado Geral'!Q494</f>
        <v>0</v>
      </c>
      <c r="M494" s="6">
        <f>L494/K494</f>
        <v>0</v>
      </c>
      <c r="N494" s="35" t="e">
        <f t="shared" si="1138"/>
        <v>#DIV/0!</v>
      </c>
      <c r="O494" s="6" t="e">
        <f t="shared" ref="O494:Q494" si="1322">O482</f>
        <v>#DIV/0!</v>
      </c>
      <c r="P494" s="6" t="e">
        <f t="shared" si="1322"/>
        <v>#DIV/0!</v>
      </c>
      <c r="Q494" s="6" t="e">
        <f t="shared" si="1322"/>
        <v>#DIV/0!</v>
      </c>
      <c r="R494" s="69">
        <v>70</v>
      </c>
      <c r="S494" s="69">
        <v>0</v>
      </c>
      <c r="T494" s="6">
        <f t="shared" si="1133"/>
        <v>0</v>
      </c>
      <c r="U494" s="35" t="e">
        <f t="shared" si="1140"/>
        <v>#DIV/0!</v>
      </c>
      <c r="V494" s="6" t="e">
        <f t="shared" ref="V494:Z494" si="1323">V482</f>
        <v>#DIV/0!</v>
      </c>
      <c r="W494" s="6" t="e">
        <f t="shared" si="1323"/>
        <v>#DIV/0!</v>
      </c>
      <c r="X494" s="6" t="e">
        <f t="shared" si="1323"/>
        <v>#DIV/0!</v>
      </c>
      <c r="Y494" s="6" t="e">
        <f t="shared" si="1323"/>
        <v>#DIV/0!</v>
      </c>
      <c r="Z494" s="6" t="e">
        <f t="shared" si="1323"/>
        <v>#DIV/0!</v>
      </c>
    </row>
    <row r="495" spans="1:26" x14ac:dyDescent="0.2">
      <c r="A495" s="7" t="s">
        <v>102</v>
      </c>
      <c r="B495" s="6">
        <f t="shared" si="1135"/>
        <v>2</v>
      </c>
      <c r="C495" s="7" t="s">
        <v>152</v>
      </c>
      <c r="D495" s="68">
        <v>75</v>
      </c>
      <c r="E495" s="68">
        <v>0</v>
      </c>
      <c r="F495" s="65">
        <f t="shared" si="1130"/>
        <v>0</v>
      </c>
      <c r="G495" s="60" t="e">
        <f t="shared" si="1136"/>
        <v>#DIV/0!</v>
      </c>
      <c r="H495" s="65" t="e">
        <f t="shared" ref="H495:J495" si="1324">H483</f>
        <v>#DIV/0!</v>
      </c>
      <c r="I495" s="65" t="e">
        <f t="shared" si="1324"/>
        <v>#DIV/0!</v>
      </c>
      <c r="J495" s="65" t="e">
        <f t="shared" si="1324"/>
        <v>#DIV/0!</v>
      </c>
      <c r="K495" s="69">
        <v>8325</v>
      </c>
      <c r="L495" s="69">
        <f>'Monitoramento Acumulado Geral'!Q495</f>
        <v>0</v>
      </c>
      <c r="M495" s="6">
        <f>(SUM(L494:L495))/K494</f>
        <v>0</v>
      </c>
      <c r="N495" s="35" t="e">
        <f t="shared" si="1138"/>
        <v>#DIV/0!</v>
      </c>
      <c r="O495" s="6" t="e">
        <f t="shared" ref="O495:Q495" si="1325">O483</f>
        <v>#DIV/0!</v>
      </c>
      <c r="P495" s="6" t="e">
        <f t="shared" si="1325"/>
        <v>#DIV/0!</v>
      </c>
      <c r="Q495" s="6" t="e">
        <f t="shared" si="1325"/>
        <v>#DIV/0!</v>
      </c>
      <c r="R495" s="69">
        <v>70</v>
      </c>
      <c r="S495" s="69">
        <v>0</v>
      </c>
      <c r="T495" s="6">
        <f t="shared" si="1133"/>
        <v>0</v>
      </c>
      <c r="U495" s="35" t="e">
        <f t="shared" si="1140"/>
        <v>#DIV/0!</v>
      </c>
      <c r="V495" s="6" t="e">
        <f t="shared" ref="V495:Z495" si="1326">V483</f>
        <v>#DIV/0!</v>
      </c>
      <c r="W495" s="6" t="e">
        <f t="shared" si="1326"/>
        <v>#DIV/0!</v>
      </c>
      <c r="X495" s="6" t="e">
        <f t="shared" si="1326"/>
        <v>#DIV/0!</v>
      </c>
      <c r="Y495" s="6" t="e">
        <f t="shared" si="1326"/>
        <v>#DIV/0!</v>
      </c>
      <c r="Z495" s="6" t="e">
        <f t="shared" si="1326"/>
        <v>#DIV/0!</v>
      </c>
    </row>
    <row r="496" spans="1:26" x14ac:dyDescent="0.2">
      <c r="A496" s="7" t="s">
        <v>102</v>
      </c>
      <c r="B496" s="6">
        <f t="shared" si="1135"/>
        <v>3</v>
      </c>
      <c r="C496" s="7" t="s">
        <v>153</v>
      </c>
      <c r="D496" s="68">
        <v>75</v>
      </c>
      <c r="E496" s="68">
        <v>0</v>
      </c>
      <c r="F496" s="65">
        <f t="shared" si="1130"/>
        <v>0</v>
      </c>
      <c r="G496" s="60" t="e">
        <f t="shared" si="1136"/>
        <v>#DIV/0!</v>
      </c>
      <c r="H496" s="65" t="e">
        <f t="shared" ref="H496:J496" si="1327">H484</f>
        <v>#DIV/0!</v>
      </c>
      <c r="I496" s="65" t="e">
        <f t="shared" si="1327"/>
        <v>#DIV/0!</v>
      </c>
      <c r="J496" s="65" t="e">
        <f t="shared" si="1327"/>
        <v>#DIV/0!</v>
      </c>
      <c r="K496" s="69">
        <v>8325</v>
      </c>
      <c r="L496" s="69">
        <f>'Monitoramento Acumulado Geral'!Q496</f>
        <v>0</v>
      </c>
      <c r="M496" s="6">
        <f>(SUM(L494:L496))/K495</f>
        <v>0</v>
      </c>
      <c r="N496" s="35" t="e">
        <f t="shared" si="1138"/>
        <v>#DIV/0!</v>
      </c>
      <c r="O496" s="6" t="e">
        <f t="shared" ref="O496:Q496" si="1328">O484</f>
        <v>#DIV/0!</v>
      </c>
      <c r="P496" s="6" t="e">
        <f t="shared" si="1328"/>
        <v>#DIV/0!</v>
      </c>
      <c r="Q496" s="6" t="e">
        <f t="shared" si="1328"/>
        <v>#DIV/0!</v>
      </c>
      <c r="R496" s="69">
        <v>70</v>
      </c>
      <c r="S496" s="69">
        <v>0</v>
      </c>
      <c r="T496" s="6">
        <f t="shared" si="1133"/>
        <v>0</v>
      </c>
      <c r="U496" s="35" t="e">
        <f t="shared" si="1140"/>
        <v>#DIV/0!</v>
      </c>
      <c r="V496" s="6" t="e">
        <f t="shared" ref="V496:Z496" si="1329">V484</f>
        <v>#DIV/0!</v>
      </c>
      <c r="W496" s="6" t="e">
        <f t="shared" si="1329"/>
        <v>#DIV/0!</v>
      </c>
      <c r="X496" s="6" t="e">
        <f t="shared" si="1329"/>
        <v>#DIV/0!</v>
      </c>
      <c r="Y496" s="6" t="e">
        <f t="shared" si="1329"/>
        <v>#DIV/0!</v>
      </c>
      <c r="Z496" s="6" t="e">
        <f t="shared" si="1329"/>
        <v>#DIV/0!</v>
      </c>
    </row>
    <row r="497" spans="1:26" x14ac:dyDescent="0.2">
      <c r="A497" s="7" t="s">
        <v>102</v>
      </c>
      <c r="B497" s="6">
        <f t="shared" si="1135"/>
        <v>4</v>
      </c>
      <c r="C497" s="7" t="s">
        <v>154</v>
      </c>
      <c r="D497" s="68">
        <v>75</v>
      </c>
      <c r="E497" s="68">
        <v>0</v>
      </c>
      <c r="F497" s="65">
        <f t="shared" si="1130"/>
        <v>0</v>
      </c>
      <c r="G497" s="60" t="e">
        <f t="shared" si="1136"/>
        <v>#DIV/0!</v>
      </c>
      <c r="H497" s="65" t="e">
        <f t="shared" ref="H497:J497" si="1330">H485</f>
        <v>#DIV/0!</v>
      </c>
      <c r="I497" s="65" t="e">
        <f t="shared" si="1330"/>
        <v>#DIV/0!</v>
      </c>
      <c r="J497" s="65" t="e">
        <f t="shared" si="1330"/>
        <v>#DIV/0!</v>
      </c>
      <c r="K497" s="69">
        <v>8325</v>
      </c>
      <c r="L497" s="69">
        <f>'Monitoramento Acumulado Geral'!Q497</f>
        <v>0</v>
      </c>
      <c r="M497" s="6">
        <f>(SUM(L494:L497))/K496</f>
        <v>0</v>
      </c>
      <c r="N497" s="35" t="e">
        <f t="shared" si="1138"/>
        <v>#DIV/0!</v>
      </c>
      <c r="O497" s="6" t="e">
        <f t="shared" ref="O497:Q497" si="1331">O485</f>
        <v>#DIV/0!</v>
      </c>
      <c r="P497" s="6" t="e">
        <f t="shared" si="1331"/>
        <v>#DIV/0!</v>
      </c>
      <c r="Q497" s="6" t="e">
        <f t="shared" si="1331"/>
        <v>#DIV/0!</v>
      </c>
      <c r="R497" s="69">
        <v>70</v>
      </c>
      <c r="S497" s="69">
        <v>0</v>
      </c>
      <c r="T497" s="6">
        <f t="shared" si="1133"/>
        <v>0</v>
      </c>
      <c r="U497" s="35" t="e">
        <f t="shared" si="1140"/>
        <v>#DIV/0!</v>
      </c>
      <c r="V497" s="6" t="e">
        <f t="shared" ref="V497:Z497" si="1332">V485</f>
        <v>#DIV/0!</v>
      </c>
      <c r="W497" s="6" t="e">
        <f t="shared" si="1332"/>
        <v>#DIV/0!</v>
      </c>
      <c r="X497" s="6" t="e">
        <f t="shared" si="1332"/>
        <v>#DIV/0!</v>
      </c>
      <c r="Y497" s="6" t="e">
        <f t="shared" si="1332"/>
        <v>#DIV/0!</v>
      </c>
      <c r="Z497" s="6" t="e">
        <f t="shared" si="1332"/>
        <v>#DIV/0!</v>
      </c>
    </row>
    <row r="498" spans="1:26" x14ac:dyDescent="0.2">
      <c r="A498" s="7" t="s">
        <v>102</v>
      </c>
      <c r="B498" s="6">
        <f t="shared" si="1135"/>
        <v>5</v>
      </c>
      <c r="C498" s="7" t="s">
        <v>155</v>
      </c>
      <c r="D498" s="68">
        <v>75</v>
      </c>
      <c r="E498" s="68">
        <v>0</v>
      </c>
      <c r="F498" s="65">
        <f t="shared" si="1130"/>
        <v>0</v>
      </c>
      <c r="G498" s="60" t="e">
        <f t="shared" si="1136"/>
        <v>#DIV/0!</v>
      </c>
      <c r="H498" s="65" t="e">
        <f t="shared" ref="H498:J498" si="1333">H486</f>
        <v>#DIV/0!</v>
      </c>
      <c r="I498" s="65" t="e">
        <f t="shared" si="1333"/>
        <v>#DIV/0!</v>
      </c>
      <c r="J498" s="65" t="e">
        <f t="shared" si="1333"/>
        <v>#DIV/0!</v>
      </c>
      <c r="K498" s="69">
        <v>8325</v>
      </c>
      <c r="L498" s="69">
        <f>'Monitoramento Acumulado Geral'!Q498</f>
        <v>0</v>
      </c>
      <c r="M498" s="6">
        <f>(SUM(L494:L498))/K497</f>
        <v>0</v>
      </c>
      <c r="N498" s="35" t="e">
        <f t="shared" si="1138"/>
        <v>#DIV/0!</v>
      </c>
      <c r="O498" s="6" t="e">
        <f t="shared" ref="O498:Q498" si="1334">O486</f>
        <v>#DIV/0!</v>
      </c>
      <c r="P498" s="6" t="e">
        <f t="shared" si="1334"/>
        <v>#DIV/0!</v>
      </c>
      <c r="Q498" s="6" t="e">
        <f t="shared" si="1334"/>
        <v>#DIV/0!</v>
      </c>
      <c r="R498" s="69">
        <v>70</v>
      </c>
      <c r="S498" s="69">
        <v>82</v>
      </c>
      <c r="T498" s="6">
        <f t="shared" si="1133"/>
        <v>1.1714285714285715</v>
      </c>
      <c r="U498" s="35" t="e">
        <f t="shared" si="1140"/>
        <v>#DIV/0!</v>
      </c>
      <c r="V498" s="6" t="e">
        <f t="shared" ref="V498:Z498" si="1335">V486</f>
        <v>#DIV/0!</v>
      </c>
      <c r="W498" s="6" t="e">
        <f t="shared" si="1335"/>
        <v>#DIV/0!</v>
      </c>
      <c r="X498" s="6" t="e">
        <f t="shared" si="1335"/>
        <v>#DIV/0!</v>
      </c>
      <c r="Y498" s="6" t="e">
        <f t="shared" si="1335"/>
        <v>#DIV/0!</v>
      </c>
      <c r="Z498" s="6" t="e">
        <f t="shared" si="1335"/>
        <v>#DIV/0!</v>
      </c>
    </row>
    <row r="499" spans="1:26" x14ac:dyDescent="0.2">
      <c r="A499" s="7" t="s">
        <v>102</v>
      </c>
      <c r="B499" s="6">
        <f t="shared" si="1135"/>
        <v>6</v>
      </c>
      <c r="C499" s="7" t="s">
        <v>156</v>
      </c>
      <c r="D499" s="68">
        <v>75</v>
      </c>
      <c r="E499" s="68">
        <v>0</v>
      </c>
      <c r="F499" s="65">
        <f t="shared" si="1130"/>
        <v>0</v>
      </c>
      <c r="G499" s="60" t="e">
        <f t="shared" si="1136"/>
        <v>#DIV/0!</v>
      </c>
      <c r="H499" s="65" t="e">
        <f t="shared" ref="H499:J499" si="1336">H487</f>
        <v>#DIV/0!</v>
      </c>
      <c r="I499" s="65" t="e">
        <f t="shared" si="1336"/>
        <v>#DIV/0!</v>
      </c>
      <c r="J499" s="65" t="e">
        <f t="shared" si="1336"/>
        <v>#DIV/0!</v>
      </c>
      <c r="K499" s="69">
        <v>8325</v>
      </c>
      <c r="L499" s="69">
        <f>'Monitoramento Acumulado Geral'!Q499</f>
        <v>0</v>
      </c>
      <c r="M499" s="6">
        <f>(SUM(L494:L499))/K498</f>
        <v>0</v>
      </c>
      <c r="N499" s="35" t="e">
        <f t="shared" si="1138"/>
        <v>#DIV/0!</v>
      </c>
      <c r="O499" s="6" t="e">
        <f t="shared" ref="O499:Q499" si="1337">O487</f>
        <v>#DIV/0!</v>
      </c>
      <c r="P499" s="6" t="e">
        <f t="shared" si="1337"/>
        <v>#DIV/0!</v>
      </c>
      <c r="Q499" s="6" t="e">
        <f t="shared" si="1337"/>
        <v>#DIV/0!</v>
      </c>
      <c r="R499" s="69">
        <v>70</v>
      </c>
      <c r="S499" s="69">
        <v>82</v>
      </c>
      <c r="T499" s="6">
        <f t="shared" si="1133"/>
        <v>1.1714285714285715</v>
      </c>
      <c r="U499" s="35" t="e">
        <f t="shared" si="1140"/>
        <v>#DIV/0!</v>
      </c>
      <c r="V499" s="6" t="e">
        <f t="shared" ref="V499:Z499" si="1338">V487</f>
        <v>#DIV/0!</v>
      </c>
      <c r="W499" s="6" t="e">
        <f t="shared" si="1338"/>
        <v>#DIV/0!</v>
      </c>
      <c r="X499" s="6" t="e">
        <f t="shared" si="1338"/>
        <v>#DIV/0!</v>
      </c>
      <c r="Y499" s="6" t="e">
        <f t="shared" si="1338"/>
        <v>#DIV/0!</v>
      </c>
      <c r="Z499" s="6" t="e">
        <f t="shared" si="1338"/>
        <v>#DIV/0!</v>
      </c>
    </row>
    <row r="500" spans="1:26" x14ac:dyDescent="0.2">
      <c r="A500" s="7" t="s">
        <v>102</v>
      </c>
      <c r="B500" s="6">
        <f t="shared" si="1135"/>
        <v>7</v>
      </c>
      <c r="C500" s="7" t="s">
        <v>157</v>
      </c>
      <c r="D500" s="68">
        <v>75</v>
      </c>
      <c r="E500" s="68">
        <v>0</v>
      </c>
      <c r="F500" s="65">
        <f t="shared" si="1130"/>
        <v>0</v>
      </c>
      <c r="G500" s="60" t="e">
        <f t="shared" si="1136"/>
        <v>#DIV/0!</v>
      </c>
      <c r="H500" s="65" t="e">
        <f t="shared" ref="H500:J500" si="1339">H488</f>
        <v>#DIV/0!</v>
      </c>
      <c r="I500" s="65" t="e">
        <f t="shared" si="1339"/>
        <v>#DIV/0!</v>
      </c>
      <c r="J500" s="65" t="e">
        <f t="shared" si="1339"/>
        <v>#DIV/0!</v>
      </c>
      <c r="K500" s="69">
        <v>8325</v>
      </c>
      <c r="L500" s="69">
        <f>'Monitoramento Acumulado Geral'!Q500</f>
        <v>0</v>
      </c>
      <c r="M500" s="6">
        <f>(SUM(L494:L500))/K499</f>
        <v>0</v>
      </c>
      <c r="N500" s="35" t="e">
        <f t="shared" si="1138"/>
        <v>#DIV/0!</v>
      </c>
      <c r="O500" s="6" t="e">
        <f t="shared" ref="O500:Q500" si="1340">O488</f>
        <v>#DIV/0!</v>
      </c>
      <c r="P500" s="6" t="e">
        <f t="shared" si="1340"/>
        <v>#DIV/0!</v>
      </c>
      <c r="Q500" s="6" t="e">
        <f t="shared" si="1340"/>
        <v>#DIV/0!</v>
      </c>
      <c r="R500" s="69">
        <v>70</v>
      </c>
      <c r="S500" s="69">
        <v>82</v>
      </c>
      <c r="T500" s="6">
        <f t="shared" si="1133"/>
        <v>1.1714285714285715</v>
      </c>
      <c r="U500" s="35" t="e">
        <f t="shared" si="1140"/>
        <v>#DIV/0!</v>
      </c>
      <c r="V500" s="6" t="e">
        <f t="shared" ref="V500:Z500" si="1341">V488</f>
        <v>#DIV/0!</v>
      </c>
      <c r="W500" s="6" t="e">
        <f t="shared" si="1341"/>
        <v>#DIV/0!</v>
      </c>
      <c r="X500" s="6" t="e">
        <f t="shared" si="1341"/>
        <v>#DIV/0!</v>
      </c>
      <c r="Y500" s="6" t="e">
        <f t="shared" si="1341"/>
        <v>#DIV/0!</v>
      </c>
      <c r="Z500" s="6" t="e">
        <f t="shared" si="1341"/>
        <v>#DIV/0!</v>
      </c>
    </row>
    <row r="501" spans="1:26" x14ac:dyDescent="0.2">
      <c r="A501" s="7" t="s">
        <v>102</v>
      </c>
      <c r="B501" s="6">
        <f t="shared" si="1135"/>
        <v>8</v>
      </c>
      <c r="C501" s="7" t="s">
        <v>158</v>
      </c>
      <c r="D501" s="68">
        <v>75</v>
      </c>
      <c r="E501" s="68">
        <v>59</v>
      </c>
      <c r="F501" s="65">
        <f t="shared" si="1130"/>
        <v>0.78666666666666663</v>
      </c>
      <c r="G501" s="60" t="e">
        <f t="shared" si="1136"/>
        <v>#DIV/0!</v>
      </c>
      <c r="H501" s="65" t="e">
        <f t="shared" ref="H501:J501" si="1342">H489</f>
        <v>#DIV/0!</v>
      </c>
      <c r="I501" s="65" t="e">
        <f t="shared" si="1342"/>
        <v>#DIV/0!</v>
      </c>
      <c r="J501" s="65" t="e">
        <f t="shared" si="1342"/>
        <v>#DIV/0!</v>
      </c>
      <c r="K501" s="69">
        <v>8325</v>
      </c>
      <c r="L501" s="69">
        <f>'Monitoramento Acumulado Geral'!Q501</f>
        <v>1764</v>
      </c>
      <c r="M501" s="6">
        <f>(SUM(L494:L501))/K500</f>
        <v>0.21189189189189189</v>
      </c>
      <c r="N501" s="35" t="e">
        <f t="shared" si="1138"/>
        <v>#DIV/0!</v>
      </c>
      <c r="O501" s="6" t="e">
        <f t="shared" ref="O501:Q501" si="1343">O489</f>
        <v>#DIV/0!</v>
      </c>
      <c r="P501" s="6" t="e">
        <f t="shared" si="1343"/>
        <v>#DIV/0!</v>
      </c>
      <c r="Q501" s="6" t="e">
        <f t="shared" si="1343"/>
        <v>#DIV/0!</v>
      </c>
      <c r="R501" s="69">
        <v>70</v>
      </c>
      <c r="S501" s="69">
        <v>82</v>
      </c>
      <c r="T501" s="6">
        <f t="shared" si="1133"/>
        <v>1.1714285714285715</v>
      </c>
      <c r="U501" s="35" t="e">
        <f t="shared" si="1140"/>
        <v>#DIV/0!</v>
      </c>
      <c r="V501" s="6" t="e">
        <f t="shared" ref="V501:Z501" si="1344">V489</f>
        <v>#DIV/0!</v>
      </c>
      <c r="W501" s="6" t="e">
        <f t="shared" si="1344"/>
        <v>#DIV/0!</v>
      </c>
      <c r="X501" s="6" t="e">
        <f t="shared" si="1344"/>
        <v>#DIV/0!</v>
      </c>
      <c r="Y501" s="6" t="e">
        <f t="shared" si="1344"/>
        <v>#DIV/0!</v>
      </c>
      <c r="Z501" s="6" t="e">
        <f t="shared" si="1344"/>
        <v>#DIV/0!</v>
      </c>
    </row>
    <row r="502" spans="1:26" x14ac:dyDescent="0.2">
      <c r="A502" s="7" t="s">
        <v>102</v>
      </c>
      <c r="B502" s="6">
        <f t="shared" si="1135"/>
        <v>9</v>
      </c>
      <c r="C502" s="7" t="s">
        <v>159</v>
      </c>
      <c r="D502" s="68">
        <v>75</v>
      </c>
      <c r="E502" s="68">
        <v>76</v>
      </c>
      <c r="F502" s="65">
        <f t="shared" si="1130"/>
        <v>1.0133333333333334</v>
      </c>
      <c r="G502" s="60" t="e">
        <f t="shared" si="1136"/>
        <v>#DIV/0!</v>
      </c>
      <c r="H502" s="65" t="e">
        <f t="shared" ref="H502:J502" si="1345">H490</f>
        <v>#DIV/0!</v>
      </c>
      <c r="I502" s="65" t="e">
        <f t="shared" si="1345"/>
        <v>#DIV/0!</v>
      </c>
      <c r="J502" s="65" t="e">
        <f t="shared" si="1345"/>
        <v>#DIV/0!</v>
      </c>
      <c r="K502" s="69">
        <v>8325</v>
      </c>
      <c r="L502" s="69">
        <f>'Monitoramento Acumulado Geral'!Q502</f>
        <v>957.5</v>
      </c>
      <c r="M502" s="6">
        <f>(SUM(L494:L502))/K501</f>
        <v>0.32690690690690688</v>
      </c>
      <c r="N502" s="35" t="e">
        <f t="shared" si="1138"/>
        <v>#DIV/0!</v>
      </c>
      <c r="O502" s="6" t="e">
        <f t="shared" ref="O502:Q502" si="1346">O490</f>
        <v>#DIV/0!</v>
      </c>
      <c r="P502" s="6" t="e">
        <f t="shared" si="1346"/>
        <v>#DIV/0!</v>
      </c>
      <c r="Q502" s="6" t="e">
        <f t="shared" si="1346"/>
        <v>#DIV/0!</v>
      </c>
      <c r="R502" s="69">
        <v>70</v>
      </c>
      <c r="S502" s="69">
        <v>82</v>
      </c>
      <c r="T502" s="6">
        <f t="shared" si="1133"/>
        <v>1.1714285714285715</v>
      </c>
      <c r="U502" s="35" t="e">
        <f t="shared" si="1140"/>
        <v>#DIV/0!</v>
      </c>
      <c r="V502" s="6" t="e">
        <f t="shared" ref="V502:Z502" si="1347">V490</f>
        <v>#DIV/0!</v>
      </c>
      <c r="W502" s="6" t="e">
        <f t="shared" si="1347"/>
        <v>#DIV/0!</v>
      </c>
      <c r="X502" s="6" t="e">
        <f t="shared" si="1347"/>
        <v>#DIV/0!</v>
      </c>
      <c r="Y502" s="6" t="e">
        <f t="shared" si="1347"/>
        <v>#DIV/0!</v>
      </c>
      <c r="Z502" s="6" t="e">
        <f t="shared" si="1347"/>
        <v>#DIV/0!</v>
      </c>
    </row>
    <row r="503" spans="1:26" x14ac:dyDescent="0.2">
      <c r="A503" s="7" t="s">
        <v>102</v>
      </c>
      <c r="B503" s="6">
        <f t="shared" si="1135"/>
        <v>10</v>
      </c>
      <c r="C503" s="7" t="s">
        <v>160</v>
      </c>
      <c r="D503" s="68">
        <v>75</v>
      </c>
      <c r="E503" s="68">
        <v>76</v>
      </c>
      <c r="F503" s="65">
        <f t="shared" si="1130"/>
        <v>1.0133333333333334</v>
      </c>
      <c r="G503" s="60" t="e">
        <f t="shared" si="1136"/>
        <v>#DIV/0!</v>
      </c>
      <c r="H503" s="65" t="e">
        <f t="shared" ref="H503:J503" si="1348">H491</f>
        <v>#DIV/0!</v>
      </c>
      <c r="I503" s="65" t="e">
        <f t="shared" si="1348"/>
        <v>#DIV/0!</v>
      </c>
      <c r="J503" s="65" t="e">
        <f t="shared" si="1348"/>
        <v>#DIV/0!</v>
      </c>
      <c r="K503" s="69">
        <v>8325</v>
      </c>
      <c r="L503" s="69">
        <f>'Monitoramento Acumulado Geral'!Q503</f>
        <v>0</v>
      </c>
      <c r="M503" s="6">
        <f>(SUM(L494:L503))/K502</f>
        <v>0.32690690690690688</v>
      </c>
      <c r="N503" s="35" t="e">
        <f t="shared" si="1138"/>
        <v>#DIV/0!</v>
      </c>
      <c r="O503" s="6" t="e">
        <f t="shared" ref="O503:Q503" si="1349">O491</f>
        <v>#DIV/0!</v>
      </c>
      <c r="P503" s="6" t="e">
        <f t="shared" si="1349"/>
        <v>#DIV/0!</v>
      </c>
      <c r="Q503" s="6" t="e">
        <f t="shared" si="1349"/>
        <v>#DIV/0!</v>
      </c>
      <c r="R503" s="69">
        <v>70</v>
      </c>
      <c r="S503" s="69">
        <v>82</v>
      </c>
      <c r="T503" s="6">
        <f t="shared" si="1133"/>
        <v>1.1714285714285715</v>
      </c>
      <c r="U503" s="35" t="e">
        <f t="shared" si="1140"/>
        <v>#DIV/0!</v>
      </c>
      <c r="V503" s="6" t="e">
        <f t="shared" ref="V503:Z503" si="1350">V491</f>
        <v>#DIV/0!</v>
      </c>
      <c r="W503" s="6" t="e">
        <f t="shared" si="1350"/>
        <v>#DIV/0!</v>
      </c>
      <c r="X503" s="6" t="e">
        <f t="shared" si="1350"/>
        <v>#DIV/0!</v>
      </c>
      <c r="Y503" s="6" t="e">
        <f t="shared" si="1350"/>
        <v>#DIV/0!</v>
      </c>
      <c r="Z503" s="6" t="e">
        <f t="shared" si="1350"/>
        <v>#DIV/0!</v>
      </c>
    </row>
    <row r="504" spans="1:26" x14ac:dyDescent="0.2">
      <c r="A504" s="7" t="s">
        <v>102</v>
      </c>
      <c r="B504" s="6">
        <f t="shared" si="1135"/>
        <v>11</v>
      </c>
      <c r="C504" s="7" t="s">
        <v>161</v>
      </c>
      <c r="D504" s="68">
        <v>75</v>
      </c>
      <c r="E504" s="68">
        <v>0</v>
      </c>
      <c r="F504" s="65">
        <f t="shared" si="1130"/>
        <v>0</v>
      </c>
      <c r="G504" s="60" t="e">
        <f t="shared" si="1136"/>
        <v>#DIV/0!</v>
      </c>
      <c r="H504" s="65" t="e">
        <f t="shared" ref="H504:J504" si="1351">H492</f>
        <v>#DIV/0!</v>
      </c>
      <c r="I504" s="65" t="e">
        <f t="shared" si="1351"/>
        <v>#DIV/0!</v>
      </c>
      <c r="J504" s="65" t="e">
        <f t="shared" si="1351"/>
        <v>#DIV/0!</v>
      </c>
      <c r="K504" s="69">
        <v>8325</v>
      </c>
      <c r="L504" s="69">
        <f>'Monitoramento Acumulado Geral'!Q504</f>
        <v>0</v>
      </c>
      <c r="M504" s="6">
        <f>(SUM(L494:L504))/K503</f>
        <v>0.32690690690690688</v>
      </c>
      <c r="N504" s="35" t="e">
        <f t="shared" si="1138"/>
        <v>#DIV/0!</v>
      </c>
      <c r="O504" s="6" t="e">
        <f t="shared" ref="O504:Q504" si="1352">O492</f>
        <v>#DIV/0!</v>
      </c>
      <c r="P504" s="6" t="e">
        <f t="shared" si="1352"/>
        <v>#DIV/0!</v>
      </c>
      <c r="Q504" s="6" t="e">
        <f t="shared" si="1352"/>
        <v>#DIV/0!</v>
      </c>
      <c r="R504" s="69">
        <v>70</v>
      </c>
      <c r="S504" s="69">
        <v>0</v>
      </c>
      <c r="T504" s="6">
        <f t="shared" si="1133"/>
        <v>0</v>
      </c>
      <c r="U504" s="35" t="e">
        <f t="shared" si="1140"/>
        <v>#DIV/0!</v>
      </c>
      <c r="V504" s="6" t="e">
        <f t="shared" ref="V504:Z504" si="1353">V492</f>
        <v>#DIV/0!</v>
      </c>
      <c r="W504" s="6" t="e">
        <f t="shared" si="1353"/>
        <v>#DIV/0!</v>
      </c>
      <c r="X504" s="6" t="e">
        <f t="shared" si="1353"/>
        <v>#DIV/0!</v>
      </c>
      <c r="Y504" s="6" t="e">
        <f t="shared" si="1353"/>
        <v>#DIV/0!</v>
      </c>
      <c r="Z504" s="6" t="e">
        <f t="shared" si="1353"/>
        <v>#DIV/0!</v>
      </c>
    </row>
    <row r="505" spans="1:26" x14ac:dyDescent="0.2">
      <c r="A505" s="7" t="s">
        <v>102</v>
      </c>
      <c r="B505" s="6">
        <f t="shared" si="1135"/>
        <v>12</v>
      </c>
      <c r="C505" s="7" t="s">
        <v>162</v>
      </c>
      <c r="D505" s="68">
        <v>75</v>
      </c>
      <c r="E505" s="68">
        <v>0</v>
      </c>
      <c r="F505" s="65">
        <f t="shared" si="1130"/>
        <v>0</v>
      </c>
      <c r="G505" s="60" t="e">
        <f t="shared" si="1136"/>
        <v>#DIV/0!</v>
      </c>
      <c r="H505" s="65" t="e">
        <f t="shared" ref="H505:J505" si="1354">H493</f>
        <v>#DIV/0!</v>
      </c>
      <c r="I505" s="65" t="e">
        <f t="shared" si="1354"/>
        <v>#DIV/0!</v>
      </c>
      <c r="J505" s="65" t="e">
        <f t="shared" si="1354"/>
        <v>#DIV/0!</v>
      </c>
      <c r="K505" s="69">
        <v>8325</v>
      </c>
      <c r="L505" s="69">
        <f>'Monitoramento Acumulado Geral'!Q505</f>
        <v>0</v>
      </c>
      <c r="M505" s="6">
        <f>(SUM(L494:L505))/K504</f>
        <v>0.32690690690690688</v>
      </c>
      <c r="N505" s="35" t="e">
        <f t="shared" si="1138"/>
        <v>#DIV/0!</v>
      </c>
      <c r="O505" s="6" t="e">
        <f t="shared" ref="O505:Q505" si="1355">O493</f>
        <v>#DIV/0!</v>
      </c>
      <c r="P505" s="6" t="e">
        <f t="shared" si="1355"/>
        <v>#DIV/0!</v>
      </c>
      <c r="Q505" s="6" t="e">
        <f t="shared" si="1355"/>
        <v>#DIV/0!</v>
      </c>
      <c r="R505" s="69">
        <v>70</v>
      </c>
      <c r="S505" s="69">
        <v>0</v>
      </c>
      <c r="T505" s="6">
        <f t="shared" si="1133"/>
        <v>0</v>
      </c>
      <c r="U505" s="35" t="e">
        <f t="shared" si="1140"/>
        <v>#DIV/0!</v>
      </c>
      <c r="V505" s="6" t="e">
        <f t="shared" ref="V505:Z505" si="1356">V493</f>
        <v>#DIV/0!</v>
      </c>
      <c r="W505" s="6" t="e">
        <f t="shared" si="1356"/>
        <v>#DIV/0!</v>
      </c>
      <c r="X505" s="6" t="e">
        <f t="shared" si="1356"/>
        <v>#DIV/0!</v>
      </c>
      <c r="Y505" s="6" t="e">
        <f t="shared" si="1356"/>
        <v>#DIV/0!</v>
      </c>
      <c r="Z505" s="6" t="e">
        <f t="shared" si="1356"/>
        <v>#DIV/0!</v>
      </c>
    </row>
    <row r="506" spans="1:26" x14ac:dyDescent="0.2">
      <c r="A506" s="7" t="s">
        <v>106</v>
      </c>
      <c r="B506" s="6">
        <f t="shared" si="1135"/>
        <v>1</v>
      </c>
      <c r="C506" s="7" t="s">
        <v>151</v>
      </c>
      <c r="D506" s="68">
        <v>75</v>
      </c>
      <c r="E506" s="68">
        <v>14</v>
      </c>
      <c r="F506" s="65">
        <f t="shared" si="1130"/>
        <v>0.18666666666666668</v>
      </c>
      <c r="G506" s="60" t="e">
        <f t="shared" si="1136"/>
        <v>#DIV/0!</v>
      </c>
      <c r="H506" s="65" t="e">
        <f t="shared" ref="H506:J506" si="1357">H494</f>
        <v>#DIV/0!</v>
      </c>
      <c r="I506" s="65" t="e">
        <f t="shared" si="1357"/>
        <v>#DIV/0!</v>
      </c>
      <c r="J506" s="65" t="e">
        <f t="shared" si="1357"/>
        <v>#DIV/0!</v>
      </c>
      <c r="K506" s="69">
        <v>127560</v>
      </c>
      <c r="L506" s="69">
        <f>'Monitoramento Acumulado Geral'!Q506</f>
        <v>10515</v>
      </c>
      <c r="M506" s="6">
        <f>L506/K506</f>
        <v>8.2431796801505169E-2</v>
      </c>
      <c r="N506" s="35" t="e">
        <f t="shared" si="1138"/>
        <v>#DIV/0!</v>
      </c>
      <c r="O506" s="6" t="e">
        <f t="shared" ref="O506:Q506" si="1358">O494</f>
        <v>#DIV/0!</v>
      </c>
      <c r="P506" s="6" t="e">
        <f t="shared" si="1358"/>
        <v>#DIV/0!</v>
      </c>
      <c r="Q506" s="6" t="e">
        <f t="shared" si="1358"/>
        <v>#DIV/0!</v>
      </c>
      <c r="R506" s="69">
        <v>80</v>
      </c>
      <c r="S506" s="69">
        <v>27</v>
      </c>
      <c r="T506" s="6">
        <f t="shared" si="1133"/>
        <v>0.33750000000000002</v>
      </c>
      <c r="U506" s="35" t="e">
        <f t="shared" si="1140"/>
        <v>#DIV/0!</v>
      </c>
      <c r="V506" s="6" t="e">
        <f t="shared" ref="V506:Z506" si="1359">V494</f>
        <v>#DIV/0!</v>
      </c>
      <c r="W506" s="6" t="e">
        <f t="shared" si="1359"/>
        <v>#DIV/0!</v>
      </c>
      <c r="X506" s="6" t="e">
        <f t="shared" si="1359"/>
        <v>#DIV/0!</v>
      </c>
      <c r="Y506" s="6" t="e">
        <f t="shared" si="1359"/>
        <v>#DIV/0!</v>
      </c>
      <c r="Z506" s="6" t="e">
        <f t="shared" si="1359"/>
        <v>#DIV/0!</v>
      </c>
    </row>
    <row r="507" spans="1:26" x14ac:dyDescent="0.2">
      <c r="A507" s="7" t="s">
        <v>106</v>
      </c>
      <c r="B507" s="6">
        <f t="shared" si="1135"/>
        <v>2</v>
      </c>
      <c r="C507" s="7" t="s">
        <v>152</v>
      </c>
      <c r="D507" s="68">
        <v>75</v>
      </c>
      <c r="E507" s="68">
        <v>14</v>
      </c>
      <c r="F507" s="65">
        <f t="shared" si="1130"/>
        <v>0.18666666666666668</v>
      </c>
      <c r="G507" s="60" t="e">
        <f t="shared" si="1136"/>
        <v>#DIV/0!</v>
      </c>
      <c r="H507" s="65" t="e">
        <f t="shared" ref="H507:J507" si="1360">H495</f>
        <v>#DIV/0!</v>
      </c>
      <c r="I507" s="65" t="e">
        <f t="shared" si="1360"/>
        <v>#DIV/0!</v>
      </c>
      <c r="J507" s="65" t="e">
        <f t="shared" si="1360"/>
        <v>#DIV/0!</v>
      </c>
      <c r="K507" s="69">
        <v>127560</v>
      </c>
      <c r="L507" s="69">
        <f>'Monitoramento Acumulado Geral'!Q507</f>
        <v>0</v>
      </c>
      <c r="M507" s="6">
        <f>(SUM(L506:L507))/K506</f>
        <v>8.2431796801505169E-2</v>
      </c>
      <c r="N507" s="35" t="e">
        <f t="shared" si="1138"/>
        <v>#DIV/0!</v>
      </c>
      <c r="O507" s="6" t="e">
        <f t="shared" ref="O507:Q507" si="1361">O495</f>
        <v>#DIV/0!</v>
      </c>
      <c r="P507" s="6" t="e">
        <f t="shared" si="1361"/>
        <v>#DIV/0!</v>
      </c>
      <c r="Q507" s="6" t="e">
        <f t="shared" si="1361"/>
        <v>#DIV/0!</v>
      </c>
      <c r="R507" s="69">
        <v>80</v>
      </c>
      <c r="S507" s="69">
        <v>27</v>
      </c>
      <c r="T507" s="6">
        <f t="shared" si="1133"/>
        <v>0.33750000000000002</v>
      </c>
      <c r="U507" s="35" t="e">
        <f t="shared" si="1140"/>
        <v>#DIV/0!</v>
      </c>
      <c r="V507" s="6" t="e">
        <f t="shared" ref="V507:Z507" si="1362">V495</f>
        <v>#DIV/0!</v>
      </c>
      <c r="W507" s="6" t="e">
        <f t="shared" si="1362"/>
        <v>#DIV/0!</v>
      </c>
      <c r="X507" s="6" t="e">
        <f t="shared" si="1362"/>
        <v>#DIV/0!</v>
      </c>
      <c r="Y507" s="6" t="e">
        <f t="shared" si="1362"/>
        <v>#DIV/0!</v>
      </c>
      <c r="Z507" s="6" t="e">
        <f t="shared" si="1362"/>
        <v>#DIV/0!</v>
      </c>
    </row>
    <row r="508" spans="1:26" x14ac:dyDescent="0.2">
      <c r="A508" s="7" t="s">
        <v>106</v>
      </c>
      <c r="B508" s="6">
        <f t="shared" si="1135"/>
        <v>3</v>
      </c>
      <c r="C508" s="7" t="s">
        <v>153</v>
      </c>
      <c r="D508" s="68">
        <v>75</v>
      </c>
      <c r="E508" s="68">
        <v>18</v>
      </c>
      <c r="F508" s="65">
        <f t="shared" si="1130"/>
        <v>0.24</v>
      </c>
      <c r="G508" s="60" t="e">
        <f t="shared" si="1136"/>
        <v>#DIV/0!</v>
      </c>
      <c r="H508" s="65" t="e">
        <f t="shared" ref="H508:J508" si="1363">H496</f>
        <v>#DIV/0!</v>
      </c>
      <c r="I508" s="65" t="e">
        <f t="shared" si="1363"/>
        <v>#DIV/0!</v>
      </c>
      <c r="J508" s="65" t="e">
        <f t="shared" si="1363"/>
        <v>#DIV/0!</v>
      </c>
      <c r="K508" s="69">
        <v>127560</v>
      </c>
      <c r="L508" s="69">
        <f>'Monitoramento Acumulado Geral'!Q508</f>
        <v>5810</v>
      </c>
      <c r="M508" s="6">
        <f>(SUM(L506:L508))/K507</f>
        <v>0.12797899027908435</v>
      </c>
      <c r="N508" s="35" t="e">
        <f t="shared" si="1138"/>
        <v>#DIV/0!</v>
      </c>
      <c r="O508" s="6" t="e">
        <f t="shared" ref="O508:Q508" si="1364">O496</f>
        <v>#DIV/0!</v>
      </c>
      <c r="P508" s="6" t="e">
        <f t="shared" si="1364"/>
        <v>#DIV/0!</v>
      </c>
      <c r="Q508" s="6" t="e">
        <f t="shared" si="1364"/>
        <v>#DIV/0!</v>
      </c>
      <c r="R508" s="69">
        <v>80</v>
      </c>
      <c r="S508" s="69">
        <v>27</v>
      </c>
      <c r="T508" s="6">
        <f t="shared" si="1133"/>
        <v>0.33750000000000002</v>
      </c>
      <c r="U508" s="35" t="e">
        <f t="shared" si="1140"/>
        <v>#DIV/0!</v>
      </c>
      <c r="V508" s="6" t="e">
        <f t="shared" ref="V508:Z508" si="1365">V496</f>
        <v>#DIV/0!</v>
      </c>
      <c r="W508" s="6" t="e">
        <f t="shared" si="1365"/>
        <v>#DIV/0!</v>
      </c>
      <c r="X508" s="6" t="e">
        <f t="shared" si="1365"/>
        <v>#DIV/0!</v>
      </c>
      <c r="Y508" s="6" t="e">
        <f t="shared" si="1365"/>
        <v>#DIV/0!</v>
      </c>
      <c r="Z508" s="6" t="e">
        <f t="shared" si="1365"/>
        <v>#DIV/0!</v>
      </c>
    </row>
    <row r="509" spans="1:26" x14ac:dyDescent="0.2">
      <c r="A509" s="7" t="s">
        <v>106</v>
      </c>
      <c r="B509" s="6">
        <f t="shared" si="1135"/>
        <v>4</v>
      </c>
      <c r="C509" s="7" t="s">
        <v>154</v>
      </c>
      <c r="D509" s="68">
        <v>75</v>
      </c>
      <c r="E509" s="68">
        <v>27</v>
      </c>
      <c r="F509" s="65">
        <f t="shared" si="1130"/>
        <v>0.36</v>
      </c>
      <c r="G509" s="60" t="e">
        <f t="shared" si="1136"/>
        <v>#DIV/0!</v>
      </c>
      <c r="H509" s="65" t="e">
        <f t="shared" ref="H509:J509" si="1366">H497</f>
        <v>#DIV/0!</v>
      </c>
      <c r="I509" s="65" t="e">
        <f t="shared" si="1366"/>
        <v>#DIV/0!</v>
      </c>
      <c r="J509" s="65" t="e">
        <f t="shared" si="1366"/>
        <v>#DIV/0!</v>
      </c>
      <c r="K509" s="69">
        <v>127560</v>
      </c>
      <c r="L509" s="69">
        <f>'Monitoramento Acumulado Geral'!Q509</f>
        <v>5400</v>
      </c>
      <c r="M509" s="6">
        <f>(SUM(L506:L509))/K508</f>
        <v>0.17031201003449356</v>
      </c>
      <c r="N509" s="35" t="e">
        <f t="shared" si="1138"/>
        <v>#DIV/0!</v>
      </c>
      <c r="O509" s="6" t="e">
        <f t="shared" ref="O509:Q509" si="1367">O497</f>
        <v>#DIV/0!</v>
      </c>
      <c r="P509" s="6" t="e">
        <f t="shared" si="1367"/>
        <v>#DIV/0!</v>
      </c>
      <c r="Q509" s="6" t="e">
        <f t="shared" si="1367"/>
        <v>#DIV/0!</v>
      </c>
      <c r="R509" s="69">
        <v>80</v>
      </c>
      <c r="S509" s="69">
        <v>27</v>
      </c>
      <c r="T509" s="6">
        <f t="shared" si="1133"/>
        <v>0.33750000000000002</v>
      </c>
      <c r="U509" s="35" t="e">
        <f t="shared" si="1140"/>
        <v>#DIV/0!</v>
      </c>
      <c r="V509" s="6" t="e">
        <f t="shared" ref="V509:Z509" si="1368">V497</f>
        <v>#DIV/0!</v>
      </c>
      <c r="W509" s="6" t="e">
        <f t="shared" si="1368"/>
        <v>#DIV/0!</v>
      </c>
      <c r="X509" s="6" t="e">
        <f t="shared" si="1368"/>
        <v>#DIV/0!</v>
      </c>
      <c r="Y509" s="6" t="e">
        <f t="shared" si="1368"/>
        <v>#DIV/0!</v>
      </c>
      <c r="Z509" s="6" t="e">
        <f t="shared" si="1368"/>
        <v>#DIV/0!</v>
      </c>
    </row>
    <row r="510" spans="1:26" x14ac:dyDescent="0.2">
      <c r="A510" s="7" t="s">
        <v>106</v>
      </c>
      <c r="B510" s="6">
        <f t="shared" si="1135"/>
        <v>5</v>
      </c>
      <c r="C510" s="7" t="s">
        <v>155</v>
      </c>
      <c r="D510" s="68">
        <v>75</v>
      </c>
      <c r="E510" s="68">
        <v>27</v>
      </c>
      <c r="F510" s="65">
        <f t="shared" si="1130"/>
        <v>0.36</v>
      </c>
      <c r="G510" s="60" t="e">
        <f t="shared" si="1136"/>
        <v>#DIV/0!</v>
      </c>
      <c r="H510" s="65" t="e">
        <f t="shared" ref="H510:J510" si="1369">H498</f>
        <v>#DIV/0!</v>
      </c>
      <c r="I510" s="65" t="e">
        <f t="shared" si="1369"/>
        <v>#DIV/0!</v>
      </c>
      <c r="J510" s="65" t="e">
        <f t="shared" si="1369"/>
        <v>#DIV/0!</v>
      </c>
      <c r="K510" s="69">
        <v>127560</v>
      </c>
      <c r="L510" s="69">
        <f>'Monitoramento Acumulado Geral'!Q510</f>
        <v>0</v>
      </c>
      <c r="M510" s="6">
        <f>(SUM(L506:L510))/K509</f>
        <v>0.17031201003449356</v>
      </c>
      <c r="N510" s="35" t="e">
        <f t="shared" si="1138"/>
        <v>#DIV/0!</v>
      </c>
      <c r="O510" s="6" t="e">
        <f t="shared" ref="O510:Q510" si="1370">O498</f>
        <v>#DIV/0!</v>
      </c>
      <c r="P510" s="6" t="e">
        <f t="shared" si="1370"/>
        <v>#DIV/0!</v>
      </c>
      <c r="Q510" s="6" t="e">
        <f t="shared" si="1370"/>
        <v>#DIV/0!</v>
      </c>
      <c r="R510" s="69">
        <v>80</v>
      </c>
      <c r="S510" s="69">
        <v>59</v>
      </c>
      <c r="T510" s="6">
        <f t="shared" si="1133"/>
        <v>0.73750000000000004</v>
      </c>
      <c r="U510" s="35" t="e">
        <f t="shared" si="1140"/>
        <v>#DIV/0!</v>
      </c>
      <c r="V510" s="6" t="e">
        <f t="shared" ref="V510:Z510" si="1371">V498</f>
        <v>#DIV/0!</v>
      </c>
      <c r="W510" s="6" t="e">
        <f t="shared" si="1371"/>
        <v>#DIV/0!</v>
      </c>
      <c r="X510" s="6" t="e">
        <f t="shared" si="1371"/>
        <v>#DIV/0!</v>
      </c>
      <c r="Y510" s="6" t="e">
        <f t="shared" si="1371"/>
        <v>#DIV/0!</v>
      </c>
      <c r="Z510" s="6" t="e">
        <f t="shared" si="1371"/>
        <v>#DIV/0!</v>
      </c>
    </row>
    <row r="511" spans="1:26" x14ac:dyDescent="0.2">
      <c r="A511" s="7" t="s">
        <v>106</v>
      </c>
      <c r="B511" s="6">
        <f t="shared" si="1135"/>
        <v>6</v>
      </c>
      <c r="C511" s="7" t="s">
        <v>156</v>
      </c>
      <c r="D511" s="68">
        <v>75</v>
      </c>
      <c r="E511" s="68">
        <v>32</v>
      </c>
      <c r="F511" s="65">
        <f t="shared" si="1130"/>
        <v>0.42666666666666669</v>
      </c>
      <c r="G511" s="60" t="e">
        <f t="shared" si="1136"/>
        <v>#DIV/0!</v>
      </c>
      <c r="H511" s="65" t="e">
        <f t="shared" ref="H511:J511" si="1372">H499</f>
        <v>#DIV/0!</v>
      </c>
      <c r="I511" s="65" t="e">
        <f t="shared" si="1372"/>
        <v>#DIV/0!</v>
      </c>
      <c r="J511" s="65" t="e">
        <f t="shared" si="1372"/>
        <v>#DIV/0!</v>
      </c>
      <c r="K511" s="69">
        <v>127560</v>
      </c>
      <c r="L511" s="69">
        <f>'Monitoramento Acumulado Geral'!Q511</f>
        <v>3600</v>
      </c>
      <c r="M511" s="6">
        <f>(SUM(L506:L511))/K510</f>
        <v>0.19853402320476637</v>
      </c>
      <c r="N511" s="35" t="e">
        <f t="shared" si="1138"/>
        <v>#DIV/0!</v>
      </c>
      <c r="O511" s="6" t="e">
        <f t="shared" ref="O511:Q511" si="1373">O499</f>
        <v>#DIV/0!</v>
      </c>
      <c r="P511" s="6" t="e">
        <f t="shared" si="1373"/>
        <v>#DIV/0!</v>
      </c>
      <c r="Q511" s="6" t="e">
        <f t="shared" si="1373"/>
        <v>#DIV/0!</v>
      </c>
      <c r="R511" s="69">
        <v>80</v>
      </c>
      <c r="S511" s="69">
        <v>59</v>
      </c>
      <c r="T511" s="6">
        <f t="shared" si="1133"/>
        <v>0.73750000000000004</v>
      </c>
      <c r="U511" s="35" t="e">
        <f t="shared" si="1140"/>
        <v>#DIV/0!</v>
      </c>
      <c r="V511" s="6" t="e">
        <f t="shared" ref="V511:Z511" si="1374">V499</f>
        <v>#DIV/0!</v>
      </c>
      <c r="W511" s="6" t="e">
        <f t="shared" si="1374"/>
        <v>#DIV/0!</v>
      </c>
      <c r="X511" s="6" t="e">
        <f t="shared" si="1374"/>
        <v>#DIV/0!</v>
      </c>
      <c r="Y511" s="6" t="e">
        <f t="shared" si="1374"/>
        <v>#DIV/0!</v>
      </c>
      <c r="Z511" s="6" t="e">
        <f t="shared" si="1374"/>
        <v>#DIV/0!</v>
      </c>
    </row>
    <row r="512" spans="1:26" x14ac:dyDescent="0.2">
      <c r="A512" s="7" t="s">
        <v>106</v>
      </c>
      <c r="B512" s="6">
        <f t="shared" si="1135"/>
        <v>7</v>
      </c>
      <c r="C512" s="7" t="s">
        <v>157</v>
      </c>
      <c r="D512" s="68">
        <v>75</v>
      </c>
      <c r="E512" s="68">
        <v>41</v>
      </c>
      <c r="F512" s="65">
        <f t="shared" si="1130"/>
        <v>0.54666666666666663</v>
      </c>
      <c r="G512" s="60" t="e">
        <f t="shared" si="1136"/>
        <v>#DIV/0!</v>
      </c>
      <c r="H512" s="65" t="e">
        <f t="shared" ref="H512:J512" si="1375">H500</f>
        <v>#DIV/0!</v>
      </c>
      <c r="I512" s="65" t="e">
        <f t="shared" si="1375"/>
        <v>#DIV/0!</v>
      </c>
      <c r="J512" s="65" t="e">
        <f t="shared" si="1375"/>
        <v>#DIV/0!</v>
      </c>
      <c r="K512" s="69">
        <v>127560</v>
      </c>
      <c r="L512" s="69">
        <f>'Monitoramento Acumulado Geral'!Q512</f>
        <v>8544</v>
      </c>
      <c r="M512" s="6">
        <f>(SUM(L506:L512))/K511</f>
        <v>0.26551426779554721</v>
      </c>
      <c r="N512" s="35" t="e">
        <f t="shared" si="1138"/>
        <v>#DIV/0!</v>
      </c>
      <c r="O512" s="6" t="e">
        <f t="shared" ref="O512:Q512" si="1376">O500</f>
        <v>#DIV/0!</v>
      </c>
      <c r="P512" s="6" t="e">
        <f t="shared" si="1376"/>
        <v>#DIV/0!</v>
      </c>
      <c r="Q512" s="6" t="e">
        <f t="shared" si="1376"/>
        <v>#DIV/0!</v>
      </c>
      <c r="R512" s="69">
        <v>80</v>
      </c>
      <c r="S512" s="69">
        <v>59</v>
      </c>
      <c r="T512" s="6">
        <f t="shared" si="1133"/>
        <v>0.73750000000000004</v>
      </c>
      <c r="U512" s="35" t="e">
        <f t="shared" si="1140"/>
        <v>#DIV/0!</v>
      </c>
      <c r="V512" s="6" t="e">
        <f t="shared" ref="V512:Z512" si="1377">V500</f>
        <v>#DIV/0!</v>
      </c>
      <c r="W512" s="6" t="e">
        <f t="shared" si="1377"/>
        <v>#DIV/0!</v>
      </c>
      <c r="X512" s="6" t="e">
        <f t="shared" si="1377"/>
        <v>#DIV/0!</v>
      </c>
      <c r="Y512" s="6" t="e">
        <f t="shared" si="1377"/>
        <v>#DIV/0!</v>
      </c>
      <c r="Z512" s="6" t="e">
        <f t="shared" si="1377"/>
        <v>#DIV/0!</v>
      </c>
    </row>
    <row r="513" spans="1:26" x14ac:dyDescent="0.2">
      <c r="A513" s="7" t="s">
        <v>106</v>
      </c>
      <c r="B513" s="6">
        <f t="shared" si="1135"/>
        <v>8</v>
      </c>
      <c r="C513" s="7" t="s">
        <v>158</v>
      </c>
      <c r="D513" s="68">
        <v>75</v>
      </c>
      <c r="E513" s="68">
        <v>59</v>
      </c>
      <c r="F513" s="65">
        <f t="shared" si="1130"/>
        <v>0.78666666666666663</v>
      </c>
      <c r="G513" s="60" t="e">
        <f t="shared" si="1136"/>
        <v>#DIV/0!</v>
      </c>
      <c r="H513" s="65" t="e">
        <f t="shared" ref="H513:J513" si="1378">H501</f>
        <v>#DIV/0!</v>
      </c>
      <c r="I513" s="65" t="e">
        <f t="shared" si="1378"/>
        <v>#DIV/0!</v>
      </c>
      <c r="J513" s="65" t="e">
        <f t="shared" si="1378"/>
        <v>#DIV/0!</v>
      </c>
      <c r="K513" s="69">
        <v>127560</v>
      </c>
      <c r="L513" s="69">
        <f>'Monitoramento Acumulado Geral'!Q513</f>
        <v>9320</v>
      </c>
      <c r="M513" s="6">
        <f>(SUM(L506:L513))/K512</f>
        <v>0.33857792411414234</v>
      </c>
      <c r="N513" s="35" t="e">
        <f t="shared" si="1138"/>
        <v>#DIV/0!</v>
      </c>
      <c r="O513" s="6" t="e">
        <f t="shared" ref="O513:Q513" si="1379">O501</f>
        <v>#DIV/0!</v>
      </c>
      <c r="P513" s="6" t="e">
        <f t="shared" si="1379"/>
        <v>#DIV/0!</v>
      </c>
      <c r="Q513" s="6" t="e">
        <f t="shared" si="1379"/>
        <v>#DIV/0!</v>
      </c>
      <c r="R513" s="69">
        <v>80</v>
      </c>
      <c r="S513" s="69">
        <v>59</v>
      </c>
      <c r="T513" s="6">
        <f t="shared" si="1133"/>
        <v>0.73750000000000004</v>
      </c>
      <c r="U513" s="35" t="e">
        <f t="shared" si="1140"/>
        <v>#DIV/0!</v>
      </c>
      <c r="V513" s="6" t="e">
        <f t="shared" ref="V513:Z513" si="1380">V501</f>
        <v>#DIV/0!</v>
      </c>
      <c r="W513" s="6" t="e">
        <f t="shared" si="1380"/>
        <v>#DIV/0!</v>
      </c>
      <c r="X513" s="6" t="e">
        <f t="shared" si="1380"/>
        <v>#DIV/0!</v>
      </c>
      <c r="Y513" s="6" t="e">
        <f t="shared" si="1380"/>
        <v>#DIV/0!</v>
      </c>
      <c r="Z513" s="6" t="e">
        <f t="shared" si="1380"/>
        <v>#DIV/0!</v>
      </c>
    </row>
    <row r="514" spans="1:26" x14ac:dyDescent="0.2">
      <c r="A514" s="7" t="s">
        <v>106</v>
      </c>
      <c r="B514" s="6">
        <f t="shared" si="1135"/>
        <v>9</v>
      </c>
      <c r="C514" s="7" t="s">
        <v>159</v>
      </c>
      <c r="D514" s="68">
        <v>75</v>
      </c>
      <c r="E514" s="68">
        <v>68</v>
      </c>
      <c r="F514" s="65">
        <f t="shared" si="1130"/>
        <v>0.90666666666666662</v>
      </c>
      <c r="G514" s="60" t="e">
        <f t="shared" si="1136"/>
        <v>#DIV/0!</v>
      </c>
      <c r="H514" s="65" t="e">
        <f t="shared" ref="H514:J514" si="1381">H502</f>
        <v>#DIV/0!</v>
      </c>
      <c r="I514" s="65" t="e">
        <f t="shared" si="1381"/>
        <v>#DIV/0!</v>
      </c>
      <c r="J514" s="65" t="e">
        <f t="shared" si="1381"/>
        <v>#DIV/0!</v>
      </c>
      <c r="K514" s="69">
        <v>127560</v>
      </c>
      <c r="L514" s="69">
        <f>'Monitoramento Acumulado Geral'!Q514</f>
        <v>6750</v>
      </c>
      <c r="M514" s="6">
        <f>(SUM(L506:L514))/K513</f>
        <v>0.39149419880840391</v>
      </c>
      <c r="N514" s="35" t="e">
        <f t="shared" si="1138"/>
        <v>#DIV/0!</v>
      </c>
      <c r="O514" s="6" t="e">
        <f t="shared" ref="O514:Q514" si="1382">O502</f>
        <v>#DIV/0!</v>
      </c>
      <c r="P514" s="6" t="e">
        <f t="shared" si="1382"/>
        <v>#DIV/0!</v>
      </c>
      <c r="Q514" s="6" t="e">
        <f t="shared" si="1382"/>
        <v>#DIV/0!</v>
      </c>
      <c r="R514" s="69">
        <v>80</v>
      </c>
      <c r="S514" s="69">
        <v>59</v>
      </c>
      <c r="T514" s="6">
        <f t="shared" si="1133"/>
        <v>0.73750000000000004</v>
      </c>
      <c r="U514" s="35" t="e">
        <f t="shared" si="1140"/>
        <v>#DIV/0!</v>
      </c>
      <c r="V514" s="6" t="e">
        <f t="shared" ref="V514:Z514" si="1383">V502</f>
        <v>#DIV/0!</v>
      </c>
      <c r="W514" s="6" t="e">
        <f t="shared" si="1383"/>
        <v>#DIV/0!</v>
      </c>
      <c r="X514" s="6" t="e">
        <f t="shared" si="1383"/>
        <v>#DIV/0!</v>
      </c>
      <c r="Y514" s="6" t="e">
        <f t="shared" si="1383"/>
        <v>#DIV/0!</v>
      </c>
      <c r="Z514" s="6" t="e">
        <f t="shared" si="1383"/>
        <v>#DIV/0!</v>
      </c>
    </row>
    <row r="515" spans="1:26" x14ac:dyDescent="0.2">
      <c r="A515" s="7" t="s">
        <v>106</v>
      </c>
      <c r="B515" s="6">
        <f t="shared" si="1135"/>
        <v>10</v>
      </c>
      <c r="C515" s="7" t="s">
        <v>160</v>
      </c>
      <c r="D515" s="68">
        <v>75</v>
      </c>
      <c r="E515" s="68">
        <v>68</v>
      </c>
      <c r="F515" s="65">
        <f t="shared" si="1130"/>
        <v>0.90666666666666662</v>
      </c>
      <c r="G515" s="60" t="e">
        <f t="shared" si="1136"/>
        <v>#DIV/0!</v>
      </c>
      <c r="H515" s="65" t="e">
        <f t="shared" ref="H515:J515" si="1384">H503</f>
        <v>#DIV/0!</v>
      </c>
      <c r="I515" s="65" t="e">
        <f t="shared" si="1384"/>
        <v>#DIV/0!</v>
      </c>
      <c r="J515" s="65" t="e">
        <f t="shared" si="1384"/>
        <v>#DIV/0!</v>
      </c>
      <c r="K515" s="69">
        <v>127560</v>
      </c>
      <c r="L515" s="69">
        <f>'Monitoramento Acumulado Geral'!Q515</f>
        <v>0</v>
      </c>
      <c r="M515" s="6">
        <f>(SUM(L506:L515))/K514</f>
        <v>0.39149419880840391</v>
      </c>
      <c r="N515" s="35" t="e">
        <f t="shared" si="1138"/>
        <v>#DIV/0!</v>
      </c>
      <c r="O515" s="6" t="e">
        <f t="shared" ref="O515:Q515" si="1385">O503</f>
        <v>#DIV/0!</v>
      </c>
      <c r="P515" s="6" t="e">
        <f t="shared" si="1385"/>
        <v>#DIV/0!</v>
      </c>
      <c r="Q515" s="6" t="e">
        <f t="shared" si="1385"/>
        <v>#DIV/0!</v>
      </c>
      <c r="R515" s="69">
        <v>80</v>
      </c>
      <c r="S515" s="69">
        <v>59</v>
      </c>
      <c r="T515" s="6">
        <f t="shared" si="1133"/>
        <v>0.73750000000000004</v>
      </c>
      <c r="U515" s="35" t="e">
        <f t="shared" si="1140"/>
        <v>#DIV/0!</v>
      </c>
      <c r="V515" s="6" t="e">
        <f t="shared" ref="V515:Z515" si="1386">V503</f>
        <v>#DIV/0!</v>
      </c>
      <c r="W515" s="6" t="e">
        <f t="shared" si="1386"/>
        <v>#DIV/0!</v>
      </c>
      <c r="X515" s="6" t="e">
        <f t="shared" si="1386"/>
        <v>#DIV/0!</v>
      </c>
      <c r="Y515" s="6" t="e">
        <f t="shared" si="1386"/>
        <v>#DIV/0!</v>
      </c>
      <c r="Z515" s="6" t="e">
        <f t="shared" si="1386"/>
        <v>#DIV/0!</v>
      </c>
    </row>
    <row r="516" spans="1:26" x14ac:dyDescent="0.2">
      <c r="A516" s="7" t="s">
        <v>106</v>
      </c>
      <c r="B516" s="6">
        <f t="shared" si="1135"/>
        <v>11</v>
      </c>
      <c r="C516" s="7" t="s">
        <v>161</v>
      </c>
      <c r="D516" s="68">
        <v>75</v>
      </c>
      <c r="E516" s="68">
        <v>0</v>
      </c>
      <c r="F516" s="65">
        <f t="shared" si="1130"/>
        <v>0</v>
      </c>
      <c r="G516" s="60" t="e">
        <f t="shared" si="1136"/>
        <v>#DIV/0!</v>
      </c>
      <c r="H516" s="65" t="e">
        <f t="shared" ref="H516:J516" si="1387">H504</f>
        <v>#DIV/0!</v>
      </c>
      <c r="I516" s="65" t="e">
        <f t="shared" si="1387"/>
        <v>#DIV/0!</v>
      </c>
      <c r="J516" s="65" t="e">
        <f t="shared" si="1387"/>
        <v>#DIV/0!</v>
      </c>
      <c r="K516" s="69">
        <v>127560</v>
      </c>
      <c r="L516" s="69">
        <f>'Monitoramento Acumulado Geral'!Q516</f>
        <v>0</v>
      </c>
      <c r="M516" s="6">
        <f>(SUM(L506:L516))/K515</f>
        <v>0.39149419880840391</v>
      </c>
      <c r="N516" s="35" t="e">
        <f t="shared" si="1138"/>
        <v>#DIV/0!</v>
      </c>
      <c r="O516" s="6" t="e">
        <f t="shared" ref="O516:Q516" si="1388">O504</f>
        <v>#DIV/0!</v>
      </c>
      <c r="P516" s="6" t="e">
        <f t="shared" si="1388"/>
        <v>#DIV/0!</v>
      </c>
      <c r="Q516" s="6" t="e">
        <f t="shared" si="1388"/>
        <v>#DIV/0!</v>
      </c>
      <c r="R516" s="69">
        <v>80</v>
      </c>
      <c r="S516" s="69">
        <v>0</v>
      </c>
      <c r="T516" s="6">
        <f t="shared" si="1133"/>
        <v>0</v>
      </c>
      <c r="U516" s="35" t="e">
        <f t="shared" si="1140"/>
        <v>#DIV/0!</v>
      </c>
      <c r="V516" s="6" t="e">
        <f t="shared" ref="V516:Z516" si="1389">V504</f>
        <v>#DIV/0!</v>
      </c>
      <c r="W516" s="6" t="e">
        <f t="shared" si="1389"/>
        <v>#DIV/0!</v>
      </c>
      <c r="X516" s="6" t="e">
        <f t="shared" si="1389"/>
        <v>#DIV/0!</v>
      </c>
      <c r="Y516" s="6" t="e">
        <f t="shared" si="1389"/>
        <v>#DIV/0!</v>
      </c>
      <c r="Z516" s="6" t="e">
        <f t="shared" si="1389"/>
        <v>#DIV/0!</v>
      </c>
    </row>
    <row r="517" spans="1:26" x14ac:dyDescent="0.2">
      <c r="A517" s="7" t="s">
        <v>106</v>
      </c>
      <c r="B517" s="6">
        <f t="shared" si="1135"/>
        <v>12</v>
      </c>
      <c r="C517" s="7" t="s">
        <v>162</v>
      </c>
      <c r="D517" s="68">
        <v>75</v>
      </c>
      <c r="E517" s="68">
        <v>0</v>
      </c>
      <c r="F517" s="65">
        <f t="shared" si="1130"/>
        <v>0</v>
      </c>
      <c r="G517" s="60" t="e">
        <f t="shared" si="1136"/>
        <v>#DIV/0!</v>
      </c>
      <c r="H517" s="65" t="e">
        <f t="shared" ref="H517:J517" si="1390">H505</f>
        <v>#DIV/0!</v>
      </c>
      <c r="I517" s="65" t="e">
        <f t="shared" si="1390"/>
        <v>#DIV/0!</v>
      </c>
      <c r="J517" s="65" t="e">
        <f t="shared" si="1390"/>
        <v>#DIV/0!</v>
      </c>
      <c r="K517" s="69">
        <v>127560</v>
      </c>
      <c r="L517" s="69">
        <f>'Monitoramento Acumulado Geral'!Q517</f>
        <v>0</v>
      </c>
      <c r="M517" s="6">
        <f>(SUM(L506:L517))/K516</f>
        <v>0.39149419880840391</v>
      </c>
      <c r="N517" s="35" t="e">
        <f t="shared" si="1138"/>
        <v>#DIV/0!</v>
      </c>
      <c r="O517" s="6" t="e">
        <f t="shared" ref="O517:Q517" si="1391">O505</f>
        <v>#DIV/0!</v>
      </c>
      <c r="P517" s="6" t="e">
        <f t="shared" si="1391"/>
        <v>#DIV/0!</v>
      </c>
      <c r="Q517" s="6" t="e">
        <f t="shared" si="1391"/>
        <v>#DIV/0!</v>
      </c>
      <c r="R517" s="69">
        <v>80</v>
      </c>
      <c r="S517" s="69">
        <v>0</v>
      </c>
      <c r="T517" s="6">
        <f t="shared" si="1133"/>
        <v>0</v>
      </c>
      <c r="U517" s="35" t="e">
        <f t="shared" si="1140"/>
        <v>#DIV/0!</v>
      </c>
      <c r="V517" s="6" t="e">
        <f t="shared" ref="V517:Z517" si="1392">V505</f>
        <v>#DIV/0!</v>
      </c>
      <c r="W517" s="6" t="e">
        <f t="shared" si="1392"/>
        <v>#DIV/0!</v>
      </c>
      <c r="X517" s="6" t="e">
        <f t="shared" si="1392"/>
        <v>#DIV/0!</v>
      </c>
      <c r="Y517" s="6" t="e">
        <f t="shared" si="1392"/>
        <v>#DIV/0!</v>
      </c>
      <c r="Z517" s="6" t="e">
        <f t="shared" si="1392"/>
        <v>#DIV/0!</v>
      </c>
    </row>
    <row r="518" spans="1:26" x14ac:dyDescent="0.2">
      <c r="A518" s="7" t="s">
        <v>31</v>
      </c>
      <c r="B518" s="6">
        <f t="shared" si="1135"/>
        <v>1</v>
      </c>
      <c r="C518" s="7" t="s">
        <v>151</v>
      </c>
      <c r="D518" s="68">
        <v>75</v>
      </c>
      <c r="E518" s="68">
        <v>0</v>
      </c>
      <c r="F518" s="65">
        <f t="shared" si="1130"/>
        <v>0</v>
      </c>
      <c r="G518" s="60" t="e">
        <f t="shared" si="1136"/>
        <v>#DIV/0!</v>
      </c>
      <c r="H518" s="65" t="e">
        <f t="shared" ref="H518:J518" si="1393">H506</f>
        <v>#DIV/0!</v>
      </c>
      <c r="I518" s="65" t="e">
        <f t="shared" si="1393"/>
        <v>#DIV/0!</v>
      </c>
      <c r="J518" s="65" t="e">
        <f t="shared" si="1393"/>
        <v>#DIV/0!</v>
      </c>
      <c r="K518" s="69">
        <v>7025</v>
      </c>
      <c r="L518" s="69">
        <f>'Monitoramento Acumulado Geral'!Q518</f>
        <v>0</v>
      </c>
      <c r="M518" s="6">
        <f>L518/K518</f>
        <v>0</v>
      </c>
      <c r="N518" s="35" t="e">
        <f t="shared" si="1138"/>
        <v>#DIV/0!</v>
      </c>
      <c r="O518" s="6" t="e">
        <f t="shared" ref="O518:Q518" si="1394">O506</f>
        <v>#DIV/0!</v>
      </c>
      <c r="P518" s="6" t="e">
        <f t="shared" si="1394"/>
        <v>#DIV/0!</v>
      </c>
      <c r="Q518" s="6" t="e">
        <f t="shared" si="1394"/>
        <v>#DIV/0!</v>
      </c>
      <c r="R518" s="69">
        <v>60</v>
      </c>
      <c r="S518" s="69">
        <v>0</v>
      </c>
      <c r="T518" s="6">
        <f t="shared" si="1133"/>
        <v>0</v>
      </c>
      <c r="U518" s="35" t="e">
        <f t="shared" si="1140"/>
        <v>#DIV/0!</v>
      </c>
      <c r="V518" s="6" t="e">
        <f t="shared" ref="V518:Z518" si="1395">V506</f>
        <v>#DIV/0!</v>
      </c>
      <c r="W518" s="6" t="e">
        <f t="shared" si="1395"/>
        <v>#DIV/0!</v>
      </c>
      <c r="X518" s="6" t="e">
        <f t="shared" si="1395"/>
        <v>#DIV/0!</v>
      </c>
      <c r="Y518" s="6" t="e">
        <f t="shared" si="1395"/>
        <v>#DIV/0!</v>
      </c>
      <c r="Z518" s="6" t="e">
        <f t="shared" si="1395"/>
        <v>#DIV/0!</v>
      </c>
    </row>
    <row r="519" spans="1:26" x14ac:dyDescent="0.2">
      <c r="A519" s="7" t="s">
        <v>31</v>
      </c>
      <c r="B519" s="6">
        <f t="shared" si="1135"/>
        <v>2</v>
      </c>
      <c r="C519" s="7" t="s">
        <v>152</v>
      </c>
      <c r="D519" s="68">
        <v>75</v>
      </c>
      <c r="E519" s="68">
        <v>0</v>
      </c>
      <c r="F519" s="65">
        <f t="shared" si="1130"/>
        <v>0</v>
      </c>
      <c r="G519" s="60" t="e">
        <f t="shared" si="1136"/>
        <v>#DIV/0!</v>
      </c>
      <c r="H519" s="65" t="e">
        <f t="shared" ref="H519:J519" si="1396">H507</f>
        <v>#DIV/0!</v>
      </c>
      <c r="I519" s="65" t="e">
        <f t="shared" si="1396"/>
        <v>#DIV/0!</v>
      </c>
      <c r="J519" s="65" t="e">
        <f t="shared" si="1396"/>
        <v>#DIV/0!</v>
      </c>
      <c r="K519" s="69">
        <v>7025</v>
      </c>
      <c r="L519" s="69">
        <f>'Monitoramento Acumulado Geral'!Q519</f>
        <v>0</v>
      </c>
      <c r="M519" s="6">
        <f>(SUM(L518:L519))/K518</f>
        <v>0</v>
      </c>
      <c r="N519" s="35" t="e">
        <f t="shared" si="1138"/>
        <v>#DIV/0!</v>
      </c>
      <c r="O519" s="6" t="e">
        <f t="shared" ref="O519:Q519" si="1397">O507</f>
        <v>#DIV/0!</v>
      </c>
      <c r="P519" s="6" t="e">
        <f t="shared" si="1397"/>
        <v>#DIV/0!</v>
      </c>
      <c r="Q519" s="6" t="e">
        <f t="shared" si="1397"/>
        <v>#DIV/0!</v>
      </c>
      <c r="R519" s="69">
        <v>60</v>
      </c>
      <c r="S519" s="69">
        <v>0</v>
      </c>
      <c r="T519" s="6">
        <f t="shared" si="1133"/>
        <v>0</v>
      </c>
      <c r="U519" s="35" t="e">
        <f t="shared" si="1140"/>
        <v>#DIV/0!</v>
      </c>
      <c r="V519" s="6" t="e">
        <f t="shared" ref="V519:Z519" si="1398">V507</f>
        <v>#DIV/0!</v>
      </c>
      <c r="W519" s="6" t="e">
        <f t="shared" si="1398"/>
        <v>#DIV/0!</v>
      </c>
      <c r="X519" s="6" t="e">
        <f t="shared" si="1398"/>
        <v>#DIV/0!</v>
      </c>
      <c r="Y519" s="6" t="e">
        <f t="shared" si="1398"/>
        <v>#DIV/0!</v>
      </c>
      <c r="Z519" s="6" t="e">
        <f t="shared" si="1398"/>
        <v>#DIV/0!</v>
      </c>
    </row>
    <row r="520" spans="1:26" x14ac:dyDescent="0.2">
      <c r="A520" s="7" t="s">
        <v>31</v>
      </c>
      <c r="B520" s="6">
        <f t="shared" si="1135"/>
        <v>3</v>
      </c>
      <c r="C520" s="7" t="s">
        <v>153</v>
      </c>
      <c r="D520" s="68">
        <v>75</v>
      </c>
      <c r="E520" s="68">
        <v>0</v>
      </c>
      <c r="F520" s="65">
        <f t="shared" si="1130"/>
        <v>0</v>
      </c>
      <c r="G520" s="60" t="e">
        <f t="shared" si="1136"/>
        <v>#DIV/0!</v>
      </c>
      <c r="H520" s="65" t="e">
        <f t="shared" ref="H520:J520" si="1399">H508</f>
        <v>#DIV/0!</v>
      </c>
      <c r="I520" s="65" t="e">
        <f t="shared" si="1399"/>
        <v>#DIV/0!</v>
      </c>
      <c r="J520" s="65" t="e">
        <f t="shared" si="1399"/>
        <v>#DIV/0!</v>
      </c>
      <c r="K520" s="69">
        <v>7025</v>
      </c>
      <c r="L520" s="69">
        <f>'Monitoramento Acumulado Geral'!Q520</f>
        <v>0</v>
      </c>
      <c r="M520" s="6">
        <f>(SUM(L518:L520))/K519</f>
        <v>0</v>
      </c>
      <c r="N520" s="35" t="e">
        <f t="shared" si="1138"/>
        <v>#DIV/0!</v>
      </c>
      <c r="O520" s="6" t="e">
        <f t="shared" ref="O520:Q520" si="1400">O508</f>
        <v>#DIV/0!</v>
      </c>
      <c r="P520" s="6" t="e">
        <f t="shared" si="1400"/>
        <v>#DIV/0!</v>
      </c>
      <c r="Q520" s="6" t="e">
        <f t="shared" si="1400"/>
        <v>#DIV/0!</v>
      </c>
      <c r="R520" s="69">
        <v>60</v>
      </c>
      <c r="S520" s="69">
        <v>0</v>
      </c>
      <c r="T520" s="6">
        <f t="shared" si="1133"/>
        <v>0</v>
      </c>
      <c r="U520" s="35" t="e">
        <f t="shared" si="1140"/>
        <v>#DIV/0!</v>
      </c>
      <c r="V520" s="6" t="e">
        <f t="shared" ref="V520:Z520" si="1401">V508</f>
        <v>#DIV/0!</v>
      </c>
      <c r="W520" s="6" t="e">
        <f t="shared" si="1401"/>
        <v>#DIV/0!</v>
      </c>
      <c r="X520" s="6" t="e">
        <f t="shared" si="1401"/>
        <v>#DIV/0!</v>
      </c>
      <c r="Y520" s="6" t="e">
        <f t="shared" si="1401"/>
        <v>#DIV/0!</v>
      </c>
      <c r="Z520" s="6" t="e">
        <f t="shared" si="1401"/>
        <v>#DIV/0!</v>
      </c>
    </row>
    <row r="521" spans="1:26" x14ac:dyDescent="0.2">
      <c r="A521" s="7" t="s">
        <v>31</v>
      </c>
      <c r="B521" s="6">
        <f t="shared" si="1135"/>
        <v>4</v>
      </c>
      <c r="C521" s="7" t="s">
        <v>154</v>
      </c>
      <c r="D521" s="68">
        <v>75</v>
      </c>
      <c r="E521" s="68">
        <v>0</v>
      </c>
      <c r="F521" s="65">
        <f t="shared" si="1130"/>
        <v>0</v>
      </c>
      <c r="G521" s="60" t="e">
        <f t="shared" si="1136"/>
        <v>#DIV/0!</v>
      </c>
      <c r="H521" s="65" t="e">
        <f t="shared" ref="H521:J521" si="1402">H509</f>
        <v>#DIV/0!</v>
      </c>
      <c r="I521" s="65" t="e">
        <f t="shared" si="1402"/>
        <v>#DIV/0!</v>
      </c>
      <c r="J521" s="65" t="e">
        <f t="shared" si="1402"/>
        <v>#DIV/0!</v>
      </c>
      <c r="K521" s="69">
        <v>7025</v>
      </c>
      <c r="L521" s="69">
        <f>'Monitoramento Acumulado Geral'!Q521</f>
        <v>0</v>
      </c>
      <c r="M521" s="6">
        <f>(SUM(L518:L521))/K520</f>
        <v>0</v>
      </c>
      <c r="N521" s="35" t="e">
        <f t="shared" si="1138"/>
        <v>#DIV/0!</v>
      </c>
      <c r="O521" s="6" t="e">
        <f t="shared" ref="O521:Q521" si="1403">O509</f>
        <v>#DIV/0!</v>
      </c>
      <c r="P521" s="6" t="e">
        <f t="shared" si="1403"/>
        <v>#DIV/0!</v>
      </c>
      <c r="Q521" s="6" t="e">
        <f t="shared" si="1403"/>
        <v>#DIV/0!</v>
      </c>
      <c r="R521" s="69">
        <v>60</v>
      </c>
      <c r="S521" s="69">
        <v>0</v>
      </c>
      <c r="T521" s="6">
        <f t="shared" si="1133"/>
        <v>0</v>
      </c>
      <c r="U521" s="35" t="e">
        <f t="shared" si="1140"/>
        <v>#DIV/0!</v>
      </c>
      <c r="V521" s="6" t="e">
        <f t="shared" ref="V521:Z521" si="1404">V509</f>
        <v>#DIV/0!</v>
      </c>
      <c r="W521" s="6" t="e">
        <f t="shared" si="1404"/>
        <v>#DIV/0!</v>
      </c>
      <c r="X521" s="6" t="e">
        <f t="shared" si="1404"/>
        <v>#DIV/0!</v>
      </c>
      <c r="Y521" s="6" t="e">
        <f t="shared" si="1404"/>
        <v>#DIV/0!</v>
      </c>
      <c r="Z521" s="6" t="e">
        <f t="shared" si="1404"/>
        <v>#DIV/0!</v>
      </c>
    </row>
    <row r="522" spans="1:26" x14ac:dyDescent="0.2">
      <c r="A522" s="7" t="s">
        <v>31</v>
      </c>
      <c r="B522" s="6">
        <f t="shared" si="1135"/>
        <v>5</v>
      </c>
      <c r="C522" s="7" t="s">
        <v>155</v>
      </c>
      <c r="D522" s="68">
        <v>75</v>
      </c>
      <c r="E522" s="68">
        <v>0</v>
      </c>
      <c r="F522" s="65">
        <f t="shared" ref="F522:F585" si="1405">E522/D522</f>
        <v>0</v>
      </c>
      <c r="G522" s="60" t="e">
        <f t="shared" si="1136"/>
        <v>#DIV/0!</v>
      </c>
      <c r="H522" s="65" t="e">
        <f t="shared" ref="H522:J522" si="1406">H510</f>
        <v>#DIV/0!</v>
      </c>
      <c r="I522" s="65" t="e">
        <f t="shared" si="1406"/>
        <v>#DIV/0!</v>
      </c>
      <c r="J522" s="65" t="e">
        <f t="shared" si="1406"/>
        <v>#DIV/0!</v>
      </c>
      <c r="K522" s="69">
        <v>7025</v>
      </c>
      <c r="L522" s="69">
        <f>'Monitoramento Acumulado Geral'!Q522</f>
        <v>0</v>
      </c>
      <c r="M522" s="6">
        <f>(SUM(L518:L522))/K521</f>
        <v>0</v>
      </c>
      <c r="N522" s="35" t="e">
        <f t="shared" si="1138"/>
        <v>#DIV/0!</v>
      </c>
      <c r="O522" s="6" t="e">
        <f t="shared" ref="O522:Q522" si="1407">O510</f>
        <v>#DIV/0!</v>
      </c>
      <c r="P522" s="6" t="e">
        <f t="shared" si="1407"/>
        <v>#DIV/0!</v>
      </c>
      <c r="Q522" s="6" t="e">
        <f t="shared" si="1407"/>
        <v>#DIV/0!</v>
      </c>
      <c r="R522" s="69">
        <v>60</v>
      </c>
      <c r="S522" s="69">
        <v>79</v>
      </c>
      <c r="T522" s="6">
        <f t="shared" ref="T522:T585" si="1408">S522/R522</f>
        <v>1.3166666666666667</v>
      </c>
      <c r="U522" s="35" t="e">
        <f t="shared" si="1140"/>
        <v>#DIV/0!</v>
      </c>
      <c r="V522" s="6" t="e">
        <f t="shared" ref="V522:Z522" si="1409">V510</f>
        <v>#DIV/0!</v>
      </c>
      <c r="W522" s="6" t="e">
        <f t="shared" si="1409"/>
        <v>#DIV/0!</v>
      </c>
      <c r="X522" s="6" t="e">
        <f t="shared" si="1409"/>
        <v>#DIV/0!</v>
      </c>
      <c r="Y522" s="6" t="e">
        <f t="shared" si="1409"/>
        <v>#DIV/0!</v>
      </c>
      <c r="Z522" s="6" t="e">
        <f t="shared" si="1409"/>
        <v>#DIV/0!</v>
      </c>
    </row>
    <row r="523" spans="1:26" x14ac:dyDescent="0.2">
      <c r="A523" s="7" t="s">
        <v>31</v>
      </c>
      <c r="B523" s="6">
        <f t="shared" ref="B523:B586" si="1410">_xlfn.IFS(C523="Janeiro",1,C523="Fevereiro",2,C523="Março",3,C523="Abril",4,C523="Maio",5,C523="Junho",6,C523="Julho",7,C523="Agosto",8,C523="Setembro",9,C523="Outubro",10,C523="Novembro",11,C523="Dezembro",12,TRUE,0)</f>
        <v>6</v>
      </c>
      <c r="C523" s="7" t="s">
        <v>156</v>
      </c>
      <c r="D523" s="68">
        <v>75</v>
      </c>
      <c r="E523" s="68">
        <v>21</v>
      </c>
      <c r="F523" s="65">
        <f t="shared" si="1405"/>
        <v>0.28000000000000003</v>
      </c>
      <c r="G523" s="60" t="e">
        <f t="shared" ref="G523:G586" si="1411">IF(F523&gt;=I523,"Desempenho Ótimo",(IF(F523&gt;H523,"Desempenho Bom",(IF(F523&gt;J523,"Desempenho Médio",IF(F523&lt;=J523,"Desempenho Deficitário",0))))))</f>
        <v>#DIV/0!</v>
      </c>
      <c r="H523" s="65" t="e">
        <f t="shared" ref="H523:J523" si="1412">H511</f>
        <v>#DIV/0!</v>
      </c>
      <c r="I523" s="65" t="e">
        <f t="shared" si="1412"/>
        <v>#DIV/0!</v>
      </c>
      <c r="J523" s="65" t="e">
        <f t="shared" si="1412"/>
        <v>#DIV/0!</v>
      </c>
      <c r="K523" s="69">
        <v>7025</v>
      </c>
      <c r="L523" s="69">
        <f>'Monitoramento Acumulado Geral'!Q523</f>
        <v>977.4</v>
      </c>
      <c r="M523" s="6">
        <f>(SUM(L518:L523))/K522</f>
        <v>0.13913167259786477</v>
      </c>
      <c r="N523" s="35" t="e">
        <f t="shared" ref="N523:N586" si="1413">IF(M523&gt;=P523,"Desempenho Ótimo",(IF(M523&gt;O523,"Desempenho Bom",(IF(M523&gt;Q523,"Desempenho Médio",IF(M523&lt;=Q523,"Desempenho Deficitário",0))))))</f>
        <v>#DIV/0!</v>
      </c>
      <c r="O523" s="6" t="e">
        <f t="shared" ref="O523:Q523" si="1414">O511</f>
        <v>#DIV/0!</v>
      </c>
      <c r="P523" s="6" t="e">
        <f t="shared" si="1414"/>
        <v>#DIV/0!</v>
      </c>
      <c r="Q523" s="6" t="e">
        <f t="shared" si="1414"/>
        <v>#DIV/0!</v>
      </c>
      <c r="R523" s="69">
        <v>60</v>
      </c>
      <c r="S523" s="69">
        <v>79</v>
      </c>
      <c r="T523" s="6">
        <f t="shared" si="1408"/>
        <v>1.3166666666666667</v>
      </c>
      <c r="U523" s="35" t="e">
        <f t="shared" ref="U523:U586" si="1415">IF(T523&gt;=W523,"Desempenho Ótimo",(IF(T523&gt;V523,"Desempenho Bom",(IF(T523&gt;X523,"Desempenho Médio",IF(T523&lt;=X523,"Desempenho Deficitário",0))))))</f>
        <v>#DIV/0!</v>
      </c>
      <c r="V523" s="6" t="e">
        <f t="shared" ref="V523:Z523" si="1416">V511</f>
        <v>#DIV/0!</v>
      </c>
      <c r="W523" s="6" t="e">
        <f t="shared" si="1416"/>
        <v>#DIV/0!</v>
      </c>
      <c r="X523" s="6" t="e">
        <f t="shared" si="1416"/>
        <v>#DIV/0!</v>
      </c>
      <c r="Y523" s="6" t="e">
        <f t="shared" si="1416"/>
        <v>#DIV/0!</v>
      </c>
      <c r="Z523" s="6" t="e">
        <f t="shared" si="1416"/>
        <v>#DIV/0!</v>
      </c>
    </row>
    <row r="524" spans="1:26" x14ac:dyDescent="0.2">
      <c r="A524" s="7" t="s">
        <v>31</v>
      </c>
      <c r="B524" s="6">
        <f t="shared" si="1410"/>
        <v>7</v>
      </c>
      <c r="C524" s="7" t="s">
        <v>157</v>
      </c>
      <c r="D524" s="68">
        <v>75</v>
      </c>
      <c r="E524" s="68">
        <v>43</v>
      </c>
      <c r="F524" s="65">
        <f t="shared" si="1405"/>
        <v>0.57333333333333336</v>
      </c>
      <c r="G524" s="60" t="e">
        <f t="shared" si="1411"/>
        <v>#DIV/0!</v>
      </c>
      <c r="H524" s="65" t="e">
        <f t="shared" ref="H524:J524" si="1417">H512</f>
        <v>#DIV/0!</v>
      </c>
      <c r="I524" s="65" t="e">
        <f t="shared" si="1417"/>
        <v>#DIV/0!</v>
      </c>
      <c r="J524" s="65" t="e">
        <f t="shared" si="1417"/>
        <v>#DIV/0!</v>
      </c>
      <c r="K524" s="69">
        <v>7025</v>
      </c>
      <c r="L524" s="69">
        <f>'Monitoramento Acumulado Geral'!Q524</f>
        <v>488.7</v>
      </c>
      <c r="M524" s="6">
        <f>(SUM(L518:L524))/K523</f>
        <v>0.20869750889679714</v>
      </c>
      <c r="N524" s="35" t="e">
        <f t="shared" si="1413"/>
        <v>#DIV/0!</v>
      </c>
      <c r="O524" s="6" t="e">
        <f t="shared" ref="O524:Q524" si="1418">O512</f>
        <v>#DIV/0!</v>
      </c>
      <c r="P524" s="6" t="e">
        <f t="shared" si="1418"/>
        <v>#DIV/0!</v>
      </c>
      <c r="Q524" s="6" t="e">
        <f t="shared" si="1418"/>
        <v>#DIV/0!</v>
      </c>
      <c r="R524" s="69">
        <v>60</v>
      </c>
      <c r="S524" s="69">
        <v>79</v>
      </c>
      <c r="T524" s="6">
        <f t="shared" si="1408"/>
        <v>1.3166666666666667</v>
      </c>
      <c r="U524" s="35" t="e">
        <f t="shared" si="1415"/>
        <v>#DIV/0!</v>
      </c>
      <c r="V524" s="6" t="e">
        <f t="shared" ref="V524:Z524" si="1419">V512</f>
        <v>#DIV/0!</v>
      </c>
      <c r="W524" s="6" t="e">
        <f t="shared" si="1419"/>
        <v>#DIV/0!</v>
      </c>
      <c r="X524" s="6" t="e">
        <f t="shared" si="1419"/>
        <v>#DIV/0!</v>
      </c>
      <c r="Y524" s="6" t="e">
        <f t="shared" si="1419"/>
        <v>#DIV/0!</v>
      </c>
      <c r="Z524" s="6" t="e">
        <f t="shared" si="1419"/>
        <v>#DIV/0!</v>
      </c>
    </row>
    <row r="525" spans="1:26" x14ac:dyDescent="0.2">
      <c r="A525" s="7" t="s">
        <v>31</v>
      </c>
      <c r="B525" s="6">
        <f t="shared" si="1410"/>
        <v>8</v>
      </c>
      <c r="C525" s="7" t="s">
        <v>158</v>
      </c>
      <c r="D525" s="68">
        <v>75</v>
      </c>
      <c r="E525" s="68">
        <v>71</v>
      </c>
      <c r="F525" s="65">
        <f t="shared" si="1405"/>
        <v>0.94666666666666666</v>
      </c>
      <c r="G525" s="60" t="e">
        <f t="shared" si="1411"/>
        <v>#DIV/0!</v>
      </c>
      <c r="H525" s="65" t="e">
        <f t="shared" ref="H525:J525" si="1420">H513</f>
        <v>#DIV/0!</v>
      </c>
      <c r="I525" s="65" t="e">
        <f t="shared" si="1420"/>
        <v>#DIV/0!</v>
      </c>
      <c r="J525" s="65" t="e">
        <f t="shared" si="1420"/>
        <v>#DIV/0!</v>
      </c>
      <c r="K525" s="69">
        <v>7025</v>
      </c>
      <c r="L525" s="69">
        <f>'Monitoramento Acumulado Geral'!Q525</f>
        <v>2684.5</v>
      </c>
      <c r="M525" s="6">
        <f>(SUM(L518:L525))/K524</f>
        <v>0.59083274021352317</v>
      </c>
      <c r="N525" s="35" t="e">
        <f t="shared" si="1413"/>
        <v>#DIV/0!</v>
      </c>
      <c r="O525" s="6" t="e">
        <f t="shared" ref="O525:Q525" si="1421">O513</f>
        <v>#DIV/0!</v>
      </c>
      <c r="P525" s="6" t="e">
        <f t="shared" si="1421"/>
        <v>#DIV/0!</v>
      </c>
      <c r="Q525" s="6" t="e">
        <f t="shared" si="1421"/>
        <v>#DIV/0!</v>
      </c>
      <c r="R525" s="69">
        <v>60</v>
      </c>
      <c r="S525" s="69">
        <v>79</v>
      </c>
      <c r="T525" s="6">
        <f t="shared" si="1408"/>
        <v>1.3166666666666667</v>
      </c>
      <c r="U525" s="35" t="e">
        <f t="shared" si="1415"/>
        <v>#DIV/0!</v>
      </c>
      <c r="V525" s="6" t="e">
        <f t="shared" ref="V525:Z525" si="1422">V513</f>
        <v>#DIV/0!</v>
      </c>
      <c r="W525" s="6" t="e">
        <f t="shared" si="1422"/>
        <v>#DIV/0!</v>
      </c>
      <c r="X525" s="6" t="e">
        <f t="shared" si="1422"/>
        <v>#DIV/0!</v>
      </c>
      <c r="Y525" s="6" t="e">
        <f t="shared" si="1422"/>
        <v>#DIV/0!</v>
      </c>
      <c r="Z525" s="6" t="e">
        <f t="shared" si="1422"/>
        <v>#DIV/0!</v>
      </c>
    </row>
    <row r="526" spans="1:26" x14ac:dyDescent="0.2">
      <c r="A526" s="7" t="s">
        <v>31</v>
      </c>
      <c r="B526" s="6">
        <f t="shared" si="1410"/>
        <v>9</v>
      </c>
      <c r="C526" s="7" t="s">
        <v>159</v>
      </c>
      <c r="D526" s="68">
        <v>75</v>
      </c>
      <c r="E526" s="68">
        <v>71</v>
      </c>
      <c r="F526" s="65">
        <f t="shared" si="1405"/>
        <v>0.94666666666666666</v>
      </c>
      <c r="G526" s="60" t="e">
        <f t="shared" si="1411"/>
        <v>#DIV/0!</v>
      </c>
      <c r="H526" s="65" t="e">
        <f t="shared" ref="H526:J526" si="1423">H514</f>
        <v>#DIV/0!</v>
      </c>
      <c r="I526" s="65" t="e">
        <f t="shared" si="1423"/>
        <v>#DIV/0!</v>
      </c>
      <c r="J526" s="65" t="e">
        <f t="shared" si="1423"/>
        <v>#DIV/0!</v>
      </c>
      <c r="K526" s="69">
        <v>7025</v>
      </c>
      <c r="L526" s="69">
        <f>'Monitoramento Acumulado Geral'!Q526</f>
        <v>0</v>
      </c>
      <c r="M526" s="6">
        <f>(SUM(L518:L526))/K525</f>
        <v>0.59083274021352317</v>
      </c>
      <c r="N526" s="35" t="e">
        <f t="shared" si="1413"/>
        <v>#DIV/0!</v>
      </c>
      <c r="O526" s="6" t="e">
        <f t="shared" ref="O526:Q526" si="1424">O514</f>
        <v>#DIV/0!</v>
      </c>
      <c r="P526" s="6" t="e">
        <f t="shared" si="1424"/>
        <v>#DIV/0!</v>
      </c>
      <c r="Q526" s="6" t="e">
        <f t="shared" si="1424"/>
        <v>#DIV/0!</v>
      </c>
      <c r="R526" s="69">
        <v>60</v>
      </c>
      <c r="S526" s="69">
        <v>79</v>
      </c>
      <c r="T526" s="6">
        <f t="shared" si="1408"/>
        <v>1.3166666666666667</v>
      </c>
      <c r="U526" s="35" t="e">
        <f t="shared" si="1415"/>
        <v>#DIV/0!</v>
      </c>
      <c r="V526" s="6" t="e">
        <f t="shared" ref="V526:Z526" si="1425">V514</f>
        <v>#DIV/0!</v>
      </c>
      <c r="W526" s="6" t="e">
        <f t="shared" si="1425"/>
        <v>#DIV/0!</v>
      </c>
      <c r="X526" s="6" t="e">
        <f t="shared" si="1425"/>
        <v>#DIV/0!</v>
      </c>
      <c r="Y526" s="6" t="e">
        <f t="shared" si="1425"/>
        <v>#DIV/0!</v>
      </c>
      <c r="Z526" s="6" t="e">
        <f t="shared" si="1425"/>
        <v>#DIV/0!</v>
      </c>
    </row>
    <row r="527" spans="1:26" x14ac:dyDescent="0.2">
      <c r="A527" s="7" t="s">
        <v>31</v>
      </c>
      <c r="B527" s="6">
        <f t="shared" si="1410"/>
        <v>10</v>
      </c>
      <c r="C527" s="7" t="s">
        <v>160</v>
      </c>
      <c r="D527" s="68">
        <v>75</v>
      </c>
      <c r="E527" s="68">
        <v>71</v>
      </c>
      <c r="F527" s="65">
        <f t="shared" si="1405"/>
        <v>0.94666666666666666</v>
      </c>
      <c r="G527" s="60" t="e">
        <f t="shared" si="1411"/>
        <v>#DIV/0!</v>
      </c>
      <c r="H527" s="65" t="e">
        <f t="shared" ref="H527:J527" si="1426">H515</f>
        <v>#DIV/0!</v>
      </c>
      <c r="I527" s="65" t="e">
        <f t="shared" si="1426"/>
        <v>#DIV/0!</v>
      </c>
      <c r="J527" s="65" t="e">
        <f t="shared" si="1426"/>
        <v>#DIV/0!</v>
      </c>
      <c r="K527" s="69">
        <v>7025</v>
      </c>
      <c r="L527" s="69">
        <f>'Monitoramento Acumulado Geral'!Q527</f>
        <v>0</v>
      </c>
      <c r="M527" s="6">
        <f>(SUM(L518:L527))/K526</f>
        <v>0.59083274021352317</v>
      </c>
      <c r="N527" s="35" t="e">
        <f t="shared" si="1413"/>
        <v>#DIV/0!</v>
      </c>
      <c r="O527" s="6" t="e">
        <f t="shared" ref="O527:Q527" si="1427">O515</f>
        <v>#DIV/0!</v>
      </c>
      <c r="P527" s="6" t="e">
        <f t="shared" si="1427"/>
        <v>#DIV/0!</v>
      </c>
      <c r="Q527" s="6" t="e">
        <f t="shared" si="1427"/>
        <v>#DIV/0!</v>
      </c>
      <c r="R527" s="69">
        <v>60</v>
      </c>
      <c r="S527" s="69">
        <v>79</v>
      </c>
      <c r="T527" s="6">
        <f t="shared" si="1408"/>
        <v>1.3166666666666667</v>
      </c>
      <c r="U527" s="35" t="e">
        <f t="shared" si="1415"/>
        <v>#DIV/0!</v>
      </c>
      <c r="V527" s="6" t="e">
        <f t="shared" ref="V527:Z527" si="1428">V515</f>
        <v>#DIV/0!</v>
      </c>
      <c r="W527" s="6" t="e">
        <f t="shared" si="1428"/>
        <v>#DIV/0!</v>
      </c>
      <c r="X527" s="6" t="e">
        <f t="shared" si="1428"/>
        <v>#DIV/0!</v>
      </c>
      <c r="Y527" s="6" t="e">
        <f t="shared" si="1428"/>
        <v>#DIV/0!</v>
      </c>
      <c r="Z527" s="6" t="e">
        <f t="shared" si="1428"/>
        <v>#DIV/0!</v>
      </c>
    </row>
    <row r="528" spans="1:26" x14ac:dyDescent="0.2">
      <c r="A528" s="7" t="s">
        <v>31</v>
      </c>
      <c r="B528" s="6">
        <f t="shared" si="1410"/>
        <v>11</v>
      </c>
      <c r="C528" s="7" t="s">
        <v>161</v>
      </c>
      <c r="D528" s="68">
        <v>75</v>
      </c>
      <c r="E528" s="68">
        <v>0</v>
      </c>
      <c r="F528" s="65">
        <f t="shared" si="1405"/>
        <v>0</v>
      </c>
      <c r="G528" s="60" t="e">
        <f t="shared" si="1411"/>
        <v>#DIV/0!</v>
      </c>
      <c r="H528" s="65" t="e">
        <f t="shared" ref="H528:J528" si="1429">H516</f>
        <v>#DIV/0!</v>
      </c>
      <c r="I528" s="65" t="e">
        <f t="shared" si="1429"/>
        <v>#DIV/0!</v>
      </c>
      <c r="J528" s="65" t="e">
        <f t="shared" si="1429"/>
        <v>#DIV/0!</v>
      </c>
      <c r="K528" s="69">
        <v>7025</v>
      </c>
      <c r="L528" s="69">
        <f>'Monitoramento Acumulado Geral'!Q528</f>
        <v>0</v>
      </c>
      <c r="M528" s="6">
        <f>(SUM(L518:L528))/K527</f>
        <v>0.59083274021352317</v>
      </c>
      <c r="N528" s="35" t="e">
        <f t="shared" si="1413"/>
        <v>#DIV/0!</v>
      </c>
      <c r="O528" s="6" t="e">
        <f t="shared" ref="O528:Q528" si="1430">O516</f>
        <v>#DIV/0!</v>
      </c>
      <c r="P528" s="6" t="e">
        <f t="shared" si="1430"/>
        <v>#DIV/0!</v>
      </c>
      <c r="Q528" s="6" t="e">
        <f t="shared" si="1430"/>
        <v>#DIV/0!</v>
      </c>
      <c r="R528" s="69">
        <v>60</v>
      </c>
      <c r="S528" s="69">
        <v>0</v>
      </c>
      <c r="T528" s="6">
        <f t="shared" si="1408"/>
        <v>0</v>
      </c>
      <c r="U528" s="35" t="e">
        <f t="shared" si="1415"/>
        <v>#DIV/0!</v>
      </c>
      <c r="V528" s="6" t="e">
        <f t="shared" ref="V528:Z528" si="1431">V516</f>
        <v>#DIV/0!</v>
      </c>
      <c r="W528" s="6" t="e">
        <f t="shared" si="1431"/>
        <v>#DIV/0!</v>
      </c>
      <c r="X528" s="6" t="e">
        <f t="shared" si="1431"/>
        <v>#DIV/0!</v>
      </c>
      <c r="Y528" s="6" t="e">
        <f t="shared" si="1431"/>
        <v>#DIV/0!</v>
      </c>
      <c r="Z528" s="6" t="e">
        <f t="shared" si="1431"/>
        <v>#DIV/0!</v>
      </c>
    </row>
    <row r="529" spans="1:26" x14ac:dyDescent="0.2">
      <c r="A529" s="7" t="s">
        <v>31</v>
      </c>
      <c r="B529" s="6">
        <f t="shared" si="1410"/>
        <v>12</v>
      </c>
      <c r="C529" s="7" t="s">
        <v>162</v>
      </c>
      <c r="D529" s="68">
        <v>75</v>
      </c>
      <c r="E529" s="68">
        <v>0</v>
      </c>
      <c r="F529" s="65">
        <f t="shared" si="1405"/>
        <v>0</v>
      </c>
      <c r="G529" s="60" t="e">
        <f t="shared" si="1411"/>
        <v>#DIV/0!</v>
      </c>
      <c r="H529" s="65" t="e">
        <f t="shared" ref="H529:J529" si="1432">H517</f>
        <v>#DIV/0!</v>
      </c>
      <c r="I529" s="65" t="e">
        <f t="shared" si="1432"/>
        <v>#DIV/0!</v>
      </c>
      <c r="J529" s="65" t="e">
        <f t="shared" si="1432"/>
        <v>#DIV/0!</v>
      </c>
      <c r="K529" s="69">
        <v>7025</v>
      </c>
      <c r="L529" s="69">
        <f>'Monitoramento Acumulado Geral'!Q529</f>
        <v>0</v>
      </c>
      <c r="M529" s="6">
        <f>(SUM(L518:L529))/K528</f>
        <v>0.59083274021352317</v>
      </c>
      <c r="N529" s="35" t="e">
        <f t="shared" si="1413"/>
        <v>#DIV/0!</v>
      </c>
      <c r="O529" s="6" t="e">
        <f t="shared" ref="O529:Q529" si="1433">O517</f>
        <v>#DIV/0!</v>
      </c>
      <c r="P529" s="6" t="e">
        <f t="shared" si="1433"/>
        <v>#DIV/0!</v>
      </c>
      <c r="Q529" s="6" t="e">
        <f t="shared" si="1433"/>
        <v>#DIV/0!</v>
      </c>
      <c r="R529" s="69">
        <v>60</v>
      </c>
      <c r="S529" s="69">
        <v>0</v>
      </c>
      <c r="T529" s="6">
        <f t="shared" si="1408"/>
        <v>0</v>
      </c>
      <c r="U529" s="35" t="e">
        <f t="shared" si="1415"/>
        <v>#DIV/0!</v>
      </c>
      <c r="V529" s="6" t="e">
        <f t="shared" ref="V529:Z529" si="1434">V517</f>
        <v>#DIV/0!</v>
      </c>
      <c r="W529" s="6" t="e">
        <f t="shared" si="1434"/>
        <v>#DIV/0!</v>
      </c>
      <c r="X529" s="6" t="e">
        <f t="shared" si="1434"/>
        <v>#DIV/0!</v>
      </c>
      <c r="Y529" s="6" t="e">
        <f t="shared" si="1434"/>
        <v>#DIV/0!</v>
      </c>
      <c r="Z529" s="6" t="e">
        <f t="shared" si="1434"/>
        <v>#DIV/0!</v>
      </c>
    </row>
    <row r="530" spans="1:26" x14ac:dyDescent="0.2">
      <c r="A530" s="7" t="s">
        <v>143</v>
      </c>
      <c r="B530" s="6">
        <f t="shared" si="1410"/>
        <v>1</v>
      </c>
      <c r="C530" s="7" t="s">
        <v>151</v>
      </c>
      <c r="D530" s="68">
        <v>60</v>
      </c>
      <c r="E530" s="68">
        <v>3</v>
      </c>
      <c r="F530" s="65">
        <f t="shared" si="1405"/>
        <v>0.05</v>
      </c>
      <c r="G530" s="60" t="e">
        <f t="shared" si="1411"/>
        <v>#DIV/0!</v>
      </c>
      <c r="H530" s="65" t="e">
        <f t="shared" ref="H530:J530" si="1435">H518</f>
        <v>#DIV/0!</v>
      </c>
      <c r="I530" s="65" t="e">
        <f t="shared" si="1435"/>
        <v>#DIV/0!</v>
      </c>
      <c r="J530" s="65" t="e">
        <f t="shared" si="1435"/>
        <v>#DIV/0!</v>
      </c>
      <c r="K530" s="69">
        <v>60000</v>
      </c>
      <c r="L530" s="69">
        <f>'Monitoramento Acumulado Geral'!Q530</f>
        <v>1800</v>
      </c>
      <c r="M530" s="6">
        <f>L530/K530</f>
        <v>0.03</v>
      </c>
      <c r="N530" s="35" t="e">
        <f t="shared" si="1413"/>
        <v>#DIV/0!</v>
      </c>
      <c r="O530" s="6" t="e">
        <f t="shared" ref="O530:Q530" si="1436">O518</f>
        <v>#DIV/0!</v>
      </c>
      <c r="P530" s="6" t="e">
        <f t="shared" si="1436"/>
        <v>#DIV/0!</v>
      </c>
      <c r="Q530" s="6" t="e">
        <f t="shared" si="1436"/>
        <v>#DIV/0!</v>
      </c>
      <c r="R530" s="69">
        <v>79</v>
      </c>
      <c r="S530" s="69">
        <v>0</v>
      </c>
      <c r="T530" s="6">
        <f t="shared" si="1408"/>
        <v>0</v>
      </c>
      <c r="U530" s="35" t="e">
        <f t="shared" si="1415"/>
        <v>#DIV/0!</v>
      </c>
      <c r="V530" s="6" t="e">
        <f t="shared" ref="V530:Z530" si="1437">V518</f>
        <v>#DIV/0!</v>
      </c>
      <c r="W530" s="6" t="e">
        <f t="shared" si="1437"/>
        <v>#DIV/0!</v>
      </c>
      <c r="X530" s="6" t="e">
        <f t="shared" si="1437"/>
        <v>#DIV/0!</v>
      </c>
      <c r="Y530" s="6" t="e">
        <f t="shared" si="1437"/>
        <v>#DIV/0!</v>
      </c>
      <c r="Z530" s="6" t="e">
        <f t="shared" si="1437"/>
        <v>#DIV/0!</v>
      </c>
    </row>
    <row r="531" spans="1:26" x14ac:dyDescent="0.2">
      <c r="A531" s="7" t="s">
        <v>143</v>
      </c>
      <c r="B531" s="6">
        <f t="shared" si="1410"/>
        <v>2</v>
      </c>
      <c r="C531" s="7" t="s">
        <v>152</v>
      </c>
      <c r="D531" s="68">
        <v>60</v>
      </c>
      <c r="E531" s="68">
        <v>19</v>
      </c>
      <c r="F531" s="65">
        <f t="shared" si="1405"/>
        <v>0.31666666666666665</v>
      </c>
      <c r="G531" s="60" t="e">
        <f t="shared" si="1411"/>
        <v>#DIV/0!</v>
      </c>
      <c r="H531" s="65" t="e">
        <f t="shared" ref="H531:J531" si="1438">H519</f>
        <v>#DIV/0!</v>
      </c>
      <c r="I531" s="65" t="e">
        <f t="shared" si="1438"/>
        <v>#DIV/0!</v>
      </c>
      <c r="J531" s="65" t="e">
        <f t="shared" si="1438"/>
        <v>#DIV/0!</v>
      </c>
      <c r="K531" s="69">
        <v>60000</v>
      </c>
      <c r="L531" s="69">
        <f>'Monitoramento Acumulado Geral'!Q531</f>
        <v>8300</v>
      </c>
      <c r="M531" s="6">
        <f>(SUM(L530:L531))/K530</f>
        <v>0.16833333333333333</v>
      </c>
      <c r="N531" s="35" t="e">
        <f t="shared" si="1413"/>
        <v>#DIV/0!</v>
      </c>
      <c r="O531" s="6" t="e">
        <f t="shared" ref="O531:Q531" si="1439">O519</f>
        <v>#DIV/0!</v>
      </c>
      <c r="P531" s="6" t="e">
        <f t="shared" si="1439"/>
        <v>#DIV/0!</v>
      </c>
      <c r="Q531" s="6" t="e">
        <f t="shared" si="1439"/>
        <v>#DIV/0!</v>
      </c>
      <c r="R531" s="69">
        <v>79</v>
      </c>
      <c r="S531" s="69">
        <v>0</v>
      </c>
      <c r="T531" s="6">
        <f t="shared" si="1408"/>
        <v>0</v>
      </c>
      <c r="U531" s="35" t="e">
        <f t="shared" si="1415"/>
        <v>#DIV/0!</v>
      </c>
      <c r="V531" s="6" t="e">
        <f t="shared" ref="V531:Z531" si="1440">V519</f>
        <v>#DIV/0!</v>
      </c>
      <c r="W531" s="6" t="e">
        <f t="shared" si="1440"/>
        <v>#DIV/0!</v>
      </c>
      <c r="X531" s="6" t="e">
        <f t="shared" si="1440"/>
        <v>#DIV/0!</v>
      </c>
      <c r="Y531" s="6" t="e">
        <f t="shared" si="1440"/>
        <v>#DIV/0!</v>
      </c>
      <c r="Z531" s="6" t="e">
        <f t="shared" si="1440"/>
        <v>#DIV/0!</v>
      </c>
    </row>
    <row r="532" spans="1:26" x14ac:dyDescent="0.2">
      <c r="A532" s="7" t="s">
        <v>143</v>
      </c>
      <c r="B532" s="6">
        <f t="shared" si="1410"/>
        <v>3</v>
      </c>
      <c r="C532" s="7" t="s">
        <v>153</v>
      </c>
      <c r="D532" s="68">
        <v>60</v>
      </c>
      <c r="E532" s="68">
        <v>28</v>
      </c>
      <c r="F532" s="65">
        <f t="shared" si="1405"/>
        <v>0.46666666666666667</v>
      </c>
      <c r="G532" s="60" t="e">
        <f t="shared" si="1411"/>
        <v>#DIV/0!</v>
      </c>
      <c r="H532" s="65" t="e">
        <f t="shared" ref="H532:J532" si="1441">H520</f>
        <v>#DIV/0!</v>
      </c>
      <c r="I532" s="65" t="e">
        <f t="shared" si="1441"/>
        <v>#DIV/0!</v>
      </c>
      <c r="J532" s="65" t="e">
        <f t="shared" si="1441"/>
        <v>#DIV/0!</v>
      </c>
      <c r="K532" s="69">
        <v>60000</v>
      </c>
      <c r="L532" s="69">
        <f>'Monitoramento Acumulado Geral'!Q532</f>
        <v>6750</v>
      </c>
      <c r="M532" s="6">
        <f>(SUM(L530:L532))/K531</f>
        <v>0.28083333333333332</v>
      </c>
      <c r="N532" s="35" t="e">
        <f t="shared" si="1413"/>
        <v>#DIV/0!</v>
      </c>
      <c r="O532" s="6" t="e">
        <f t="shared" ref="O532:Q532" si="1442">O520</f>
        <v>#DIV/0!</v>
      </c>
      <c r="P532" s="6" t="e">
        <f t="shared" si="1442"/>
        <v>#DIV/0!</v>
      </c>
      <c r="Q532" s="6" t="e">
        <f t="shared" si="1442"/>
        <v>#DIV/0!</v>
      </c>
      <c r="R532" s="69">
        <v>79</v>
      </c>
      <c r="S532" s="69">
        <v>0</v>
      </c>
      <c r="T532" s="6">
        <f t="shared" si="1408"/>
        <v>0</v>
      </c>
      <c r="U532" s="35" t="e">
        <f t="shared" si="1415"/>
        <v>#DIV/0!</v>
      </c>
      <c r="V532" s="6" t="e">
        <f t="shared" ref="V532:Z532" si="1443">V520</f>
        <v>#DIV/0!</v>
      </c>
      <c r="W532" s="6" t="e">
        <f t="shared" si="1443"/>
        <v>#DIV/0!</v>
      </c>
      <c r="X532" s="6" t="e">
        <f t="shared" si="1443"/>
        <v>#DIV/0!</v>
      </c>
      <c r="Y532" s="6" t="e">
        <f t="shared" si="1443"/>
        <v>#DIV/0!</v>
      </c>
      <c r="Z532" s="6" t="e">
        <f t="shared" si="1443"/>
        <v>#DIV/0!</v>
      </c>
    </row>
    <row r="533" spans="1:26" x14ac:dyDescent="0.2">
      <c r="A533" s="7" t="s">
        <v>143</v>
      </c>
      <c r="B533" s="6">
        <f t="shared" si="1410"/>
        <v>4</v>
      </c>
      <c r="C533" s="7" t="s">
        <v>154</v>
      </c>
      <c r="D533" s="68">
        <v>60</v>
      </c>
      <c r="E533" s="68">
        <v>35</v>
      </c>
      <c r="F533" s="65">
        <f t="shared" si="1405"/>
        <v>0.58333333333333337</v>
      </c>
      <c r="G533" s="60" t="e">
        <f t="shared" si="1411"/>
        <v>#DIV/0!</v>
      </c>
      <c r="H533" s="65" t="e">
        <f t="shared" ref="H533:J533" si="1444">H521</f>
        <v>#DIV/0!</v>
      </c>
      <c r="I533" s="65" t="e">
        <f t="shared" si="1444"/>
        <v>#DIV/0!</v>
      </c>
      <c r="J533" s="65" t="e">
        <f t="shared" si="1444"/>
        <v>#DIV/0!</v>
      </c>
      <c r="K533" s="69">
        <v>60000</v>
      </c>
      <c r="L533" s="69">
        <f>'Monitoramento Acumulado Geral'!Q533</f>
        <v>2150</v>
      </c>
      <c r="M533" s="6">
        <f>(SUM(L530:L533))/K532</f>
        <v>0.31666666666666665</v>
      </c>
      <c r="N533" s="35" t="e">
        <f t="shared" si="1413"/>
        <v>#DIV/0!</v>
      </c>
      <c r="O533" s="6" t="e">
        <f t="shared" ref="O533:Q533" si="1445">O521</f>
        <v>#DIV/0!</v>
      </c>
      <c r="P533" s="6" t="e">
        <f t="shared" si="1445"/>
        <v>#DIV/0!</v>
      </c>
      <c r="Q533" s="6" t="e">
        <f t="shared" si="1445"/>
        <v>#DIV/0!</v>
      </c>
      <c r="R533" s="69">
        <v>79</v>
      </c>
      <c r="S533" s="69">
        <v>0</v>
      </c>
      <c r="T533" s="6">
        <f t="shared" si="1408"/>
        <v>0</v>
      </c>
      <c r="U533" s="35" t="e">
        <f t="shared" si="1415"/>
        <v>#DIV/0!</v>
      </c>
      <c r="V533" s="6" t="e">
        <f t="shared" ref="V533:Z533" si="1446">V521</f>
        <v>#DIV/0!</v>
      </c>
      <c r="W533" s="6" t="e">
        <f t="shared" si="1446"/>
        <v>#DIV/0!</v>
      </c>
      <c r="X533" s="6" t="e">
        <f t="shared" si="1446"/>
        <v>#DIV/0!</v>
      </c>
      <c r="Y533" s="6" t="e">
        <f t="shared" si="1446"/>
        <v>#DIV/0!</v>
      </c>
      <c r="Z533" s="6" t="e">
        <f t="shared" si="1446"/>
        <v>#DIV/0!</v>
      </c>
    </row>
    <row r="534" spans="1:26" x14ac:dyDescent="0.2">
      <c r="A534" s="7" t="s">
        <v>143</v>
      </c>
      <c r="B534" s="6">
        <f t="shared" si="1410"/>
        <v>5</v>
      </c>
      <c r="C534" s="7" t="s">
        <v>155</v>
      </c>
      <c r="D534" s="68">
        <v>60</v>
      </c>
      <c r="E534" s="68">
        <v>42</v>
      </c>
      <c r="F534" s="65">
        <f t="shared" si="1405"/>
        <v>0.7</v>
      </c>
      <c r="G534" s="60" t="e">
        <f t="shared" si="1411"/>
        <v>#DIV/0!</v>
      </c>
      <c r="H534" s="65" t="e">
        <f t="shared" ref="H534:J534" si="1447">H522</f>
        <v>#DIV/0!</v>
      </c>
      <c r="I534" s="65" t="e">
        <f t="shared" si="1447"/>
        <v>#DIV/0!</v>
      </c>
      <c r="J534" s="65" t="e">
        <f t="shared" si="1447"/>
        <v>#DIV/0!</v>
      </c>
      <c r="K534" s="69">
        <v>60000</v>
      </c>
      <c r="L534" s="69">
        <f>'Monitoramento Acumulado Geral'!Q534</f>
        <v>7400</v>
      </c>
      <c r="M534" s="6">
        <f>(SUM(L530:L534))/K533</f>
        <v>0.44</v>
      </c>
      <c r="N534" s="35" t="e">
        <f t="shared" si="1413"/>
        <v>#DIV/0!</v>
      </c>
      <c r="O534" s="6" t="e">
        <f t="shared" ref="O534:Q534" si="1448">O522</f>
        <v>#DIV/0!</v>
      </c>
      <c r="P534" s="6" t="e">
        <f t="shared" si="1448"/>
        <v>#DIV/0!</v>
      </c>
      <c r="Q534" s="6" t="e">
        <f t="shared" si="1448"/>
        <v>#DIV/0!</v>
      </c>
      <c r="R534" s="69">
        <v>79</v>
      </c>
      <c r="S534" s="69">
        <v>39</v>
      </c>
      <c r="T534" s="6">
        <f t="shared" si="1408"/>
        <v>0.49367088607594939</v>
      </c>
      <c r="U534" s="35" t="e">
        <f t="shared" si="1415"/>
        <v>#DIV/0!</v>
      </c>
      <c r="V534" s="6" t="e">
        <f t="shared" ref="V534:Z534" si="1449">V522</f>
        <v>#DIV/0!</v>
      </c>
      <c r="W534" s="6" t="e">
        <f t="shared" si="1449"/>
        <v>#DIV/0!</v>
      </c>
      <c r="X534" s="6" t="e">
        <f t="shared" si="1449"/>
        <v>#DIV/0!</v>
      </c>
      <c r="Y534" s="6" t="e">
        <f t="shared" si="1449"/>
        <v>#DIV/0!</v>
      </c>
      <c r="Z534" s="6" t="e">
        <f t="shared" si="1449"/>
        <v>#DIV/0!</v>
      </c>
    </row>
    <row r="535" spans="1:26" x14ac:dyDescent="0.2">
      <c r="A535" s="7" t="s">
        <v>143</v>
      </c>
      <c r="B535" s="6">
        <f t="shared" si="1410"/>
        <v>6</v>
      </c>
      <c r="C535" s="7" t="s">
        <v>156</v>
      </c>
      <c r="D535" s="68">
        <v>60</v>
      </c>
      <c r="E535" s="68">
        <v>48</v>
      </c>
      <c r="F535" s="65">
        <f t="shared" si="1405"/>
        <v>0.8</v>
      </c>
      <c r="G535" s="60" t="e">
        <f t="shared" si="1411"/>
        <v>#DIV/0!</v>
      </c>
      <c r="H535" s="65" t="e">
        <f t="shared" ref="H535:J535" si="1450">H523</f>
        <v>#DIV/0!</v>
      </c>
      <c r="I535" s="65" t="e">
        <f t="shared" si="1450"/>
        <v>#DIV/0!</v>
      </c>
      <c r="J535" s="65" t="e">
        <f t="shared" si="1450"/>
        <v>#DIV/0!</v>
      </c>
      <c r="K535" s="69">
        <v>60000</v>
      </c>
      <c r="L535" s="69">
        <f>'Monitoramento Acumulado Geral'!Q535</f>
        <v>3570</v>
      </c>
      <c r="M535" s="6">
        <f>(SUM(L530:L535))/K534</f>
        <v>0.4995</v>
      </c>
      <c r="N535" s="35" t="e">
        <f t="shared" si="1413"/>
        <v>#DIV/0!</v>
      </c>
      <c r="O535" s="6" t="e">
        <f t="shared" ref="O535:Q535" si="1451">O523</f>
        <v>#DIV/0!</v>
      </c>
      <c r="P535" s="6" t="e">
        <f t="shared" si="1451"/>
        <v>#DIV/0!</v>
      </c>
      <c r="Q535" s="6" t="e">
        <f t="shared" si="1451"/>
        <v>#DIV/0!</v>
      </c>
      <c r="R535" s="69">
        <v>79</v>
      </c>
      <c r="S535" s="69">
        <v>39</v>
      </c>
      <c r="T535" s="6">
        <f t="shared" si="1408"/>
        <v>0.49367088607594939</v>
      </c>
      <c r="U535" s="35" t="e">
        <f t="shared" si="1415"/>
        <v>#DIV/0!</v>
      </c>
      <c r="V535" s="6" t="e">
        <f t="shared" ref="V535:Z535" si="1452">V523</f>
        <v>#DIV/0!</v>
      </c>
      <c r="W535" s="6" t="e">
        <f t="shared" si="1452"/>
        <v>#DIV/0!</v>
      </c>
      <c r="X535" s="6" t="e">
        <f t="shared" si="1452"/>
        <v>#DIV/0!</v>
      </c>
      <c r="Y535" s="6" t="e">
        <f t="shared" si="1452"/>
        <v>#DIV/0!</v>
      </c>
      <c r="Z535" s="6" t="e">
        <f t="shared" si="1452"/>
        <v>#DIV/0!</v>
      </c>
    </row>
    <row r="536" spans="1:26" x14ac:dyDescent="0.2">
      <c r="A536" s="7" t="s">
        <v>143</v>
      </c>
      <c r="B536" s="6">
        <f t="shared" si="1410"/>
        <v>7</v>
      </c>
      <c r="C536" s="7" t="s">
        <v>157</v>
      </c>
      <c r="D536" s="68">
        <v>60</v>
      </c>
      <c r="E536" s="68">
        <v>55</v>
      </c>
      <c r="F536" s="65">
        <f t="shared" si="1405"/>
        <v>0.91666666666666663</v>
      </c>
      <c r="G536" s="60" t="e">
        <f t="shared" si="1411"/>
        <v>#DIV/0!</v>
      </c>
      <c r="H536" s="65" t="e">
        <f t="shared" ref="H536:J536" si="1453">H524</f>
        <v>#DIV/0!</v>
      </c>
      <c r="I536" s="65" t="e">
        <f t="shared" si="1453"/>
        <v>#DIV/0!</v>
      </c>
      <c r="J536" s="65" t="e">
        <f t="shared" si="1453"/>
        <v>#DIV/0!</v>
      </c>
      <c r="K536" s="69">
        <v>60000</v>
      </c>
      <c r="L536" s="69">
        <f>'Monitoramento Acumulado Geral'!Q536</f>
        <v>12980</v>
      </c>
      <c r="M536" s="6">
        <f>(SUM(L530:L536))/K535</f>
        <v>0.71583333333333332</v>
      </c>
      <c r="N536" s="35" t="e">
        <f t="shared" si="1413"/>
        <v>#DIV/0!</v>
      </c>
      <c r="O536" s="6" t="e">
        <f t="shared" ref="O536:Q536" si="1454">O524</f>
        <v>#DIV/0!</v>
      </c>
      <c r="P536" s="6" t="e">
        <f t="shared" si="1454"/>
        <v>#DIV/0!</v>
      </c>
      <c r="Q536" s="6" t="e">
        <f t="shared" si="1454"/>
        <v>#DIV/0!</v>
      </c>
      <c r="R536" s="69">
        <v>79</v>
      </c>
      <c r="S536" s="69">
        <v>39</v>
      </c>
      <c r="T536" s="6">
        <f t="shared" si="1408"/>
        <v>0.49367088607594939</v>
      </c>
      <c r="U536" s="35" t="e">
        <f t="shared" si="1415"/>
        <v>#DIV/0!</v>
      </c>
      <c r="V536" s="6" t="e">
        <f t="shared" ref="V536:Z536" si="1455">V524</f>
        <v>#DIV/0!</v>
      </c>
      <c r="W536" s="6" t="e">
        <f t="shared" si="1455"/>
        <v>#DIV/0!</v>
      </c>
      <c r="X536" s="6" t="e">
        <f t="shared" si="1455"/>
        <v>#DIV/0!</v>
      </c>
      <c r="Y536" s="6" t="e">
        <f t="shared" si="1455"/>
        <v>#DIV/0!</v>
      </c>
      <c r="Z536" s="6" t="e">
        <f t="shared" si="1455"/>
        <v>#DIV/0!</v>
      </c>
    </row>
    <row r="537" spans="1:26" x14ac:dyDescent="0.2">
      <c r="A537" s="7" t="s">
        <v>143</v>
      </c>
      <c r="B537" s="6">
        <f t="shared" si="1410"/>
        <v>8</v>
      </c>
      <c r="C537" s="7" t="s">
        <v>158</v>
      </c>
      <c r="D537" s="68">
        <v>60</v>
      </c>
      <c r="E537" s="68">
        <v>57</v>
      </c>
      <c r="F537" s="65">
        <f t="shared" si="1405"/>
        <v>0.95</v>
      </c>
      <c r="G537" s="60" t="e">
        <f t="shared" si="1411"/>
        <v>#DIV/0!</v>
      </c>
      <c r="H537" s="65" t="e">
        <f t="shared" ref="H537:J537" si="1456">H525</f>
        <v>#DIV/0!</v>
      </c>
      <c r="I537" s="65" t="e">
        <f t="shared" si="1456"/>
        <v>#DIV/0!</v>
      </c>
      <c r="J537" s="65" t="e">
        <f t="shared" si="1456"/>
        <v>#DIV/0!</v>
      </c>
      <c r="K537" s="69">
        <v>60000</v>
      </c>
      <c r="L537" s="69">
        <f>'Monitoramento Acumulado Geral'!Q537</f>
        <v>200</v>
      </c>
      <c r="M537" s="6">
        <f>(SUM(L530:L537))/K536</f>
        <v>0.71916666666666662</v>
      </c>
      <c r="N537" s="35" t="e">
        <f t="shared" si="1413"/>
        <v>#DIV/0!</v>
      </c>
      <c r="O537" s="6" t="e">
        <f t="shared" ref="O537:Q537" si="1457">O525</f>
        <v>#DIV/0!</v>
      </c>
      <c r="P537" s="6" t="e">
        <f t="shared" si="1457"/>
        <v>#DIV/0!</v>
      </c>
      <c r="Q537" s="6" t="e">
        <f t="shared" si="1457"/>
        <v>#DIV/0!</v>
      </c>
      <c r="R537" s="69">
        <v>79</v>
      </c>
      <c r="S537" s="69">
        <v>39</v>
      </c>
      <c r="T537" s="6">
        <f t="shared" si="1408"/>
        <v>0.49367088607594939</v>
      </c>
      <c r="U537" s="35" t="e">
        <f t="shared" si="1415"/>
        <v>#DIV/0!</v>
      </c>
      <c r="V537" s="6" t="e">
        <f t="shared" ref="V537:Z537" si="1458">V525</f>
        <v>#DIV/0!</v>
      </c>
      <c r="W537" s="6" t="e">
        <f t="shared" si="1458"/>
        <v>#DIV/0!</v>
      </c>
      <c r="X537" s="6" t="e">
        <f t="shared" si="1458"/>
        <v>#DIV/0!</v>
      </c>
      <c r="Y537" s="6" t="e">
        <f t="shared" si="1458"/>
        <v>#DIV/0!</v>
      </c>
      <c r="Z537" s="6" t="e">
        <f t="shared" si="1458"/>
        <v>#DIV/0!</v>
      </c>
    </row>
    <row r="538" spans="1:26" x14ac:dyDescent="0.2">
      <c r="A538" s="7" t="s">
        <v>143</v>
      </c>
      <c r="B538" s="6">
        <f t="shared" si="1410"/>
        <v>9</v>
      </c>
      <c r="C538" s="7" t="s">
        <v>159</v>
      </c>
      <c r="D538" s="68">
        <v>60</v>
      </c>
      <c r="E538" s="68">
        <v>68</v>
      </c>
      <c r="F538" s="65">
        <f t="shared" si="1405"/>
        <v>1.1333333333333333</v>
      </c>
      <c r="G538" s="60" t="e">
        <f t="shared" si="1411"/>
        <v>#DIV/0!</v>
      </c>
      <c r="H538" s="65" t="e">
        <f t="shared" ref="H538:J538" si="1459">H526</f>
        <v>#DIV/0!</v>
      </c>
      <c r="I538" s="65" t="e">
        <f t="shared" si="1459"/>
        <v>#DIV/0!</v>
      </c>
      <c r="J538" s="65" t="e">
        <f t="shared" si="1459"/>
        <v>#DIV/0!</v>
      </c>
      <c r="K538" s="69">
        <v>60000</v>
      </c>
      <c r="L538" s="69">
        <f>'Monitoramento Acumulado Geral'!Q538</f>
        <v>13650</v>
      </c>
      <c r="M538" s="6">
        <f>(SUM(L530:L538))/K537</f>
        <v>0.94666666666666666</v>
      </c>
      <c r="N538" s="35" t="e">
        <f t="shared" si="1413"/>
        <v>#DIV/0!</v>
      </c>
      <c r="O538" s="6" t="e">
        <f t="shared" ref="O538:Q538" si="1460">O526</f>
        <v>#DIV/0!</v>
      </c>
      <c r="P538" s="6" t="e">
        <f t="shared" si="1460"/>
        <v>#DIV/0!</v>
      </c>
      <c r="Q538" s="6" t="e">
        <f t="shared" si="1460"/>
        <v>#DIV/0!</v>
      </c>
      <c r="R538" s="69">
        <v>79</v>
      </c>
      <c r="S538" s="69">
        <v>39</v>
      </c>
      <c r="T538" s="6">
        <f t="shared" si="1408"/>
        <v>0.49367088607594939</v>
      </c>
      <c r="U538" s="35" t="e">
        <f t="shared" si="1415"/>
        <v>#DIV/0!</v>
      </c>
      <c r="V538" s="6" t="e">
        <f t="shared" ref="V538:Z538" si="1461">V526</f>
        <v>#DIV/0!</v>
      </c>
      <c r="W538" s="6" t="e">
        <f t="shared" si="1461"/>
        <v>#DIV/0!</v>
      </c>
      <c r="X538" s="6" t="e">
        <f t="shared" si="1461"/>
        <v>#DIV/0!</v>
      </c>
      <c r="Y538" s="6" t="e">
        <f t="shared" si="1461"/>
        <v>#DIV/0!</v>
      </c>
      <c r="Z538" s="6" t="e">
        <f t="shared" si="1461"/>
        <v>#DIV/0!</v>
      </c>
    </row>
    <row r="539" spans="1:26" x14ac:dyDescent="0.2">
      <c r="A539" s="7" t="s">
        <v>143</v>
      </c>
      <c r="B539" s="6">
        <f t="shared" si="1410"/>
        <v>10</v>
      </c>
      <c r="C539" s="7" t="s">
        <v>160</v>
      </c>
      <c r="D539" s="68">
        <v>60</v>
      </c>
      <c r="E539" s="68">
        <v>68</v>
      </c>
      <c r="F539" s="65">
        <f t="shared" si="1405"/>
        <v>1.1333333333333333</v>
      </c>
      <c r="G539" s="60" t="e">
        <f t="shared" si="1411"/>
        <v>#DIV/0!</v>
      </c>
      <c r="H539" s="65" t="e">
        <f t="shared" ref="H539:J539" si="1462">H527</f>
        <v>#DIV/0!</v>
      </c>
      <c r="I539" s="65" t="e">
        <f t="shared" si="1462"/>
        <v>#DIV/0!</v>
      </c>
      <c r="J539" s="65" t="e">
        <f t="shared" si="1462"/>
        <v>#DIV/0!</v>
      </c>
      <c r="K539" s="69">
        <v>60000</v>
      </c>
      <c r="L539" s="69">
        <f>'Monitoramento Acumulado Geral'!Q539</f>
        <v>0</v>
      </c>
      <c r="M539" s="6">
        <f>(SUM(L530:L539))/K538</f>
        <v>0.94666666666666666</v>
      </c>
      <c r="N539" s="35" t="e">
        <f t="shared" si="1413"/>
        <v>#DIV/0!</v>
      </c>
      <c r="O539" s="6" t="e">
        <f t="shared" ref="O539:Q539" si="1463">O527</f>
        <v>#DIV/0!</v>
      </c>
      <c r="P539" s="6" t="e">
        <f t="shared" si="1463"/>
        <v>#DIV/0!</v>
      </c>
      <c r="Q539" s="6" t="e">
        <f t="shared" si="1463"/>
        <v>#DIV/0!</v>
      </c>
      <c r="R539" s="69">
        <v>79</v>
      </c>
      <c r="S539" s="69">
        <v>39</v>
      </c>
      <c r="T539" s="6">
        <f t="shared" si="1408"/>
        <v>0.49367088607594939</v>
      </c>
      <c r="U539" s="35" t="e">
        <f t="shared" si="1415"/>
        <v>#DIV/0!</v>
      </c>
      <c r="V539" s="6" t="e">
        <f t="shared" ref="V539:Z539" si="1464">V527</f>
        <v>#DIV/0!</v>
      </c>
      <c r="W539" s="6" t="e">
        <f t="shared" si="1464"/>
        <v>#DIV/0!</v>
      </c>
      <c r="X539" s="6" t="e">
        <f t="shared" si="1464"/>
        <v>#DIV/0!</v>
      </c>
      <c r="Y539" s="6" t="e">
        <f t="shared" si="1464"/>
        <v>#DIV/0!</v>
      </c>
      <c r="Z539" s="6" t="e">
        <f t="shared" si="1464"/>
        <v>#DIV/0!</v>
      </c>
    </row>
    <row r="540" spans="1:26" x14ac:dyDescent="0.2">
      <c r="A540" s="7" t="s">
        <v>143</v>
      </c>
      <c r="B540" s="6">
        <f t="shared" si="1410"/>
        <v>11</v>
      </c>
      <c r="C540" s="7" t="s">
        <v>161</v>
      </c>
      <c r="D540" s="68">
        <v>60</v>
      </c>
      <c r="E540" s="68">
        <v>0</v>
      </c>
      <c r="F540" s="65">
        <f t="shared" si="1405"/>
        <v>0</v>
      </c>
      <c r="G540" s="60" t="e">
        <f t="shared" si="1411"/>
        <v>#DIV/0!</v>
      </c>
      <c r="H540" s="65" t="e">
        <f t="shared" ref="H540:J540" si="1465">H528</f>
        <v>#DIV/0!</v>
      </c>
      <c r="I540" s="65" t="e">
        <f t="shared" si="1465"/>
        <v>#DIV/0!</v>
      </c>
      <c r="J540" s="65" t="e">
        <f t="shared" si="1465"/>
        <v>#DIV/0!</v>
      </c>
      <c r="K540" s="69">
        <v>60000</v>
      </c>
      <c r="L540" s="69">
        <f>'Monitoramento Acumulado Geral'!Q540</f>
        <v>0</v>
      </c>
      <c r="M540" s="6">
        <f>(SUM(L530:L540))/K539</f>
        <v>0.94666666666666666</v>
      </c>
      <c r="N540" s="35" t="e">
        <f t="shared" si="1413"/>
        <v>#DIV/0!</v>
      </c>
      <c r="O540" s="6" t="e">
        <f t="shared" ref="O540:Q540" si="1466">O528</f>
        <v>#DIV/0!</v>
      </c>
      <c r="P540" s="6" t="e">
        <f t="shared" si="1466"/>
        <v>#DIV/0!</v>
      </c>
      <c r="Q540" s="6" t="e">
        <f t="shared" si="1466"/>
        <v>#DIV/0!</v>
      </c>
      <c r="R540" s="69">
        <v>79</v>
      </c>
      <c r="S540" s="69">
        <v>0</v>
      </c>
      <c r="T540" s="6">
        <f t="shared" si="1408"/>
        <v>0</v>
      </c>
      <c r="U540" s="35" t="e">
        <f t="shared" si="1415"/>
        <v>#DIV/0!</v>
      </c>
      <c r="V540" s="6" t="e">
        <f t="shared" ref="V540:Z540" si="1467">V528</f>
        <v>#DIV/0!</v>
      </c>
      <c r="W540" s="6" t="e">
        <f t="shared" si="1467"/>
        <v>#DIV/0!</v>
      </c>
      <c r="X540" s="6" t="e">
        <f t="shared" si="1467"/>
        <v>#DIV/0!</v>
      </c>
      <c r="Y540" s="6" t="e">
        <f t="shared" si="1467"/>
        <v>#DIV/0!</v>
      </c>
      <c r="Z540" s="6" t="e">
        <f t="shared" si="1467"/>
        <v>#DIV/0!</v>
      </c>
    </row>
    <row r="541" spans="1:26" x14ac:dyDescent="0.2">
      <c r="A541" s="7" t="s">
        <v>143</v>
      </c>
      <c r="B541" s="6">
        <f t="shared" si="1410"/>
        <v>12</v>
      </c>
      <c r="C541" s="7" t="s">
        <v>162</v>
      </c>
      <c r="D541" s="68">
        <v>60</v>
      </c>
      <c r="E541" s="68">
        <v>0</v>
      </c>
      <c r="F541" s="65">
        <f t="shared" si="1405"/>
        <v>0</v>
      </c>
      <c r="G541" s="60" t="e">
        <f t="shared" si="1411"/>
        <v>#DIV/0!</v>
      </c>
      <c r="H541" s="65" t="e">
        <f t="shared" ref="H541:J541" si="1468">H529</f>
        <v>#DIV/0!</v>
      </c>
      <c r="I541" s="65" t="e">
        <f t="shared" si="1468"/>
        <v>#DIV/0!</v>
      </c>
      <c r="J541" s="65" t="e">
        <f t="shared" si="1468"/>
        <v>#DIV/0!</v>
      </c>
      <c r="K541" s="69">
        <v>60000</v>
      </c>
      <c r="L541" s="69">
        <f>'Monitoramento Acumulado Geral'!Q541</f>
        <v>0</v>
      </c>
      <c r="M541" s="6">
        <f>(SUM(L530:L541))/K540</f>
        <v>0.94666666666666666</v>
      </c>
      <c r="N541" s="35" t="e">
        <f t="shared" si="1413"/>
        <v>#DIV/0!</v>
      </c>
      <c r="O541" s="6" t="e">
        <f t="shared" ref="O541:Q541" si="1469">O529</f>
        <v>#DIV/0!</v>
      </c>
      <c r="P541" s="6" t="e">
        <f t="shared" si="1469"/>
        <v>#DIV/0!</v>
      </c>
      <c r="Q541" s="6" t="e">
        <f t="shared" si="1469"/>
        <v>#DIV/0!</v>
      </c>
      <c r="R541" s="69">
        <v>79</v>
      </c>
      <c r="S541" s="69">
        <v>0</v>
      </c>
      <c r="T541" s="6">
        <f t="shared" si="1408"/>
        <v>0</v>
      </c>
      <c r="U541" s="35" t="e">
        <f t="shared" si="1415"/>
        <v>#DIV/0!</v>
      </c>
      <c r="V541" s="6" t="e">
        <f t="shared" ref="V541:Z541" si="1470">V529</f>
        <v>#DIV/0!</v>
      </c>
      <c r="W541" s="6" t="e">
        <f t="shared" si="1470"/>
        <v>#DIV/0!</v>
      </c>
      <c r="X541" s="6" t="e">
        <f t="shared" si="1470"/>
        <v>#DIV/0!</v>
      </c>
      <c r="Y541" s="6" t="e">
        <f t="shared" si="1470"/>
        <v>#DIV/0!</v>
      </c>
      <c r="Z541" s="6" t="e">
        <f t="shared" si="1470"/>
        <v>#DIV/0!</v>
      </c>
    </row>
    <row r="542" spans="1:26" x14ac:dyDescent="0.2">
      <c r="A542" s="7" t="s">
        <v>70</v>
      </c>
      <c r="B542" s="6">
        <f t="shared" si="1410"/>
        <v>1</v>
      </c>
      <c r="C542" s="7" t="s">
        <v>151</v>
      </c>
      <c r="D542" s="68">
        <v>70</v>
      </c>
      <c r="E542" s="68">
        <v>47</v>
      </c>
      <c r="F542" s="65">
        <f t="shared" si="1405"/>
        <v>0.67142857142857137</v>
      </c>
      <c r="G542" s="60" t="e">
        <f t="shared" si="1411"/>
        <v>#DIV/0!</v>
      </c>
      <c r="H542" s="65" t="e">
        <f t="shared" ref="H542:J542" si="1471">H530</f>
        <v>#DIV/0!</v>
      </c>
      <c r="I542" s="65" t="e">
        <f t="shared" si="1471"/>
        <v>#DIV/0!</v>
      </c>
      <c r="J542" s="65" t="e">
        <f t="shared" si="1471"/>
        <v>#DIV/0!</v>
      </c>
      <c r="K542" s="69">
        <v>6000</v>
      </c>
      <c r="L542" s="69">
        <f>'Monitoramento Acumulado Geral'!Q542</f>
        <v>1400</v>
      </c>
      <c r="M542" s="6">
        <f>L542/K542</f>
        <v>0.23333333333333334</v>
      </c>
      <c r="N542" s="35" t="e">
        <f t="shared" si="1413"/>
        <v>#DIV/0!</v>
      </c>
      <c r="O542" s="6" t="e">
        <f t="shared" ref="O542:Q542" si="1472">O530</f>
        <v>#DIV/0!</v>
      </c>
      <c r="P542" s="6" t="e">
        <f t="shared" si="1472"/>
        <v>#DIV/0!</v>
      </c>
      <c r="Q542" s="6" t="e">
        <f t="shared" si="1472"/>
        <v>#DIV/0!</v>
      </c>
      <c r="R542" s="69">
        <v>50</v>
      </c>
      <c r="S542" s="69">
        <v>0</v>
      </c>
      <c r="T542" s="6">
        <f t="shared" si="1408"/>
        <v>0</v>
      </c>
      <c r="U542" s="35" t="e">
        <f t="shared" si="1415"/>
        <v>#DIV/0!</v>
      </c>
      <c r="V542" s="6" t="e">
        <f t="shared" ref="V542:Z542" si="1473">V530</f>
        <v>#DIV/0!</v>
      </c>
      <c r="W542" s="6" t="e">
        <f t="shared" si="1473"/>
        <v>#DIV/0!</v>
      </c>
      <c r="X542" s="6" t="e">
        <f t="shared" si="1473"/>
        <v>#DIV/0!</v>
      </c>
      <c r="Y542" s="6" t="e">
        <f t="shared" si="1473"/>
        <v>#DIV/0!</v>
      </c>
      <c r="Z542" s="6" t="e">
        <f t="shared" si="1473"/>
        <v>#DIV/0!</v>
      </c>
    </row>
    <row r="543" spans="1:26" x14ac:dyDescent="0.2">
      <c r="A543" s="7" t="s">
        <v>70</v>
      </c>
      <c r="B543" s="6">
        <f t="shared" si="1410"/>
        <v>2</v>
      </c>
      <c r="C543" s="7" t="s">
        <v>152</v>
      </c>
      <c r="D543" s="68">
        <v>70</v>
      </c>
      <c r="E543" s="68">
        <v>47</v>
      </c>
      <c r="F543" s="65">
        <f t="shared" si="1405"/>
        <v>0.67142857142857137</v>
      </c>
      <c r="G543" s="60" t="e">
        <f t="shared" si="1411"/>
        <v>#DIV/0!</v>
      </c>
      <c r="H543" s="65" t="e">
        <f t="shared" ref="H543:J543" si="1474">H531</f>
        <v>#DIV/0!</v>
      </c>
      <c r="I543" s="65" t="e">
        <f t="shared" si="1474"/>
        <v>#DIV/0!</v>
      </c>
      <c r="J543" s="65" t="e">
        <f t="shared" si="1474"/>
        <v>#DIV/0!</v>
      </c>
      <c r="K543" s="69">
        <v>6000</v>
      </c>
      <c r="L543" s="69">
        <f>'Monitoramento Acumulado Geral'!Q543</f>
        <v>0</v>
      </c>
      <c r="M543" s="6">
        <f>(SUM(L542:L543))/K542</f>
        <v>0.23333333333333334</v>
      </c>
      <c r="N543" s="35" t="e">
        <f t="shared" si="1413"/>
        <v>#DIV/0!</v>
      </c>
      <c r="O543" s="6" t="e">
        <f t="shared" ref="O543:Q543" si="1475">O531</f>
        <v>#DIV/0!</v>
      </c>
      <c r="P543" s="6" t="e">
        <f t="shared" si="1475"/>
        <v>#DIV/0!</v>
      </c>
      <c r="Q543" s="6" t="e">
        <f t="shared" si="1475"/>
        <v>#DIV/0!</v>
      </c>
      <c r="R543" s="69">
        <v>50</v>
      </c>
      <c r="S543" s="69">
        <v>0</v>
      </c>
      <c r="T543" s="6">
        <f t="shared" si="1408"/>
        <v>0</v>
      </c>
      <c r="U543" s="35" t="e">
        <f t="shared" si="1415"/>
        <v>#DIV/0!</v>
      </c>
      <c r="V543" s="6" t="e">
        <f t="shared" ref="V543:Z543" si="1476">V531</f>
        <v>#DIV/0!</v>
      </c>
      <c r="W543" s="6" t="e">
        <f t="shared" si="1476"/>
        <v>#DIV/0!</v>
      </c>
      <c r="X543" s="6" t="e">
        <f t="shared" si="1476"/>
        <v>#DIV/0!</v>
      </c>
      <c r="Y543" s="6" t="e">
        <f t="shared" si="1476"/>
        <v>#DIV/0!</v>
      </c>
      <c r="Z543" s="6" t="e">
        <f t="shared" si="1476"/>
        <v>#DIV/0!</v>
      </c>
    </row>
    <row r="544" spans="1:26" x14ac:dyDescent="0.2">
      <c r="A544" s="7" t="s">
        <v>70</v>
      </c>
      <c r="B544" s="6">
        <f t="shared" si="1410"/>
        <v>3</v>
      </c>
      <c r="C544" s="7" t="s">
        <v>153</v>
      </c>
      <c r="D544" s="68">
        <v>70</v>
      </c>
      <c r="E544" s="68">
        <v>47</v>
      </c>
      <c r="F544" s="65">
        <f t="shared" si="1405"/>
        <v>0.67142857142857137</v>
      </c>
      <c r="G544" s="60" t="e">
        <f t="shared" si="1411"/>
        <v>#DIV/0!</v>
      </c>
      <c r="H544" s="65" t="e">
        <f t="shared" ref="H544:J544" si="1477">H532</f>
        <v>#DIV/0!</v>
      </c>
      <c r="I544" s="65" t="e">
        <f t="shared" si="1477"/>
        <v>#DIV/0!</v>
      </c>
      <c r="J544" s="65" t="e">
        <f t="shared" si="1477"/>
        <v>#DIV/0!</v>
      </c>
      <c r="K544" s="69">
        <v>6000</v>
      </c>
      <c r="L544" s="69">
        <f>'Monitoramento Acumulado Geral'!Q544</f>
        <v>0</v>
      </c>
      <c r="M544" s="6">
        <f>(SUM(L542:L544))/K543</f>
        <v>0.23333333333333334</v>
      </c>
      <c r="N544" s="35" t="e">
        <f t="shared" si="1413"/>
        <v>#DIV/0!</v>
      </c>
      <c r="O544" s="6" t="e">
        <f t="shared" ref="O544:Q544" si="1478">O532</f>
        <v>#DIV/0!</v>
      </c>
      <c r="P544" s="6" t="e">
        <f t="shared" si="1478"/>
        <v>#DIV/0!</v>
      </c>
      <c r="Q544" s="6" t="e">
        <f t="shared" si="1478"/>
        <v>#DIV/0!</v>
      </c>
      <c r="R544" s="69">
        <v>50</v>
      </c>
      <c r="S544" s="69">
        <v>0</v>
      </c>
      <c r="T544" s="6">
        <f t="shared" si="1408"/>
        <v>0</v>
      </c>
      <c r="U544" s="35" t="e">
        <f t="shared" si="1415"/>
        <v>#DIV/0!</v>
      </c>
      <c r="V544" s="6" t="e">
        <f t="shared" ref="V544:Z544" si="1479">V532</f>
        <v>#DIV/0!</v>
      </c>
      <c r="W544" s="6" t="e">
        <f t="shared" si="1479"/>
        <v>#DIV/0!</v>
      </c>
      <c r="X544" s="6" t="e">
        <f t="shared" si="1479"/>
        <v>#DIV/0!</v>
      </c>
      <c r="Y544" s="6" t="e">
        <f t="shared" si="1479"/>
        <v>#DIV/0!</v>
      </c>
      <c r="Z544" s="6" t="e">
        <f t="shared" si="1479"/>
        <v>#DIV/0!</v>
      </c>
    </row>
    <row r="545" spans="1:26" x14ac:dyDescent="0.2">
      <c r="A545" s="7" t="s">
        <v>70</v>
      </c>
      <c r="B545" s="6">
        <f t="shared" si="1410"/>
        <v>4</v>
      </c>
      <c r="C545" s="7" t="s">
        <v>154</v>
      </c>
      <c r="D545" s="68">
        <v>70</v>
      </c>
      <c r="E545" s="68">
        <v>47</v>
      </c>
      <c r="F545" s="65">
        <f t="shared" si="1405"/>
        <v>0.67142857142857137</v>
      </c>
      <c r="G545" s="60" t="e">
        <f t="shared" si="1411"/>
        <v>#DIV/0!</v>
      </c>
      <c r="H545" s="65" t="e">
        <f t="shared" ref="H545:J545" si="1480">H533</f>
        <v>#DIV/0!</v>
      </c>
      <c r="I545" s="65" t="e">
        <f t="shared" si="1480"/>
        <v>#DIV/0!</v>
      </c>
      <c r="J545" s="65" t="e">
        <f t="shared" si="1480"/>
        <v>#DIV/0!</v>
      </c>
      <c r="K545" s="69">
        <v>6000</v>
      </c>
      <c r="L545" s="69">
        <f>'Monitoramento Acumulado Geral'!Q545</f>
        <v>0</v>
      </c>
      <c r="M545" s="6">
        <f>(SUM(L542:L545))/K544</f>
        <v>0.23333333333333334</v>
      </c>
      <c r="N545" s="35" t="e">
        <f t="shared" si="1413"/>
        <v>#DIV/0!</v>
      </c>
      <c r="O545" s="6" t="e">
        <f t="shared" ref="O545:Q545" si="1481">O533</f>
        <v>#DIV/0!</v>
      </c>
      <c r="P545" s="6" t="e">
        <f t="shared" si="1481"/>
        <v>#DIV/0!</v>
      </c>
      <c r="Q545" s="6" t="e">
        <f t="shared" si="1481"/>
        <v>#DIV/0!</v>
      </c>
      <c r="R545" s="69">
        <v>50</v>
      </c>
      <c r="S545" s="69">
        <v>0</v>
      </c>
      <c r="T545" s="6">
        <f t="shared" si="1408"/>
        <v>0</v>
      </c>
      <c r="U545" s="35" t="e">
        <f t="shared" si="1415"/>
        <v>#DIV/0!</v>
      </c>
      <c r="V545" s="6" t="e">
        <f t="shared" ref="V545:Z545" si="1482">V533</f>
        <v>#DIV/0!</v>
      </c>
      <c r="W545" s="6" t="e">
        <f t="shared" si="1482"/>
        <v>#DIV/0!</v>
      </c>
      <c r="X545" s="6" t="e">
        <f t="shared" si="1482"/>
        <v>#DIV/0!</v>
      </c>
      <c r="Y545" s="6" t="e">
        <f t="shared" si="1482"/>
        <v>#DIV/0!</v>
      </c>
      <c r="Z545" s="6" t="e">
        <f t="shared" si="1482"/>
        <v>#DIV/0!</v>
      </c>
    </row>
    <row r="546" spans="1:26" x14ac:dyDescent="0.2">
      <c r="A546" s="7" t="s">
        <v>70</v>
      </c>
      <c r="B546" s="6">
        <f t="shared" si="1410"/>
        <v>5</v>
      </c>
      <c r="C546" s="7" t="s">
        <v>155</v>
      </c>
      <c r="D546" s="68">
        <v>70</v>
      </c>
      <c r="E546" s="68">
        <v>80</v>
      </c>
      <c r="F546" s="65">
        <f t="shared" si="1405"/>
        <v>1.1428571428571428</v>
      </c>
      <c r="G546" s="60" t="e">
        <f t="shared" si="1411"/>
        <v>#DIV/0!</v>
      </c>
      <c r="H546" s="65" t="e">
        <f t="shared" ref="H546:J546" si="1483">H534</f>
        <v>#DIV/0!</v>
      </c>
      <c r="I546" s="65" t="e">
        <f t="shared" si="1483"/>
        <v>#DIV/0!</v>
      </c>
      <c r="J546" s="65" t="e">
        <f t="shared" si="1483"/>
        <v>#DIV/0!</v>
      </c>
      <c r="K546" s="69">
        <v>6000</v>
      </c>
      <c r="L546" s="69">
        <f>'Monitoramento Acumulado Geral'!Q546</f>
        <v>4300</v>
      </c>
      <c r="M546" s="6">
        <f>(SUM(L542:L546))/K545</f>
        <v>0.95</v>
      </c>
      <c r="N546" s="35" t="e">
        <f t="shared" si="1413"/>
        <v>#DIV/0!</v>
      </c>
      <c r="O546" s="6" t="e">
        <f t="shared" ref="O546:Q546" si="1484">O534</f>
        <v>#DIV/0!</v>
      </c>
      <c r="P546" s="6" t="e">
        <f t="shared" si="1484"/>
        <v>#DIV/0!</v>
      </c>
      <c r="Q546" s="6" t="e">
        <f t="shared" si="1484"/>
        <v>#DIV/0!</v>
      </c>
      <c r="R546" s="69">
        <v>50</v>
      </c>
      <c r="S546" s="69">
        <v>0</v>
      </c>
      <c r="T546" s="6">
        <f t="shared" si="1408"/>
        <v>0</v>
      </c>
      <c r="U546" s="35" t="e">
        <f t="shared" si="1415"/>
        <v>#DIV/0!</v>
      </c>
      <c r="V546" s="6" t="e">
        <f t="shared" ref="V546:Z546" si="1485">V534</f>
        <v>#DIV/0!</v>
      </c>
      <c r="W546" s="6" t="e">
        <f t="shared" si="1485"/>
        <v>#DIV/0!</v>
      </c>
      <c r="X546" s="6" t="e">
        <f t="shared" si="1485"/>
        <v>#DIV/0!</v>
      </c>
      <c r="Y546" s="6" t="e">
        <f t="shared" si="1485"/>
        <v>#DIV/0!</v>
      </c>
      <c r="Z546" s="6" t="e">
        <f t="shared" si="1485"/>
        <v>#DIV/0!</v>
      </c>
    </row>
    <row r="547" spans="1:26" x14ac:dyDescent="0.2">
      <c r="A547" s="7" t="s">
        <v>70</v>
      </c>
      <c r="B547" s="6">
        <f t="shared" si="1410"/>
        <v>6</v>
      </c>
      <c r="C547" s="7" t="s">
        <v>156</v>
      </c>
      <c r="D547" s="68">
        <v>70</v>
      </c>
      <c r="E547" s="68">
        <v>80</v>
      </c>
      <c r="F547" s="65">
        <f t="shared" si="1405"/>
        <v>1.1428571428571428</v>
      </c>
      <c r="G547" s="60" t="e">
        <f t="shared" si="1411"/>
        <v>#DIV/0!</v>
      </c>
      <c r="H547" s="65" t="e">
        <f t="shared" ref="H547:J547" si="1486">H535</f>
        <v>#DIV/0!</v>
      </c>
      <c r="I547" s="65" t="e">
        <f t="shared" si="1486"/>
        <v>#DIV/0!</v>
      </c>
      <c r="J547" s="65" t="e">
        <f t="shared" si="1486"/>
        <v>#DIV/0!</v>
      </c>
      <c r="K547" s="69">
        <v>6000</v>
      </c>
      <c r="L547" s="69">
        <f>'Monitoramento Acumulado Geral'!Q547</f>
        <v>0</v>
      </c>
      <c r="M547" s="6">
        <f>(SUM(L542:L547))/K546</f>
        <v>0.95</v>
      </c>
      <c r="N547" s="35" t="e">
        <f t="shared" si="1413"/>
        <v>#DIV/0!</v>
      </c>
      <c r="O547" s="6" t="e">
        <f t="shared" ref="O547:Q547" si="1487">O535</f>
        <v>#DIV/0!</v>
      </c>
      <c r="P547" s="6" t="e">
        <f t="shared" si="1487"/>
        <v>#DIV/0!</v>
      </c>
      <c r="Q547" s="6" t="e">
        <f t="shared" si="1487"/>
        <v>#DIV/0!</v>
      </c>
      <c r="R547" s="69">
        <v>50</v>
      </c>
      <c r="S547" s="69">
        <v>0</v>
      </c>
      <c r="T547" s="6">
        <f t="shared" si="1408"/>
        <v>0</v>
      </c>
      <c r="U547" s="35" t="e">
        <f t="shared" si="1415"/>
        <v>#DIV/0!</v>
      </c>
      <c r="V547" s="6" t="e">
        <f t="shared" ref="V547:Z547" si="1488">V535</f>
        <v>#DIV/0!</v>
      </c>
      <c r="W547" s="6" t="e">
        <f t="shared" si="1488"/>
        <v>#DIV/0!</v>
      </c>
      <c r="X547" s="6" t="e">
        <f t="shared" si="1488"/>
        <v>#DIV/0!</v>
      </c>
      <c r="Y547" s="6" t="e">
        <f t="shared" si="1488"/>
        <v>#DIV/0!</v>
      </c>
      <c r="Z547" s="6" t="e">
        <f t="shared" si="1488"/>
        <v>#DIV/0!</v>
      </c>
    </row>
    <row r="548" spans="1:26" x14ac:dyDescent="0.2">
      <c r="A548" s="7" t="s">
        <v>70</v>
      </c>
      <c r="B548" s="6">
        <f t="shared" si="1410"/>
        <v>7</v>
      </c>
      <c r="C548" s="7" t="s">
        <v>157</v>
      </c>
      <c r="D548" s="68">
        <v>70</v>
      </c>
      <c r="E548" s="68">
        <v>87</v>
      </c>
      <c r="F548" s="65">
        <f t="shared" si="1405"/>
        <v>1.2428571428571429</v>
      </c>
      <c r="G548" s="60" t="e">
        <f t="shared" si="1411"/>
        <v>#DIV/0!</v>
      </c>
      <c r="H548" s="65" t="e">
        <f t="shared" ref="H548:J548" si="1489">H536</f>
        <v>#DIV/0!</v>
      </c>
      <c r="I548" s="65" t="e">
        <f t="shared" si="1489"/>
        <v>#DIV/0!</v>
      </c>
      <c r="J548" s="65" t="e">
        <f t="shared" si="1489"/>
        <v>#DIV/0!</v>
      </c>
      <c r="K548" s="69">
        <v>6000</v>
      </c>
      <c r="L548" s="69">
        <f>'Monitoramento Acumulado Geral'!Q548</f>
        <v>1500</v>
      </c>
      <c r="M548" s="6">
        <f>(SUM(L542:L548))/K547</f>
        <v>1.2</v>
      </c>
      <c r="N548" s="35" t="e">
        <f t="shared" si="1413"/>
        <v>#DIV/0!</v>
      </c>
      <c r="O548" s="6" t="e">
        <f t="shared" ref="O548:Q548" si="1490">O536</f>
        <v>#DIV/0!</v>
      </c>
      <c r="P548" s="6" t="e">
        <f t="shared" si="1490"/>
        <v>#DIV/0!</v>
      </c>
      <c r="Q548" s="6" t="e">
        <f t="shared" si="1490"/>
        <v>#DIV/0!</v>
      </c>
      <c r="R548" s="69">
        <v>50</v>
      </c>
      <c r="S548" s="69">
        <v>0</v>
      </c>
      <c r="T548" s="6">
        <f t="shared" si="1408"/>
        <v>0</v>
      </c>
      <c r="U548" s="35" t="e">
        <f t="shared" si="1415"/>
        <v>#DIV/0!</v>
      </c>
      <c r="V548" s="6" t="e">
        <f t="shared" ref="V548:Z548" si="1491">V536</f>
        <v>#DIV/0!</v>
      </c>
      <c r="W548" s="6" t="e">
        <f t="shared" si="1491"/>
        <v>#DIV/0!</v>
      </c>
      <c r="X548" s="6" t="e">
        <f t="shared" si="1491"/>
        <v>#DIV/0!</v>
      </c>
      <c r="Y548" s="6" t="e">
        <f t="shared" si="1491"/>
        <v>#DIV/0!</v>
      </c>
      <c r="Z548" s="6" t="e">
        <f t="shared" si="1491"/>
        <v>#DIV/0!</v>
      </c>
    </row>
    <row r="549" spans="1:26" x14ac:dyDescent="0.2">
      <c r="A549" s="7" t="s">
        <v>70</v>
      </c>
      <c r="B549" s="6">
        <f t="shared" si="1410"/>
        <v>8</v>
      </c>
      <c r="C549" s="7" t="s">
        <v>158</v>
      </c>
      <c r="D549" s="68">
        <v>70</v>
      </c>
      <c r="E549" s="68">
        <v>87</v>
      </c>
      <c r="F549" s="65">
        <f t="shared" si="1405"/>
        <v>1.2428571428571429</v>
      </c>
      <c r="G549" s="60" t="e">
        <f t="shared" si="1411"/>
        <v>#DIV/0!</v>
      </c>
      <c r="H549" s="65" t="e">
        <f t="shared" ref="H549:J549" si="1492">H537</f>
        <v>#DIV/0!</v>
      </c>
      <c r="I549" s="65" t="e">
        <f t="shared" si="1492"/>
        <v>#DIV/0!</v>
      </c>
      <c r="J549" s="65" t="e">
        <f t="shared" si="1492"/>
        <v>#DIV/0!</v>
      </c>
      <c r="K549" s="69">
        <v>6000</v>
      </c>
      <c r="L549" s="69">
        <f>'Monitoramento Acumulado Geral'!Q549</f>
        <v>0</v>
      </c>
      <c r="M549" s="6">
        <f>(SUM(L542:L549))/K548</f>
        <v>1.2</v>
      </c>
      <c r="N549" s="35" t="e">
        <f t="shared" si="1413"/>
        <v>#DIV/0!</v>
      </c>
      <c r="O549" s="6" t="e">
        <f t="shared" ref="O549:Q549" si="1493">O537</f>
        <v>#DIV/0!</v>
      </c>
      <c r="P549" s="6" t="e">
        <f t="shared" si="1493"/>
        <v>#DIV/0!</v>
      </c>
      <c r="Q549" s="6" t="e">
        <f t="shared" si="1493"/>
        <v>#DIV/0!</v>
      </c>
      <c r="R549" s="69">
        <v>50</v>
      </c>
      <c r="S549" s="69">
        <v>0</v>
      </c>
      <c r="T549" s="6">
        <f t="shared" si="1408"/>
        <v>0</v>
      </c>
      <c r="U549" s="35" t="e">
        <f t="shared" si="1415"/>
        <v>#DIV/0!</v>
      </c>
      <c r="V549" s="6" t="e">
        <f t="shared" ref="V549:Z549" si="1494">V537</f>
        <v>#DIV/0!</v>
      </c>
      <c r="W549" s="6" t="e">
        <f t="shared" si="1494"/>
        <v>#DIV/0!</v>
      </c>
      <c r="X549" s="6" t="e">
        <f t="shared" si="1494"/>
        <v>#DIV/0!</v>
      </c>
      <c r="Y549" s="6" t="e">
        <f t="shared" si="1494"/>
        <v>#DIV/0!</v>
      </c>
      <c r="Z549" s="6" t="e">
        <f t="shared" si="1494"/>
        <v>#DIV/0!</v>
      </c>
    </row>
    <row r="550" spans="1:26" x14ac:dyDescent="0.2">
      <c r="A550" s="7" t="s">
        <v>70</v>
      </c>
      <c r="B550" s="6">
        <f t="shared" si="1410"/>
        <v>9</v>
      </c>
      <c r="C550" s="7" t="s">
        <v>159</v>
      </c>
      <c r="D550" s="68">
        <v>70</v>
      </c>
      <c r="E550" s="68">
        <v>87</v>
      </c>
      <c r="F550" s="65">
        <f t="shared" si="1405"/>
        <v>1.2428571428571429</v>
      </c>
      <c r="G550" s="60" t="e">
        <f t="shared" si="1411"/>
        <v>#DIV/0!</v>
      </c>
      <c r="H550" s="65" t="e">
        <f t="shared" ref="H550:J550" si="1495">H538</f>
        <v>#DIV/0!</v>
      </c>
      <c r="I550" s="65" t="e">
        <f t="shared" si="1495"/>
        <v>#DIV/0!</v>
      </c>
      <c r="J550" s="65" t="e">
        <f t="shared" si="1495"/>
        <v>#DIV/0!</v>
      </c>
      <c r="K550" s="69">
        <v>6000</v>
      </c>
      <c r="L550" s="69">
        <f>'Monitoramento Acumulado Geral'!Q550</f>
        <v>0</v>
      </c>
      <c r="M550" s="6">
        <f>(SUM(L542:L550))/K549</f>
        <v>1.2</v>
      </c>
      <c r="N550" s="35" t="e">
        <f t="shared" si="1413"/>
        <v>#DIV/0!</v>
      </c>
      <c r="O550" s="6" t="e">
        <f t="shared" ref="O550:Q550" si="1496">O538</f>
        <v>#DIV/0!</v>
      </c>
      <c r="P550" s="6" t="e">
        <f t="shared" si="1496"/>
        <v>#DIV/0!</v>
      </c>
      <c r="Q550" s="6" t="e">
        <f t="shared" si="1496"/>
        <v>#DIV/0!</v>
      </c>
      <c r="R550" s="69">
        <v>50</v>
      </c>
      <c r="S550" s="69">
        <v>33</v>
      </c>
      <c r="T550" s="6">
        <f t="shared" si="1408"/>
        <v>0.66</v>
      </c>
      <c r="U550" s="35" t="e">
        <f t="shared" si="1415"/>
        <v>#DIV/0!</v>
      </c>
      <c r="V550" s="6" t="e">
        <f t="shared" ref="V550:Z550" si="1497">V538</f>
        <v>#DIV/0!</v>
      </c>
      <c r="W550" s="6" t="e">
        <f t="shared" si="1497"/>
        <v>#DIV/0!</v>
      </c>
      <c r="X550" s="6" t="e">
        <f t="shared" si="1497"/>
        <v>#DIV/0!</v>
      </c>
      <c r="Y550" s="6" t="e">
        <f t="shared" si="1497"/>
        <v>#DIV/0!</v>
      </c>
      <c r="Z550" s="6" t="e">
        <f t="shared" si="1497"/>
        <v>#DIV/0!</v>
      </c>
    </row>
    <row r="551" spans="1:26" x14ac:dyDescent="0.2">
      <c r="A551" s="7" t="s">
        <v>70</v>
      </c>
      <c r="B551" s="6">
        <f t="shared" si="1410"/>
        <v>10</v>
      </c>
      <c r="C551" s="7" t="s">
        <v>160</v>
      </c>
      <c r="D551" s="68">
        <v>70</v>
      </c>
      <c r="E551" s="68">
        <v>87</v>
      </c>
      <c r="F551" s="65">
        <f t="shared" si="1405"/>
        <v>1.2428571428571429</v>
      </c>
      <c r="G551" s="60" t="e">
        <f t="shared" si="1411"/>
        <v>#DIV/0!</v>
      </c>
      <c r="H551" s="65" t="e">
        <f t="shared" ref="H551:J551" si="1498">H539</f>
        <v>#DIV/0!</v>
      </c>
      <c r="I551" s="65" t="e">
        <f t="shared" si="1498"/>
        <v>#DIV/0!</v>
      </c>
      <c r="J551" s="65" t="e">
        <f t="shared" si="1498"/>
        <v>#DIV/0!</v>
      </c>
      <c r="K551" s="69">
        <v>6000</v>
      </c>
      <c r="L551" s="69">
        <f>'Monitoramento Acumulado Geral'!Q551</f>
        <v>0</v>
      </c>
      <c r="M551" s="6">
        <f>(SUM(L542:L551))/K550</f>
        <v>1.2</v>
      </c>
      <c r="N551" s="35" t="e">
        <f t="shared" si="1413"/>
        <v>#DIV/0!</v>
      </c>
      <c r="O551" s="6" t="e">
        <f t="shared" ref="O551:Q551" si="1499">O539</f>
        <v>#DIV/0!</v>
      </c>
      <c r="P551" s="6" t="e">
        <f t="shared" si="1499"/>
        <v>#DIV/0!</v>
      </c>
      <c r="Q551" s="6" t="e">
        <f t="shared" si="1499"/>
        <v>#DIV/0!</v>
      </c>
      <c r="R551" s="69">
        <v>50</v>
      </c>
      <c r="S551" s="69">
        <v>33</v>
      </c>
      <c r="T551" s="6">
        <f t="shared" si="1408"/>
        <v>0.66</v>
      </c>
      <c r="U551" s="35" t="e">
        <f t="shared" si="1415"/>
        <v>#DIV/0!</v>
      </c>
      <c r="V551" s="6" t="e">
        <f t="shared" ref="V551:Z551" si="1500">V539</f>
        <v>#DIV/0!</v>
      </c>
      <c r="W551" s="6" t="e">
        <f t="shared" si="1500"/>
        <v>#DIV/0!</v>
      </c>
      <c r="X551" s="6" t="e">
        <f t="shared" si="1500"/>
        <v>#DIV/0!</v>
      </c>
      <c r="Y551" s="6" t="e">
        <f t="shared" si="1500"/>
        <v>#DIV/0!</v>
      </c>
      <c r="Z551" s="6" t="e">
        <f t="shared" si="1500"/>
        <v>#DIV/0!</v>
      </c>
    </row>
    <row r="552" spans="1:26" x14ac:dyDescent="0.2">
      <c r="A552" s="7" t="s">
        <v>70</v>
      </c>
      <c r="B552" s="6">
        <f t="shared" si="1410"/>
        <v>11</v>
      </c>
      <c r="C552" s="7" t="s">
        <v>161</v>
      </c>
      <c r="D552" s="68">
        <v>70</v>
      </c>
      <c r="E552" s="68">
        <v>0</v>
      </c>
      <c r="F552" s="65">
        <f t="shared" si="1405"/>
        <v>0</v>
      </c>
      <c r="G552" s="60" t="e">
        <f t="shared" si="1411"/>
        <v>#DIV/0!</v>
      </c>
      <c r="H552" s="65" t="e">
        <f t="shared" ref="H552:J552" si="1501">H540</f>
        <v>#DIV/0!</v>
      </c>
      <c r="I552" s="65" t="e">
        <f t="shared" si="1501"/>
        <v>#DIV/0!</v>
      </c>
      <c r="J552" s="65" t="e">
        <f t="shared" si="1501"/>
        <v>#DIV/0!</v>
      </c>
      <c r="K552" s="69">
        <v>6000</v>
      </c>
      <c r="L552" s="69">
        <f>'Monitoramento Acumulado Geral'!Q552</f>
        <v>0</v>
      </c>
      <c r="M552" s="6">
        <f>(SUM(L542:L552))/K551</f>
        <v>1.2</v>
      </c>
      <c r="N552" s="35" t="e">
        <f t="shared" si="1413"/>
        <v>#DIV/0!</v>
      </c>
      <c r="O552" s="6" t="e">
        <f t="shared" ref="O552:Q552" si="1502">O540</f>
        <v>#DIV/0!</v>
      </c>
      <c r="P552" s="6" t="e">
        <f t="shared" si="1502"/>
        <v>#DIV/0!</v>
      </c>
      <c r="Q552" s="6" t="e">
        <f t="shared" si="1502"/>
        <v>#DIV/0!</v>
      </c>
      <c r="R552" s="69">
        <v>50</v>
      </c>
      <c r="S552" s="69">
        <v>0</v>
      </c>
      <c r="T552" s="6">
        <f t="shared" si="1408"/>
        <v>0</v>
      </c>
      <c r="U552" s="35" t="e">
        <f t="shared" si="1415"/>
        <v>#DIV/0!</v>
      </c>
      <c r="V552" s="6" t="e">
        <f t="shared" ref="V552:Z552" si="1503">V540</f>
        <v>#DIV/0!</v>
      </c>
      <c r="W552" s="6" t="e">
        <f t="shared" si="1503"/>
        <v>#DIV/0!</v>
      </c>
      <c r="X552" s="6" t="e">
        <f t="shared" si="1503"/>
        <v>#DIV/0!</v>
      </c>
      <c r="Y552" s="6" t="e">
        <f t="shared" si="1503"/>
        <v>#DIV/0!</v>
      </c>
      <c r="Z552" s="6" t="e">
        <f t="shared" si="1503"/>
        <v>#DIV/0!</v>
      </c>
    </row>
    <row r="553" spans="1:26" x14ac:dyDescent="0.2">
      <c r="A553" s="7" t="s">
        <v>70</v>
      </c>
      <c r="B553" s="6">
        <f t="shared" si="1410"/>
        <v>12</v>
      </c>
      <c r="C553" s="7" t="s">
        <v>162</v>
      </c>
      <c r="D553" s="68">
        <v>70</v>
      </c>
      <c r="E553" s="68">
        <v>0</v>
      </c>
      <c r="F553" s="65">
        <f t="shared" si="1405"/>
        <v>0</v>
      </c>
      <c r="G553" s="60" t="e">
        <f t="shared" si="1411"/>
        <v>#DIV/0!</v>
      </c>
      <c r="H553" s="65" t="e">
        <f t="shared" ref="H553:J553" si="1504">H541</f>
        <v>#DIV/0!</v>
      </c>
      <c r="I553" s="65" t="e">
        <f t="shared" si="1504"/>
        <v>#DIV/0!</v>
      </c>
      <c r="J553" s="65" t="e">
        <f t="shared" si="1504"/>
        <v>#DIV/0!</v>
      </c>
      <c r="K553" s="69">
        <v>6000</v>
      </c>
      <c r="L553" s="69">
        <f>'Monitoramento Acumulado Geral'!Q553</f>
        <v>0</v>
      </c>
      <c r="M553" s="6">
        <f>(SUM(L542:L553))/K552</f>
        <v>1.2</v>
      </c>
      <c r="N553" s="35" t="e">
        <f t="shared" si="1413"/>
        <v>#DIV/0!</v>
      </c>
      <c r="O553" s="6" t="e">
        <f t="shared" ref="O553:Q553" si="1505">O541</f>
        <v>#DIV/0!</v>
      </c>
      <c r="P553" s="6" t="e">
        <f t="shared" si="1505"/>
        <v>#DIV/0!</v>
      </c>
      <c r="Q553" s="6" t="e">
        <f t="shared" si="1505"/>
        <v>#DIV/0!</v>
      </c>
      <c r="R553" s="69">
        <v>50</v>
      </c>
      <c r="S553" s="69">
        <v>0</v>
      </c>
      <c r="T553" s="6">
        <f t="shared" si="1408"/>
        <v>0</v>
      </c>
      <c r="U553" s="35" t="e">
        <f t="shared" si="1415"/>
        <v>#DIV/0!</v>
      </c>
      <c r="V553" s="6" t="e">
        <f t="shared" ref="V553:Z553" si="1506">V541</f>
        <v>#DIV/0!</v>
      </c>
      <c r="W553" s="6" t="e">
        <f t="shared" si="1506"/>
        <v>#DIV/0!</v>
      </c>
      <c r="X553" s="6" t="e">
        <f t="shared" si="1506"/>
        <v>#DIV/0!</v>
      </c>
      <c r="Y553" s="6" t="e">
        <f t="shared" si="1506"/>
        <v>#DIV/0!</v>
      </c>
      <c r="Z553" s="6" t="e">
        <f t="shared" si="1506"/>
        <v>#DIV/0!</v>
      </c>
    </row>
    <row r="554" spans="1:26" x14ac:dyDescent="0.2">
      <c r="A554" s="7" t="s">
        <v>80</v>
      </c>
      <c r="B554" s="6">
        <f t="shared" si="1410"/>
        <v>1</v>
      </c>
      <c r="C554" s="7" t="s">
        <v>151</v>
      </c>
      <c r="D554" s="68">
        <v>75</v>
      </c>
      <c r="E554" s="68">
        <v>0</v>
      </c>
      <c r="F554" s="65">
        <f t="shared" si="1405"/>
        <v>0</v>
      </c>
      <c r="G554" s="60" t="e">
        <f t="shared" si="1411"/>
        <v>#DIV/0!</v>
      </c>
      <c r="H554" s="65" t="e">
        <f t="shared" ref="H554:J554" si="1507">H542</f>
        <v>#DIV/0!</v>
      </c>
      <c r="I554" s="65" t="e">
        <f t="shared" si="1507"/>
        <v>#DIV/0!</v>
      </c>
      <c r="J554" s="65" t="e">
        <f t="shared" si="1507"/>
        <v>#DIV/0!</v>
      </c>
      <c r="K554" s="69">
        <v>6510</v>
      </c>
      <c r="L554" s="69">
        <f>'Monitoramento Acumulado Geral'!Q554</f>
        <v>0</v>
      </c>
      <c r="M554" s="6">
        <f>L554/K554</f>
        <v>0</v>
      </c>
      <c r="N554" s="35" t="e">
        <f t="shared" si="1413"/>
        <v>#DIV/0!</v>
      </c>
      <c r="O554" s="6" t="e">
        <f t="shared" ref="O554:Q554" si="1508">O542</f>
        <v>#DIV/0!</v>
      </c>
      <c r="P554" s="6" t="e">
        <f t="shared" si="1508"/>
        <v>#DIV/0!</v>
      </c>
      <c r="Q554" s="6" t="e">
        <f t="shared" si="1508"/>
        <v>#DIV/0!</v>
      </c>
      <c r="R554" s="69">
        <v>38</v>
      </c>
      <c r="S554" s="69">
        <v>0</v>
      </c>
      <c r="T554" s="6">
        <f t="shared" si="1408"/>
        <v>0</v>
      </c>
      <c r="U554" s="35" t="e">
        <f t="shared" si="1415"/>
        <v>#DIV/0!</v>
      </c>
      <c r="V554" s="6" t="e">
        <f t="shared" ref="V554:Z554" si="1509">V542</f>
        <v>#DIV/0!</v>
      </c>
      <c r="W554" s="6" t="e">
        <f t="shared" si="1509"/>
        <v>#DIV/0!</v>
      </c>
      <c r="X554" s="6" t="e">
        <f t="shared" si="1509"/>
        <v>#DIV/0!</v>
      </c>
      <c r="Y554" s="6" t="e">
        <f t="shared" si="1509"/>
        <v>#DIV/0!</v>
      </c>
      <c r="Z554" s="6" t="e">
        <f t="shared" si="1509"/>
        <v>#DIV/0!</v>
      </c>
    </row>
    <row r="555" spans="1:26" x14ac:dyDescent="0.2">
      <c r="A555" s="7" t="s">
        <v>80</v>
      </c>
      <c r="B555" s="6">
        <f t="shared" si="1410"/>
        <v>2</v>
      </c>
      <c r="C555" s="7" t="s">
        <v>152</v>
      </c>
      <c r="D555" s="68">
        <v>75</v>
      </c>
      <c r="E555" s="68">
        <v>0</v>
      </c>
      <c r="F555" s="65">
        <f t="shared" si="1405"/>
        <v>0</v>
      </c>
      <c r="G555" s="60" t="e">
        <f t="shared" si="1411"/>
        <v>#DIV/0!</v>
      </c>
      <c r="H555" s="65" t="e">
        <f t="shared" ref="H555:J555" si="1510">H543</f>
        <v>#DIV/0!</v>
      </c>
      <c r="I555" s="65" t="e">
        <f t="shared" si="1510"/>
        <v>#DIV/0!</v>
      </c>
      <c r="J555" s="65" t="e">
        <f t="shared" si="1510"/>
        <v>#DIV/0!</v>
      </c>
      <c r="K555" s="69">
        <v>6510</v>
      </c>
      <c r="L555" s="69">
        <f>'Monitoramento Acumulado Geral'!Q555</f>
        <v>0</v>
      </c>
      <c r="M555" s="6">
        <f>(SUM(L554:L555))/K554</f>
        <v>0</v>
      </c>
      <c r="N555" s="35" t="e">
        <f t="shared" si="1413"/>
        <v>#DIV/0!</v>
      </c>
      <c r="O555" s="6" t="e">
        <f t="shared" ref="O555:Q555" si="1511">O543</f>
        <v>#DIV/0!</v>
      </c>
      <c r="P555" s="6" t="e">
        <f t="shared" si="1511"/>
        <v>#DIV/0!</v>
      </c>
      <c r="Q555" s="6" t="e">
        <f t="shared" si="1511"/>
        <v>#DIV/0!</v>
      </c>
      <c r="R555" s="69">
        <v>38</v>
      </c>
      <c r="S555" s="69">
        <v>0</v>
      </c>
      <c r="T555" s="6">
        <f t="shared" si="1408"/>
        <v>0</v>
      </c>
      <c r="U555" s="35" t="e">
        <f t="shared" si="1415"/>
        <v>#DIV/0!</v>
      </c>
      <c r="V555" s="6" t="e">
        <f t="shared" ref="V555:Z555" si="1512">V543</f>
        <v>#DIV/0!</v>
      </c>
      <c r="W555" s="6" t="e">
        <f t="shared" si="1512"/>
        <v>#DIV/0!</v>
      </c>
      <c r="X555" s="6" t="e">
        <f t="shared" si="1512"/>
        <v>#DIV/0!</v>
      </c>
      <c r="Y555" s="6" t="e">
        <f t="shared" si="1512"/>
        <v>#DIV/0!</v>
      </c>
      <c r="Z555" s="6" t="e">
        <f t="shared" si="1512"/>
        <v>#DIV/0!</v>
      </c>
    </row>
    <row r="556" spans="1:26" x14ac:dyDescent="0.2">
      <c r="A556" s="7" t="s">
        <v>80</v>
      </c>
      <c r="B556" s="6">
        <f t="shared" si="1410"/>
        <v>3</v>
      </c>
      <c r="C556" s="7" t="s">
        <v>153</v>
      </c>
      <c r="D556" s="68">
        <v>75</v>
      </c>
      <c r="E556" s="68">
        <v>0</v>
      </c>
      <c r="F556" s="65">
        <f t="shared" si="1405"/>
        <v>0</v>
      </c>
      <c r="G556" s="60" t="e">
        <f t="shared" si="1411"/>
        <v>#DIV/0!</v>
      </c>
      <c r="H556" s="65" t="e">
        <f t="shared" ref="H556:J556" si="1513">H544</f>
        <v>#DIV/0!</v>
      </c>
      <c r="I556" s="65" t="e">
        <f t="shared" si="1513"/>
        <v>#DIV/0!</v>
      </c>
      <c r="J556" s="65" t="e">
        <f t="shared" si="1513"/>
        <v>#DIV/0!</v>
      </c>
      <c r="K556" s="69">
        <v>6510</v>
      </c>
      <c r="L556" s="69">
        <f>'Monitoramento Acumulado Geral'!Q556</f>
        <v>0</v>
      </c>
      <c r="M556" s="6">
        <f>(SUM(L554:L556))/K555</f>
        <v>0</v>
      </c>
      <c r="N556" s="35" t="e">
        <f t="shared" si="1413"/>
        <v>#DIV/0!</v>
      </c>
      <c r="O556" s="6" t="e">
        <f t="shared" ref="O556:Q556" si="1514">O544</f>
        <v>#DIV/0!</v>
      </c>
      <c r="P556" s="6" t="e">
        <f t="shared" si="1514"/>
        <v>#DIV/0!</v>
      </c>
      <c r="Q556" s="6" t="e">
        <f t="shared" si="1514"/>
        <v>#DIV/0!</v>
      </c>
      <c r="R556" s="69">
        <v>38</v>
      </c>
      <c r="S556" s="69">
        <v>0</v>
      </c>
      <c r="T556" s="6">
        <f t="shared" si="1408"/>
        <v>0</v>
      </c>
      <c r="U556" s="35" t="e">
        <f t="shared" si="1415"/>
        <v>#DIV/0!</v>
      </c>
      <c r="V556" s="6" t="e">
        <f t="shared" ref="V556:Z556" si="1515">V544</f>
        <v>#DIV/0!</v>
      </c>
      <c r="W556" s="6" t="e">
        <f t="shared" si="1515"/>
        <v>#DIV/0!</v>
      </c>
      <c r="X556" s="6" t="e">
        <f t="shared" si="1515"/>
        <v>#DIV/0!</v>
      </c>
      <c r="Y556" s="6" t="e">
        <f t="shared" si="1515"/>
        <v>#DIV/0!</v>
      </c>
      <c r="Z556" s="6" t="e">
        <f t="shared" si="1515"/>
        <v>#DIV/0!</v>
      </c>
    </row>
    <row r="557" spans="1:26" x14ac:dyDescent="0.2">
      <c r="A557" s="7" t="s">
        <v>80</v>
      </c>
      <c r="B557" s="6">
        <f t="shared" si="1410"/>
        <v>4</v>
      </c>
      <c r="C557" s="7" t="s">
        <v>154</v>
      </c>
      <c r="D557" s="68">
        <v>75</v>
      </c>
      <c r="E557" s="68">
        <v>0</v>
      </c>
      <c r="F557" s="65">
        <f t="shared" si="1405"/>
        <v>0</v>
      </c>
      <c r="G557" s="60" t="e">
        <f t="shared" si="1411"/>
        <v>#DIV/0!</v>
      </c>
      <c r="H557" s="65" t="e">
        <f t="shared" ref="H557:J557" si="1516">H545</f>
        <v>#DIV/0!</v>
      </c>
      <c r="I557" s="65" t="e">
        <f t="shared" si="1516"/>
        <v>#DIV/0!</v>
      </c>
      <c r="J557" s="65" t="e">
        <f t="shared" si="1516"/>
        <v>#DIV/0!</v>
      </c>
      <c r="K557" s="69">
        <v>6510</v>
      </c>
      <c r="L557" s="69">
        <f>'Monitoramento Acumulado Geral'!Q557</f>
        <v>0</v>
      </c>
      <c r="M557" s="6">
        <f>(SUM(L554:L557))/K556</f>
        <v>0</v>
      </c>
      <c r="N557" s="35" t="e">
        <f t="shared" si="1413"/>
        <v>#DIV/0!</v>
      </c>
      <c r="O557" s="6" t="e">
        <f t="shared" ref="O557:Q557" si="1517">O545</f>
        <v>#DIV/0!</v>
      </c>
      <c r="P557" s="6" t="e">
        <f t="shared" si="1517"/>
        <v>#DIV/0!</v>
      </c>
      <c r="Q557" s="6" t="e">
        <f t="shared" si="1517"/>
        <v>#DIV/0!</v>
      </c>
      <c r="R557" s="69">
        <v>38</v>
      </c>
      <c r="S557" s="69">
        <v>0</v>
      </c>
      <c r="T557" s="6">
        <f t="shared" si="1408"/>
        <v>0</v>
      </c>
      <c r="U557" s="35" t="e">
        <f t="shared" si="1415"/>
        <v>#DIV/0!</v>
      </c>
      <c r="V557" s="6" t="e">
        <f t="shared" ref="V557:Z557" si="1518">V545</f>
        <v>#DIV/0!</v>
      </c>
      <c r="W557" s="6" t="e">
        <f t="shared" si="1518"/>
        <v>#DIV/0!</v>
      </c>
      <c r="X557" s="6" t="e">
        <f t="shared" si="1518"/>
        <v>#DIV/0!</v>
      </c>
      <c r="Y557" s="6" t="e">
        <f t="shared" si="1518"/>
        <v>#DIV/0!</v>
      </c>
      <c r="Z557" s="6" t="e">
        <f t="shared" si="1518"/>
        <v>#DIV/0!</v>
      </c>
    </row>
    <row r="558" spans="1:26" x14ac:dyDescent="0.2">
      <c r="A558" s="7" t="s">
        <v>80</v>
      </c>
      <c r="B558" s="6">
        <f t="shared" si="1410"/>
        <v>5</v>
      </c>
      <c r="C558" s="7" t="s">
        <v>155</v>
      </c>
      <c r="D558" s="68">
        <v>75</v>
      </c>
      <c r="E558" s="68">
        <v>90</v>
      </c>
      <c r="F558" s="65">
        <f t="shared" si="1405"/>
        <v>1.2</v>
      </c>
      <c r="G558" s="60" t="e">
        <f t="shared" si="1411"/>
        <v>#DIV/0!</v>
      </c>
      <c r="H558" s="65" t="e">
        <f t="shared" ref="H558:J558" si="1519">H546</f>
        <v>#DIV/0!</v>
      </c>
      <c r="I558" s="65" t="e">
        <f t="shared" si="1519"/>
        <v>#DIV/0!</v>
      </c>
      <c r="J558" s="65" t="e">
        <f t="shared" si="1519"/>
        <v>#DIV/0!</v>
      </c>
      <c r="K558" s="69">
        <v>6510</v>
      </c>
      <c r="L558" s="69">
        <f>'Monitoramento Acumulado Geral'!Q558</f>
        <v>0</v>
      </c>
      <c r="M558" s="6">
        <f>(SUM(L554:L558))/K557</f>
        <v>0</v>
      </c>
      <c r="N558" s="35" t="e">
        <f t="shared" si="1413"/>
        <v>#DIV/0!</v>
      </c>
      <c r="O558" s="6" t="e">
        <f t="shared" ref="O558:Q558" si="1520">O546</f>
        <v>#DIV/0!</v>
      </c>
      <c r="P558" s="6" t="e">
        <f t="shared" si="1520"/>
        <v>#DIV/0!</v>
      </c>
      <c r="Q558" s="6" t="e">
        <f t="shared" si="1520"/>
        <v>#DIV/0!</v>
      </c>
      <c r="R558" s="69">
        <v>38</v>
      </c>
      <c r="S558" s="69">
        <v>40</v>
      </c>
      <c r="T558" s="6">
        <f t="shared" si="1408"/>
        <v>1.0526315789473684</v>
      </c>
      <c r="U558" s="35" t="e">
        <f t="shared" si="1415"/>
        <v>#DIV/0!</v>
      </c>
      <c r="V558" s="6" t="e">
        <f t="shared" ref="V558:Z558" si="1521">V546</f>
        <v>#DIV/0!</v>
      </c>
      <c r="W558" s="6" t="e">
        <f t="shared" si="1521"/>
        <v>#DIV/0!</v>
      </c>
      <c r="X558" s="6" t="e">
        <f t="shared" si="1521"/>
        <v>#DIV/0!</v>
      </c>
      <c r="Y558" s="6" t="e">
        <f t="shared" si="1521"/>
        <v>#DIV/0!</v>
      </c>
      <c r="Z558" s="6" t="e">
        <f t="shared" si="1521"/>
        <v>#DIV/0!</v>
      </c>
    </row>
    <row r="559" spans="1:26" x14ac:dyDescent="0.2">
      <c r="A559" s="7" t="s">
        <v>80</v>
      </c>
      <c r="B559" s="6">
        <f t="shared" si="1410"/>
        <v>6</v>
      </c>
      <c r="C559" s="7" t="s">
        <v>156</v>
      </c>
      <c r="D559" s="68">
        <v>75</v>
      </c>
      <c r="E559" s="68">
        <v>90</v>
      </c>
      <c r="F559" s="65">
        <f t="shared" si="1405"/>
        <v>1.2</v>
      </c>
      <c r="G559" s="60" t="e">
        <f t="shared" si="1411"/>
        <v>#DIV/0!</v>
      </c>
      <c r="H559" s="65" t="e">
        <f t="shared" ref="H559:J559" si="1522">H547</f>
        <v>#DIV/0!</v>
      </c>
      <c r="I559" s="65" t="e">
        <f t="shared" si="1522"/>
        <v>#DIV/0!</v>
      </c>
      <c r="J559" s="65" t="e">
        <f t="shared" si="1522"/>
        <v>#DIV/0!</v>
      </c>
      <c r="K559" s="69">
        <v>6510</v>
      </c>
      <c r="L559" s="69">
        <f>'Monitoramento Acumulado Geral'!Q559</f>
        <v>0</v>
      </c>
      <c r="M559" s="6">
        <f>(SUM(L554:L559))/K558</f>
        <v>0</v>
      </c>
      <c r="N559" s="35" t="e">
        <f t="shared" si="1413"/>
        <v>#DIV/0!</v>
      </c>
      <c r="O559" s="6" t="e">
        <f t="shared" ref="O559:Q559" si="1523">O547</f>
        <v>#DIV/0!</v>
      </c>
      <c r="P559" s="6" t="e">
        <f t="shared" si="1523"/>
        <v>#DIV/0!</v>
      </c>
      <c r="Q559" s="6" t="e">
        <f t="shared" si="1523"/>
        <v>#DIV/0!</v>
      </c>
      <c r="R559" s="69">
        <v>38</v>
      </c>
      <c r="S559" s="69">
        <v>40</v>
      </c>
      <c r="T559" s="6">
        <f t="shared" si="1408"/>
        <v>1.0526315789473684</v>
      </c>
      <c r="U559" s="35" t="e">
        <f t="shared" si="1415"/>
        <v>#DIV/0!</v>
      </c>
      <c r="V559" s="6" t="e">
        <f t="shared" ref="V559:Z559" si="1524">V547</f>
        <v>#DIV/0!</v>
      </c>
      <c r="W559" s="6" t="e">
        <f t="shared" si="1524"/>
        <v>#DIV/0!</v>
      </c>
      <c r="X559" s="6" t="e">
        <f t="shared" si="1524"/>
        <v>#DIV/0!</v>
      </c>
      <c r="Y559" s="6" t="e">
        <f t="shared" si="1524"/>
        <v>#DIV/0!</v>
      </c>
      <c r="Z559" s="6" t="e">
        <f t="shared" si="1524"/>
        <v>#DIV/0!</v>
      </c>
    </row>
    <row r="560" spans="1:26" x14ac:dyDescent="0.2">
      <c r="A560" s="7" t="s">
        <v>80</v>
      </c>
      <c r="B560" s="6">
        <f t="shared" si="1410"/>
        <v>7</v>
      </c>
      <c r="C560" s="7" t="s">
        <v>157</v>
      </c>
      <c r="D560" s="68">
        <v>75</v>
      </c>
      <c r="E560" s="68">
        <v>90</v>
      </c>
      <c r="F560" s="65">
        <f t="shared" si="1405"/>
        <v>1.2</v>
      </c>
      <c r="G560" s="60" t="e">
        <f t="shared" si="1411"/>
        <v>#DIV/0!</v>
      </c>
      <c r="H560" s="65" t="e">
        <f t="shared" ref="H560:J560" si="1525">H548</f>
        <v>#DIV/0!</v>
      </c>
      <c r="I560" s="65" t="e">
        <f t="shared" si="1525"/>
        <v>#DIV/0!</v>
      </c>
      <c r="J560" s="65" t="e">
        <f t="shared" si="1525"/>
        <v>#DIV/0!</v>
      </c>
      <c r="K560" s="69">
        <v>6510</v>
      </c>
      <c r="L560" s="69">
        <f>'Monitoramento Acumulado Geral'!Q560</f>
        <v>860</v>
      </c>
      <c r="M560" s="6">
        <f>(SUM(L554:L560))/K559</f>
        <v>0.13210445468509985</v>
      </c>
      <c r="N560" s="35" t="e">
        <f t="shared" si="1413"/>
        <v>#DIV/0!</v>
      </c>
      <c r="O560" s="6" t="e">
        <f t="shared" ref="O560:Q560" si="1526">O548</f>
        <v>#DIV/0!</v>
      </c>
      <c r="P560" s="6" t="e">
        <f t="shared" si="1526"/>
        <v>#DIV/0!</v>
      </c>
      <c r="Q560" s="6" t="e">
        <f t="shared" si="1526"/>
        <v>#DIV/0!</v>
      </c>
      <c r="R560" s="69">
        <v>38</v>
      </c>
      <c r="S560" s="69">
        <v>40</v>
      </c>
      <c r="T560" s="6">
        <f t="shared" si="1408"/>
        <v>1.0526315789473684</v>
      </c>
      <c r="U560" s="35" t="e">
        <f t="shared" si="1415"/>
        <v>#DIV/0!</v>
      </c>
      <c r="V560" s="6" t="e">
        <f t="shared" ref="V560:Z560" si="1527">V548</f>
        <v>#DIV/0!</v>
      </c>
      <c r="W560" s="6" t="e">
        <f t="shared" si="1527"/>
        <v>#DIV/0!</v>
      </c>
      <c r="X560" s="6" t="e">
        <f t="shared" si="1527"/>
        <v>#DIV/0!</v>
      </c>
      <c r="Y560" s="6" t="e">
        <f t="shared" si="1527"/>
        <v>#DIV/0!</v>
      </c>
      <c r="Z560" s="6" t="e">
        <f t="shared" si="1527"/>
        <v>#DIV/0!</v>
      </c>
    </row>
    <row r="561" spans="1:26" x14ac:dyDescent="0.2">
      <c r="A561" s="7" t="s">
        <v>80</v>
      </c>
      <c r="B561" s="6">
        <f t="shared" si="1410"/>
        <v>8</v>
      </c>
      <c r="C561" s="7" t="s">
        <v>158</v>
      </c>
      <c r="D561" s="68">
        <v>75</v>
      </c>
      <c r="E561" s="68">
        <v>90</v>
      </c>
      <c r="F561" s="65">
        <f t="shared" si="1405"/>
        <v>1.2</v>
      </c>
      <c r="G561" s="60" t="e">
        <f t="shared" si="1411"/>
        <v>#DIV/0!</v>
      </c>
      <c r="H561" s="65" t="e">
        <f t="shared" ref="H561:J561" si="1528">H549</f>
        <v>#DIV/0!</v>
      </c>
      <c r="I561" s="65" t="e">
        <f t="shared" si="1528"/>
        <v>#DIV/0!</v>
      </c>
      <c r="J561" s="65" t="e">
        <f t="shared" si="1528"/>
        <v>#DIV/0!</v>
      </c>
      <c r="K561" s="69">
        <v>6510</v>
      </c>
      <c r="L561" s="69">
        <f>'Monitoramento Acumulado Geral'!Q561</f>
        <v>0</v>
      </c>
      <c r="M561" s="6">
        <f>(SUM(L554:L561))/K560</f>
        <v>0.13210445468509985</v>
      </c>
      <c r="N561" s="35" t="e">
        <f t="shared" si="1413"/>
        <v>#DIV/0!</v>
      </c>
      <c r="O561" s="6" t="e">
        <f t="shared" ref="O561:Q561" si="1529">O549</f>
        <v>#DIV/0!</v>
      </c>
      <c r="P561" s="6" t="e">
        <f t="shared" si="1529"/>
        <v>#DIV/0!</v>
      </c>
      <c r="Q561" s="6" t="e">
        <f t="shared" si="1529"/>
        <v>#DIV/0!</v>
      </c>
      <c r="R561" s="69">
        <v>38</v>
      </c>
      <c r="S561" s="69">
        <v>40</v>
      </c>
      <c r="T561" s="6">
        <f t="shared" si="1408"/>
        <v>1.0526315789473684</v>
      </c>
      <c r="U561" s="35" t="e">
        <f t="shared" si="1415"/>
        <v>#DIV/0!</v>
      </c>
      <c r="V561" s="6" t="e">
        <f t="shared" ref="V561:Z561" si="1530">V549</f>
        <v>#DIV/0!</v>
      </c>
      <c r="W561" s="6" t="e">
        <f t="shared" si="1530"/>
        <v>#DIV/0!</v>
      </c>
      <c r="X561" s="6" t="e">
        <f t="shared" si="1530"/>
        <v>#DIV/0!</v>
      </c>
      <c r="Y561" s="6" t="e">
        <f t="shared" si="1530"/>
        <v>#DIV/0!</v>
      </c>
      <c r="Z561" s="6" t="e">
        <f t="shared" si="1530"/>
        <v>#DIV/0!</v>
      </c>
    </row>
    <row r="562" spans="1:26" x14ac:dyDescent="0.2">
      <c r="A562" s="7" t="s">
        <v>80</v>
      </c>
      <c r="B562" s="6">
        <f t="shared" si="1410"/>
        <v>9</v>
      </c>
      <c r="C562" s="7" t="s">
        <v>159</v>
      </c>
      <c r="D562" s="68">
        <v>75</v>
      </c>
      <c r="E562" s="68">
        <v>0</v>
      </c>
      <c r="F562" s="65">
        <f t="shared" si="1405"/>
        <v>0</v>
      </c>
      <c r="G562" s="60" t="e">
        <f t="shared" si="1411"/>
        <v>#DIV/0!</v>
      </c>
      <c r="H562" s="65" t="e">
        <f t="shared" ref="H562:J562" si="1531">H550</f>
        <v>#DIV/0!</v>
      </c>
      <c r="I562" s="65" t="e">
        <f t="shared" si="1531"/>
        <v>#DIV/0!</v>
      </c>
      <c r="J562" s="65" t="e">
        <f t="shared" si="1531"/>
        <v>#DIV/0!</v>
      </c>
      <c r="K562" s="69">
        <v>6510</v>
      </c>
      <c r="L562" s="69">
        <f>'Monitoramento Acumulado Geral'!Q562</f>
        <v>4560</v>
      </c>
      <c r="M562" s="6">
        <f>(SUM(L554:L562))/K561</f>
        <v>0.83256528417818743</v>
      </c>
      <c r="N562" s="35" t="e">
        <f t="shared" si="1413"/>
        <v>#DIV/0!</v>
      </c>
      <c r="O562" s="6" t="e">
        <f t="shared" ref="O562:Q562" si="1532">O550</f>
        <v>#DIV/0!</v>
      </c>
      <c r="P562" s="6" t="e">
        <f t="shared" si="1532"/>
        <v>#DIV/0!</v>
      </c>
      <c r="Q562" s="6" t="e">
        <f t="shared" si="1532"/>
        <v>#DIV/0!</v>
      </c>
      <c r="R562" s="69">
        <v>38</v>
      </c>
      <c r="S562" s="69">
        <v>40</v>
      </c>
      <c r="T562" s="6">
        <f t="shared" si="1408"/>
        <v>1.0526315789473684</v>
      </c>
      <c r="U562" s="35" t="e">
        <f t="shared" si="1415"/>
        <v>#DIV/0!</v>
      </c>
      <c r="V562" s="6" t="e">
        <f t="shared" ref="V562:Z562" si="1533">V550</f>
        <v>#DIV/0!</v>
      </c>
      <c r="W562" s="6" t="e">
        <f t="shared" si="1533"/>
        <v>#DIV/0!</v>
      </c>
      <c r="X562" s="6" t="e">
        <f t="shared" si="1533"/>
        <v>#DIV/0!</v>
      </c>
      <c r="Y562" s="6" t="e">
        <f t="shared" si="1533"/>
        <v>#DIV/0!</v>
      </c>
      <c r="Z562" s="6" t="e">
        <f t="shared" si="1533"/>
        <v>#DIV/0!</v>
      </c>
    </row>
    <row r="563" spans="1:26" x14ac:dyDescent="0.2">
      <c r="A563" s="7" t="s">
        <v>80</v>
      </c>
      <c r="B563" s="6">
        <f t="shared" si="1410"/>
        <v>10</v>
      </c>
      <c r="C563" s="7" t="s">
        <v>160</v>
      </c>
      <c r="D563" s="68">
        <v>75</v>
      </c>
      <c r="E563" s="68">
        <v>0</v>
      </c>
      <c r="F563" s="65">
        <f t="shared" si="1405"/>
        <v>0</v>
      </c>
      <c r="G563" s="60" t="e">
        <f t="shared" si="1411"/>
        <v>#DIV/0!</v>
      </c>
      <c r="H563" s="65" t="e">
        <f t="shared" ref="H563:J563" si="1534">H551</f>
        <v>#DIV/0!</v>
      </c>
      <c r="I563" s="65" t="e">
        <f t="shared" si="1534"/>
        <v>#DIV/0!</v>
      </c>
      <c r="J563" s="65" t="e">
        <f t="shared" si="1534"/>
        <v>#DIV/0!</v>
      </c>
      <c r="K563" s="69">
        <v>6510</v>
      </c>
      <c r="L563" s="69">
        <f>'Monitoramento Acumulado Geral'!Q563</f>
        <v>0</v>
      </c>
      <c r="M563" s="6">
        <f>(SUM(L554:L563))/K562</f>
        <v>0.83256528417818743</v>
      </c>
      <c r="N563" s="35" t="e">
        <f t="shared" si="1413"/>
        <v>#DIV/0!</v>
      </c>
      <c r="O563" s="6" t="e">
        <f t="shared" ref="O563:Q563" si="1535">O551</f>
        <v>#DIV/0!</v>
      </c>
      <c r="P563" s="6" t="e">
        <f t="shared" si="1535"/>
        <v>#DIV/0!</v>
      </c>
      <c r="Q563" s="6" t="e">
        <f t="shared" si="1535"/>
        <v>#DIV/0!</v>
      </c>
      <c r="R563" s="69">
        <v>38</v>
      </c>
      <c r="S563" s="69">
        <v>40</v>
      </c>
      <c r="T563" s="6">
        <f t="shared" si="1408"/>
        <v>1.0526315789473684</v>
      </c>
      <c r="U563" s="35" t="e">
        <f t="shared" si="1415"/>
        <v>#DIV/0!</v>
      </c>
      <c r="V563" s="6" t="e">
        <f t="shared" ref="V563:Z563" si="1536">V551</f>
        <v>#DIV/0!</v>
      </c>
      <c r="W563" s="6" t="e">
        <f t="shared" si="1536"/>
        <v>#DIV/0!</v>
      </c>
      <c r="X563" s="6" t="e">
        <f t="shared" si="1536"/>
        <v>#DIV/0!</v>
      </c>
      <c r="Y563" s="6" t="e">
        <f t="shared" si="1536"/>
        <v>#DIV/0!</v>
      </c>
      <c r="Z563" s="6" t="e">
        <f t="shared" si="1536"/>
        <v>#DIV/0!</v>
      </c>
    </row>
    <row r="564" spans="1:26" x14ac:dyDescent="0.2">
      <c r="A564" s="7" t="s">
        <v>80</v>
      </c>
      <c r="B564" s="6">
        <f t="shared" si="1410"/>
        <v>11</v>
      </c>
      <c r="C564" s="7" t="s">
        <v>161</v>
      </c>
      <c r="D564" s="68">
        <v>75</v>
      </c>
      <c r="E564" s="68">
        <v>0</v>
      </c>
      <c r="F564" s="65">
        <f t="shared" si="1405"/>
        <v>0</v>
      </c>
      <c r="G564" s="60" t="e">
        <f t="shared" si="1411"/>
        <v>#DIV/0!</v>
      </c>
      <c r="H564" s="65" t="e">
        <f t="shared" ref="H564:J564" si="1537">H552</f>
        <v>#DIV/0!</v>
      </c>
      <c r="I564" s="65" t="e">
        <f t="shared" si="1537"/>
        <v>#DIV/0!</v>
      </c>
      <c r="J564" s="65" t="e">
        <f t="shared" si="1537"/>
        <v>#DIV/0!</v>
      </c>
      <c r="K564" s="69">
        <v>6510</v>
      </c>
      <c r="L564" s="69">
        <f>'Monitoramento Acumulado Geral'!Q564</f>
        <v>0</v>
      </c>
      <c r="M564" s="6">
        <f>(SUM(L554:L564))/K563</f>
        <v>0.83256528417818743</v>
      </c>
      <c r="N564" s="35" t="e">
        <f t="shared" si="1413"/>
        <v>#DIV/0!</v>
      </c>
      <c r="O564" s="6" t="e">
        <f t="shared" ref="O564:Q564" si="1538">O552</f>
        <v>#DIV/0!</v>
      </c>
      <c r="P564" s="6" t="e">
        <f t="shared" si="1538"/>
        <v>#DIV/0!</v>
      </c>
      <c r="Q564" s="6" t="e">
        <f t="shared" si="1538"/>
        <v>#DIV/0!</v>
      </c>
      <c r="R564" s="69">
        <v>38</v>
      </c>
      <c r="S564" s="69">
        <v>0</v>
      </c>
      <c r="T564" s="6">
        <f t="shared" si="1408"/>
        <v>0</v>
      </c>
      <c r="U564" s="35" t="e">
        <f t="shared" si="1415"/>
        <v>#DIV/0!</v>
      </c>
      <c r="V564" s="6" t="e">
        <f t="shared" ref="V564:Z564" si="1539">V552</f>
        <v>#DIV/0!</v>
      </c>
      <c r="W564" s="6" t="e">
        <f t="shared" si="1539"/>
        <v>#DIV/0!</v>
      </c>
      <c r="X564" s="6" t="e">
        <f t="shared" si="1539"/>
        <v>#DIV/0!</v>
      </c>
      <c r="Y564" s="6" t="e">
        <f t="shared" si="1539"/>
        <v>#DIV/0!</v>
      </c>
      <c r="Z564" s="6" t="e">
        <f t="shared" si="1539"/>
        <v>#DIV/0!</v>
      </c>
    </row>
    <row r="565" spans="1:26" x14ac:dyDescent="0.2">
      <c r="A565" s="7" t="s">
        <v>80</v>
      </c>
      <c r="B565" s="6">
        <f t="shared" si="1410"/>
        <v>12</v>
      </c>
      <c r="C565" s="7" t="s">
        <v>162</v>
      </c>
      <c r="D565" s="68">
        <v>75</v>
      </c>
      <c r="E565" s="68">
        <v>0</v>
      </c>
      <c r="F565" s="65">
        <f t="shared" si="1405"/>
        <v>0</v>
      </c>
      <c r="G565" s="60" t="e">
        <f t="shared" si="1411"/>
        <v>#DIV/0!</v>
      </c>
      <c r="H565" s="65" t="e">
        <f t="shared" ref="H565:J565" si="1540">H553</f>
        <v>#DIV/0!</v>
      </c>
      <c r="I565" s="65" t="e">
        <f t="shared" si="1540"/>
        <v>#DIV/0!</v>
      </c>
      <c r="J565" s="65" t="e">
        <f t="shared" si="1540"/>
        <v>#DIV/0!</v>
      </c>
      <c r="K565" s="69">
        <v>6510</v>
      </c>
      <c r="L565" s="69">
        <f>'Monitoramento Acumulado Geral'!Q565</f>
        <v>0</v>
      </c>
      <c r="M565" s="6">
        <f>(SUM(L554:L565))/K564</f>
        <v>0.83256528417818743</v>
      </c>
      <c r="N565" s="35" t="e">
        <f t="shared" si="1413"/>
        <v>#DIV/0!</v>
      </c>
      <c r="O565" s="6" t="e">
        <f t="shared" ref="O565:Q565" si="1541">O553</f>
        <v>#DIV/0!</v>
      </c>
      <c r="P565" s="6" t="e">
        <f t="shared" si="1541"/>
        <v>#DIV/0!</v>
      </c>
      <c r="Q565" s="6" t="e">
        <f t="shared" si="1541"/>
        <v>#DIV/0!</v>
      </c>
      <c r="R565" s="69">
        <v>38</v>
      </c>
      <c r="S565" s="69">
        <v>0</v>
      </c>
      <c r="T565" s="6">
        <f t="shared" si="1408"/>
        <v>0</v>
      </c>
      <c r="U565" s="35" t="e">
        <f t="shared" si="1415"/>
        <v>#DIV/0!</v>
      </c>
      <c r="V565" s="6" t="e">
        <f t="shared" ref="V565:Z565" si="1542">V553</f>
        <v>#DIV/0!</v>
      </c>
      <c r="W565" s="6" t="e">
        <f t="shared" si="1542"/>
        <v>#DIV/0!</v>
      </c>
      <c r="X565" s="6" t="e">
        <f t="shared" si="1542"/>
        <v>#DIV/0!</v>
      </c>
      <c r="Y565" s="6" t="e">
        <f t="shared" si="1542"/>
        <v>#DIV/0!</v>
      </c>
      <c r="Z565" s="6" t="e">
        <f t="shared" si="1542"/>
        <v>#DIV/0!</v>
      </c>
    </row>
    <row r="566" spans="1:26" x14ac:dyDescent="0.2">
      <c r="A566" s="7" t="s">
        <v>77</v>
      </c>
      <c r="B566" s="6">
        <f t="shared" si="1410"/>
        <v>1</v>
      </c>
      <c r="C566" s="7" t="s">
        <v>151</v>
      </c>
      <c r="D566" s="68">
        <v>66</v>
      </c>
      <c r="E566" s="68">
        <v>50</v>
      </c>
      <c r="F566" s="65">
        <f t="shared" si="1405"/>
        <v>0.75757575757575757</v>
      </c>
      <c r="G566" s="60" t="e">
        <f t="shared" si="1411"/>
        <v>#DIV/0!</v>
      </c>
      <c r="H566" s="65" t="e">
        <f t="shared" ref="H566:J566" si="1543">H554</f>
        <v>#DIV/0!</v>
      </c>
      <c r="I566" s="65" t="e">
        <f t="shared" si="1543"/>
        <v>#DIV/0!</v>
      </c>
      <c r="J566" s="65" t="e">
        <f t="shared" si="1543"/>
        <v>#DIV/0!</v>
      </c>
      <c r="K566" s="69">
        <v>5400</v>
      </c>
      <c r="L566" s="69">
        <f>'Monitoramento Acumulado Geral'!Q566</f>
        <v>400</v>
      </c>
      <c r="M566" s="6">
        <f>L566/K566</f>
        <v>7.407407407407407E-2</v>
      </c>
      <c r="N566" s="35" t="e">
        <f t="shared" si="1413"/>
        <v>#DIV/0!</v>
      </c>
      <c r="O566" s="6" t="e">
        <f t="shared" ref="O566:Q566" si="1544">O554</f>
        <v>#DIV/0!</v>
      </c>
      <c r="P566" s="6" t="e">
        <f t="shared" si="1544"/>
        <v>#DIV/0!</v>
      </c>
      <c r="Q566" s="6" t="e">
        <f t="shared" si="1544"/>
        <v>#DIV/0!</v>
      </c>
      <c r="R566" s="69">
        <v>70</v>
      </c>
      <c r="S566" s="69">
        <v>25</v>
      </c>
      <c r="T566" s="6">
        <f t="shared" si="1408"/>
        <v>0.35714285714285715</v>
      </c>
      <c r="U566" s="35" t="e">
        <f t="shared" si="1415"/>
        <v>#DIV/0!</v>
      </c>
      <c r="V566" s="6" t="e">
        <f t="shared" ref="V566:Z566" si="1545">V554</f>
        <v>#DIV/0!</v>
      </c>
      <c r="W566" s="6" t="e">
        <f t="shared" si="1545"/>
        <v>#DIV/0!</v>
      </c>
      <c r="X566" s="6" t="e">
        <f t="shared" si="1545"/>
        <v>#DIV/0!</v>
      </c>
      <c r="Y566" s="6" t="e">
        <f t="shared" si="1545"/>
        <v>#DIV/0!</v>
      </c>
      <c r="Z566" s="6" t="e">
        <f t="shared" si="1545"/>
        <v>#DIV/0!</v>
      </c>
    </row>
    <row r="567" spans="1:26" x14ac:dyDescent="0.2">
      <c r="A567" s="7" t="s">
        <v>77</v>
      </c>
      <c r="B567" s="6">
        <f t="shared" si="1410"/>
        <v>2</v>
      </c>
      <c r="C567" s="7" t="s">
        <v>152</v>
      </c>
      <c r="D567" s="68">
        <v>66</v>
      </c>
      <c r="E567" s="68">
        <v>50</v>
      </c>
      <c r="F567" s="65">
        <f t="shared" si="1405"/>
        <v>0.75757575757575757</v>
      </c>
      <c r="G567" s="60" t="e">
        <f t="shared" si="1411"/>
        <v>#DIV/0!</v>
      </c>
      <c r="H567" s="65" t="e">
        <f t="shared" ref="H567:J567" si="1546">H555</f>
        <v>#DIV/0!</v>
      </c>
      <c r="I567" s="65" t="e">
        <f t="shared" si="1546"/>
        <v>#DIV/0!</v>
      </c>
      <c r="J567" s="65" t="e">
        <f t="shared" si="1546"/>
        <v>#DIV/0!</v>
      </c>
      <c r="K567" s="69">
        <v>5400</v>
      </c>
      <c r="L567" s="69">
        <f>'Monitoramento Acumulado Geral'!Q567</f>
        <v>0</v>
      </c>
      <c r="M567" s="6">
        <f>(SUM(L566:L567))/K566</f>
        <v>7.407407407407407E-2</v>
      </c>
      <c r="N567" s="35" t="e">
        <f t="shared" si="1413"/>
        <v>#DIV/0!</v>
      </c>
      <c r="O567" s="6" t="e">
        <f t="shared" ref="O567:Q567" si="1547">O555</f>
        <v>#DIV/0!</v>
      </c>
      <c r="P567" s="6" t="e">
        <f t="shared" si="1547"/>
        <v>#DIV/0!</v>
      </c>
      <c r="Q567" s="6" t="e">
        <f t="shared" si="1547"/>
        <v>#DIV/0!</v>
      </c>
      <c r="R567" s="69">
        <v>70</v>
      </c>
      <c r="S567" s="69">
        <v>25</v>
      </c>
      <c r="T567" s="6">
        <f t="shared" si="1408"/>
        <v>0.35714285714285715</v>
      </c>
      <c r="U567" s="35" t="e">
        <f t="shared" si="1415"/>
        <v>#DIV/0!</v>
      </c>
      <c r="V567" s="6" t="e">
        <f t="shared" ref="V567:Z567" si="1548">V555</f>
        <v>#DIV/0!</v>
      </c>
      <c r="W567" s="6" t="e">
        <f t="shared" si="1548"/>
        <v>#DIV/0!</v>
      </c>
      <c r="X567" s="6" t="e">
        <f t="shared" si="1548"/>
        <v>#DIV/0!</v>
      </c>
      <c r="Y567" s="6" t="e">
        <f t="shared" si="1548"/>
        <v>#DIV/0!</v>
      </c>
      <c r="Z567" s="6" t="e">
        <f t="shared" si="1548"/>
        <v>#DIV/0!</v>
      </c>
    </row>
    <row r="568" spans="1:26" x14ac:dyDescent="0.2">
      <c r="A568" s="7" t="s">
        <v>77</v>
      </c>
      <c r="B568" s="6">
        <f t="shared" si="1410"/>
        <v>3</v>
      </c>
      <c r="C568" s="7" t="s">
        <v>153</v>
      </c>
      <c r="D568" s="68">
        <v>66</v>
      </c>
      <c r="E568" s="68">
        <v>50</v>
      </c>
      <c r="F568" s="65">
        <f t="shared" si="1405"/>
        <v>0.75757575757575757</v>
      </c>
      <c r="G568" s="60" t="e">
        <f t="shared" si="1411"/>
        <v>#DIV/0!</v>
      </c>
      <c r="H568" s="65" t="e">
        <f t="shared" ref="H568:J568" si="1549">H556</f>
        <v>#DIV/0!</v>
      </c>
      <c r="I568" s="65" t="e">
        <f t="shared" si="1549"/>
        <v>#DIV/0!</v>
      </c>
      <c r="J568" s="65" t="e">
        <f t="shared" si="1549"/>
        <v>#DIV/0!</v>
      </c>
      <c r="K568" s="69">
        <v>5400</v>
      </c>
      <c r="L568" s="69">
        <f>'Monitoramento Acumulado Geral'!Q568</f>
        <v>0</v>
      </c>
      <c r="M568" s="6">
        <f>(SUM(L566:L568))/K567</f>
        <v>7.407407407407407E-2</v>
      </c>
      <c r="N568" s="35" t="e">
        <f t="shared" si="1413"/>
        <v>#DIV/0!</v>
      </c>
      <c r="O568" s="6" t="e">
        <f t="shared" ref="O568:Q568" si="1550">O556</f>
        <v>#DIV/0!</v>
      </c>
      <c r="P568" s="6" t="e">
        <f t="shared" si="1550"/>
        <v>#DIV/0!</v>
      </c>
      <c r="Q568" s="6" t="e">
        <f t="shared" si="1550"/>
        <v>#DIV/0!</v>
      </c>
      <c r="R568" s="69">
        <v>70</v>
      </c>
      <c r="S568" s="69">
        <v>25</v>
      </c>
      <c r="T568" s="6">
        <f t="shared" si="1408"/>
        <v>0.35714285714285715</v>
      </c>
      <c r="U568" s="35" t="e">
        <f t="shared" si="1415"/>
        <v>#DIV/0!</v>
      </c>
      <c r="V568" s="6" t="e">
        <f t="shared" ref="V568:Z568" si="1551">V556</f>
        <v>#DIV/0!</v>
      </c>
      <c r="W568" s="6" t="e">
        <f t="shared" si="1551"/>
        <v>#DIV/0!</v>
      </c>
      <c r="X568" s="6" t="e">
        <f t="shared" si="1551"/>
        <v>#DIV/0!</v>
      </c>
      <c r="Y568" s="6" t="e">
        <f t="shared" si="1551"/>
        <v>#DIV/0!</v>
      </c>
      <c r="Z568" s="6" t="e">
        <f t="shared" si="1551"/>
        <v>#DIV/0!</v>
      </c>
    </row>
    <row r="569" spans="1:26" x14ac:dyDescent="0.2">
      <c r="A569" s="7" t="s">
        <v>77</v>
      </c>
      <c r="B569" s="6">
        <f t="shared" si="1410"/>
        <v>4</v>
      </c>
      <c r="C569" s="7" t="s">
        <v>154</v>
      </c>
      <c r="D569" s="68">
        <v>66</v>
      </c>
      <c r="E569" s="68">
        <v>75</v>
      </c>
      <c r="F569" s="65">
        <f t="shared" si="1405"/>
        <v>1.1363636363636365</v>
      </c>
      <c r="G569" s="60" t="e">
        <f t="shared" si="1411"/>
        <v>#DIV/0!</v>
      </c>
      <c r="H569" s="65" t="e">
        <f t="shared" ref="H569:J569" si="1552">H557</f>
        <v>#DIV/0!</v>
      </c>
      <c r="I569" s="65" t="e">
        <f t="shared" si="1552"/>
        <v>#DIV/0!</v>
      </c>
      <c r="J569" s="65" t="e">
        <f t="shared" si="1552"/>
        <v>#DIV/0!</v>
      </c>
      <c r="K569" s="69">
        <v>5400</v>
      </c>
      <c r="L569" s="69">
        <f>'Monitoramento Acumulado Geral'!Q569</f>
        <v>200</v>
      </c>
      <c r="M569" s="6">
        <f>(SUM(L566:L569))/K568</f>
        <v>0.1111111111111111</v>
      </c>
      <c r="N569" s="35" t="e">
        <f t="shared" si="1413"/>
        <v>#DIV/0!</v>
      </c>
      <c r="O569" s="6" t="e">
        <f t="shared" ref="O569:Q569" si="1553">O557</f>
        <v>#DIV/0!</v>
      </c>
      <c r="P569" s="6" t="e">
        <f t="shared" si="1553"/>
        <v>#DIV/0!</v>
      </c>
      <c r="Q569" s="6" t="e">
        <f t="shared" si="1553"/>
        <v>#DIV/0!</v>
      </c>
      <c r="R569" s="69">
        <v>70</v>
      </c>
      <c r="S569" s="69">
        <v>25</v>
      </c>
      <c r="T569" s="6">
        <f t="shared" si="1408"/>
        <v>0.35714285714285715</v>
      </c>
      <c r="U569" s="35" t="e">
        <f t="shared" si="1415"/>
        <v>#DIV/0!</v>
      </c>
      <c r="V569" s="6" t="e">
        <f t="shared" ref="V569:Z569" si="1554">V557</f>
        <v>#DIV/0!</v>
      </c>
      <c r="W569" s="6" t="e">
        <f t="shared" si="1554"/>
        <v>#DIV/0!</v>
      </c>
      <c r="X569" s="6" t="e">
        <f t="shared" si="1554"/>
        <v>#DIV/0!</v>
      </c>
      <c r="Y569" s="6" t="e">
        <f t="shared" si="1554"/>
        <v>#DIV/0!</v>
      </c>
      <c r="Z569" s="6" t="e">
        <f t="shared" si="1554"/>
        <v>#DIV/0!</v>
      </c>
    </row>
    <row r="570" spans="1:26" x14ac:dyDescent="0.2">
      <c r="A570" s="7" t="s">
        <v>77</v>
      </c>
      <c r="B570" s="6">
        <f t="shared" si="1410"/>
        <v>5</v>
      </c>
      <c r="C570" s="7" t="s">
        <v>155</v>
      </c>
      <c r="D570" s="68">
        <v>66</v>
      </c>
      <c r="E570" s="68">
        <v>75</v>
      </c>
      <c r="F570" s="65">
        <f t="shared" si="1405"/>
        <v>1.1363636363636365</v>
      </c>
      <c r="G570" s="60" t="e">
        <f t="shared" si="1411"/>
        <v>#DIV/0!</v>
      </c>
      <c r="H570" s="65" t="e">
        <f t="shared" ref="H570:J570" si="1555">H558</f>
        <v>#DIV/0!</v>
      </c>
      <c r="I570" s="65" t="e">
        <f t="shared" si="1555"/>
        <v>#DIV/0!</v>
      </c>
      <c r="J570" s="65" t="e">
        <f t="shared" si="1555"/>
        <v>#DIV/0!</v>
      </c>
      <c r="K570" s="69">
        <v>5400</v>
      </c>
      <c r="L570" s="69">
        <f>'Monitoramento Acumulado Geral'!Q570</f>
        <v>0</v>
      </c>
      <c r="M570" s="6">
        <f>(SUM(L566:L570))/K569</f>
        <v>0.1111111111111111</v>
      </c>
      <c r="N570" s="35" t="e">
        <f t="shared" si="1413"/>
        <v>#DIV/0!</v>
      </c>
      <c r="O570" s="6" t="e">
        <f t="shared" ref="O570:Q570" si="1556">O558</f>
        <v>#DIV/0!</v>
      </c>
      <c r="P570" s="6" t="e">
        <f t="shared" si="1556"/>
        <v>#DIV/0!</v>
      </c>
      <c r="Q570" s="6" t="e">
        <f t="shared" si="1556"/>
        <v>#DIV/0!</v>
      </c>
      <c r="R570" s="69">
        <v>70</v>
      </c>
      <c r="S570" s="69">
        <v>25</v>
      </c>
      <c r="T570" s="6">
        <f t="shared" si="1408"/>
        <v>0.35714285714285715</v>
      </c>
      <c r="U570" s="35" t="e">
        <f t="shared" si="1415"/>
        <v>#DIV/0!</v>
      </c>
      <c r="V570" s="6" t="e">
        <f t="shared" ref="V570:Z570" si="1557">V558</f>
        <v>#DIV/0!</v>
      </c>
      <c r="W570" s="6" t="e">
        <f t="shared" si="1557"/>
        <v>#DIV/0!</v>
      </c>
      <c r="X570" s="6" t="e">
        <f t="shared" si="1557"/>
        <v>#DIV/0!</v>
      </c>
      <c r="Y570" s="6" t="e">
        <f t="shared" si="1557"/>
        <v>#DIV/0!</v>
      </c>
      <c r="Z570" s="6" t="e">
        <f t="shared" si="1557"/>
        <v>#DIV/0!</v>
      </c>
    </row>
    <row r="571" spans="1:26" x14ac:dyDescent="0.2">
      <c r="A571" s="7" t="s">
        <v>77</v>
      </c>
      <c r="B571" s="6">
        <f t="shared" si="1410"/>
        <v>6</v>
      </c>
      <c r="C571" s="7" t="s">
        <v>156</v>
      </c>
      <c r="D571" s="68">
        <v>66</v>
      </c>
      <c r="E571" s="68">
        <v>75</v>
      </c>
      <c r="F571" s="65">
        <f t="shared" si="1405"/>
        <v>1.1363636363636365</v>
      </c>
      <c r="G571" s="60" t="e">
        <f t="shared" si="1411"/>
        <v>#DIV/0!</v>
      </c>
      <c r="H571" s="65" t="e">
        <f t="shared" ref="H571:J571" si="1558">H559</f>
        <v>#DIV/0!</v>
      </c>
      <c r="I571" s="65" t="e">
        <f t="shared" si="1558"/>
        <v>#DIV/0!</v>
      </c>
      <c r="J571" s="65" t="e">
        <f t="shared" si="1558"/>
        <v>#DIV/0!</v>
      </c>
      <c r="K571" s="69">
        <v>5400</v>
      </c>
      <c r="L571" s="69">
        <f>'Monitoramento Acumulado Geral'!Q571</f>
        <v>0</v>
      </c>
      <c r="M571" s="6">
        <f>(SUM(L566:L571))/K570</f>
        <v>0.1111111111111111</v>
      </c>
      <c r="N571" s="35" t="e">
        <f t="shared" si="1413"/>
        <v>#DIV/0!</v>
      </c>
      <c r="O571" s="6" t="e">
        <f t="shared" ref="O571:Q571" si="1559">O559</f>
        <v>#DIV/0!</v>
      </c>
      <c r="P571" s="6" t="e">
        <f t="shared" si="1559"/>
        <v>#DIV/0!</v>
      </c>
      <c r="Q571" s="6" t="e">
        <f t="shared" si="1559"/>
        <v>#DIV/0!</v>
      </c>
      <c r="R571" s="69">
        <v>70</v>
      </c>
      <c r="S571" s="69">
        <v>25</v>
      </c>
      <c r="T571" s="6">
        <f t="shared" si="1408"/>
        <v>0.35714285714285715</v>
      </c>
      <c r="U571" s="35" t="e">
        <f t="shared" si="1415"/>
        <v>#DIV/0!</v>
      </c>
      <c r="V571" s="6" t="e">
        <f t="shared" ref="V571:Z571" si="1560">V559</f>
        <v>#DIV/0!</v>
      </c>
      <c r="W571" s="6" t="e">
        <f t="shared" si="1560"/>
        <v>#DIV/0!</v>
      </c>
      <c r="X571" s="6" t="e">
        <f t="shared" si="1560"/>
        <v>#DIV/0!</v>
      </c>
      <c r="Y571" s="6" t="e">
        <f t="shared" si="1560"/>
        <v>#DIV/0!</v>
      </c>
      <c r="Z571" s="6" t="e">
        <f t="shared" si="1560"/>
        <v>#DIV/0!</v>
      </c>
    </row>
    <row r="572" spans="1:26" x14ac:dyDescent="0.2">
      <c r="A572" s="7" t="s">
        <v>77</v>
      </c>
      <c r="B572" s="6">
        <f t="shared" si="1410"/>
        <v>7</v>
      </c>
      <c r="C572" s="7" t="s">
        <v>157</v>
      </c>
      <c r="D572" s="68">
        <v>66</v>
      </c>
      <c r="E572" s="68">
        <v>75</v>
      </c>
      <c r="F572" s="65">
        <f t="shared" si="1405"/>
        <v>1.1363636363636365</v>
      </c>
      <c r="G572" s="60" t="e">
        <f t="shared" si="1411"/>
        <v>#DIV/0!</v>
      </c>
      <c r="H572" s="65" t="e">
        <f t="shared" ref="H572:J572" si="1561">H560</f>
        <v>#DIV/0!</v>
      </c>
      <c r="I572" s="65" t="e">
        <f t="shared" si="1561"/>
        <v>#DIV/0!</v>
      </c>
      <c r="J572" s="65" t="e">
        <f t="shared" si="1561"/>
        <v>#DIV/0!</v>
      </c>
      <c r="K572" s="69">
        <v>5400</v>
      </c>
      <c r="L572" s="69">
        <f>'Monitoramento Acumulado Geral'!Q572</f>
        <v>0</v>
      </c>
      <c r="M572" s="6">
        <f>(SUM(L566:L572))/K571</f>
        <v>0.1111111111111111</v>
      </c>
      <c r="N572" s="35" t="e">
        <f t="shared" si="1413"/>
        <v>#DIV/0!</v>
      </c>
      <c r="O572" s="6" t="e">
        <f t="shared" ref="O572:Q572" si="1562">O560</f>
        <v>#DIV/0!</v>
      </c>
      <c r="P572" s="6" t="e">
        <f t="shared" si="1562"/>
        <v>#DIV/0!</v>
      </c>
      <c r="Q572" s="6" t="e">
        <f t="shared" si="1562"/>
        <v>#DIV/0!</v>
      </c>
      <c r="R572" s="69">
        <v>70</v>
      </c>
      <c r="S572" s="69">
        <v>25</v>
      </c>
      <c r="T572" s="6">
        <f t="shared" si="1408"/>
        <v>0.35714285714285715</v>
      </c>
      <c r="U572" s="35" t="e">
        <f t="shared" si="1415"/>
        <v>#DIV/0!</v>
      </c>
      <c r="V572" s="6" t="e">
        <f t="shared" ref="V572:Z572" si="1563">V560</f>
        <v>#DIV/0!</v>
      </c>
      <c r="W572" s="6" t="e">
        <f t="shared" si="1563"/>
        <v>#DIV/0!</v>
      </c>
      <c r="X572" s="6" t="e">
        <f t="shared" si="1563"/>
        <v>#DIV/0!</v>
      </c>
      <c r="Y572" s="6" t="e">
        <f t="shared" si="1563"/>
        <v>#DIV/0!</v>
      </c>
      <c r="Z572" s="6" t="e">
        <f t="shared" si="1563"/>
        <v>#DIV/0!</v>
      </c>
    </row>
    <row r="573" spans="1:26" x14ac:dyDescent="0.2">
      <c r="A573" s="7" t="s">
        <v>77</v>
      </c>
      <c r="B573" s="6">
        <f t="shared" si="1410"/>
        <v>8</v>
      </c>
      <c r="C573" s="7" t="s">
        <v>158</v>
      </c>
      <c r="D573" s="68">
        <v>66</v>
      </c>
      <c r="E573" s="68">
        <v>75</v>
      </c>
      <c r="F573" s="65">
        <f t="shared" si="1405"/>
        <v>1.1363636363636365</v>
      </c>
      <c r="G573" s="60" t="e">
        <f t="shared" si="1411"/>
        <v>#DIV/0!</v>
      </c>
      <c r="H573" s="65" t="e">
        <f t="shared" ref="H573:J573" si="1564">H561</f>
        <v>#DIV/0!</v>
      </c>
      <c r="I573" s="65" t="e">
        <f t="shared" si="1564"/>
        <v>#DIV/0!</v>
      </c>
      <c r="J573" s="65" t="e">
        <f t="shared" si="1564"/>
        <v>#DIV/0!</v>
      </c>
      <c r="K573" s="69">
        <v>5400</v>
      </c>
      <c r="L573" s="69">
        <f>'Monitoramento Acumulado Geral'!Q573</f>
        <v>0</v>
      </c>
      <c r="M573" s="6">
        <f>(SUM(L566:L573))/K572</f>
        <v>0.1111111111111111</v>
      </c>
      <c r="N573" s="35" t="e">
        <f t="shared" si="1413"/>
        <v>#DIV/0!</v>
      </c>
      <c r="O573" s="6" t="e">
        <f t="shared" ref="O573:Q573" si="1565">O561</f>
        <v>#DIV/0!</v>
      </c>
      <c r="P573" s="6" t="e">
        <f t="shared" si="1565"/>
        <v>#DIV/0!</v>
      </c>
      <c r="Q573" s="6" t="e">
        <f t="shared" si="1565"/>
        <v>#DIV/0!</v>
      </c>
      <c r="R573" s="69">
        <v>70</v>
      </c>
      <c r="S573" s="69">
        <v>25</v>
      </c>
      <c r="T573" s="6">
        <f t="shared" si="1408"/>
        <v>0.35714285714285715</v>
      </c>
      <c r="U573" s="35" t="e">
        <f t="shared" si="1415"/>
        <v>#DIV/0!</v>
      </c>
      <c r="V573" s="6" t="e">
        <f t="shared" ref="V573:Z573" si="1566">V561</f>
        <v>#DIV/0!</v>
      </c>
      <c r="W573" s="6" t="e">
        <f t="shared" si="1566"/>
        <v>#DIV/0!</v>
      </c>
      <c r="X573" s="6" t="e">
        <f t="shared" si="1566"/>
        <v>#DIV/0!</v>
      </c>
      <c r="Y573" s="6" t="e">
        <f t="shared" si="1566"/>
        <v>#DIV/0!</v>
      </c>
      <c r="Z573" s="6" t="e">
        <f t="shared" si="1566"/>
        <v>#DIV/0!</v>
      </c>
    </row>
    <row r="574" spans="1:26" x14ac:dyDescent="0.2">
      <c r="A574" s="7" t="s">
        <v>77</v>
      </c>
      <c r="B574" s="6">
        <f t="shared" si="1410"/>
        <v>9</v>
      </c>
      <c r="C574" s="7" t="s">
        <v>159</v>
      </c>
      <c r="D574" s="68">
        <v>66</v>
      </c>
      <c r="E574" s="68">
        <v>75</v>
      </c>
      <c r="F574" s="65">
        <f t="shared" si="1405"/>
        <v>1.1363636363636365</v>
      </c>
      <c r="G574" s="60" t="e">
        <f t="shared" si="1411"/>
        <v>#DIV/0!</v>
      </c>
      <c r="H574" s="65" t="e">
        <f t="shared" ref="H574:J574" si="1567">H562</f>
        <v>#DIV/0!</v>
      </c>
      <c r="I574" s="65" t="e">
        <f t="shared" si="1567"/>
        <v>#DIV/0!</v>
      </c>
      <c r="J574" s="65" t="e">
        <f t="shared" si="1567"/>
        <v>#DIV/0!</v>
      </c>
      <c r="K574" s="69">
        <v>5400</v>
      </c>
      <c r="L574" s="69">
        <f>'Monitoramento Acumulado Geral'!Q574</f>
        <v>0</v>
      </c>
      <c r="M574" s="6">
        <f>(SUM(L566:L574))/K573</f>
        <v>0.1111111111111111</v>
      </c>
      <c r="N574" s="35" t="e">
        <f t="shared" si="1413"/>
        <v>#DIV/0!</v>
      </c>
      <c r="O574" s="6" t="e">
        <f t="shared" ref="O574:Q574" si="1568">O562</f>
        <v>#DIV/0!</v>
      </c>
      <c r="P574" s="6" t="e">
        <f t="shared" si="1568"/>
        <v>#DIV/0!</v>
      </c>
      <c r="Q574" s="6" t="e">
        <f t="shared" si="1568"/>
        <v>#DIV/0!</v>
      </c>
      <c r="R574" s="69">
        <v>70</v>
      </c>
      <c r="S574" s="69">
        <v>100</v>
      </c>
      <c r="T574" s="6">
        <f t="shared" si="1408"/>
        <v>1.4285714285714286</v>
      </c>
      <c r="U574" s="35" t="e">
        <f t="shared" si="1415"/>
        <v>#DIV/0!</v>
      </c>
      <c r="V574" s="6" t="e">
        <f t="shared" ref="V574:Z574" si="1569">V562</f>
        <v>#DIV/0!</v>
      </c>
      <c r="W574" s="6" t="e">
        <f t="shared" si="1569"/>
        <v>#DIV/0!</v>
      </c>
      <c r="X574" s="6" t="e">
        <f t="shared" si="1569"/>
        <v>#DIV/0!</v>
      </c>
      <c r="Y574" s="6" t="e">
        <f t="shared" si="1569"/>
        <v>#DIV/0!</v>
      </c>
      <c r="Z574" s="6" t="e">
        <f t="shared" si="1569"/>
        <v>#DIV/0!</v>
      </c>
    </row>
    <row r="575" spans="1:26" x14ac:dyDescent="0.2">
      <c r="A575" s="7" t="s">
        <v>77</v>
      </c>
      <c r="B575" s="6">
        <f t="shared" si="1410"/>
        <v>10</v>
      </c>
      <c r="C575" s="7" t="s">
        <v>160</v>
      </c>
      <c r="D575" s="68">
        <v>66</v>
      </c>
      <c r="E575" s="68">
        <v>75</v>
      </c>
      <c r="F575" s="65">
        <f t="shared" si="1405"/>
        <v>1.1363636363636365</v>
      </c>
      <c r="G575" s="60" t="e">
        <f t="shared" si="1411"/>
        <v>#DIV/0!</v>
      </c>
      <c r="H575" s="65" t="e">
        <f t="shared" ref="H575:J575" si="1570">H563</f>
        <v>#DIV/0!</v>
      </c>
      <c r="I575" s="65" t="e">
        <f t="shared" si="1570"/>
        <v>#DIV/0!</v>
      </c>
      <c r="J575" s="65" t="e">
        <f t="shared" si="1570"/>
        <v>#DIV/0!</v>
      </c>
      <c r="K575" s="69">
        <v>5400</v>
      </c>
      <c r="L575" s="69">
        <f>'Monitoramento Acumulado Geral'!Q575</f>
        <v>0</v>
      </c>
      <c r="M575" s="6">
        <f>(SUM(L566:L575))/K574</f>
        <v>0.1111111111111111</v>
      </c>
      <c r="N575" s="35" t="e">
        <f t="shared" si="1413"/>
        <v>#DIV/0!</v>
      </c>
      <c r="O575" s="6" t="e">
        <f t="shared" ref="O575:Q575" si="1571">O563</f>
        <v>#DIV/0!</v>
      </c>
      <c r="P575" s="6" t="e">
        <f t="shared" si="1571"/>
        <v>#DIV/0!</v>
      </c>
      <c r="Q575" s="6" t="e">
        <f t="shared" si="1571"/>
        <v>#DIV/0!</v>
      </c>
      <c r="R575" s="69">
        <v>70</v>
      </c>
      <c r="S575" s="69">
        <v>100</v>
      </c>
      <c r="T575" s="6">
        <f t="shared" si="1408"/>
        <v>1.4285714285714286</v>
      </c>
      <c r="U575" s="35" t="e">
        <f t="shared" si="1415"/>
        <v>#DIV/0!</v>
      </c>
      <c r="V575" s="6" t="e">
        <f t="shared" ref="V575:Z575" si="1572">V563</f>
        <v>#DIV/0!</v>
      </c>
      <c r="W575" s="6" t="e">
        <f t="shared" si="1572"/>
        <v>#DIV/0!</v>
      </c>
      <c r="X575" s="6" t="e">
        <f t="shared" si="1572"/>
        <v>#DIV/0!</v>
      </c>
      <c r="Y575" s="6" t="e">
        <f t="shared" si="1572"/>
        <v>#DIV/0!</v>
      </c>
      <c r="Z575" s="6" t="e">
        <f t="shared" si="1572"/>
        <v>#DIV/0!</v>
      </c>
    </row>
    <row r="576" spans="1:26" x14ac:dyDescent="0.2">
      <c r="A576" s="7" t="s">
        <v>77</v>
      </c>
      <c r="B576" s="6">
        <f t="shared" si="1410"/>
        <v>11</v>
      </c>
      <c r="C576" s="7" t="s">
        <v>161</v>
      </c>
      <c r="D576" s="68">
        <v>66</v>
      </c>
      <c r="E576" s="68">
        <v>0</v>
      </c>
      <c r="F576" s="65">
        <f t="shared" si="1405"/>
        <v>0</v>
      </c>
      <c r="G576" s="60" t="e">
        <f t="shared" si="1411"/>
        <v>#DIV/0!</v>
      </c>
      <c r="H576" s="65" t="e">
        <f t="shared" ref="H576:J576" si="1573">H564</f>
        <v>#DIV/0!</v>
      </c>
      <c r="I576" s="65" t="e">
        <f t="shared" si="1573"/>
        <v>#DIV/0!</v>
      </c>
      <c r="J576" s="65" t="e">
        <f t="shared" si="1573"/>
        <v>#DIV/0!</v>
      </c>
      <c r="K576" s="69">
        <v>5400</v>
      </c>
      <c r="L576" s="69">
        <f>'Monitoramento Acumulado Geral'!Q576</f>
        <v>0</v>
      </c>
      <c r="M576" s="6">
        <f>(SUM(L566:L576))/K575</f>
        <v>0.1111111111111111</v>
      </c>
      <c r="N576" s="35" t="e">
        <f t="shared" si="1413"/>
        <v>#DIV/0!</v>
      </c>
      <c r="O576" s="6" t="e">
        <f t="shared" ref="O576:Q576" si="1574">O564</f>
        <v>#DIV/0!</v>
      </c>
      <c r="P576" s="6" t="e">
        <f t="shared" si="1574"/>
        <v>#DIV/0!</v>
      </c>
      <c r="Q576" s="6" t="e">
        <f t="shared" si="1574"/>
        <v>#DIV/0!</v>
      </c>
      <c r="R576" s="69">
        <v>70</v>
      </c>
      <c r="S576" s="69">
        <v>0</v>
      </c>
      <c r="T576" s="6">
        <f t="shared" si="1408"/>
        <v>0</v>
      </c>
      <c r="U576" s="35" t="e">
        <f t="shared" si="1415"/>
        <v>#DIV/0!</v>
      </c>
      <c r="V576" s="6" t="e">
        <f t="shared" ref="V576:Z576" si="1575">V564</f>
        <v>#DIV/0!</v>
      </c>
      <c r="W576" s="6" t="e">
        <f t="shared" si="1575"/>
        <v>#DIV/0!</v>
      </c>
      <c r="X576" s="6" t="e">
        <f t="shared" si="1575"/>
        <v>#DIV/0!</v>
      </c>
      <c r="Y576" s="6" t="e">
        <f t="shared" si="1575"/>
        <v>#DIV/0!</v>
      </c>
      <c r="Z576" s="6" t="e">
        <f t="shared" si="1575"/>
        <v>#DIV/0!</v>
      </c>
    </row>
    <row r="577" spans="1:26" x14ac:dyDescent="0.2">
      <c r="A577" s="7" t="s">
        <v>77</v>
      </c>
      <c r="B577" s="6">
        <f t="shared" si="1410"/>
        <v>12</v>
      </c>
      <c r="C577" s="7" t="s">
        <v>162</v>
      </c>
      <c r="D577" s="68">
        <v>66</v>
      </c>
      <c r="E577" s="68">
        <v>0</v>
      </c>
      <c r="F577" s="65">
        <f t="shared" si="1405"/>
        <v>0</v>
      </c>
      <c r="G577" s="60" t="e">
        <f t="shared" si="1411"/>
        <v>#DIV/0!</v>
      </c>
      <c r="H577" s="65" t="e">
        <f t="shared" ref="H577:J577" si="1576">H565</f>
        <v>#DIV/0!</v>
      </c>
      <c r="I577" s="65" t="e">
        <f t="shared" si="1576"/>
        <v>#DIV/0!</v>
      </c>
      <c r="J577" s="65" t="e">
        <f t="shared" si="1576"/>
        <v>#DIV/0!</v>
      </c>
      <c r="K577" s="69">
        <v>5400</v>
      </c>
      <c r="L577" s="69">
        <f>'Monitoramento Acumulado Geral'!Q577</f>
        <v>0</v>
      </c>
      <c r="M577" s="6">
        <f>(SUM(L566:L577))/K576</f>
        <v>0.1111111111111111</v>
      </c>
      <c r="N577" s="35" t="e">
        <f t="shared" si="1413"/>
        <v>#DIV/0!</v>
      </c>
      <c r="O577" s="6" t="e">
        <f t="shared" ref="O577:Q577" si="1577">O565</f>
        <v>#DIV/0!</v>
      </c>
      <c r="P577" s="6" t="e">
        <f t="shared" si="1577"/>
        <v>#DIV/0!</v>
      </c>
      <c r="Q577" s="6" t="e">
        <f t="shared" si="1577"/>
        <v>#DIV/0!</v>
      </c>
      <c r="R577" s="69">
        <v>70</v>
      </c>
      <c r="S577" s="69">
        <v>0</v>
      </c>
      <c r="T577" s="6">
        <f t="shared" si="1408"/>
        <v>0</v>
      </c>
      <c r="U577" s="35" t="e">
        <f t="shared" si="1415"/>
        <v>#DIV/0!</v>
      </c>
      <c r="V577" s="6" t="e">
        <f t="shared" ref="V577:Z577" si="1578">V565</f>
        <v>#DIV/0!</v>
      </c>
      <c r="W577" s="6" t="e">
        <f t="shared" si="1578"/>
        <v>#DIV/0!</v>
      </c>
      <c r="X577" s="6" t="e">
        <f t="shared" si="1578"/>
        <v>#DIV/0!</v>
      </c>
      <c r="Y577" s="6" t="e">
        <f t="shared" si="1578"/>
        <v>#DIV/0!</v>
      </c>
      <c r="Z577" s="6" t="e">
        <f t="shared" si="1578"/>
        <v>#DIV/0!</v>
      </c>
    </row>
    <row r="578" spans="1:26" x14ac:dyDescent="0.2">
      <c r="A578" s="7" t="s">
        <v>52</v>
      </c>
      <c r="B578" s="6">
        <f t="shared" si="1410"/>
        <v>1</v>
      </c>
      <c r="C578" s="7" t="s">
        <v>151</v>
      </c>
      <c r="D578" s="68">
        <v>70</v>
      </c>
      <c r="E578" s="68">
        <v>0</v>
      </c>
      <c r="F578" s="65">
        <f t="shared" si="1405"/>
        <v>0</v>
      </c>
      <c r="G578" s="60" t="e">
        <f t="shared" si="1411"/>
        <v>#DIV/0!</v>
      </c>
      <c r="H578" s="65" t="e">
        <f t="shared" ref="H578:J578" si="1579">H566</f>
        <v>#DIV/0!</v>
      </c>
      <c r="I578" s="65" t="e">
        <f t="shared" si="1579"/>
        <v>#DIV/0!</v>
      </c>
      <c r="J578" s="65" t="e">
        <f t="shared" si="1579"/>
        <v>#DIV/0!</v>
      </c>
      <c r="K578" s="69">
        <v>6600</v>
      </c>
      <c r="L578" s="69">
        <f>'Monitoramento Acumulado Geral'!Q578</f>
        <v>0</v>
      </c>
      <c r="M578" s="6">
        <f>L578/K578</f>
        <v>0</v>
      </c>
      <c r="N578" s="35" t="e">
        <f t="shared" si="1413"/>
        <v>#DIV/0!</v>
      </c>
      <c r="O578" s="6" t="e">
        <f t="shared" ref="O578:Q578" si="1580">O566</f>
        <v>#DIV/0!</v>
      </c>
      <c r="P578" s="6" t="e">
        <f t="shared" si="1580"/>
        <v>#DIV/0!</v>
      </c>
      <c r="Q578" s="6" t="e">
        <f t="shared" si="1580"/>
        <v>#DIV/0!</v>
      </c>
      <c r="R578" s="69">
        <v>60</v>
      </c>
      <c r="S578" s="69">
        <v>0</v>
      </c>
      <c r="T578" s="6">
        <f t="shared" si="1408"/>
        <v>0</v>
      </c>
      <c r="U578" s="35" t="e">
        <f t="shared" si="1415"/>
        <v>#DIV/0!</v>
      </c>
      <c r="V578" s="6" t="e">
        <f t="shared" ref="V578:Z578" si="1581">V566</f>
        <v>#DIV/0!</v>
      </c>
      <c r="W578" s="6" t="e">
        <f t="shared" si="1581"/>
        <v>#DIV/0!</v>
      </c>
      <c r="X578" s="6" t="e">
        <f t="shared" si="1581"/>
        <v>#DIV/0!</v>
      </c>
      <c r="Y578" s="6" t="e">
        <f t="shared" si="1581"/>
        <v>#DIV/0!</v>
      </c>
      <c r="Z578" s="6" t="e">
        <f t="shared" si="1581"/>
        <v>#DIV/0!</v>
      </c>
    </row>
    <row r="579" spans="1:26" x14ac:dyDescent="0.2">
      <c r="A579" s="7" t="s">
        <v>52</v>
      </c>
      <c r="B579" s="6">
        <f t="shared" si="1410"/>
        <v>2</v>
      </c>
      <c r="C579" s="7" t="s">
        <v>152</v>
      </c>
      <c r="D579" s="68">
        <v>70</v>
      </c>
      <c r="E579" s="68">
        <v>0</v>
      </c>
      <c r="F579" s="65">
        <f t="shared" si="1405"/>
        <v>0</v>
      </c>
      <c r="G579" s="60" t="e">
        <f t="shared" si="1411"/>
        <v>#DIV/0!</v>
      </c>
      <c r="H579" s="65" t="e">
        <f t="shared" ref="H579:J579" si="1582">H567</f>
        <v>#DIV/0!</v>
      </c>
      <c r="I579" s="65" t="e">
        <f t="shared" si="1582"/>
        <v>#DIV/0!</v>
      </c>
      <c r="J579" s="65" t="e">
        <f t="shared" si="1582"/>
        <v>#DIV/0!</v>
      </c>
      <c r="K579" s="69">
        <v>6600</v>
      </c>
      <c r="L579" s="69">
        <f>'Monitoramento Acumulado Geral'!Q579</f>
        <v>0</v>
      </c>
      <c r="M579" s="6">
        <f>(SUM(L578:L579))/K578</f>
        <v>0</v>
      </c>
      <c r="N579" s="35" t="e">
        <f t="shared" si="1413"/>
        <v>#DIV/0!</v>
      </c>
      <c r="O579" s="6" t="e">
        <f t="shared" ref="O579:Q579" si="1583">O567</f>
        <v>#DIV/0!</v>
      </c>
      <c r="P579" s="6" t="e">
        <f t="shared" si="1583"/>
        <v>#DIV/0!</v>
      </c>
      <c r="Q579" s="6" t="e">
        <f t="shared" si="1583"/>
        <v>#DIV/0!</v>
      </c>
      <c r="R579" s="69">
        <v>60</v>
      </c>
      <c r="S579" s="69">
        <v>0</v>
      </c>
      <c r="T579" s="6">
        <f t="shared" si="1408"/>
        <v>0</v>
      </c>
      <c r="U579" s="35" t="e">
        <f t="shared" si="1415"/>
        <v>#DIV/0!</v>
      </c>
      <c r="V579" s="6" t="e">
        <f t="shared" ref="V579:Z579" si="1584">V567</f>
        <v>#DIV/0!</v>
      </c>
      <c r="W579" s="6" t="e">
        <f t="shared" si="1584"/>
        <v>#DIV/0!</v>
      </c>
      <c r="X579" s="6" t="e">
        <f t="shared" si="1584"/>
        <v>#DIV/0!</v>
      </c>
      <c r="Y579" s="6" t="e">
        <f t="shared" si="1584"/>
        <v>#DIV/0!</v>
      </c>
      <c r="Z579" s="6" t="e">
        <f t="shared" si="1584"/>
        <v>#DIV/0!</v>
      </c>
    </row>
    <row r="580" spans="1:26" x14ac:dyDescent="0.2">
      <c r="A580" s="7" t="s">
        <v>52</v>
      </c>
      <c r="B580" s="6">
        <f t="shared" si="1410"/>
        <v>3</v>
      </c>
      <c r="C580" s="7" t="s">
        <v>153</v>
      </c>
      <c r="D580" s="68">
        <v>70</v>
      </c>
      <c r="E580" s="68">
        <v>100</v>
      </c>
      <c r="F580" s="65">
        <f t="shared" si="1405"/>
        <v>1.4285714285714286</v>
      </c>
      <c r="G580" s="60" t="e">
        <f t="shared" si="1411"/>
        <v>#DIV/0!</v>
      </c>
      <c r="H580" s="65" t="e">
        <f t="shared" ref="H580:J580" si="1585">H568</f>
        <v>#DIV/0!</v>
      </c>
      <c r="I580" s="65" t="e">
        <f t="shared" si="1585"/>
        <v>#DIV/0!</v>
      </c>
      <c r="J580" s="65" t="e">
        <f t="shared" si="1585"/>
        <v>#DIV/0!</v>
      </c>
      <c r="K580" s="69">
        <v>6600</v>
      </c>
      <c r="L580" s="69">
        <f>'Monitoramento Acumulado Geral'!Q580</f>
        <v>4300</v>
      </c>
      <c r="M580" s="6">
        <f>(SUM(L578:L580))/K579</f>
        <v>0.65151515151515149</v>
      </c>
      <c r="N580" s="35" t="e">
        <f t="shared" si="1413"/>
        <v>#DIV/0!</v>
      </c>
      <c r="O580" s="6" t="e">
        <f t="shared" ref="O580:Q580" si="1586">O568</f>
        <v>#DIV/0!</v>
      </c>
      <c r="P580" s="6" t="e">
        <f t="shared" si="1586"/>
        <v>#DIV/0!</v>
      </c>
      <c r="Q580" s="6" t="e">
        <f t="shared" si="1586"/>
        <v>#DIV/0!</v>
      </c>
      <c r="R580" s="69">
        <v>60</v>
      </c>
      <c r="S580" s="69">
        <v>0</v>
      </c>
      <c r="T580" s="6">
        <f t="shared" si="1408"/>
        <v>0</v>
      </c>
      <c r="U580" s="35" t="e">
        <f t="shared" si="1415"/>
        <v>#DIV/0!</v>
      </c>
      <c r="V580" s="6" t="e">
        <f t="shared" ref="V580:Z580" si="1587">V568</f>
        <v>#DIV/0!</v>
      </c>
      <c r="W580" s="6" t="e">
        <f t="shared" si="1587"/>
        <v>#DIV/0!</v>
      </c>
      <c r="X580" s="6" t="e">
        <f t="shared" si="1587"/>
        <v>#DIV/0!</v>
      </c>
      <c r="Y580" s="6" t="e">
        <f t="shared" si="1587"/>
        <v>#DIV/0!</v>
      </c>
      <c r="Z580" s="6" t="e">
        <f t="shared" si="1587"/>
        <v>#DIV/0!</v>
      </c>
    </row>
    <row r="581" spans="1:26" x14ac:dyDescent="0.2">
      <c r="A581" s="7" t="s">
        <v>52</v>
      </c>
      <c r="B581" s="6">
        <f t="shared" si="1410"/>
        <v>4</v>
      </c>
      <c r="C581" s="7" t="s">
        <v>154</v>
      </c>
      <c r="D581" s="68">
        <v>70</v>
      </c>
      <c r="E581" s="68">
        <v>100</v>
      </c>
      <c r="F581" s="65">
        <f t="shared" si="1405"/>
        <v>1.4285714285714286</v>
      </c>
      <c r="G581" s="60" t="e">
        <f t="shared" si="1411"/>
        <v>#DIV/0!</v>
      </c>
      <c r="H581" s="65" t="e">
        <f t="shared" ref="H581:J581" si="1588">H569</f>
        <v>#DIV/0!</v>
      </c>
      <c r="I581" s="65" t="e">
        <f t="shared" si="1588"/>
        <v>#DIV/0!</v>
      </c>
      <c r="J581" s="65" t="e">
        <f t="shared" si="1588"/>
        <v>#DIV/0!</v>
      </c>
      <c r="K581" s="69">
        <v>6600</v>
      </c>
      <c r="L581" s="69">
        <f>'Monitoramento Acumulado Geral'!Q581</f>
        <v>0</v>
      </c>
      <c r="M581" s="6">
        <f>(SUM(L578:L581))/K580</f>
        <v>0.65151515151515149</v>
      </c>
      <c r="N581" s="35" t="e">
        <f t="shared" si="1413"/>
        <v>#DIV/0!</v>
      </c>
      <c r="O581" s="6" t="e">
        <f t="shared" ref="O581:Q581" si="1589">O569</f>
        <v>#DIV/0!</v>
      </c>
      <c r="P581" s="6" t="e">
        <f t="shared" si="1589"/>
        <v>#DIV/0!</v>
      </c>
      <c r="Q581" s="6" t="e">
        <f t="shared" si="1589"/>
        <v>#DIV/0!</v>
      </c>
      <c r="R581" s="69">
        <v>60</v>
      </c>
      <c r="S581" s="69">
        <v>0</v>
      </c>
      <c r="T581" s="6">
        <f t="shared" si="1408"/>
        <v>0</v>
      </c>
      <c r="U581" s="35" t="e">
        <f t="shared" si="1415"/>
        <v>#DIV/0!</v>
      </c>
      <c r="V581" s="6" t="e">
        <f t="shared" ref="V581:Z581" si="1590">V569</f>
        <v>#DIV/0!</v>
      </c>
      <c r="W581" s="6" t="e">
        <f t="shared" si="1590"/>
        <v>#DIV/0!</v>
      </c>
      <c r="X581" s="6" t="e">
        <f t="shared" si="1590"/>
        <v>#DIV/0!</v>
      </c>
      <c r="Y581" s="6" t="e">
        <f t="shared" si="1590"/>
        <v>#DIV/0!</v>
      </c>
      <c r="Z581" s="6" t="e">
        <f t="shared" si="1590"/>
        <v>#DIV/0!</v>
      </c>
    </row>
    <row r="582" spans="1:26" x14ac:dyDescent="0.2">
      <c r="A582" s="7" t="s">
        <v>52</v>
      </c>
      <c r="B582" s="6">
        <f t="shared" si="1410"/>
        <v>5</v>
      </c>
      <c r="C582" s="7" t="s">
        <v>155</v>
      </c>
      <c r="D582" s="68">
        <v>70</v>
      </c>
      <c r="E582" s="68">
        <v>100</v>
      </c>
      <c r="F582" s="65">
        <f t="shared" si="1405"/>
        <v>1.4285714285714286</v>
      </c>
      <c r="G582" s="60" t="e">
        <f t="shared" si="1411"/>
        <v>#DIV/0!</v>
      </c>
      <c r="H582" s="65" t="e">
        <f t="shared" ref="H582:J582" si="1591">H570</f>
        <v>#DIV/0!</v>
      </c>
      <c r="I582" s="65" t="e">
        <f t="shared" si="1591"/>
        <v>#DIV/0!</v>
      </c>
      <c r="J582" s="65" t="e">
        <f t="shared" si="1591"/>
        <v>#DIV/0!</v>
      </c>
      <c r="K582" s="69">
        <v>6600</v>
      </c>
      <c r="L582" s="69">
        <f>'Monitoramento Acumulado Geral'!Q582</f>
        <v>0</v>
      </c>
      <c r="M582" s="6">
        <f>(SUM(L578:L582))/K581</f>
        <v>0.65151515151515149</v>
      </c>
      <c r="N582" s="35" t="e">
        <f t="shared" si="1413"/>
        <v>#DIV/0!</v>
      </c>
      <c r="O582" s="6" t="e">
        <f t="shared" ref="O582:Q582" si="1592">O570</f>
        <v>#DIV/0!</v>
      </c>
      <c r="P582" s="6" t="e">
        <f t="shared" si="1592"/>
        <v>#DIV/0!</v>
      </c>
      <c r="Q582" s="6" t="e">
        <f t="shared" si="1592"/>
        <v>#DIV/0!</v>
      </c>
      <c r="R582" s="69">
        <v>60</v>
      </c>
      <c r="S582" s="69">
        <v>0</v>
      </c>
      <c r="T582" s="6">
        <f t="shared" si="1408"/>
        <v>0</v>
      </c>
      <c r="U582" s="35" t="e">
        <f t="shared" si="1415"/>
        <v>#DIV/0!</v>
      </c>
      <c r="V582" s="6" t="e">
        <f t="shared" ref="V582:Z582" si="1593">V570</f>
        <v>#DIV/0!</v>
      </c>
      <c r="W582" s="6" t="e">
        <f t="shared" si="1593"/>
        <v>#DIV/0!</v>
      </c>
      <c r="X582" s="6" t="e">
        <f t="shared" si="1593"/>
        <v>#DIV/0!</v>
      </c>
      <c r="Y582" s="6" t="e">
        <f t="shared" si="1593"/>
        <v>#DIV/0!</v>
      </c>
      <c r="Z582" s="6" t="e">
        <f t="shared" si="1593"/>
        <v>#DIV/0!</v>
      </c>
    </row>
    <row r="583" spans="1:26" x14ac:dyDescent="0.2">
      <c r="A583" s="7" t="s">
        <v>52</v>
      </c>
      <c r="B583" s="6">
        <f t="shared" si="1410"/>
        <v>6</v>
      </c>
      <c r="C583" s="7" t="s">
        <v>156</v>
      </c>
      <c r="D583" s="68">
        <v>70</v>
      </c>
      <c r="E583" s="68">
        <v>100</v>
      </c>
      <c r="F583" s="65">
        <f t="shared" si="1405"/>
        <v>1.4285714285714286</v>
      </c>
      <c r="G583" s="60" t="e">
        <f t="shared" si="1411"/>
        <v>#DIV/0!</v>
      </c>
      <c r="H583" s="65" t="e">
        <f t="shared" ref="H583:J583" si="1594">H571</f>
        <v>#DIV/0!</v>
      </c>
      <c r="I583" s="65" t="e">
        <f t="shared" si="1594"/>
        <v>#DIV/0!</v>
      </c>
      <c r="J583" s="65" t="e">
        <f t="shared" si="1594"/>
        <v>#DIV/0!</v>
      </c>
      <c r="K583" s="69">
        <v>6600</v>
      </c>
      <c r="L583" s="69">
        <f>'Monitoramento Acumulado Geral'!Q583</f>
        <v>0</v>
      </c>
      <c r="M583" s="6">
        <f>(SUM(L578:L583))/K582</f>
        <v>0.65151515151515149</v>
      </c>
      <c r="N583" s="35" t="e">
        <f t="shared" si="1413"/>
        <v>#DIV/0!</v>
      </c>
      <c r="O583" s="6" t="e">
        <f t="shared" ref="O583:Q583" si="1595">O571</f>
        <v>#DIV/0!</v>
      </c>
      <c r="P583" s="6" t="e">
        <f t="shared" si="1595"/>
        <v>#DIV/0!</v>
      </c>
      <c r="Q583" s="6" t="e">
        <f t="shared" si="1595"/>
        <v>#DIV/0!</v>
      </c>
      <c r="R583" s="69">
        <v>60</v>
      </c>
      <c r="S583" s="69">
        <v>0</v>
      </c>
      <c r="T583" s="6">
        <f t="shared" si="1408"/>
        <v>0</v>
      </c>
      <c r="U583" s="35" t="e">
        <f t="shared" si="1415"/>
        <v>#DIV/0!</v>
      </c>
      <c r="V583" s="6" t="e">
        <f t="shared" ref="V583:Z583" si="1596">V571</f>
        <v>#DIV/0!</v>
      </c>
      <c r="W583" s="6" t="e">
        <f t="shared" si="1596"/>
        <v>#DIV/0!</v>
      </c>
      <c r="X583" s="6" t="e">
        <f t="shared" si="1596"/>
        <v>#DIV/0!</v>
      </c>
      <c r="Y583" s="6" t="e">
        <f t="shared" si="1596"/>
        <v>#DIV/0!</v>
      </c>
      <c r="Z583" s="6" t="e">
        <f t="shared" si="1596"/>
        <v>#DIV/0!</v>
      </c>
    </row>
    <row r="584" spans="1:26" x14ac:dyDescent="0.2">
      <c r="A584" s="7" t="s">
        <v>52</v>
      </c>
      <c r="B584" s="6">
        <f t="shared" si="1410"/>
        <v>7</v>
      </c>
      <c r="C584" s="7" t="s">
        <v>157</v>
      </c>
      <c r="D584" s="68">
        <v>70</v>
      </c>
      <c r="E584" s="68">
        <v>100</v>
      </c>
      <c r="F584" s="65">
        <f t="shared" si="1405"/>
        <v>1.4285714285714286</v>
      </c>
      <c r="G584" s="60" t="e">
        <f t="shared" si="1411"/>
        <v>#DIV/0!</v>
      </c>
      <c r="H584" s="65" t="e">
        <f t="shared" ref="H584:J584" si="1597">H572</f>
        <v>#DIV/0!</v>
      </c>
      <c r="I584" s="65" t="e">
        <f t="shared" si="1597"/>
        <v>#DIV/0!</v>
      </c>
      <c r="J584" s="65" t="e">
        <f t="shared" si="1597"/>
        <v>#DIV/0!</v>
      </c>
      <c r="K584" s="69">
        <v>6600</v>
      </c>
      <c r="L584" s="69">
        <f>'Monitoramento Acumulado Geral'!Q584</f>
        <v>0</v>
      </c>
      <c r="M584" s="6">
        <f>(SUM(L578:L584))/K583</f>
        <v>0.65151515151515149</v>
      </c>
      <c r="N584" s="35" t="e">
        <f t="shared" si="1413"/>
        <v>#DIV/0!</v>
      </c>
      <c r="O584" s="6" t="e">
        <f t="shared" ref="O584:Q584" si="1598">O572</f>
        <v>#DIV/0!</v>
      </c>
      <c r="P584" s="6" t="e">
        <f t="shared" si="1598"/>
        <v>#DIV/0!</v>
      </c>
      <c r="Q584" s="6" t="e">
        <f t="shared" si="1598"/>
        <v>#DIV/0!</v>
      </c>
      <c r="R584" s="69">
        <v>60</v>
      </c>
      <c r="S584" s="69">
        <v>0</v>
      </c>
      <c r="T584" s="6">
        <f t="shared" si="1408"/>
        <v>0</v>
      </c>
      <c r="U584" s="35" t="e">
        <f t="shared" si="1415"/>
        <v>#DIV/0!</v>
      </c>
      <c r="V584" s="6" t="e">
        <f t="shared" ref="V584:Z584" si="1599">V572</f>
        <v>#DIV/0!</v>
      </c>
      <c r="W584" s="6" t="e">
        <f t="shared" si="1599"/>
        <v>#DIV/0!</v>
      </c>
      <c r="X584" s="6" t="e">
        <f t="shared" si="1599"/>
        <v>#DIV/0!</v>
      </c>
      <c r="Y584" s="6" t="e">
        <f t="shared" si="1599"/>
        <v>#DIV/0!</v>
      </c>
      <c r="Z584" s="6" t="e">
        <f t="shared" si="1599"/>
        <v>#DIV/0!</v>
      </c>
    </row>
    <row r="585" spans="1:26" x14ac:dyDescent="0.2">
      <c r="A585" s="7" t="s">
        <v>52</v>
      </c>
      <c r="B585" s="6">
        <f t="shared" si="1410"/>
        <v>8</v>
      </c>
      <c r="C585" s="7" t="s">
        <v>158</v>
      </c>
      <c r="D585" s="68">
        <v>70</v>
      </c>
      <c r="E585" s="68">
        <v>0</v>
      </c>
      <c r="F585" s="65">
        <f t="shared" si="1405"/>
        <v>0</v>
      </c>
      <c r="G585" s="60" t="e">
        <f t="shared" si="1411"/>
        <v>#DIV/0!</v>
      </c>
      <c r="H585" s="65" t="e">
        <f t="shared" ref="H585:J585" si="1600">H573</f>
        <v>#DIV/0!</v>
      </c>
      <c r="I585" s="65" t="e">
        <f t="shared" si="1600"/>
        <v>#DIV/0!</v>
      </c>
      <c r="J585" s="65" t="e">
        <f t="shared" si="1600"/>
        <v>#DIV/0!</v>
      </c>
      <c r="K585" s="69">
        <v>6600</v>
      </c>
      <c r="L585" s="69">
        <f>'Monitoramento Acumulado Geral'!Q585</f>
        <v>0</v>
      </c>
      <c r="M585" s="6">
        <f>(SUM(L578:L585))/K584</f>
        <v>0.65151515151515149</v>
      </c>
      <c r="N585" s="35" t="e">
        <f t="shared" si="1413"/>
        <v>#DIV/0!</v>
      </c>
      <c r="O585" s="6" t="e">
        <f t="shared" ref="O585:Q585" si="1601">O573</f>
        <v>#DIV/0!</v>
      </c>
      <c r="P585" s="6" t="e">
        <f t="shared" si="1601"/>
        <v>#DIV/0!</v>
      </c>
      <c r="Q585" s="6" t="e">
        <f t="shared" si="1601"/>
        <v>#DIV/0!</v>
      </c>
      <c r="R585" s="69">
        <v>60</v>
      </c>
      <c r="S585" s="69">
        <v>0</v>
      </c>
      <c r="T585" s="6">
        <f t="shared" si="1408"/>
        <v>0</v>
      </c>
      <c r="U585" s="35" t="e">
        <f t="shared" si="1415"/>
        <v>#DIV/0!</v>
      </c>
      <c r="V585" s="6" t="e">
        <f t="shared" ref="V585:Z585" si="1602">V573</f>
        <v>#DIV/0!</v>
      </c>
      <c r="W585" s="6" t="e">
        <f t="shared" si="1602"/>
        <v>#DIV/0!</v>
      </c>
      <c r="X585" s="6" t="e">
        <f t="shared" si="1602"/>
        <v>#DIV/0!</v>
      </c>
      <c r="Y585" s="6" t="e">
        <f t="shared" si="1602"/>
        <v>#DIV/0!</v>
      </c>
      <c r="Z585" s="6" t="e">
        <f t="shared" si="1602"/>
        <v>#DIV/0!</v>
      </c>
    </row>
    <row r="586" spans="1:26" x14ac:dyDescent="0.2">
      <c r="A586" s="7" t="s">
        <v>52</v>
      </c>
      <c r="B586" s="6">
        <f t="shared" si="1410"/>
        <v>9</v>
      </c>
      <c r="C586" s="7" t="s">
        <v>159</v>
      </c>
      <c r="D586" s="68">
        <v>70</v>
      </c>
      <c r="E586" s="68">
        <v>0</v>
      </c>
      <c r="F586" s="65">
        <f t="shared" ref="F586:F661" si="1603">E586/D586</f>
        <v>0</v>
      </c>
      <c r="G586" s="60" t="e">
        <f t="shared" si="1411"/>
        <v>#DIV/0!</v>
      </c>
      <c r="H586" s="65" t="e">
        <f t="shared" ref="H586:J586" si="1604">H574</f>
        <v>#DIV/0!</v>
      </c>
      <c r="I586" s="65" t="e">
        <f t="shared" si="1604"/>
        <v>#DIV/0!</v>
      </c>
      <c r="J586" s="65" t="e">
        <f t="shared" si="1604"/>
        <v>#DIV/0!</v>
      </c>
      <c r="K586" s="69">
        <v>6600</v>
      </c>
      <c r="L586" s="69">
        <f>'Monitoramento Acumulado Geral'!Q586</f>
        <v>0</v>
      </c>
      <c r="M586" s="6">
        <f>(SUM(L578:L586))/K585</f>
        <v>0.65151515151515149</v>
      </c>
      <c r="N586" s="35" t="e">
        <f t="shared" si="1413"/>
        <v>#DIV/0!</v>
      </c>
      <c r="O586" s="6" t="e">
        <f t="shared" ref="O586:Q586" si="1605">O574</f>
        <v>#DIV/0!</v>
      </c>
      <c r="P586" s="6" t="e">
        <f t="shared" si="1605"/>
        <v>#DIV/0!</v>
      </c>
      <c r="Q586" s="6" t="e">
        <f t="shared" si="1605"/>
        <v>#DIV/0!</v>
      </c>
      <c r="R586" s="69">
        <v>60</v>
      </c>
      <c r="S586" s="69">
        <v>0</v>
      </c>
      <c r="T586" s="6">
        <f t="shared" ref="T586:T661" si="1606">S586/R586</f>
        <v>0</v>
      </c>
      <c r="U586" s="35" t="e">
        <f t="shared" si="1415"/>
        <v>#DIV/0!</v>
      </c>
      <c r="V586" s="6" t="e">
        <f t="shared" ref="V586:Z586" si="1607">V574</f>
        <v>#DIV/0!</v>
      </c>
      <c r="W586" s="6" t="e">
        <f t="shared" si="1607"/>
        <v>#DIV/0!</v>
      </c>
      <c r="X586" s="6" t="e">
        <f t="shared" si="1607"/>
        <v>#DIV/0!</v>
      </c>
      <c r="Y586" s="6" t="e">
        <f t="shared" si="1607"/>
        <v>#DIV/0!</v>
      </c>
      <c r="Z586" s="6" t="e">
        <f t="shared" si="1607"/>
        <v>#DIV/0!</v>
      </c>
    </row>
    <row r="587" spans="1:26" x14ac:dyDescent="0.2">
      <c r="A587" s="7" t="s">
        <v>52</v>
      </c>
      <c r="B587" s="6">
        <f t="shared" ref="B587:B662" si="1608">_xlfn.IFS(C587="Janeiro",1,C587="Fevereiro",2,C587="Março",3,C587="Abril",4,C587="Maio",5,C587="Junho",6,C587="Julho",7,C587="Agosto",8,C587="Setembro",9,C587="Outubro",10,C587="Novembro",11,C587="Dezembro",12,TRUE,0)</f>
        <v>10</v>
      </c>
      <c r="C587" s="7" t="s">
        <v>160</v>
      </c>
      <c r="D587" s="68">
        <v>70</v>
      </c>
      <c r="E587" s="68">
        <v>0</v>
      </c>
      <c r="F587" s="65">
        <f t="shared" si="1603"/>
        <v>0</v>
      </c>
      <c r="G587" s="60" t="e">
        <f t="shared" ref="G587:G662" si="1609">IF(F587&gt;=I587,"Desempenho Ótimo",(IF(F587&gt;H587,"Desempenho Bom",(IF(F587&gt;J587,"Desempenho Médio",IF(F587&lt;=J587,"Desempenho Deficitário",0))))))</f>
        <v>#DIV/0!</v>
      </c>
      <c r="H587" s="65" t="e">
        <f t="shared" ref="H587:J587" si="1610">H575</f>
        <v>#DIV/0!</v>
      </c>
      <c r="I587" s="65" t="e">
        <f t="shared" si="1610"/>
        <v>#DIV/0!</v>
      </c>
      <c r="J587" s="65" t="e">
        <f t="shared" si="1610"/>
        <v>#DIV/0!</v>
      </c>
      <c r="K587" s="69">
        <v>6600</v>
      </c>
      <c r="L587" s="69">
        <f>'Monitoramento Acumulado Geral'!Q587</f>
        <v>0</v>
      </c>
      <c r="M587" s="6">
        <f>(SUM(L578:L587))/K586</f>
        <v>0.65151515151515149</v>
      </c>
      <c r="N587" s="35" t="e">
        <f t="shared" ref="N587:N662" si="1611">IF(M587&gt;=P587,"Desempenho Ótimo",(IF(M587&gt;O587,"Desempenho Bom",(IF(M587&gt;Q587,"Desempenho Médio",IF(M587&lt;=Q587,"Desempenho Deficitário",0))))))</f>
        <v>#DIV/0!</v>
      </c>
      <c r="O587" s="6" t="e">
        <f t="shared" ref="O587:Q587" si="1612">O575</f>
        <v>#DIV/0!</v>
      </c>
      <c r="P587" s="6" t="e">
        <f t="shared" si="1612"/>
        <v>#DIV/0!</v>
      </c>
      <c r="Q587" s="6" t="e">
        <f t="shared" si="1612"/>
        <v>#DIV/0!</v>
      </c>
      <c r="R587" s="69">
        <v>60</v>
      </c>
      <c r="S587" s="69">
        <v>0</v>
      </c>
      <c r="T587" s="6">
        <f t="shared" si="1606"/>
        <v>0</v>
      </c>
      <c r="U587" s="35" t="e">
        <f t="shared" ref="U587:U662" si="1613">IF(T587&gt;=W587,"Desempenho Ótimo",(IF(T587&gt;V587,"Desempenho Bom",(IF(T587&gt;X587,"Desempenho Médio",IF(T587&lt;=X587,"Desempenho Deficitário",0))))))</f>
        <v>#DIV/0!</v>
      </c>
      <c r="V587" s="6" t="e">
        <f t="shared" ref="V587:Z587" si="1614">V575</f>
        <v>#DIV/0!</v>
      </c>
      <c r="W587" s="6" t="e">
        <f t="shared" si="1614"/>
        <v>#DIV/0!</v>
      </c>
      <c r="X587" s="6" t="e">
        <f t="shared" si="1614"/>
        <v>#DIV/0!</v>
      </c>
      <c r="Y587" s="6" t="e">
        <f t="shared" si="1614"/>
        <v>#DIV/0!</v>
      </c>
      <c r="Z587" s="6" t="e">
        <f t="shared" si="1614"/>
        <v>#DIV/0!</v>
      </c>
    </row>
    <row r="588" spans="1:26" x14ac:dyDescent="0.2">
      <c r="A588" s="7" t="s">
        <v>52</v>
      </c>
      <c r="B588" s="6">
        <f t="shared" si="1608"/>
        <v>11</v>
      </c>
      <c r="C588" s="7" t="s">
        <v>161</v>
      </c>
      <c r="D588" s="68">
        <v>70</v>
      </c>
      <c r="E588" s="68">
        <v>0</v>
      </c>
      <c r="F588" s="65">
        <f t="shared" si="1603"/>
        <v>0</v>
      </c>
      <c r="G588" s="60" t="e">
        <f t="shared" si="1609"/>
        <v>#DIV/0!</v>
      </c>
      <c r="H588" s="65" t="e">
        <f t="shared" ref="H588:J588" si="1615">H576</f>
        <v>#DIV/0!</v>
      </c>
      <c r="I588" s="65" t="e">
        <f t="shared" si="1615"/>
        <v>#DIV/0!</v>
      </c>
      <c r="J588" s="65" t="e">
        <f t="shared" si="1615"/>
        <v>#DIV/0!</v>
      </c>
      <c r="K588" s="69">
        <v>6600</v>
      </c>
      <c r="L588" s="69">
        <f>'Monitoramento Acumulado Geral'!Q588</f>
        <v>0</v>
      </c>
      <c r="M588" s="6">
        <f>(SUM(L578:L588))/K587</f>
        <v>0.65151515151515149</v>
      </c>
      <c r="N588" s="35" t="e">
        <f t="shared" si="1611"/>
        <v>#DIV/0!</v>
      </c>
      <c r="O588" s="6" t="e">
        <f t="shared" ref="O588:Q588" si="1616">O576</f>
        <v>#DIV/0!</v>
      </c>
      <c r="P588" s="6" t="e">
        <f t="shared" si="1616"/>
        <v>#DIV/0!</v>
      </c>
      <c r="Q588" s="6" t="e">
        <f t="shared" si="1616"/>
        <v>#DIV/0!</v>
      </c>
      <c r="R588" s="69">
        <v>60</v>
      </c>
      <c r="S588" s="69">
        <v>0</v>
      </c>
      <c r="T588" s="6">
        <f t="shared" si="1606"/>
        <v>0</v>
      </c>
      <c r="U588" s="35" t="e">
        <f t="shared" si="1613"/>
        <v>#DIV/0!</v>
      </c>
      <c r="V588" s="6" t="e">
        <f t="shared" ref="V588:Z588" si="1617">V576</f>
        <v>#DIV/0!</v>
      </c>
      <c r="W588" s="6" t="e">
        <f t="shared" si="1617"/>
        <v>#DIV/0!</v>
      </c>
      <c r="X588" s="6" t="e">
        <f t="shared" si="1617"/>
        <v>#DIV/0!</v>
      </c>
      <c r="Y588" s="6" t="e">
        <f t="shared" si="1617"/>
        <v>#DIV/0!</v>
      </c>
      <c r="Z588" s="6" t="e">
        <f t="shared" si="1617"/>
        <v>#DIV/0!</v>
      </c>
    </row>
    <row r="589" spans="1:26" x14ac:dyDescent="0.2">
      <c r="A589" s="7" t="s">
        <v>52</v>
      </c>
      <c r="B589" s="6">
        <f t="shared" si="1608"/>
        <v>12</v>
      </c>
      <c r="C589" s="7" t="s">
        <v>162</v>
      </c>
      <c r="D589" s="68">
        <v>70</v>
      </c>
      <c r="E589" s="68">
        <v>0</v>
      </c>
      <c r="F589" s="65">
        <f t="shared" si="1603"/>
        <v>0</v>
      </c>
      <c r="G589" s="60" t="e">
        <f t="shared" si="1609"/>
        <v>#DIV/0!</v>
      </c>
      <c r="H589" s="65" t="e">
        <f t="shared" ref="H589:J589" si="1618">H577</f>
        <v>#DIV/0!</v>
      </c>
      <c r="I589" s="65" t="e">
        <f t="shared" si="1618"/>
        <v>#DIV/0!</v>
      </c>
      <c r="J589" s="65" t="e">
        <f t="shared" si="1618"/>
        <v>#DIV/0!</v>
      </c>
      <c r="K589" s="69">
        <v>6600</v>
      </c>
      <c r="L589" s="69">
        <f>'Monitoramento Acumulado Geral'!Q589</f>
        <v>0</v>
      </c>
      <c r="M589" s="6">
        <f>(SUM(L578:L589))/K588</f>
        <v>0.65151515151515149</v>
      </c>
      <c r="N589" s="35" t="e">
        <f t="shared" si="1611"/>
        <v>#DIV/0!</v>
      </c>
      <c r="O589" s="6" t="e">
        <f t="shared" ref="O589:Q589" si="1619">O577</f>
        <v>#DIV/0!</v>
      </c>
      <c r="P589" s="6" t="e">
        <f t="shared" si="1619"/>
        <v>#DIV/0!</v>
      </c>
      <c r="Q589" s="6" t="e">
        <f t="shared" si="1619"/>
        <v>#DIV/0!</v>
      </c>
      <c r="R589" s="69">
        <v>60</v>
      </c>
      <c r="S589" s="69">
        <v>0</v>
      </c>
      <c r="T589" s="6">
        <f t="shared" si="1606"/>
        <v>0</v>
      </c>
      <c r="U589" s="35" t="e">
        <f t="shared" si="1613"/>
        <v>#DIV/0!</v>
      </c>
      <c r="V589" s="6" t="e">
        <f t="shared" ref="V589:Z589" si="1620">V577</f>
        <v>#DIV/0!</v>
      </c>
      <c r="W589" s="6" t="e">
        <f t="shared" si="1620"/>
        <v>#DIV/0!</v>
      </c>
      <c r="X589" s="6" t="e">
        <f t="shared" si="1620"/>
        <v>#DIV/0!</v>
      </c>
      <c r="Y589" s="6" t="e">
        <f t="shared" si="1620"/>
        <v>#DIV/0!</v>
      </c>
      <c r="Z589" s="6" t="e">
        <f t="shared" si="1620"/>
        <v>#DIV/0!</v>
      </c>
    </row>
    <row r="590" spans="1:26" x14ac:dyDescent="0.2">
      <c r="A590" s="7" t="s">
        <v>105</v>
      </c>
      <c r="B590" s="6">
        <f t="shared" si="1608"/>
        <v>1</v>
      </c>
      <c r="C590" s="7" t="s">
        <v>151</v>
      </c>
      <c r="D590" s="68">
        <v>75</v>
      </c>
      <c r="E590" s="68">
        <v>0</v>
      </c>
      <c r="F590" s="65">
        <f t="shared" si="1603"/>
        <v>0</v>
      </c>
      <c r="G590" s="60" t="e">
        <f t="shared" si="1609"/>
        <v>#DIV/0!</v>
      </c>
      <c r="H590" s="65" t="e">
        <f t="shared" ref="H590:J601" si="1621">H578</f>
        <v>#DIV/0!</v>
      </c>
      <c r="I590" s="65" t="e">
        <f t="shared" si="1621"/>
        <v>#DIV/0!</v>
      </c>
      <c r="J590" s="65" t="e">
        <f t="shared" si="1621"/>
        <v>#DIV/0!</v>
      </c>
      <c r="K590" s="69">
        <v>12330</v>
      </c>
      <c r="L590" s="69">
        <f>'Monitoramento Acumulado Geral'!Q590</f>
        <v>0</v>
      </c>
      <c r="M590" s="6">
        <f>L590/K590</f>
        <v>0</v>
      </c>
      <c r="N590" s="35" t="e">
        <f t="shared" si="1611"/>
        <v>#DIV/0!</v>
      </c>
      <c r="O590" s="6" t="e">
        <f t="shared" ref="O590:Q601" si="1622">O578</f>
        <v>#DIV/0!</v>
      </c>
      <c r="P590" s="6" t="e">
        <f t="shared" si="1622"/>
        <v>#DIV/0!</v>
      </c>
      <c r="Q590" s="6" t="e">
        <f t="shared" si="1622"/>
        <v>#DIV/0!</v>
      </c>
      <c r="R590" s="69">
        <v>80</v>
      </c>
      <c r="S590" s="69">
        <v>0</v>
      </c>
      <c r="T590" s="6">
        <f t="shared" si="1606"/>
        <v>0</v>
      </c>
      <c r="U590" s="35" t="e">
        <f t="shared" si="1613"/>
        <v>#DIV/0!</v>
      </c>
      <c r="V590" s="6" t="e">
        <f t="shared" ref="V590:Z601" si="1623">V578</f>
        <v>#DIV/0!</v>
      </c>
      <c r="W590" s="6" t="e">
        <f t="shared" si="1623"/>
        <v>#DIV/0!</v>
      </c>
      <c r="X590" s="6" t="e">
        <f t="shared" si="1623"/>
        <v>#DIV/0!</v>
      </c>
      <c r="Y590" s="6" t="e">
        <f t="shared" si="1623"/>
        <v>#DIV/0!</v>
      </c>
      <c r="Z590" s="6" t="e">
        <f t="shared" si="1623"/>
        <v>#DIV/0!</v>
      </c>
    </row>
    <row r="591" spans="1:26" x14ac:dyDescent="0.2">
      <c r="A591" s="7" t="s">
        <v>105</v>
      </c>
      <c r="B591" s="6">
        <f t="shared" si="1608"/>
        <v>2</v>
      </c>
      <c r="C591" s="7" t="s">
        <v>152</v>
      </c>
      <c r="D591" s="68">
        <v>75</v>
      </c>
      <c r="E591" s="68">
        <v>0</v>
      </c>
      <c r="F591" s="65">
        <f t="shared" si="1603"/>
        <v>0</v>
      </c>
      <c r="G591" s="60" t="e">
        <f t="shared" si="1609"/>
        <v>#DIV/0!</v>
      </c>
      <c r="H591" s="65" t="e">
        <f t="shared" si="1621"/>
        <v>#DIV/0!</v>
      </c>
      <c r="I591" s="65" t="e">
        <f t="shared" si="1621"/>
        <v>#DIV/0!</v>
      </c>
      <c r="J591" s="65" t="e">
        <f t="shared" si="1621"/>
        <v>#DIV/0!</v>
      </c>
      <c r="K591" s="69">
        <v>12330</v>
      </c>
      <c r="L591" s="69">
        <f>'Monitoramento Acumulado Geral'!Q591</f>
        <v>0</v>
      </c>
      <c r="M591" s="6">
        <f>(SUM(L590:L591))/K590</f>
        <v>0</v>
      </c>
      <c r="N591" s="35" t="e">
        <f t="shared" si="1611"/>
        <v>#DIV/0!</v>
      </c>
      <c r="O591" s="6" t="e">
        <f t="shared" si="1622"/>
        <v>#DIV/0!</v>
      </c>
      <c r="P591" s="6" t="e">
        <f t="shared" si="1622"/>
        <v>#DIV/0!</v>
      </c>
      <c r="Q591" s="6" t="e">
        <f t="shared" si="1622"/>
        <v>#DIV/0!</v>
      </c>
      <c r="R591" s="69">
        <v>80</v>
      </c>
      <c r="S591" s="69">
        <v>0</v>
      </c>
      <c r="T591" s="6">
        <f t="shared" si="1606"/>
        <v>0</v>
      </c>
      <c r="U591" s="35" t="e">
        <f t="shared" si="1613"/>
        <v>#DIV/0!</v>
      </c>
      <c r="V591" s="6" t="e">
        <f t="shared" si="1623"/>
        <v>#DIV/0!</v>
      </c>
      <c r="W591" s="6" t="e">
        <f t="shared" si="1623"/>
        <v>#DIV/0!</v>
      </c>
      <c r="X591" s="6" t="e">
        <f t="shared" si="1623"/>
        <v>#DIV/0!</v>
      </c>
      <c r="Y591" s="6" t="e">
        <f t="shared" si="1623"/>
        <v>#DIV/0!</v>
      </c>
      <c r="Z591" s="6" t="e">
        <f t="shared" si="1623"/>
        <v>#DIV/0!</v>
      </c>
    </row>
    <row r="592" spans="1:26" x14ac:dyDescent="0.2">
      <c r="A592" s="7" t="s">
        <v>105</v>
      </c>
      <c r="B592" s="6">
        <f t="shared" si="1608"/>
        <v>3</v>
      </c>
      <c r="C592" s="7" t="s">
        <v>153</v>
      </c>
      <c r="D592" s="68">
        <v>75</v>
      </c>
      <c r="E592" s="68">
        <v>0</v>
      </c>
      <c r="F592" s="65">
        <f t="shared" si="1603"/>
        <v>0</v>
      </c>
      <c r="G592" s="60" t="e">
        <f t="shared" si="1609"/>
        <v>#DIV/0!</v>
      </c>
      <c r="H592" s="65" t="e">
        <f t="shared" si="1621"/>
        <v>#DIV/0!</v>
      </c>
      <c r="I592" s="65" t="e">
        <f t="shared" si="1621"/>
        <v>#DIV/0!</v>
      </c>
      <c r="J592" s="65" t="e">
        <f t="shared" si="1621"/>
        <v>#DIV/0!</v>
      </c>
      <c r="K592" s="69">
        <v>12330</v>
      </c>
      <c r="L592" s="69">
        <f>'Monitoramento Acumulado Geral'!Q592</f>
        <v>0</v>
      </c>
      <c r="M592" s="6">
        <f>(SUM(L590:L592))/K591</f>
        <v>0</v>
      </c>
      <c r="N592" s="35" t="e">
        <f t="shared" si="1611"/>
        <v>#DIV/0!</v>
      </c>
      <c r="O592" s="6" t="e">
        <f t="shared" si="1622"/>
        <v>#DIV/0!</v>
      </c>
      <c r="P592" s="6" t="e">
        <f t="shared" si="1622"/>
        <v>#DIV/0!</v>
      </c>
      <c r="Q592" s="6" t="e">
        <f t="shared" si="1622"/>
        <v>#DIV/0!</v>
      </c>
      <c r="R592" s="69">
        <v>80</v>
      </c>
      <c r="S592" s="69">
        <v>0</v>
      </c>
      <c r="T592" s="6">
        <f t="shared" si="1606"/>
        <v>0</v>
      </c>
      <c r="U592" s="35" t="e">
        <f t="shared" si="1613"/>
        <v>#DIV/0!</v>
      </c>
      <c r="V592" s="6" t="e">
        <f t="shared" si="1623"/>
        <v>#DIV/0!</v>
      </c>
      <c r="W592" s="6" t="e">
        <f t="shared" si="1623"/>
        <v>#DIV/0!</v>
      </c>
      <c r="X592" s="6" t="e">
        <f t="shared" si="1623"/>
        <v>#DIV/0!</v>
      </c>
      <c r="Y592" s="6" t="e">
        <f t="shared" si="1623"/>
        <v>#DIV/0!</v>
      </c>
      <c r="Z592" s="6" t="e">
        <f t="shared" si="1623"/>
        <v>#DIV/0!</v>
      </c>
    </row>
    <row r="593" spans="1:26" x14ac:dyDescent="0.2">
      <c r="A593" s="7" t="s">
        <v>105</v>
      </c>
      <c r="B593" s="6">
        <f t="shared" si="1608"/>
        <v>4</v>
      </c>
      <c r="C593" s="7" t="s">
        <v>154</v>
      </c>
      <c r="D593" s="68">
        <v>75</v>
      </c>
      <c r="E593" s="68">
        <v>0</v>
      </c>
      <c r="F593" s="65">
        <f t="shared" si="1603"/>
        <v>0</v>
      </c>
      <c r="G593" s="60" t="e">
        <f t="shared" si="1609"/>
        <v>#DIV/0!</v>
      </c>
      <c r="H593" s="65" t="e">
        <f t="shared" si="1621"/>
        <v>#DIV/0!</v>
      </c>
      <c r="I593" s="65" t="e">
        <f t="shared" si="1621"/>
        <v>#DIV/0!</v>
      </c>
      <c r="J593" s="65" t="e">
        <f t="shared" si="1621"/>
        <v>#DIV/0!</v>
      </c>
      <c r="K593" s="69">
        <v>12330</v>
      </c>
      <c r="L593" s="69">
        <f>'Monitoramento Acumulado Geral'!Q593</f>
        <v>0</v>
      </c>
      <c r="M593" s="6">
        <f>(SUM(L590:L593))/K592</f>
        <v>0</v>
      </c>
      <c r="N593" s="35" t="e">
        <f t="shared" si="1611"/>
        <v>#DIV/0!</v>
      </c>
      <c r="O593" s="6" t="e">
        <f t="shared" si="1622"/>
        <v>#DIV/0!</v>
      </c>
      <c r="P593" s="6" t="e">
        <f t="shared" si="1622"/>
        <v>#DIV/0!</v>
      </c>
      <c r="Q593" s="6" t="e">
        <f t="shared" si="1622"/>
        <v>#DIV/0!</v>
      </c>
      <c r="R593" s="69">
        <v>80</v>
      </c>
      <c r="S593" s="69">
        <v>0</v>
      </c>
      <c r="T593" s="6">
        <f t="shared" si="1606"/>
        <v>0</v>
      </c>
      <c r="U593" s="35" t="e">
        <f t="shared" si="1613"/>
        <v>#DIV/0!</v>
      </c>
      <c r="V593" s="6" t="e">
        <f t="shared" si="1623"/>
        <v>#DIV/0!</v>
      </c>
      <c r="W593" s="6" t="e">
        <f t="shared" si="1623"/>
        <v>#DIV/0!</v>
      </c>
      <c r="X593" s="6" t="e">
        <f t="shared" si="1623"/>
        <v>#DIV/0!</v>
      </c>
      <c r="Y593" s="6" t="e">
        <f t="shared" si="1623"/>
        <v>#DIV/0!</v>
      </c>
      <c r="Z593" s="6" t="e">
        <f t="shared" si="1623"/>
        <v>#DIV/0!</v>
      </c>
    </row>
    <row r="594" spans="1:26" x14ac:dyDescent="0.2">
      <c r="A594" s="7" t="s">
        <v>105</v>
      </c>
      <c r="B594" s="6">
        <f t="shared" si="1608"/>
        <v>5</v>
      </c>
      <c r="C594" s="7" t="s">
        <v>155</v>
      </c>
      <c r="D594" s="68">
        <v>75</v>
      </c>
      <c r="E594" s="68">
        <v>0</v>
      </c>
      <c r="F594" s="65">
        <f t="shared" si="1603"/>
        <v>0</v>
      </c>
      <c r="G594" s="60" t="e">
        <f t="shared" si="1609"/>
        <v>#DIV/0!</v>
      </c>
      <c r="H594" s="65" t="e">
        <f t="shared" si="1621"/>
        <v>#DIV/0!</v>
      </c>
      <c r="I594" s="65" t="e">
        <f t="shared" si="1621"/>
        <v>#DIV/0!</v>
      </c>
      <c r="J594" s="65" t="e">
        <f t="shared" si="1621"/>
        <v>#DIV/0!</v>
      </c>
      <c r="K594" s="69">
        <v>12330</v>
      </c>
      <c r="L594" s="69">
        <f>'Monitoramento Acumulado Geral'!Q594</f>
        <v>0</v>
      </c>
      <c r="M594" s="6">
        <f>(SUM(L590:L594))/K593</f>
        <v>0</v>
      </c>
      <c r="N594" s="35" t="e">
        <f t="shared" si="1611"/>
        <v>#DIV/0!</v>
      </c>
      <c r="O594" s="6" t="e">
        <f t="shared" si="1622"/>
        <v>#DIV/0!</v>
      </c>
      <c r="P594" s="6" t="e">
        <f t="shared" si="1622"/>
        <v>#DIV/0!</v>
      </c>
      <c r="Q594" s="6" t="e">
        <f t="shared" si="1622"/>
        <v>#DIV/0!</v>
      </c>
      <c r="R594" s="69">
        <v>80</v>
      </c>
      <c r="S594" s="69">
        <v>50</v>
      </c>
      <c r="T594" s="6">
        <f t="shared" si="1606"/>
        <v>0.625</v>
      </c>
      <c r="U594" s="35" t="e">
        <f t="shared" si="1613"/>
        <v>#DIV/0!</v>
      </c>
      <c r="V594" s="6" t="e">
        <f t="shared" si="1623"/>
        <v>#DIV/0!</v>
      </c>
      <c r="W594" s="6" t="e">
        <f t="shared" si="1623"/>
        <v>#DIV/0!</v>
      </c>
      <c r="X594" s="6" t="e">
        <f t="shared" si="1623"/>
        <v>#DIV/0!</v>
      </c>
      <c r="Y594" s="6" t="e">
        <f t="shared" si="1623"/>
        <v>#DIV/0!</v>
      </c>
      <c r="Z594" s="6" t="e">
        <f t="shared" si="1623"/>
        <v>#DIV/0!</v>
      </c>
    </row>
    <row r="595" spans="1:26" x14ac:dyDescent="0.2">
      <c r="A595" s="7" t="s">
        <v>105</v>
      </c>
      <c r="B595" s="6">
        <f t="shared" si="1608"/>
        <v>6</v>
      </c>
      <c r="C595" s="7" t="s">
        <v>156</v>
      </c>
      <c r="D595" s="68">
        <v>75</v>
      </c>
      <c r="E595" s="68">
        <v>0</v>
      </c>
      <c r="F595" s="65">
        <f t="shared" si="1603"/>
        <v>0</v>
      </c>
      <c r="G595" s="60" t="e">
        <f t="shared" si="1609"/>
        <v>#DIV/0!</v>
      </c>
      <c r="H595" s="65" t="e">
        <f t="shared" si="1621"/>
        <v>#DIV/0!</v>
      </c>
      <c r="I595" s="65" t="e">
        <f t="shared" si="1621"/>
        <v>#DIV/0!</v>
      </c>
      <c r="J595" s="65" t="e">
        <f t="shared" si="1621"/>
        <v>#DIV/0!</v>
      </c>
      <c r="K595" s="69">
        <v>12330</v>
      </c>
      <c r="L595" s="69">
        <f>'Monitoramento Acumulado Geral'!Q595</f>
        <v>0</v>
      </c>
      <c r="M595" s="6">
        <f>(SUM(L590:L595))/K594</f>
        <v>0</v>
      </c>
      <c r="N595" s="35" t="e">
        <f t="shared" si="1611"/>
        <v>#DIV/0!</v>
      </c>
      <c r="O595" s="6" t="e">
        <f t="shared" si="1622"/>
        <v>#DIV/0!</v>
      </c>
      <c r="P595" s="6" t="e">
        <f t="shared" si="1622"/>
        <v>#DIV/0!</v>
      </c>
      <c r="Q595" s="6" t="e">
        <f t="shared" si="1622"/>
        <v>#DIV/0!</v>
      </c>
      <c r="R595" s="69">
        <v>80</v>
      </c>
      <c r="S595" s="69">
        <v>50</v>
      </c>
      <c r="T595" s="6">
        <f t="shared" si="1606"/>
        <v>0.625</v>
      </c>
      <c r="U595" s="35" t="e">
        <f t="shared" si="1613"/>
        <v>#DIV/0!</v>
      </c>
      <c r="V595" s="6" t="e">
        <f t="shared" si="1623"/>
        <v>#DIV/0!</v>
      </c>
      <c r="W595" s="6" t="e">
        <f t="shared" si="1623"/>
        <v>#DIV/0!</v>
      </c>
      <c r="X595" s="6" t="e">
        <f t="shared" si="1623"/>
        <v>#DIV/0!</v>
      </c>
      <c r="Y595" s="6" t="e">
        <f t="shared" si="1623"/>
        <v>#DIV/0!</v>
      </c>
      <c r="Z595" s="6" t="e">
        <f t="shared" si="1623"/>
        <v>#DIV/0!</v>
      </c>
    </row>
    <row r="596" spans="1:26" x14ac:dyDescent="0.2">
      <c r="A596" s="7" t="s">
        <v>105</v>
      </c>
      <c r="B596" s="6">
        <f t="shared" si="1608"/>
        <v>7</v>
      </c>
      <c r="C596" s="7" t="s">
        <v>157</v>
      </c>
      <c r="D596" s="68">
        <v>75</v>
      </c>
      <c r="E596" s="68">
        <v>17</v>
      </c>
      <c r="F596" s="65">
        <f t="shared" si="1603"/>
        <v>0.22666666666666666</v>
      </c>
      <c r="G596" s="60" t="e">
        <f t="shared" si="1609"/>
        <v>#DIV/0!</v>
      </c>
      <c r="H596" s="65" t="e">
        <f t="shared" si="1621"/>
        <v>#DIV/0!</v>
      </c>
      <c r="I596" s="65" t="e">
        <f t="shared" si="1621"/>
        <v>#DIV/0!</v>
      </c>
      <c r="J596" s="65" t="e">
        <f t="shared" si="1621"/>
        <v>#DIV/0!</v>
      </c>
      <c r="K596" s="69">
        <v>12330</v>
      </c>
      <c r="L596" s="69">
        <f>'Monitoramento Acumulado Geral'!Q596</f>
        <v>800</v>
      </c>
      <c r="M596" s="6">
        <f>(SUM(L590:L596))/K595</f>
        <v>6.4882400648824001E-2</v>
      </c>
      <c r="N596" s="35" t="e">
        <f t="shared" si="1611"/>
        <v>#DIV/0!</v>
      </c>
      <c r="O596" s="6" t="e">
        <f t="shared" si="1622"/>
        <v>#DIV/0!</v>
      </c>
      <c r="P596" s="6" t="e">
        <f t="shared" si="1622"/>
        <v>#DIV/0!</v>
      </c>
      <c r="Q596" s="6" t="e">
        <f t="shared" si="1622"/>
        <v>#DIV/0!</v>
      </c>
      <c r="R596" s="69">
        <v>80</v>
      </c>
      <c r="S596" s="69">
        <v>50</v>
      </c>
      <c r="T596" s="6">
        <f t="shared" si="1606"/>
        <v>0.625</v>
      </c>
      <c r="U596" s="35" t="e">
        <f t="shared" si="1613"/>
        <v>#DIV/0!</v>
      </c>
      <c r="V596" s="6" t="e">
        <f t="shared" si="1623"/>
        <v>#DIV/0!</v>
      </c>
      <c r="W596" s="6" t="e">
        <f t="shared" si="1623"/>
        <v>#DIV/0!</v>
      </c>
      <c r="X596" s="6" t="e">
        <f t="shared" si="1623"/>
        <v>#DIV/0!</v>
      </c>
      <c r="Y596" s="6" t="e">
        <f t="shared" si="1623"/>
        <v>#DIV/0!</v>
      </c>
      <c r="Z596" s="6" t="e">
        <f t="shared" si="1623"/>
        <v>#DIV/0!</v>
      </c>
    </row>
    <row r="597" spans="1:26" x14ac:dyDescent="0.2">
      <c r="A597" s="7" t="s">
        <v>105</v>
      </c>
      <c r="B597" s="6">
        <f t="shared" si="1608"/>
        <v>8</v>
      </c>
      <c r="C597" s="7" t="s">
        <v>158</v>
      </c>
      <c r="D597" s="68">
        <v>75</v>
      </c>
      <c r="E597" s="68">
        <v>33</v>
      </c>
      <c r="F597" s="65">
        <f t="shared" si="1603"/>
        <v>0.44</v>
      </c>
      <c r="G597" s="60" t="e">
        <f t="shared" si="1609"/>
        <v>#DIV/0!</v>
      </c>
      <c r="H597" s="65" t="e">
        <f t="shared" si="1621"/>
        <v>#DIV/0!</v>
      </c>
      <c r="I597" s="65" t="e">
        <f t="shared" si="1621"/>
        <v>#DIV/0!</v>
      </c>
      <c r="J597" s="65" t="e">
        <f t="shared" si="1621"/>
        <v>#DIV/0!</v>
      </c>
      <c r="K597" s="69">
        <v>12330</v>
      </c>
      <c r="L597" s="69">
        <f>'Monitoramento Acumulado Geral'!Q597</f>
        <v>250</v>
      </c>
      <c r="M597" s="6">
        <f>(SUM(L590:L597))/K596</f>
        <v>8.5158150851581502E-2</v>
      </c>
      <c r="N597" s="35" t="e">
        <f t="shared" si="1611"/>
        <v>#DIV/0!</v>
      </c>
      <c r="O597" s="6" t="e">
        <f t="shared" si="1622"/>
        <v>#DIV/0!</v>
      </c>
      <c r="P597" s="6" t="e">
        <f t="shared" si="1622"/>
        <v>#DIV/0!</v>
      </c>
      <c r="Q597" s="6" t="e">
        <f t="shared" si="1622"/>
        <v>#DIV/0!</v>
      </c>
      <c r="R597" s="69">
        <v>80</v>
      </c>
      <c r="S597" s="69">
        <v>50</v>
      </c>
      <c r="T597" s="6">
        <f t="shared" si="1606"/>
        <v>0.625</v>
      </c>
      <c r="U597" s="35" t="e">
        <f t="shared" si="1613"/>
        <v>#DIV/0!</v>
      </c>
      <c r="V597" s="6" t="e">
        <f t="shared" si="1623"/>
        <v>#DIV/0!</v>
      </c>
      <c r="W597" s="6" t="e">
        <f t="shared" si="1623"/>
        <v>#DIV/0!</v>
      </c>
      <c r="X597" s="6" t="e">
        <f t="shared" si="1623"/>
        <v>#DIV/0!</v>
      </c>
      <c r="Y597" s="6" t="e">
        <f t="shared" si="1623"/>
        <v>#DIV/0!</v>
      </c>
      <c r="Z597" s="6" t="e">
        <f t="shared" si="1623"/>
        <v>#DIV/0!</v>
      </c>
    </row>
    <row r="598" spans="1:26" x14ac:dyDescent="0.2">
      <c r="A598" s="7" t="s">
        <v>105</v>
      </c>
      <c r="B598" s="6">
        <f t="shared" si="1608"/>
        <v>9</v>
      </c>
      <c r="C598" s="7" t="s">
        <v>159</v>
      </c>
      <c r="D598" s="68">
        <v>75</v>
      </c>
      <c r="E598" s="68">
        <v>33</v>
      </c>
      <c r="F598" s="65">
        <f t="shared" si="1603"/>
        <v>0.44</v>
      </c>
      <c r="G598" s="60" t="e">
        <f t="shared" si="1609"/>
        <v>#DIV/0!</v>
      </c>
      <c r="H598" s="65" t="e">
        <f t="shared" si="1621"/>
        <v>#DIV/0!</v>
      </c>
      <c r="I598" s="65" t="e">
        <f t="shared" si="1621"/>
        <v>#DIV/0!</v>
      </c>
      <c r="J598" s="65" t="e">
        <f t="shared" si="1621"/>
        <v>#DIV/0!</v>
      </c>
      <c r="K598" s="69">
        <v>12330</v>
      </c>
      <c r="L598" s="69">
        <f>'Monitoramento Acumulado Geral'!Q598</f>
        <v>0</v>
      </c>
      <c r="M598" s="6">
        <f>(SUM(L590:L598))/K597</f>
        <v>8.5158150851581502E-2</v>
      </c>
      <c r="N598" s="35" t="e">
        <f t="shared" si="1611"/>
        <v>#DIV/0!</v>
      </c>
      <c r="O598" s="6" t="e">
        <f t="shared" si="1622"/>
        <v>#DIV/0!</v>
      </c>
      <c r="P598" s="6" t="e">
        <f t="shared" si="1622"/>
        <v>#DIV/0!</v>
      </c>
      <c r="Q598" s="6" t="e">
        <f t="shared" si="1622"/>
        <v>#DIV/0!</v>
      </c>
      <c r="R598" s="69">
        <v>80</v>
      </c>
      <c r="S598" s="69">
        <v>50</v>
      </c>
      <c r="T598" s="6">
        <f t="shared" si="1606"/>
        <v>0.625</v>
      </c>
      <c r="U598" s="35" t="e">
        <f t="shared" si="1613"/>
        <v>#DIV/0!</v>
      </c>
      <c r="V598" s="6" t="e">
        <f t="shared" si="1623"/>
        <v>#DIV/0!</v>
      </c>
      <c r="W598" s="6" t="e">
        <f t="shared" si="1623"/>
        <v>#DIV/0!</v>
      </c>
      <c r="X598" s="6" t="e">
        <f t="shared" si="1623"/>
        <v>#DIV/0!</v>
      </c>
      <c r="Y598" s="6" t="e">
        <f t="shared" si="1623"/>
        <v>#DIV/0!</v>
      </c>
      <c r="Z598" s="6" t="e">
        <f t="shared" si="1623"/>
        <v>#DIV/0!</v>
      </c>
    </row>
    <row r="599" spans="1:26" x14ac:dyDescent="0.2">
      <c r="A599" s="7" t="s">
        <v>105</v>
      </c>
      <c r="B599" s="6">
        <f t="shared" si="1608"/>
        <v>10</v>
      </c>
      <c r="C599" s="7" t="s">
        <v>160</v>
      </c>
      <c r="D599" s="68">
        <v>75</v>
      </c>
      <c r="E599" s="68">
        <v>33</v>
      </c>
      <c r="F599" s="65">
        <f t="shared" si="1603"/>
        <v>0.44</v>
      </c>
      <c r="G599" s="60" t="e">
        <f t="shared" si="1609"/>
        <v>#DIV/0!</v>
      </c>
      <c r="H599" s="65" t="e">
        <f t="shared" si="1621"/>
        <v>#DIV/0!</v>
      </c>
      <c r="I599" s="65" t="e">
        <f t="shared" si="1621"/>
        <v>#DIV/0!</v>
      </c>
      <c r="J599" s="65" t="e">
        <f t="shared" si="1621"/>
        <v>#DIV/0!</v>
      </c>
      <c r="K599" s="69">
        <v>12330</v>
      </c>
      <c r="L599" s="69">
        <f>'Monitoramento Acumulado Geral'!Q599</f>
        <v>0</v>
      </c>
      <c r="M599" s="6">
        <f>(SUM(L590:L599))/K598</f>
        <v>8.5158150851581502E-2</v>
      </c>
      <c r="N599" s="35" t="e">
        <f t="shared" si="1611"/>
        <v>#DIV/0!</v>
      </c>
      <c r="O599" s="6" t="e">
        <f t="shared" si="1622"/>
        <v>#DIV/0!</v>
      </c>
      <c r="P599" s="6" t="e">
        <f t="shared" si="1622"/>
        <v>#DIV/0!</v>
      </c>
      <c r="Q599" s="6" t="e">
        <f t="shared" si="1622"/>
        <v>#DIV/0!</v>
      </c>
      <c r="R599" s="69">
        <v>80</v>
      </c>
      <c r="S599" s="69">
        <v>50</v>
      </c>
      <c r="T599" s="6">
        <f t="shared" si="1606"/>
        <v>0.625</v>
      </c>
      <c r="U599" s="35" t="e">
        <f t="shared" si="1613"/>
        <v>#DIV/0!</v>
      </c>
      <c r="V599" s="6" t="e">
        <f t="shared" si="1623"/>
        <v>#DIV/0!</v>
      </c>
      <c r="W599" s="6" t="e">
        <f t="shared" si="1623"/>
        <v>#DIV/0!</v>
      </c>
      <c r="X599" s="6" t="e">
        <f t="shared" si="1623"/>
        <v>#DIV/0!</v>
      </c>
      <c r="Y599" s="6" t="e">
        <f t="shared" si="1623"/>
        <v>#DIV/0!</v>
      </c>
      <c r="Z599" s="6" t="e">
        <f t="shared" si="1623"/>
        <v>#DIV/0!</v>
      </c>
    </row>
    <row r="600" spans="1:26" x14ac:dyDescent="0.2">
      <c r="A600" s="7" t="s">
        <v>105</v>
      </c>
      <c r="B600" s="6">
        <f t="shared" si="1608"/>
        <v>11</v>
      </c>
      <c r="C600" s="7" t="s">
        <v>161</v>
      </c>
      <c r="D600" s="68">
        <v>75</v>
      </c>
      <c r="E600" s="68">
        <v>0</v>
      </c>
      <c r="F600" s="65">
        <f t="shared" si="1603"/>
        <v>0</v>
      </c>
      <c r="G600" s="60" t="e">
        <f t="shared" si="1609"/>
        <v>#DIV/0!</v>
      </c>
      <c r="H600" s="65" t="e">
        <f t="shared" si="1621"/>
        <v>#DIV/0!</v>
      </c>
      <c r="I600" s="65" t="e">
        <f t="shared" si="1621"/>
        <v>#DIV/0!</v>
      </c>
      <c r="J600" s="65" t="e">
        <f t="shared" si="1621"/>
        <v>#DIV/0!</v>
      </c>
      <c r="K600" s="69">
        <v>12330</v>
      </c>
      <c r="L600" s="69">
        <f>'Monitoramento Acumulado Geral'!Q600</f>
        <v>0</v>
      </c>
      <c r="M600" s="6">
        <f>(SUM(L590:L600))/K599</f>
        <v>8.5158150851581502E-2</v>
      </c>
      <c r="N600" s="35" t="e">
        <f t="shared" si="1611"/>
        <v>#DIV/0!</v>
      </c>
      <c r="O600" s="6" t="e">
        <f t="shared" si="1622"/>
        <v>#DIV/0!</v>
      </c>
      <c r="P600" s="6" t="e">
        <f t="shared" si="1622"/>
        <v>#DIV/0!</v>
      </c>
      <c r="Q600" s="6" t="e">
        <f t="shared" si="1622"/>
        <v>#DIV/0!</v>
      </c>
      <c r="R600" s="69">
        <v>80</v>
      </c>
      <c r="S600" s="69">
        <v>0</v>
      </c>
      <c r="T600" s="6">
        <f t="shared" si="1606"/>
        <v>0</v>
      </c>
      <c r="U600" s="35" t="e">
        <f t="shared" si="1613"/>
        <v>#DIV/0!</v>
      </c>
      <c r="V600" s="6" t="e">
        <f t="shared" si="1623"/>
        <v>#DIV/0!</v>
      </c>
      <c r="W600" s="6" t="e">
        <f t="shared" si="1623"/>
        <v>#DIV/0!</v>
      </c>
      <c r="X600" s="6" t="e">
        <f t="shared" si="1623"/>
        <v>#DIV/0!</v>
      </c>
      <c r="Y600" s="6" t="e">
        <f t="shared" si="1623"/>
        <v>#DIV/0!</v>
      </c>
      <c r="Z600" s="6" t="e">
        <f t="shared" si="1623"/>
        <v>#DIV/0!</v>
      </c>
    </row>
    <row r="601" spans="1:26" x14ac:dyDescent="0.2">
      <c r="A601" s="7" t="s">
        <v>105</v>
      </c>
      <c r="B601" s="6">
        <f t="shared" si="1608"/>
        <v>12</v>
      </c>
      <c r="C601" s="7" t="s">
        <v>162</v>
      </c>
      <c r="D601" s="68">
        <v>75</v>
      </c>
      <c r="E601" s="68">
        <v>0</v>
      </c>
      <c r="F601" s="65">
        <f t="shared" si="1603"/>
        <v>0</v>
      </c>
      <c r="G601" s="60" t="e">
        <f t="shared" si="1609"/>
        <v>#DIV/0!</v>
      </c>
      <c r="H601" s="65" t="e">
        <f t="shared" si="1621"/>
        <v>#DIV/0!</v>
      </c>
      <c r="I601" s="65" t="e">
        <f t="shared" si="1621"/>
        <v>#DIV/0!</v>
      </c>
      <c r="J601" s="65" t="e">
        <f t="shared" si="1621"/>
        <v>#DIV/0!</v>
      </c>
      <c r="K601" s="69">
        <v>12330</v>
      </c>
      <c r="L601" s="69">
        <f>'Monitoramento Acumulado Geral'!Q601</f>
        <v>0</v>
      </c>
      <c r="M601" s="6">
        <f>(SUM(L590:L601))/K600</f>
        <v>8.5158150851581502E-2</v>
      </c>
      <c r="N601" s="35" t="e">
        <f t="shared" si="1611"/>
        <v>#DIV/0!</v>
      </c>
      <c r="O601" s="6" t="e">
        <f t="shared" si="1622"/>
        <v>#DIV/0!</v>
      </c>
      <c r="P601" s="6" t="e">
        <f t="shared" si="1622"/>
        <v>#DIV/0!</v>
      </c>
      <c r="Q601" s="6" t="e">
        <f t="shared" si="1622"/>
        <v>#DIV/0!</v>
      </c>
      <c r="R601" s="69">
        <v>80</v>
      </c>
      <c r="S601" s="69">
        <v>0</v>
      </c>
      <c r="T601" s="6">
        <f t="shared" si="1606"/>
        <v>0</v>
      </c>
      <c r="U601" s="35" t="e">
        <f t="shared" si="1613"/>
        <v>#DIV/0!</v>
      </c>
      <c r="V601" s="6" t="e">
        <f t="shared" si="1623"/>
        <v>#DIV/0!</v>
      </c>
      <c r="W601" s="6" t="e">
        <f t="shared" si="1623"/>
        <v>#DIV/0!</v>
      </c>
      <c r="X601" s="6" t="e">
        <f t="shared" si="1623"/>
        <v>#DIV/0!</v>
      </c>
      <c r="Y601" s="6" t="e">
        <f t="shared" si="1623"/>
        <v>#DIV/0!</v>
      </c>
      <c r="Z601" s="6" t="e">
        <f t="shared" si="1623"/>
        <v>#DIV/0!</v>
      </c>
    </row>
    <row r="602" spans="1:26" x14ac:dyDescent="0.2">
      <c r="A602" s="7" t="s">
        <v>98</v>
      </c>
      <c r="B602" s="6">
        <f t="shared" si="1608"/>
        <v>1</v>
      </c>
      <c r="C602" s="7" t="s">
        <v>151</v>
      </c>
      <c r="D602" s="68">
        <v>75</v>
      </c>
      <c r="E602" s="68">
        <v>39</v>
      </c>
      <c r="F602" s="65">
        <f t="shared" si="1603"/>
        <v>0.52</v>
      </c>
      <c r="G602" s="60" t="e">
        <f t="shared" si="1609"/>
        <v>#DIV/0!</v>
      </c>
      <c r="H602" s="65" t="e">
        <f t="shared" ref="H602:J602" si="1624">H590</f>
        <v>#DIV/0!</v>
      </c>
      <c r="I602" s="65" t="e">
        <f t="shared" si="1624"/>
        <v>#DIV/0!</v>
      </c>
      <c r="J602" s="65" t="e">
        <f t="shared" si="1624"/>
        <v>#DIV/0!</v>
      </c>
      <c r="K602" s="69">
        <v>270000</v>
      </c>
      <c r="L602" s="69">
        <f>'Monitoramento Acumulado Geral'!Q602</f>
        <v>37403.699999999997</v>
      </c>
      <c r="M602" s="6">
        <f>L602/K602</f>
        <v>0.13853222222222222</v>
      </c>
      <c r="N602" s="35" t="e">
        <f t="shared" si="1611"/>
        <v>#DIV/0!</v>
      </c>
      <c r="O602" s="6" t="e">
        <f t="shared" ref="O602:Q613" si="1625">O578</f>
        <v>#DIV/0!</v>
      </c>
      <c r="P602" s="6" t="e">
        <f t="shared" si="1625"/>
        <v>#DIV/0!</v>
      </c>
      <c r="Q602" s="6" t="e">
        <f t="shared" si="1625"/>
        <v>#DIV/0!</v>
      </c>
      <c r="R602" s="69">
        <v>80</v>
      </c>
      <c r="S602" s="69">
        <v>19</v>
      </c>
      <c r="T602" s="6">
        <f t="shared" si="1606"/>
        <v>0.23749999999999999</v>
      </c>
      <c r="U602" s="35" t="e">
        <f t="shared" si="1613"/>
        <v>#DIV/0!</v>
      </c>
      <c r="V602" s="6" t="e">
        <f t="shared" ref="V602:Z602" si="1626">V590</f>
        <v>#DIV/0!</v>
      </c>
      <c r="W602" s="6" t="e">
        <f t="shared" si="1626"/>
        <v>#DIV/0!</v>
      </c>
      <c r="X602" s="6" t="e">
        <f t="shared" si="1626"/>
        <v>#DIV/0!</v>
      </c>
      <c r="Y602" s="6" t="e">
        <f t="shared" si="1626"/>
        <v>#DIV/0!</v>
      </c>
      <c r="Z602" s="6" t="e">
        <f t="shared" si="1626"/>
        <v>#DIV/0!</v>
      </c>
    </row>
    <row r="603" spans="1:26" x14ac:dyDescent="0.2">
      <c r="A603" s="7" t="s">
        <v>98</v>
      </c>
      <c r="B603" s="6">
        <f t="shared" si="1608"/>
        <v>2</v>
      </c>
      <c r="C603" s="7" t="s">
        <v>152</v>
      </c>
      <c r="D603" s="68">
        <v>75</v>
      </c>
      <c r="E603" s="68">
        <v>47</v>
      </c>
      <c r="F603" s="65">
        <f t="shared" si="1603"/>
        <v>0.62666666666666671</v>
      </c>
      <c r="G603" s="60" t="e">
        <f t="shared" si="1609"/>
        <v>#DIV/0!</v>
      </c>
      <c r="H603" s="65" t="e">
        <f t="shared" ref="H603:J603" si="1627">H591</f>
        <v>#DIV/0!</v>
      </c>
      <c r="I603" s="65" t="e">
        <f t="shared" si="1627"/>
        <v>#DIV/0!</v>
      </c>
      <c r="J603" s="65" t="e">
        <f t="shared" si="1627"/>
        <v>#DIV/0!</v>
      </c>
      <c r="K603" s="69">
        <v>270000</v>
      </c>
      <c r="L603" s="69">
        <f>'Monitoramento Acumulado Geral'!Q603</f>
        <v>23492.28</v>
      </c>
      <c r="M603" s="6">
        <f>(SUM(L602:L603))/K602</f>
        <v>0.22554066666666664</v>
      </c>
      <c r="N603" s="35" t="e">
        <f t="shared" si="1611"/>
        <v>#DIV/0!</v>
      </c>
      <c r="O603" s="6" t="e">
        <f t="shared" si="1625"/>
        <v>#DIV/0!</v>
      </c>
      <c r="P603" s="6" t="e">
        <f t="shared" si="1625"/>
        <v>#DIV/0!</v>
      </c>
      <c r="Q603" s="6" t="e">
        <f t="shared" si="1625"/>
        <v>#DIV/0!</v>
      </c>
      <c r="R603" s="69">
        <v>80</v>
      </c>
      <c r="S603" s="69">
        <v>19</v>
      </c>
      <c r="T603" s="6">
        <f t="shared" si="1606"/>
        <v>0.23749999999999999</v>
      </c>
      <c r="U603" s="35" t="e">
        <f t="shared" si="1613"/>
        <v>#DIV/0!</v>
      </c>
      <c r="V603" s="6" t="e">
        <f t="shared" ref="V603:Z603" si="1628">V591</f>
        <v>#DIV/0!</v>
      </c>
      <c r="W603" s="6" t="e">
        <f t="shared" si="1628"/>
        <v>#DIV/0!</v>
      </c>
      <c r="X603" s="6" t="e">
        <f t="shared" si="1628"/>
        <v>#DIV/0!</v>
      </c>
      <c r="Y603" s="6" t="e">
        <f t="shared" si="1628"/>
        <v>#DIV/0!</v>
      </c>
      <c r="Z603" s="6" t="e">
        <f t="shared" si="1628"/>
        <v>#DIV/0!</v>
      </c>
    </row>
    <row r="604" spans="1:26" x14ac:dyDescent="0.2">
      <c r="A604" s="7" t="s">
        <v>98</v>
      </c>
      <c r="B604" s="6">
        <f t="shared" si="1608"/>
        <v>3</v>
      </c>
      <c r="C604" s="7" t="s">
        <v>153</v>
      </c>
      <c r="D604" s="68">
        <v>75</v>
      </c>
      <c r="E604" s="68">
        <v>61</v>
      </c>
      <c r="F604" s="65">
        <f t="shared" si="1603"/>
        <v>0.81333333333333335</v>
      </c>
      <c r="G604" s="60" t="e">
        <f t="shared" si="1609"/>
        <v>#DIV/0!</v>
      </c>
      <c r="H604" s="65" t="e">
        <f t="shared" ref="H604:J604" si="1629">H592</f>
        <v>#DIV/0!</v>
      </c>
      <c r="I604" s="65" t="e">
        <f t="shared" si="1629"/>
        <v>#DIV/0!</v>
      </c>
      <c r="J604" s="65" t="e">
        <f t="shared" si="1629"/>
        <v>#DIV/0!</v>
      </c>
      <c r="K604" s="69">
        <v>270000</v>
      </c>
      <c r="L604" s="69">
        <f>'Monitoramento Acumulado Geral'!Q604</f>
        <v>20720.93</v>
      </c>
      <c r="M604" s="6">
        <f>(SUM(L602:L604))/K603</f>
        <v>0.30228485185185189</v>
      </c>
      <c r="N604" s="35" t="e">
        <f t="shared" si="1611"/>
        <v>#DIV/0!</v>
      </c>
      <c r="O604" s="6" t="e">
        <f t="shared" si="1625"/>
        <v>#DIV/0!</v>
      </c>
      <c r="P604" s="6" t="e">
        <f t="shared" si="1625"/>
        <v>#DIV/0!</v>
      </c>
      <c r="Q604" s="6" t="e">
        <f t="shared" si="1625"/>
        <v>#DIV/0!</v>
      </c>
      <c r="R604" s="69">
        <v>80</v>
      </c>
      <c r="S604" s="69">
        <v>19</v>
      </c>
      <c r="T604" s="6">
        <f t="shared" si="1606"/>
        <v>0.23749999999999999</v>
      </c>
      <c r="U604" s="35" t="e">
        <f t="shared" si="1613"/>
        <v>#DIV/0!</v>
      </c>
      <c r="V604" s="6" t="e">
        <f t="shared" ref="V604:Z604" si="1630">V592</f>
        <v>#DIV/0!</v>
      </c>
      <c r="W604" s="6" t="e">
        <f t="shared" si="1630"/>
        <v>#DIV/0!</v>
      </c>
      <c r="X604" s="6" t="e">
        <f t="shared" si="1630"/>
        <v>#DIV/0!</v>
      </c>
      <c r="Y604" s="6" t="e">
        <f t="shared" si="1630"/>
        <v>#DIV/0!</v>
      </c>
      <c r="Z604" s="6" t="e">
        <f t="shared" si="1630"/>
        <v>#DIV/0!</v>
      </c>
    </row>
    <row r="605" spans="1:26" x14ac:dyDescent="0.2">
      <c r="A605" s="7" t="s">
        <v>98</v>
      </c>
      <c r="B605" s="6">
        <f t="shared" si="1608"/>
        <v>4</v>
      </c>
      <c r="C605" s="7" t="s">
        <v>154</v>
      </c>
      <c r="D605" s="68">
        <v>75</v>
      </c>
      <c r="E605" s="68">
        <v>64</v>
      </c>
      <c r="F605" s="65">
        <f t="shared" si="1603"/>
        <v>0.85333333333333339</v>
      </c>
      <c r="G605" s="60" t="e">
        <f t="shared" si="1609"/>
        <v>#DIV/0!</v>
      </c>
      <c r="H605" s="65" t="e">
        <f t="shared" ref="H605:J605" si="1631">H593</f>
        <v>#DIV/0!</v>
      </c>
      <c r="I605" s="65" t="e">
        <f t="shared" si="1631"/>
        <v>#DIV/0!</v>
      </c>
      <c r="J605" s="65" t="e">
        <f t="shared" si="1631"/>
        <v>#DIV/0!</v>
      </c>
      <c r="K605" s="69">
        <v>270000</v>
      </c>
      <c r="L605" s="69">
        <f>'Monitoramento Acumulado Geral'!Q605</f>
        <v>210</v>
      </c>
      <c r="M605" s="6">
        <f>(SUM(L602:L605))/K604</f>
        <v>0.30306262962962965</v>
      </c>
      <c r="N605" s="35" t="e">
        <f t="shared" si="1611"/>
        <v>#DIV/0!</v>
      </c>
      <c r="O605" s="6" t="e">
        <f t="shared" si="1625"/>
        <v>#DIV/0!</v>
      </c>
      <c r="P605" s="6" t="e">
        <f t="shared" si="1625"/>
        <v>#DIV/0!</v>
      </c>
      <c r="Q605" s="6" t="e">
        <f t="shared" si="1625"/>
        <v>#DIV/0!</v>
      </c>
      <c r="R605" s="69">
        <v>80</v>
      </c>
      <c r="S605" s="69">
        <v>19</v>
      </c>
      <c r="T605" s="6">
        <f t="shared" si="1606"/>
        <v>0.23749999999999999</v>
      </c>
      <c r="U605" s="35" t="e">
        <f t="shared" si="1613"/>
        <v>#DIV/0!</v>
      </c>
      <c r="V605" s="6" t="e">
        <f t="shared" ref="V605:Z605" si="1632">V593</f>
        <v>#DIV/0!</v>
      </c>
      <c r="W605" s="6" t="e">
        <f t="shared" si="1632"/>
        <v>#DIV/0!</v>
      </c>
      <c r="X605" s="6" t="e">
        <f t="shared" si="1632"/>
        <v>#DIV/0!</v>
      </c>
      <c r="Y605" s="6" t="e">
        <f t="shared" si="1632"/>
        <v>#DIV/0!</v>
      </c>
      <c r="Z605" s="6" t="e">
        <f t="shared" si="1632"/>
        <v>#DIV/0!</v>
      </c>
    </row>
    <row r="606" spans="1:26" x14ac:dyDescent="0.2">
      <c r="A606" s="7" t="s">
        <v>98</v>
      </c>
      <c r="B606" s="6">
        <f t="shared" si="1608"/>
        <v>5</v>
      </c>
      <c r="C606" s="7" t="s">
        <v>155</v>
      </c>
      <c r="D606" s="68">
        <v>75</v>
      </c>
      <c r="E606" s="68">
        <v>67</v>
      </c>
      <c r="F606" s="65">
        <f t="shared" si="1603"/>
        <v>0.89333333333333331</v>
      </c>
      <c r="G606" s="60" t="e">
        <f t="shared" si="1609"/>
        <v>#DIV/0!</v>
      </c>
      <c r="H606" s="65" t="e">
        <f t="shared" ref="H606:J606" si="1633">H594</f>
        <v>#DIV/0!</v>
      </c>
      <c r="I606" s="65" t="e">
        <f t="shared" si="1633"/>
        <v>#DIV/0!</v>
      </c>
      <c r="J606" s="65" t="e">
        <f t="shared" si="1633"/>
        <v>#DIV/0!</v>
      </c>
      <c r="K606" s="69">
        <v>270000</v>
      </c>
      <c r="L606" s="69">
        <f>'Monitoramento Acumulado Geral'!Q606</f>
        <v>47429.14</v>
      </c>
      <c r="M606" s="6">
        <f>(SUM(L602:L606))/K605</f>
        <v>0.47872611111111113</v>
      </c>
      <c r="N606" s="35" t="e">
        <f t="shared" si="1611"/>
        <v>#DIV/0!</v>
      </c>
      <c r="O606" s="6" t="e">
        <f t="shared" si="1625"/>
        <v>#DIV/0!</v>
      </c>
      <c r="P606" s="6" t="e">
        <f t="shared" si="1625"/>
        <v>#DIV/0!</v>
      </c>
      <c r="Q606" s="6" t="e">
        <f t="shared" si="1625"/>
        <v>#DIV/0!</v>
      </c>
      <c r="R606" s="69">
        <v>80</v>
      </c>
      <c r="S606" s="69">
        <v>39</v>
      </c>
      <c r="T606" s="6">
        <f t="shared" si="1606"/>
        <v>0.48749999999999999</v>
      </c>
      <c r="U606" s="35" t="e">
        <f t="shared" si="1613"/>
        <v>#DIV/0!</v>
      </c>
      <c r="V606" s="6" t="e">
        <f t="shared" ref="V606:Z606" si="1634">V594</f>
        <v>#DIV/0!</v>
      </c>
      <c r="W606" s="6" t="e">
        <f t="shared" si="1634"/>
        <v>#DIV/0!</v>
      </c>
      <c r="X606" s="6" t="e">
        <f t="shared" si="1634"/>
        <v>#DIV/0!</v>
      </c>
      <c r="Y606" s="6" t="e">
        <f t="shared" si="1634"/>
        <v>#DIV/0!</v>
      </c>
      <c r="Z606" s="6" t="e">
        <f t="shared" si="1634"/>
        <v>#DIV/0!</v>
      </c>
    </row>
    <row r="607" spans="1:26" x14ac:dyDescent="0.2">
      <c r="A607" s="7" t="s">
        <v>98</v>
      </c>
      <c r="B607" s="6">
        <f t="shared" si="1608"/>
        <v>6</v>
      </c>
      <c r="C607" s="7" t="s">
        <v>156</v>
      </c>
      <c r="D607" s="68">
        <v>75</v>
      </c>
      <c r="E607" s="68">
        <v>67</v>
      </c>
      <c r="F607" s="65">
        <f t="shared" si="1603"/>
        <v>0.89333333333333331</v>
      </c>
      <c r="G607" s="60" t="e">
        <f t="shared" si="1609"/>
        <v>#DIV/0!</v>
      </c>
      <c r="H607" s="65" t="e">
        <f t="shared" ref="H607:J607" si="1635">H595</f>
        <v>#DIV/0!</v>
      </c>
      <c r="I607" s="65" t="e">
        <f t="shared" si="1635"/>
        <v>#DIV/0!</v>
      </c>
      <c r="J607" s="65" t="e">
        <f t="shared" si="1635"/>
        <v>#DIV/0!</v>
      </c>
      <c r="K607" s="69">
        <v>270000</v>
      </c>
      <c r="L607" s="69">
        <f>'Monitoramento Acumulado Geral'!Q607</f>
        <v>32150.959999999999</v>
      </c>
      <c r="M607" s="6">
        <f>(SUM(L602:L607))/K606</f>
        <v>0.59780374074074083</v>
      </c>
      <c r="N607" s="35" t="e">
        <f t="shared" si="1611"/>
        <v>#DIV/0!</v>
      </c>
      <c r="O607" s="6" t="e">
        <f t="shared" si="1625"/>
        <v>#DIV/0!</v>
      </c>
      <c r="P607" s="6" t="e">
        <f t="shared" si="1625"/>
        <v>#DIV/0!</v>
      </c>
      <c r="Q607" s="6" t="e">
        <f t="shared" si="1625"/>
        <v>#DIV/0!</v>
      </c>
      <c r="R607" s="69">
        <v>80</v>
      </c>
      <c r="S607" s="69">
        <v>39</v>
      </c>
      <c r="T607" s="6">
        <f t="shared" si="1606"/>
        <v>0.48749999999999999</v>
      </c>
      <c r="U607" s="35" t="e">
        <f t="shared" si="1613"/>
        <v>#DIV/0!</v>
      </c>
      <c r="V607" s="6" t="e">
        <f t="shared" ref="V607:Z607" si="1636">V595</f>
        <v>#DIV/0!</v>
      </c>
      <c r="W607" s="6" t="e">
        <f t="shared" si="1636"/>
        <v>#DIV/0!</v>
      </c>
      <c r="X607" s="6" t="e">
        <f t="shared" si="1636"/>
        <v>#DIV/0!</v>
      </c>
      <c r="Y607" s="6" t="e">
        <f t="shared" si="1636"/>
        <v>#DIV/0!</v>
      </c>
      <c r="Z607" s="6" t="e">
        <f t="shared" si="1636"/>
        <v>#DIV/0!</v>
      </c>
    </row>
    <row r="608" spans="1:26" x14ac:dyDescent="0.2">
      <c r="A608" s="7" t="s">
        <v>98</v>
      </c>
      <c r="B608" s="6">
        <f t="shared" si="1608"/>
        <v>7</v>
      </c>
      <c r="C608" s="7" t="s">
        <v>157</v>
      </c>
      <c r="D608" s="68">
        <v>75</v>
      </c>
      <c r="E608" s="68">
        <v>67</v>
      </c>
      <c r="F608" s="65">
        <f t="shared" si="1603"/>
        <v>0.89333333333333331</v>
      </c>
      <c r="G608" s="60" t="e">
        <f t="shared" si="1609"/>
        <v>#DIV/0!</v>
      </c>
      <c r="H608" s="65" t="e">
        <f t="shared" ref="H608:J608" si="1637">H596</f>
        <v>#DIV/0!</v>
      </c>
      <c r="I608" s="65" t="e">
        <f t="shared" si="1637"/>
        <v>#DIV/0!</v>
      </c>
      <c r="J608" s="65" t="e">
        <f t="shared" si="1637"/>
        <v>#DIV/0!</v>
      </c>
      <c r="K608" s="69">
        <v>270000</v>
      </c>
      <c r="L608" s="69">
        <f>'Monitoramento Acumulado Geral'!Q608</f>
        <v>40897.53</v>
      </c>
      <c r="M608" s="6">
        <f>(SUM(L602:L608))/K607</f>
        <v>0.74927607407407415</v>
      </c>
      <c r="N608" s="35" t="e">
        <f t="shared" si="1611"/>
        <v>#DIV/0!</v>
      </c>
      <c r="O608" s="6" t="e">
        <f t="shared" si="1625"/>
        <v>#DIV/0!</v>
      </c>
      <c r="P608" s="6" t="e">
        <f t="shared" si="1625"/>
        <v>#DIV/0!</v>
      </c>
      <c r="Q608" s="6" t="e">
        <f t="shared" si="1625"/>
        <v>#DIV/0!</v>
      </c>
      <c r="R608" s="69">
        <v>80</v>
      </c>
      <c r="S608" s="69">
        <v>39</v>
      </c>
      <c r="T608" s="6">
        <f t="shared" si="1606"/>
        <v>0.48749999999999999</v>
      </c>
      <c r="U608" s="35" t="e">
        <f t="shared" si="1613"/>
        <v>#DIV/0!</v>
      </c>
      <c r="V608" s="6" t="e">
        <f t="shared" ref="V608:Z608" si="1638">V596</f>
        <v>#DIV/0!</v>
      </c>
      <c r="W608" s="6" t="e">
        <f t="shared" si="1638"/>
        <v>#DIV/0!</v>
      </c>
      <c r="X608" s="6" t="e">
        <f t="shared" si="1638"/>
        <v>#DIV/0!</v>
      </c>
      <c r="Y608" s="6" t="e">
        <f t="shared" si="1638"/>
        <v>#DIV/0!</v>
      </c>
      <c r="Z608" s="6" t="e">
        <f t="shared" si="1638"/>
        <v>#DIV/0!</v>
      </c>
    </row>
    <row r="609" spans="1:26" x14ac:dyDescent="0.2">
      <c r="A609" s="7" t="s">
        <v>98</v>
      </c>
      <c r="B609" s="6">
        <f t="shared" si="1608"/>
        <v>8</v>
      </c>
      <c r="C609" s="7" t="s">
        <v>158</v>
      </c>
      <c r="D609" s="68">
        <v>75</v>
      </c>
      <c r="E609" s="68">
        <v>67</v>
      </c>
      <c r="F609" s="65">
        <f t="shared" si="1603"/>
        <v>0.89333333333333331</v>
      </c>
      <c r="G609" s="60" t="e">
        <f t="shared" si="1609"/>
        <v>#DIV/0!</v>
      </c>
      <c r="H609" s="65" t="e">
        <f t="shared" ref="H609:J609" si="1639">H597</f>
        <v>#DIV/0!</v>
      </c>
      <c r="I609" s="65" t="e">
        <f t="shared" si="1639"/>
        <v>#DIV/0!</v>
      </c>
      <c r="J609" s="65" t="e">
        <f t="shared" si="1639"/>
        <v>#DIV/0!</v>
      </c>
      <c r="K609" s="69">
        <v>270000</v>
      </c>
      <c r="L609" s="69">
        <f>'Monitoramento Acumulado Geral'!Q609</f>
        <v>0</v>
      </c>
      <c r="M609" s="6">
        <f>(SUM(L602:L609))/K608</f>
        <v>0.74927607407407415</v>
      </c>
      <c r="N609" s="35" t="e">
        <f t="shared" si="1611"/>
        <v>#DIV/0!</v>
      </c>
      <c r="O609" s="6" t="e">
        <f t="shared" si="1625"/>
        <v>#DIV/0!</v>
      </c>
      <c r="P609" s="6" t="e">
        <f t="shared" si="1625"/>
        <v>#DIV/0!</v>
      </c>
      <c r="Q609" s="6" t="e">
        <f t="shared" si="1625"/>
        <v>#DIV/0!</v>
      </c>
      <c r="R609" s="69">
        <v>80</v>
      </c>
      <c r="S609" s="69">
        <v>39</v>
      </c>
      <c r="T609" s="6">
        <f t="shared" si="1606"/>
        <v>0.48749999999999999</v>
      </c>
      <c r="U609" s="35" t="e">
        <f t="shared" si="1613"/>
        <v>#DIV/0!</v>
      </c>
      <c r="V609" s="6" t="e">
        <f t="shared" ref="V609:Z609" si="1640">V597</f>
        <v>#DIV/0!</v>
      </c>
      <c r="W609" s="6" t="e">
        <f t="shared" si="1640"/>
        <v>#DIV/0!</v>
      </c>
      <c r="X609" s="6" t="e">
        <f t="shared" si="1640"/>
        <v>#DIV/0!</v>
      </c>
      <c r="Y609" s="6" t="e">
        <f t="shared" si="1640"/>
        <v>#DIV/0!</v>
      </c>
      <c r="Z609" s="6" t="e">
        <f t="shared" si="1640"/>
        <v>#DIV/0!</v>
      </c>
    </row>
    <row r="610" spans="1:26" x14ac:dyDescent="0.2">
      <c r="A610" s="7" t="s">
        <v>98</v>
      </c>
      <c r="B610" s="6">
        <f t="shared" si="1608"/>
        <v>9</v>
      </c>
      <c r="C610" s="7" t="s">
        <v>159</v>
      </c>
      <c r="D610" s="68">
        <v>75</v>
      </c>
      <c r="E610" s="68">
        <v>67</v>
      </c>
      <c r="F610" s="65">
        <f t="shared" si="1603"/>
        <v>0.89333333333333331</v>
      </c>
      <c r="G610" s="60" t="e">
        <f t="shared" si="1609"/>
        <v>#DIV/0!</v>
      </c>
      <c r="H610" s="65" t="e">
        <f t="shared" ref="H610:J610" si="1641">H598</f>
        <v>#DIV/0!</v>
      </c>
      <c r="I610" s="65" t="e">
        <f t="shared" si="1641"/>
        <v>#DIV/0!</v>
      </c>
      <c r="J610" s="65" t="e">
        <f t="shared" si="1641"/>
        <v>#DIV/0!</v>
      </c>
      <c r="K610" s="69">
        <v>270000</v>
      </c>
      <c r="L610" s="69">
        <f>'Monitoramento Acumulado Geral'!Q610</f>
        <v>20460</v>
      </c>
      <c r="M610" s="6">
        <f>(SUM(L602:L610))/K609</f>
        <v>0.82505385185185187</v>
      </c>
      <c r="N610" s="35" t="e">
        <f t="shared" si="1611"/>
        <v>#DIV/0!</v>
      </c>
      <c r="O610" s="6" t="e">
        <f t="shared" si="1625"/>
        <v>#DIV/0!</v>
      </c>
      <c r="P610" s="6" t="e">
        <f t="shared" si="1625"/>
        <v>#DIV/0!</v>
      </c>
      <c r="Q610" s="6" t="e">
        <f t="shared" si="1625"/>
        <v>#DIV/0!</v>
      </c>
      <c r="R610" s="69">
        <v>80</v>
      </c>
      <c r="S610" s="69">
        <v>39</v>
      </c>
      <c r="T610" s="6">
        <f t="shared" si="1606"/>
        <v>0.48749999999999999</v>
      </c>
      <c r="U610" s="35" t="e">
        <f t="shared" si="1613"/>
        <v>#DIV/0!</v>
      </c>
      <c r="V610" s="6" t="e">
        <f t="shared" ref="V610:Z610" si="1642">V598</f>
        <v>#DIV/0!</v>
      </c>
      <c r="W610" s="6" t="e">
        <f t="shared" si="1642"/>
        <v>#DIV/0!</v>
      </c>
      <c r="X610" s="6" t="e">
        <f t="shared" si="1642"/>
        <v>#DIV/0!</v>
      </c>
      <c r="Y610" s="6" t="e">
        <f t="shared" si="1642"/>
        <v>#DIV/0!</v>
      </c>
      <c r="Z610" s="6" t="e">
        <f t="shared" si="1642"/>
        <v>#DIV/0!</v>
      </c>
    </row>
    <row r="611" spans="1:26" x14ac:dyDescent="0.2">
      <c r="A611" s="7" t="s">
        <v>98</v>
      </c>
      <c r="B611" s="6">
        <f t="shared" si="1608"/>
        <v>10</v>
      </c>
      <c r="C611" s="7" t="s">
        <v>160</v>
      </c>
      <c r="D611" s="68">
        <v>75</v>
      </c>
      <c r="E611" s="68">
        <v>67</v>
      </c>
      <c r="F611" s="65">
        <f t="shared" si="1603"/>
        <v>0.89333333333333331</v>
      </c>
      <c r="G611" s="60" t="e">
        <f t="shared" si="1609"/>
        <v>#DIV/0!</v>
      </c>
      <c r="H611" s="65" t="e">
        <f t="shared" ref="H611:J611" si="1643">H599</f>
        <v>#DIV/0!</v>
      </c>
      <c r="I611" s="65" t="e">
        <f t="shared" si="1643"/>
        <v>#DIV/0!</v>
      </c>
      <c r="J611" s="65" t="e">
        <f t="shared" si="1643"/>
        <v>#DIV/0!</v>
      </c>
      <c r="K611" s="69">
        <v>270000</v>
      </c>
      <c r="L611" s="69">
        <f>'Monitoramento Acumulado Geral'!Q611</f>
        <v>0</v>
      </c>
      <c r="M611" s="6">
        <f>(SUM(L602:L611))/K610</f>
        <v>0.82505385185185187</v>
      </c>
      <c r="N611" s="35" t="e">
        <f t="shared" si="1611"/>
        <v>#DIV/0!</v>
      </c>
      <c r="O611" s="6" t="e">
        <f t="shared" si="1625"/>
        <v>#DIV/0!</v>
      </c>
      <c r="P611" s="6" t="e">
        <f t="shared" si="1625"/>
        <v>#DIV/0!</v>
      </c>
      <c r="Q611" s="6" t="e">
        <f t="shared" si="1625"/>
        <v>#DIV/0!</v>
      </c>
      <c r="R611" s="69">
        <v>80</v>
      </c>
      <c r="S611" s="69">
        <v>39</v>
      </c>
      <c r="T611" s="6">
        <f t="shared" si="1606"/>
        <v>0.48749999999999999</v>
      </c>
      <c r="U611" s="35" t="e">
        <f t="shared" si="1613"/>
        <v>#DIV/0!</v>
      </c>
      <c r="V611" s="6" t="e">
        <f t="shared" ref="V611:Z611" si="1644">V599</f>
        <v>#DIV/0!</v>
      </c>
      <c r="W611" s="6" t="e">
        <f t="shared" si="1644"/>
        <v>#DIV/0!</v>
      </c>
      <c r="X611" s="6" t="e">
        <f t="shared" si="1644"/>
        <v>#DIV/0!</v>
      </c>
      <c r="Y611" s="6" t="e">
        <f t="shared" si="1644"/>
        <v>#DIV/0!</v>
      </c>
      <c r="Z611" s="6" t="e">
        <f t="shared" si="1644"/>
        <v>#DIV/0!</v>
      </c>
    </row>
    <row r="612" spans="1:26" x14ac:dyDescent="0.2">
      <c r="A612" s="7" t="s">
        <v>98</v>
      </c>
      <c r="B612" s="6">
        <f t="shared" si="1608"/>
        <v>11</v>
      </c>
      <c r="C612" s="7" t="s">
        <v>161</v>
      </c>
      <c r="D612" s="68">
        <v>75</v>
      </c>
      <c r="E612" s="68">
        <v>0</v>
      </c>
      <c r="F612" s="65">
        <f t="shared" si="1603"/>
        <v>0</v>
      </c>
      <c r="G612" s="60" t="e">
        <f t="shared" si="1609"/>
        <v>#DIV/0!</v>
      </c>
      <c r="H612" s="65" t="e">
        <f t="shared" ref="H612:J612" si="1645">H600</f>
        <v>#DIV/0!</v>
      </c>
      <c r="I612" s="65" t="e">
        <f t="shared" si="1645"/>
        <v>#DIV/0!</v>
      </c>
      <c r="J612" s="65" t="e">
        <f t="shared" si="1645"/>
        <v>#DIV/0!</v>
      </c>
      <c r="K612" s="69">
        <v>270000</v>
      </c>
      <c r="L612" s="69">
        <f>'Monitoramento Acumulado Geral'!Q612</f>
        <v>0</v>
      </c>
      <c r="M612" s="6">
        <f>(SUM(L602:L612))/K611</f>
        <v>0.82505385185185187</v>
      </c>
      <c r="N612" s="35" t="e">
        <f t="shared" si="1611"/>
        <v>#DIV/0!</v>
      </c>
      <c r="O612" s="6" t="e">
        <f t="shared" si="1625"/>
        <v>#DIV/0!</v>
      </c>
      <c r="P612" s="6" t="e">
        <f t="shared" si="1625"/>
        <v>#DIV/0!</v>
      </c>
      <c r="Q612" s="6" t="e">
        <f t="shared" si="1625"/>
        <v>#DIV/0!</v>
      </c>
      <c r="R612" s="69">
        <v>80</v>
      </c>
      <c r="S612" s="69">
        <v>0</v>
      </c>
      <c r="T612" s="6">
        <f t="shared" si="1606"/>
        <v>0</v>
      </c>
      <c r="U612" s="35" t="e">
        <f t="shared" si="1613"/>
        <v>#DIV/0!</v>
      </c>
      <c r="V612" s="6" t="e">
        <f t="shared" ref="V612:Z612" si="1646">V600</f>
        <v>#DIV/0!</v>
      </c>
      <c r="W612" s="6" t="e">
        <f t="shared" si="1646"/>
        <v>#DIV/0!</v>
      </c>
      <c r="X612" s="6" t="e">
        <f t="shared" si="1646"/>
        <v>#DIV/0!</v>
      </c>
      <c r="Y612" s="6" t="e">
        <f t="shared" si="1646"/>
        <v>#DIV/0!</v>
      </c>
      <c r="Z612" s="6" t="e">
        <f t="shared" si="1646"/>
        <v>#DIV/0!</v>
      </c>
    </row>
    <row r="613" spans="1:26" x14ac:dyDescent="0.2">
      <c r="A613" s="7" t="s">
        <v>98</v>
      </c>
      <c r="B613" s="6">
        <f t="shared" si="1608"/>
        <v>12</v>
      </c>
      <c r="C613" s="7" t="s">
        <v>162</v>
      </c>
      <c r="D613" s="68">
        <v>75</v>
      </c>
      <c r="E613" s="68">
        <v>0</v>
      </c>
      <c r="F613" s="65">
        <f t="shared" si="1603"/>
        <v>0</v>
      </c>
      <c r="G613" s="60" t="e">
        <f t="shared" si="1609"/>
        <v>#DIV/0!</v>
      </c>
      <c r="H613" s="65" t="e">
        <f t="shared" ref="H613:J613" si="1647">H601</f>
        <v>#DIV/0!</v>
      </c>
      <c r="I613" s="65" t="e">
        <f t="shared" si="1647"/>
        <v>#DIV/0!</v>
      </c>
      <c r="J613" s="65" t="e">
        <f t="shared" si="1647"/>
        <v>#DIV/0!</v>
      </c>
      <c r="K613" s="69">
        <v>270000</v>
      </c>
      <c r="L613" s="69">
        <f>'Monitoramento Acumulado Geral'!Q613</f>
        <v>0</v>
      </c>
      <c r="M613" s="6">
        <f>(SUM(L602:L613))/K612</f>
        <v>0.82505385185185187</v>
      </c>
      <c r="N613" s="35" t="e">
        <f t="shared" si="1611"/>
        <v>#DIV/0!</v>
      </c>
      <c r="O613" s="6" t="e">
        <f t="shared" si="1625"/>
        <v>#DIV/0!</v>
      </c>
      <c r="P613" s="6" t="e">
        <f t="shared" si="1625"/>
        <v>#DIV/0!</v>
      </c>
      <c r="Q613" s="6" t="e">
        <f t="shared" si="1625"/>
        <v>#DIV/0!</v>
      </c>
      <c r="R613" s="69">
        <v>80</v>
      </c>
      <c r="S613" s="69">
        <v>0</v>
      </c>
      <c r="T613" s="6">
        <f t="shared" si="1606"/>
        <v>0</v>
      </c>
      <c r="U613" s="35" t="e">
        <f t="shared" si="1613"/>
        <v>#DIV/0!</v>
      </c>
      <c r="V613" s="6" t="e">
        <f t="shared" ref="V613:Z613" si="1648">V601</f>
        <v>#DIV/0!</v>
      </c>
      <c r="W613" s="6" t="e">
        <f t="shared" si="1648"/>
        <v>#DIV/0!</v>
      </c>
      <c r="X613" s="6" t="e">
        <f t="shared" si="1648"/>
        <v>#DIV/0!</v>
      </c>
      <c r="Y613" s="6" t="e">
        <f t="shared" si="1648"/>
        <v>#DIV/0!</v>
      </c>
      <c r="Z613" s="6" t="e">
        <f t="shared" si="1648"/>
        <v>#DIV/0!</v>
      </c>
    </row>
    <row r="614" spans="1:26" x14ac:dyDescent="0.2">
      <c r="A614" s="7" t="s">
        <v>109</v>
      </c>
      <c r="B614" s="6">
        <f t="shared" si="1608"/>
        <v>1</v>
      </c>
      <c r="C614" s="7" t="s">
        <v>151</v>
      </c>
      <c r="D614" s="68">
        <v>70</v>
      </c>
      <c r="E614" s="68">
        <v>0</v>
      </c>
      <c r="F614" s="65">
        <f t="shared" si="1603"/>
        <v>0</v>
      </c>
      <c r="G614" s="60" t="e">
        <f t="shared" si="1609"/>
        <v>#DIV/0!</v>
      </c>
      <c r="H614" s="65" t="e">
        <f t="shared" ref="H614:J614" si="1649">H602</f>
        <v>#DIV/0!</v>
      </c>
      <c r="I614" s="65" t="e">
        <f t="shared" si="1649"/>
        <v>#DIV/0!</v>
      </c>
      <c r="J614" s="65" t="e">
        <f t="shared" si="1649"/>
        <v>#DIV/0!</v>
      </c>
      <c r="K614" s="69">
        <v>6600</v>
      </c>
      <c r="L614" s="69">
        <f>'Monitoramento Acumulado Geral'!Q614</f>
        <v>0</v>
      </c>
      <c r="M614" s="6">
        <f>L614/K614</f>
        <v>0</v>
      </c>
      <c r="N614" s="35" t="e">
        <f t="shared" si="1611"/>
        <v>#DIV/0!</v>
      </c>
      <c r="O614" s="6" t="e">
        <f t="shared" ref="O614:Q614" si="1650">O602</f>
        <v>#DIV/0!</v>
      </c>
      <c r="P614" s="6" t="e">
        <f t="shared" si="1650"/>
        <v>#DIV/0!</v>
      </c>
      <c r="Q614" s="6" t="e">
        <f t="shared" si="1650"/>
        <v>#DIV/0!</v>
      </c>
      <c r="R614" s="69">
        <v>43</v>
      </c>
      <c r="S614" s="69">
        <v>0</v>
      </c>
      <c r="T614" s="6">
        <f t="shared" si="1606"/>
        <v>0</v>
      </c>
      <c r="U614" s="35" t="e">
        <f t="shared" si="1613"/>
        <v>#DIV/0!</v>
      </c>
      <c r="V614" s="6" t="e">
        <f t="shared" ref="V614:Z614" si="1651">V602</f>
        <v>#DIV/0!</v>
      </c>
      <c r="W614" s="6" t="e">
        <f t="shared" si="1651"/>
        <v>#DIV/0!</v>
      </c>
      <c r="X614" s="6" t="e">
        <f t="shared" si="1651"/>
        <v>#DIV/0!</v>
      </c>
      <c r="Y614" s="6" t="e">
        <f t="shared" si="1651"/>
        <v>#DIV/0!</v>
      </c>
      <c r="Z614" s="6" t="e">
        <f t="shared" si="1651"/>
        <v>#DIV/0!</v>
      </c>
    </row>
    <row r="615" spans="1:26" x14ac:dyDescent="0.2">
      <c r="A615" s="7" t="s">
        <v>109</v>
      </c>
      <c r="B615" s="6">
        <f t="shared" si="1608"/>
        <v>2</v>
      </c>
      <c r="C615" s="7" t="s">
        <v>152</v>
      </c>
      <c r="D615" s="68">
        <v>70</v>
      </c>
      <c r="E615" s="68">
        <v>0</v>
      </c>
      <c r="F615" s="65">
        <f t="shared" si="1603"/>
        <v>0</v>
      </c>
      <c r="G615" s="60" t="e">
        <f t="shared" si="1609"/>
        <v>#DIV/0!</v>
      </c>
      <c r="H615" s="65" t="e">
        <f t="shared" ref="H615:J615" si="1652">H603</f>
        <v>#DIV/0!</v>
      </c>
      <c r="I615" s="65" t="e">
        <f t="shared" si="1652"/>
        <v>#DIV/0!</v>
      </c>
      <c r="J615" s="65" t="e">
        <f t="shared" si="1652"/>
        <v>#DIV/0!</v>
      </c>
      <c r="K615" s="69">
        <v>6600</v>
      </c>
      <c r="L615" s="69">
        <f>'Monitoramento Acumulado Geral'!Q615</f>
        <v>0</v>
      </c>
      <c r="M615" s="6">
        <f>(SUM(L614:L615))/K614</f>
        <v>0</v>
      </c>
      <c r="N615" s="35" t="e">
        <f t="shared" si="1611"/>
        <v>#DIV/0!</v>
      </c>
      <c r="O615" s="6" t="e">
        <f t="shared" ref="O615:Q615" si="1653">O603</f>
        <v>#DIV/0!</v>
      </c>
      <c r="P615" s="6" t="e">
        <f t="shared" si="1653"/>
        <v>#DIV/0!</v>
      </c>
      <c r="Q615" s="6" t="e">
        <f t="shared" si="1653"/>
        <v>#DIV/0!</v>
      </c>
      <c r="R615" s="69">
        <v>43</v>
      </c>
      <c r="S615" s="69">
        <v>0</v>
      </c>
      <c r="T615" s="6">
        <f t="shared" si="1606"/>
        <v>0</v>
      </c>
      <c r="U615" s="35" t="e">
        <f t="shared" si="1613"/>
        <v>#DIV/0!</v>
      </c>
      <c r="V615" s="6" t="e">
        <f t="shared" ref="V615:Z615" si="1654">V603</f>
        <v>#DIV/0!</v>
      </c>
      <c r="W615" s="6" t="e">
        <f t="shared" si="1654"/>
        <v>#DIV/0!</v>
      </c>
      <c r="X615" s="6" t="e">
        <f t="shared" si="1654"/>
        <v>#DIV/0!</v>
      </c>
      <c r="Y615" s="6" t="e">
        <f t="shared" si="1654"/>
        <v>#DIV/0!</v>
      </c>
      <c r="Z615" s="6" t="e">
        <f t="shared" si="1654"/>
        <v>#DIV/0!</v>
      </c>
    </row>
    <row r="616" spans="1:26" x14ac:dyDescent="0.2">
      <c r="A616" s="7" t="s">
        <v>109</v>
      </c>
      <c r="B616" s="6">
        <f t="shared" si="1608"/>
        <v>3</v>
      </c>
      <c r="C616" s="7" t="s">
        <v>153</v>
      </c>
      <c r="D616" s="68">
        <v>70</v>
      </c>
      <c r="E616" s="68">
        <v>0</v>
      </c>
      <c r="F616" s="65">
        <f t="shared" si="1603"/>
        <v>0</v>
      </c>
      <c r="G616" s="60" t="e">
        <f t="shared" si="1609"/>
        <v>#DIV/0!</v>
      </c>
      <c r="H616" s="65" t="e">
        <f t="shared" ref="H616:J616" si="1655">H604</f>
        <v>#DIV/0!</v>
      </c>
      <c r="I616" s="65" t="e">
        <f t="shared" si="1655"/>
        <v>#DIV/0!</v>
      </c>
      <c r="J616" s="65" t="e">
        <f t="shared" si="1655"/>
        <v>#DIV/0!</v>
      </c>
      <c r="K616" s="69">
        <v>6600</v>
      </c>
      <c r="L616" s="69">
        <f>'Monitoramento Acumulado Geral'!Q616</f>
        <v>0</v>
      </c>
      <c r="M616" s="6">
        <f>(SUM(L614:L616))/K615</f>
        <v>0</v>
      </c>
      <c r="N616" s="35" t="e">
        <f t="shared" si="1611"/>
        <v>#DIV/0!</v>
      </c>
      <c r="O616" s="6" t="e">
        <f t="shared" ref="O616:Q616" si="1656">O604</f>
        <v>#DIV/0!</v>
      </c>
      <c r="P616" s="6" t="e">
        <f t="shared" si="1656"/>
        <v>#DIV/0!</v>
      </c>
      <c r="Q616" s="6" t="e">
        <f t="shared" si="1656"/>
        <v>#DIV/0!</v>
      </c>
      <c r="R616" s="69">
        <v>43</v>
      </c>
      <c r="S616" s="69">
        <v>0</v>
      </c>
      <c r="T616" s="6">
        <f t="shared" si="1606"/>
        <v>0</v>
      </c>
      <c r="U616" s="35" t="e">
        <f t="shared" si="1613"/>
        <v>#DIV/0!</v>
      </c>
      <c r="V616" s="6" t="e">
        <f t="shared" ref="V616:Z616" si="1657">V604</f>
        <v>#DIV/0!</v>
      </c>
      <c r="W616" s="6" t="e">
        <f t="shared" si="1657"/>
        <v>#DIV/0!</v>
      </c>
      <c r="X616" s="6" t="e">
        <f t="shared" si="1657"/>
        <v>#DIV/0!</v>
      </c>
      <c r="Y616" s="6" t="e">
        <f t="shared" si="1657"/>
        <v>#DIV/0!</v>
      </c>
      <c r="Z616" s="6" t="e">
        <f t="shared" si="1657"/>
        <v>#DIV/0!</v>
      </c>
    </row>
    <row r="617" spans="1:26" x14ac:dyDescent="0.2">
      <c r="A617" s="7" t="s">
        <v>109</v>
      </c>
      <c r="B617" s="6">
        <f t="shared" si="1608"/>
        <v>4</v>
      </c>
      <c r="C617" s="7" t="s">
        <v>154</v>
      </c>
      <c r="D617" s="68">
        <v>70</v>
      </c>
      <c r="E617" s="68">
        <v>0</v>
      </c>
      <c r="F617" s="65">
        <f t="shared" si="1603"/>
        <v>0</v>
      </c>
      <c r="G617" s="60" t="e">
        <f t="shared" si="1609"/>
        <v>#DIV/0!</v>
      </c>
      <c r="H617" s="65" t="e">
        <f t="shared" ref="H617:J617" si="1658">H605</f>
        <v>#DIV/0!</v>
      </c>
      <c r="I617" s="65" t="e">
        <f t="shared" si="1658"/>
        <v>#DIV/0!</v>
      </c>
      <c r="J617" s="65" t="e">
        <f t="shared" si="1658"/>
        <v>#DIV/0!</v>
      </c>
      <c r="K617" s="69">
        <v>6600</v>
      </c>
      <c r="L617" s="69">
        <f>'Monitoramento Acumulado Geral'!Q617</f>
        <v>0</v>
      </c>
      <c r="M617" s="6">
        <f>(SUM(L614:L617))/K616</f>
        <v>0</v>
      </c>
      <c r="N617" s="35" t="e">
        <f t="shared" si="1611"/>
        <v>#DIV/0!</v>
      </c>
      <c r="O617" s="6" t="e">
        <f t="shared" ref="O617:Q617" si="1659">O605</f>
        <v>#DIV/0!</v>
      </c>
      <c r="P617" s="6" t="e">
        <f t="shared" si="1659"/>
        <v>#DIV/0!</v>
      </c>
      <c r="Q617" s="6" t="e">
        <f t="shared" si="1659"/>
        <v>#DIV/0!</v>
      </c>
      <c r="R617" s="69">
        <v>43</v>
      </c>
      <c r="S617" s="69">
        <v>0</v>
      </c>
      <c r="T617" s="6">
        <f t="shared" si="1606"/>
        <v>0</v>
      </c>
      <c r="U617" s="35" t="e">
        <f t="shared" si="1613"/>
        <v>#DIV/0!</v>
      </c>
      <c r="V617" s="6" t="e">
        <f t="shared" ref="V617:Z617" si="1660">V605</f>
        <v>#DIV/0!</v>
      </c>
      <c r="W617" s="6" t="e">
        <f t="shared" si="1660"/>
        <v>#DIV/0!</v>
      </c>
      <c r="X617" s="6" t="e">
        <f t="shared" si="1660"/>
        <v>#DIV/0!</v>
      </c>
      <c r="Y617" s="6" t="e">
        <f t="shared" si="1660"/>
        <v>#DIV/0!</v>
      </c>
      <c r="Z617" s="6" t="e">
        <f t="shared" si="1660"/>
        <v>#DIV/0!</v>
      </c>
    </row>
    <row r="618" spans="1:26" x14ac:dyDescent="0.2">
      <c r="A618" s="7" t="s">
        <v>109</v>
      </c>
      <c r="B618" s="6">
        <f t="shared" si="1608"/>
        <v>5</v>
      </c>
      <c r="C618" s="7" t="s">
        <v>155</v>
      </c>
      <c r="D618" s="68">
        <v>70</v>
      </c>
      <c r="E618" s="68">
        <v>0</v>
      </c>
      <c r="F618" s="65">
        <f t="shared" si="1603"/>
        <v>0</v>
      </c>
      <c r="G618" s="60" t="e">
        <f t="shared" si="1609"/>
        <v>#DIV/0!</v>
      </c>
      <c r="H618" s="65" t="e">
        <f t="shared" ref="H618:J618" si="1661">H606</f>
        <v>#DIV/0!</v>
      </c>
      <c r="I618" s="65" t="e">
        <f t="shared" si="1661"/>
        <v>#DIV/0!</v>
      </c>
      <c r="J618" s="65" t="e">
        <f t="shared" si="1661"/>
        <v>#DIV/0!</v>
      </c>
      <c r="K618" s="69">
        <v>6600</v>
      </c>
      <c r="L618" s="69">
        <f>'Monitoramento Acumulado Geral'!Q618</f>
        <v>0</v>
      </c>
      <c r="M618" s="6">
        <f>(SUM(L614:L618))/K617</f>
        <v>0</v>
      </c>
      <c r="N618" s="35" t="e">
        <f t="shared" si="1611"/>
        <v>#DIV/0!</v>
      </c>
      <c r="O618" s="6" t="e">
        <f t="shared" ref="O618:Q618" si="1662">O606</f>
        <v>#DIV/0!</v>
      </c>
      <c r="P618" s="6" t="e">
        <f t="shared" si="1662"/>
        <v>#DIV/0!</v>
      </c>
      <c r="Q618" s="6" t="e">
        <f t="shared" si="1662"/>
        <v>#DIV/0!</v>
      </c>
      <c r="R618" s="69">
        <v>43</v>
      </c>
      <c r="S618" s="69">
        <v>17</v>
      </c>
      <c r="T618" s="6">
        <f t="shared" si="1606"/>
        <v>0.39534883720930231</v>
      </c>
      <c r="U618" s="35" t="e">
        <f t="shared" si="1613"/>
        <v>#DIV/0!</v>
      </c>
      <c r="V618" s="6" t="e">
        <f t="shared" ref="V618:Z618" si="1663">V606</f>
        <v>#DIV/0!</v>
      </c>
      <c r="W618" s="6" t="e">
        <f t="shared" si="1663"/>
        <v>#DIV/0!</v>
      </c>
      <c r="X618" s="6" t="e">
        <f t="shared" si="1663"/>
        <v>#DIV/0!</v>
      </c>
      <c r="Y618" s="6" t="e">
        <f t="shared" si="1663"/>
        <v>#DIV/0!</v>
      </c>
      <c r="Z618" s="6" t="e">
        <f t="shared" si="1663"/>
        <v>#DIV/0!</v>
      </c>
    </row>
    <row r="619" spans="1:26" x14ac:dyDescent="0.2">
      <c r="A619" s="7" t="s">
        <v>109</v>
      </c>
      <c r="B619" s="6">
        <f t="shared" si="1608"/>
        <v>6</v>
      </c>
      <c r="C619" s="7" t="s">
        <v>156</v>
      </c>
      <c r="D619" s="68">
        <v>70</v>
      </c>
      <c r="E619" s="68">
        <v>0</v>
      </c>
      <c r="F619" s="65">
        <f t="shared" si="1603"/>
        <v>0</v>
      </c>
      <c r="G619" s="60" t="e">
        <f t="shared" si="1609"/>
        <v>#DIV/0!</v>
      </c>
      <c r="H619" s="65" t="e">
        <f t="shared" ref="H619:J619" si="1664">H607</f>
        <v>#DIV/0!</v>
      </c>
      <c r="I619" s="65" t="e">
        <f t="shared" si="1664"/>
        <v>#DIV/0!</v>
      </c>
      <c r="J619" s="65" t="e">
        <f t="shared" si="1664"/>
        <v>#DIV/0!</v>
      </c>
      <c r="K619" s="69">
        <v>6600</v>
      </c>
      <c r="L619" s="69">
        <f>'Monitoramento Acumulado Geral'!Q619</f>
        <v>0</v>
      </c>
      <c r="M619" s="6">
        <f>(SUM(L614:L619))/K618</f>
        <v>0</v>
      </c>
      <c r="N619" s="35" t="e">
        <f t="shared" si="1611"/>
        <v>#DIV/0!</v>
      </c>
      <c r="O619" s="6" t="e">
        <f t="shared" ref="O619:Q619" si="1665">O607</f>
        <v>#DIV/0!</v>
      </c>
      <c r="P619" s="6" t="e">
        <f t="shared" si="1665"/>
        <v>#DIV/0!</v>
      </c>
      <c r="Q619" s="6" t="e">
        <f t="shared" si="1665"/>
        <v>#DIV/0!</v>
      </c>
      <c r="R619" s="69">
        <v>43</v>
      </c>
      <c r="S619" s="69">
        <v>17</v>
      </c>
      <c r="T619" s="6">
        <f t="shared" si="1606"/>
        <v>0.39534883720930231</v>
      </c>
      <c r="U619" s="35" t="e">
        <f t="shared" si="1613"/>
        <v>#DIV/0!</v>
      </c>
      <c r="V619" s="6" t="e">
        <f t="shared" ref="V619:Z619" si="1666">V607</f>
        <v>#DIV/0!</v>
      </c>
      <c r="W619" s="6" t="e">
        <f t="shared" si="1666"/>
        <v>#DIV/0!</v>
      </c>
      <c r="X619" s="6" t="e">
        <f t="shared" si="1666"/>
        <v>#DIV/0!</v>
      </c>
      <c r="Y619" s="6" t="e">
        <f t="shared" si="1666"/>
        <v>#DIV/0!</v>
      </c>
      <c r="Z619" s="6" t="e">
        <f t="shared" si="1666"/>
        <v>#DIV/0!</v>
      </c>
    </row>
    <row r="620" spans="1:26" x14ac:dyDescent="0.2">
      <c r="A620" s="7" t="s">
        <v>109</v>
      </c>
      <c r="B620" s="6">
        <f t="shared" si="1608"/>
        <v>7</v>
      </c>
      <c r="C620" s="7" t="s">
        <v>157</v>
      </c>
      <c r="D620" s="68">
        <v>70</v>
      </c>
      <c r="E620" s="68">
        <v>0</v>
      </c>
      <c r="F620" s="65">
        <f t="shared" si="1603"/>
        <v>0</v>
      </c>
      <c r="G620" s="60" t="e">
        <f t="shared" si="1609"/>
        <v>#DIV/0!</v>
      </c>
      <c r="H620" s="65" t="e">
        <f t="shared" ref="H620:J620" si="1667">H608</f>
        <v>#DIV/0!</v>
      </c>
      <c r="I620" s="65" t="e">
        <f t="shared" si="1667"/>
        <v>#DIV/0!</v>
      </c>
      <c r="J620" s="65" t="e">
        <f t="shared" si="1667"/>
        <v>#DIV/0!</v>
      </c>
      <c r="K620" s="69">
        <v>6600</v>
      </c>
      <c r="L620" s="69">
        <f>'Monitoramento Acumulado Geral'!Q620</f>
        <v>0</v>
      </c>
      <c r="M620" s="6">
        <f>(SUM(L614:L620))/K619</f>
        <v>0</v>
      </c>
      <c r="N620" s="35" t="e">
        <f t="shared" si="1611"/>
        <v>#DIV/0!</v>
      </c>
      <c r="O620" s="6" t="e">
        <f t="shared" ref="O620:Q620" si="1668">O608</f>
        <v>#DIV/0!</v>
      </c>
      <c r="P620" s="6" t="e">
        <f t="shared" si="1668"/>
        <v>#DIV/0!</v>
      </c>
      <c r="Q620" s="6" t="e">
        <f t="shared" si="1668"/>
        <v>#DIV/0!</v>
      </c>
      <c r="R620" s="69">
        <v>43</v>
      </c>
      <c r="S620" s="69">
        <v>17</v>
      </c>
      <c r="T620" s="6">
        <f t="shared" si="1606"/>
        <v>0.39534883720930231</v>
      </c>
      <c r="U620" s="35" t="e">
        <f t="shared" si="1613"/>
        <v>#DIV/0!</v>
      </c>
      <c r="V620" s="6" t="e">
        <f t="shared" ref="V620:Z620" si="1669">V608</f>
        <v>#DIV/0!</v>
      </c>
      <c r="W620" s="6" t="e">
        <f t="shared" si="1669"/>
        <v>#DIV/0!</v>
      </c>
      <c r="X620" s="6" t="e">
        <f t="shared" si="1669"/>
        <v>#DIV/0!</v>
      </c>
      <c r="Y620" s="6" t="e">
        <f t="shared" si="1669"/>
        <v>#DIV/0!</v>
      </c>
      <c r="Z620" s="6" t="e">
        <f t="shared" si="1669"/>
        <v>#DIV/0!</v>
      </c>
    </row>
    <row r="621" spans="1:26" x14ac:dyDescent="0.2">
      <c r="A621" s="7" t="s">
        <v>109</v>
      </c>
      <c r="B621" s="6">
        <f t="shared" si="1608"/>
        <v>8</v>
      </c>
      <c r="C621" s="7" t="s">
        <v>158</v>
      </c>
      <c r="D621" s="68">
        <v>70</v>
      </c>
      <c r="E621" s="68">
        <v>33</v>
      </c>
      <c r="F621" s="65">
        <f t="shared" si="1603"/>
        <v>0.47142857142857142</v>
      </c>
      <c r="G621" s="60" t="e">
        <f t="shared" si="1609"/>
        <v>#DIV/0!</v>
      </c>
      <c r="H621" s="65" t="e">
        <f t="shared" ref="H621:J621" si="1670">H609</f>
        <v>#DIV/0!</v>
      </c>
      <c r="I621" s="65" t="e">
        <f t="shared" si="1670"/>
        <v>#DIV/0!</v>
      </c>
      <c r="J621" s="65" t="e">
        <f t="shared" si="1670"/>
        <v>#DIV/0!</v>
      </c>
      <c r="K621" s="69">
        <v>6600</v>
      </c>
      <c r="L621" s="69">
        <f>'Monitoramento Acumulado Geral'!Q621</f>
        <v>153</v>
      </c>
      <c r="M621" s="6">
        <f>(SUM(L614:L621))/K620</f>
        <v>2.3181818181818182E-2</v>
      </c>
      <c r="N621" s="35" t="e">
        <f t="shared" si="1611"/>
        <v>#DIV/0!</v>
      </c>
      <c r="O621" s="6" t="e">
        <f t="shared" ref="O621:Q621" si="1671">O609</f>
        <v>#DIV/0!</v>
      </c>
      <c r="P621" s="6" t="e">
        <f t="shared" si="1671"/>
        <v>#DIV/0!</v>
      </c>
      <c r="Q621" s="6" t="e">
        <f t="shared" si="1671"/>
        <v>#DIV/0!</v>
      </c>
      <c r="R621" s="69">
        <v>43</v>
      </c>
      <c r="S621" s="69">
        <v>17</v>
      </c>
      <c r="T621" s="6">
        <f t="shared" si="1606"/>
        <v>0.39534883720930231</v>
      </c>
      <c r="U621" s="35" t="e">
        <f t="shared" si="1613"/>
        <v>#DIV/0!</v>
      </c>
      <c r="V621" s="6" t="e">
        <f t="shared" ref="V621:Z621" si="1672">V609</f>
        <v>#DIV/0!</v>
      </c>
      <c r="W621" s="6" t="e">
        <f t="shared" si="1672"/>
        <v>#DIV/0!</v>
      </c>
      <c r="X621" s="6" t="e">
        <f t="shared" si="1672"/>
        <v>#DIV/0!</v>
      </c>
      <c r="Y621" s="6" t="e">
        <f t="shared" si="1672"/>
        <v>#DIV/0!</v>
      </c>
      <c r="Z621" s="6" t="e">
        <f t="shared" si="1672"/>
        <v>#DIV/0!</v>
      </c>
    </row>
    <row r="622" spans="1:26" x14ac:dyDescent="0.2">
      <c r="A622" s="7" t="s">
        <v>109</v>
      </c>
      <c r="B622" s="6">
        <f t="shared" si="1608"/>
        <v>9</v>
      </c>
      <c r="C622" s="7" t="s">
        <v>159</v>
      </c>
      <c r="D622" s="68">
        <v>70</v>
      </c>
      <c r="E622" s="68">
        <v>33</v>
      </c>
      <c r="F622" s="65">
        <f t="shared" si="1603"/>
        <v>0.47142857142857142</v>
      </c>
      <c r="G622" s="60" t="e">
        <f t="shared" si="1609"/>
        <v>#DIV/0!</v>
      </c>
      <c r="H622" s="65" t="e">
        <f t="shared" ref="H622:J622" si="1673">H610</f>
        <v>#DIV/0!</v>
      </c>
      <c r="I622" s="65" t="e">
        <f t="shared" si="1673"/>
        <v>#DIV/0!</v>
      </c>
      <c r="J622" s="65" t="e">
        <f t="shared" si="1673"/>
        <v>#DIV/0!</v>
      </c>
      <c r="K622" s="69">
        <v>6600</v>
      </c>
      <c r="L622" s="69">
        <f>'Monitoramento Acumulado Geral'!Q622</f>
        <v>0</v>
      </c>
      <c r="M622" s="6">
        <f>(SUM(L614:L622))/K621</f>
        <v>2.3181818181818182E-2</v>
      </c>
      <c r="N622" s="35" t="e">
        <f t="shared" si="1611"/>
        <v>#DIV/0!</v>
      </c>
      <c r="O622" s="6" t="e">
        <f t="shared" ref="O622:Q622" si="1674">O610</f>
        <v>#DIV/0!</v>
      </c>
      <c r="P622" s="6" t="e">
        <f t="shared" si="1674"/>
        <v>#DIV/0!</v>
      </c>
      <c r="Q622" s="6" t="e">
        <f t="shared" si="1674"/>
        <v>#DIV/0!</v>
      </c>
      <c r="R622" s="69">
        <v>43</v>
      </c>
      <c r="S622" s="69">
        <v>17</v>
      </c>
      <c r="T622" s="6">
        <f t="shared" si="1606"/>
        <v>0.39534883720930231</v>
      </c>
      <c r="U622" s="35" t="e">
        <f t="shared" si="1613"/>
        <v>#DIV/0!</v>
      </c>
      <c r="V622" s="6" t="e">
        <f t="shared" ref="V622:Z622" si="1675">V610</f>
        <v>#DIV/0!</v>
      </c>
      <c r="W622" s="6" t="e">
        <f t="shared" si="1675"/>
        <v>#DIV/0!</v>
      </c>
      <c r="X622" s="6" t="e">
        <f t="shared" si="1675"/>
        <v>#DIV/0!</v>
      </c>
      <c r="Y622" s="6" t="e">
        <f t="shared" si="1675"/>
        <v>#DIV/0!</v>
      </c>
      <c r="Z622" s="6" t="e">
        <f t="shared" si="1675"/>
        <v>#DIV/0!</v>
      </c>
    </row>
    <row r="623" spans="1:26" x14ac:dyDescent="0.2">
      <c r="A623" s="7" t="s">
        <v>109</v>
      </c>
      <c r="B623" s="6">
        <f t="shared" si="1608"/>
        <v>10</v>
      </c>
      <c r="C623" s="7" t="s">
        <v>160</v>
      </c>
      <c r="D623" s="68">
        <v>70</v>
      </c>
      <c r="E623" s="68">
        <v>33</v>
      </c>
      <c r="F623" s="65">
        <f t="shared" si="1603"/>
        <v>0.47142857142857142</v>
      </c>
      <c r="G623" s="60" t="e">
        <f t="shared" si="1609"/>
        <v>#DIV/0!</v>
      </c>
      <c r="H623" s="65" t="e">
        <f t="shared" ref="H623:J623" si="1676">H611</f>
        <v>#DIV/0!</v>
      </c>
      <c r="I623" s="65" t="e">
        <f t="shared" si="1676"/>
        <v>#DIV/0!</v>
      </c>
      <c r="J623" s="65" t="e">
        <f t="shared" si="1676"/>
        <v>#DIV/0!</v>
      </c>
      <c r="K623" s="69">
        <v>6600</v>
      </c>
      <c r="L623" s="69">
        <f>'Monitoramento Acumulado Geral'!Q623</f>
        <v>0</v>
      </c>
      <c r="M623" s="6">
        <f>(SUM(L614:L623))/K622</f>
        <v>2.3181818181818182E-2</v>
      </c>
      <c r="N623" s="35" t="e">
        <f t="shared" si="1611"/>
        <v>#DIV/0!</v>
      </c>
      <c r="O623" s="6" t="e">
        <f t="shared" ref="O623:Q623" si="1677">O611</f>
        <v>#DIV/0!</v>
      </c>
      <c r="P623" s="6" t="e">
        <f t="shared" si="1677"/>
        <v>#DIV/0!</v>
      </c>
      <c r="Q623" s="6" t="e">
        <f t="shared" si="1677"/>
        <v>#DIV/0!</v>
      </c>
      <c r="R623" s="69">
        <v>43</v>
      </c>
      <c r="S623" s="69">
        <v>17</v>
      </c>
      <c r="T623" s="6">
        <f t="shared" si="1606"/>
        <v>0.39534883720930231</v>
      </c>
      <c r="U623" s="35" t="e">
        <f t="shared" si="1613"/>
        <v>#DIV/0!</v>
      </c>
      <c r="V623" s="6" t="e">
        <f t="shared" ref="V623:Z623" si="1678">V611</f>
        <v>#DIV/0!</v>
      </c>
      <c r="W623" s="6" t="e">
        <f t="shared" si="1678"/>
        <v>#DIV/0!</v>
      </c>
      <c r="X623" s="6" t="e">
        <f t="shared" si="1678"/>
        <v>#DIV/0!</v>
      </c>
      <c r="Y623" s="6" t="e">
        <f t="shared" si="1678"/>
        <v>#DIV/0!</v>
      </c>
      <c r="Z623" s="6" t="e">
        <f t="shared" si="1678"/>
        <v>#DIV/0!</v>
      </c>
    </row>
    <row r="624" spans="1:26" x14ac:dyDescent="0.2">
      <c r="A624" s="7" t="s">
        <v>109</v>
      </c>
      <c r="B624" s="6">
        <f t="shared" si="1608"/>
        <v>11</v>
      </c>
      <c r="C624" s="7" t="s">
        <v>161</v>
      </c>
      <c r="D624" s="68">
        <v>70</v>
      </c>
      <c r="E624" s="68">
        <v>0</v>
      </c>
      <c r="F624" s="65">
        <f t="shared" si="1603"/>
        <v>0</v>
      </c>
      <c r="G624" s="60" t="e">
        <f t="shared" si="1609"/>
        <v>#DIV/0!</v>
      </c>
      <c r="H624" s="65" t="e">
        <f t="shared" ref="H624:J624" si="1679">H612</f>
        <v>#DIV/0!</v>
      </c>
      <c r="I624" s="65" t="e">
        <f t="shared" si="1679"/>
        <v>#DIV/0!</v>
      </c>
      <c r="J624" s="65" t="e">
        <f t="shared" si="1679"/>
        <v>#DIV/0!</v>
      </c>
      <c r="K624" s="69">
        <v>6600</v>
      </c>
      <c r="L624" s="69">
        <f>'Monitoramento Acumulado Geral'!Q624</f>
        <v>0</v>
      </c>
      <c r="M624" s="6">
        <f>(SUM(L614:L624))/K623</f>
        <v>2.3181818181818182E-2</v>
      </c>
      <c r="N624" s="35" t="e">
        <f t="shared" si="1611"/>
        <v>#DIV/0!</v>
      </c>
      <c r="O624" s="6" t="e">
        <f t="shared" ref="O624:Q624" si="1680">O612</f>
        <v>#DIV/0!</v>
      </c>
      <c r="P624" s="6" t="e">
        <f t="shared" si="1680"/>
        <v>#DIV/0!</v>
      </c>
      <c r="Q624" s="6" t="e">
        <f t="shared" si="1680"/>
        <v>#DIV/0!</v>
      </c>
      <c r="R624" s="69">
        <v>43</v>
      </c>
      <c r="S624" s="69">
        <v>0</v>
      </c>
      <c r="T624" s="6">
        <f t="shared" si="1606"/>
        <v>0</v>
      </c>
      <c r="U624" s="35" t="e">
        <f t="shared" si="1613"/>
        <v>#DIV/0!</v>
      </c>
      <c r="V624" s="6" t="e">
        <f t="shared" ref="V624:Z624" si="1681">V612</f>
        <v>#DIV/0!</v>
      </c>
      <c r="W624" s="6" t="e">
        <f t="shared" si="1681"/>
        <v>#DIV/0!</v>
      </c>
      <c r="X624" s="6" t="e">
        <f t="shared" si="1681"/>
        <v>#DIV/0!</v>
      </c>
      <c r="Y624" s="6" t="e">
        <f t="shared" si="1681"/>
        <v>#DIV/0!</v>
      </c>
      <c r="Z624" s="6" t="e">
        <f t="shared" si="1681"/>
        <v>#DIV/0!</v>
      </c>
    </row>
    <row r="625" spans="1:26" x14ac:dyDescent="0.2">
      <c r="A625" s="7" t="s">
        <v>109</v>
      </c>
      <c r="B625" s="6">
        <f t="shared" si="1608"/>
        <v>12</v>
      </c>
      <c r="C625" s="7" t="s">
        <v>162</v>
      </c>
      <c r="D625" s="68">
        <v>70</v>
      </c>
      <c r="E625" s="68">
        <v>0</v>
      </c>
      <c r="F625" s="65">
        <f t="shared" si="1603"/>
        <v>0</v>
      </c>
      <c r="G625" s="60" t="e">
        <f t="shared" si="1609"/>
        <v>#DIV/0!</v>
      </c>
      <c r="H625" s="65" t="e">
        <f t="shared" ref="H625:J625" si="1682">H613</f>
        <v>#DIV/0!</v>
      </c>
      <c r="I625" s="65" t="e">
        <f t="shared" si="1682"/>
        <v>#DIV/0!</v>
      </c>
      <c r="J625" s="65" t="e">
        <f t="shared" si="1682"/>
        <v>#DIV/0!</v>
      </c>
      <c r="K625" s="69">
        <v>6600</v>
      </c>
      <c r="L625" s="69">
        <f>'Monitoramento Acumulado Geral'!Q625</f>
        <v>0</v>
      </c>
      <c r="M625" s="6">
        <f>(SUM(L614:L625))/K624</f>
        <v>2.3181818181818182E-2</v>
      </c>
      <c r="N625" s="35" t="e">
        <f t="shared" si="1611"/>
        <v>#DIV/0!</v>
      </c>
      <c r="O625" s="6" t="e">
        <f t="shared" ref="O625:Q625" si="1683">O613</f>
        <v>#DIV/0!</v>
      </c>
      <c r="P625" s="6" t="e">
        <f t="shared" si="1683"/>
        <v>#DIV/0!</v>
      </c>
      <c r="Q625" s="6" t="e">
        <f t="shared" si="1683"/>
        <v>#DIV/0!</v>
      </c>
      <c r="R625" s="69">
        <v>43</v>
      </c>
      <c r="S625" s="69">
        <v>0</v>
      </c>
      <c r="T625" s="6">
        <f t="shared" si="1606"/>
        <v>0</v>
      </c>
      <c r="U625" s="35" t="e">
        <f t="shared" si="1613"/>
        <v>#DIV/0!</v>
      </c>
      <c r="V625" s="6" t="e">
        <f t="shared" ref="V625:Z625" si="1684">V613</f>
        <v>#DIV/0!</v>
      </c>
      <c r="W625" s="6" t="e">
        <f t="shared" si="1684"/>
        <v>#DIV/0!</v>
      </c>
      <c r="X625" s="6" t="e">
        <f t="shared" si="1684"/>
        <v>#DIV/0!</v>
      </c>
      <c r="Y625" s="6" t="e">
        <f t="shared" si="1684"/>
        <v>#DIV/0!</v>
      </c>
      <c r="Z625" s="6" t="e">
        <f t="shared" si="1684"/>
        <v>#DIV/0!</v>
      </c>
    </row>
    <row r="626" spans="1:26" x14ac:dyDescent="0.2">
      <c r="A626" t="s">
        <v>111</v>
      </c>
      <c r="B626" s="6">
        <f t="shared" ref="B626:B637" si="1685">_xlfn.IFS(C626="Janeiro",1,C626="Fevereiro",2,C626="Março",3,C626="Abril",4,C626="Maio",5,C626="Junho",6,C626="Julho",7,C626="Agosto",8,C626="Setembro",9,C626="Outubro",10,C626="Novembro",11,C626="Dezembro",12,TRUE,0)</f>
        <v>1</v>
      </c>
      <c r="C626" s="7" t="s">
        <v>151</v>
      </c>
      <c r="D626" s="68">
        <v>0</v>
      </c>
      <c r="E626" s="68">
        <v>0</v>
      </c>
      <c r="F626" s="65" t="e">
        <f t="shared" si="1603"/>
        <v>#DIV/0!</v>
      </c>
      <c r="G626" s="60" t="e">
        <f t="shared" ref="G626:G637" si="1686">IF(F626&gt;=I626,"Desempenho Ótimo",(IF(F626&gt;H626,"Desempenho Bom",(IF(F626&gt;J626,"Desempenho Médio",IF(F626&lt;=J626,"Desempenho Deficitário",0))))))</f>
        <v>#DIV/0!</v>
      </c>
      <c r="H626" s="65" t="e">
        <f t="shared" ref="H626:J626" si="1687">H614</f>
        <v>#DIV/0!</v>
      </c>
      <c r="I626" s="65" t="e">
        <f t="shared" si="1687"/>
        <v>#DIV/0!</v>
      </c>
      <c r="J626" s="65" t="e">
        <f t="shared" si="1687"/>
        <v>#DIV/0!</v>
      </c>
      <c r="K626" s="69">
        <v>0</v>
      </c>
      <c r="L626" s="69">
        <f>'Monitoramento Acumulado Geral'!Q626</f>
        <v>0</v>
      </c>
      <c r="M626" s="6">
        <f>(SUM(L623:L626))/K625</f>
        <v>0</v>
      </c>
      <c r="N626" s="35" t="e">
        <f t="shared" ref="N626:N637" si="1688">IF(M626&gt;=P626,"Desempenho Ótimo",(IF(M626&gt;O626,"Desempenho Bom",(IF(M626&gt;Q626,"Desempenho Médio",IF(M626&lt;=Q626,"Desempenho Deficitário",0))))))</f>
        <v>#DIV/0!</v>
      </c>
      <c r="O626" s="6" t="e">
        <f t="shared" ref="O626:Q626" si="1689">O614</f>
        <v>#DIV/0!</v>
      </c>
      <c r="P626" s="6" t="e">
        <f t="shared" si="1689"/>
        <v>#DIV/0!</v>
      </c>
      <c r="Q626" s="6" t="e">
        <f t="shared" si="1689"/>
        <v>#DIV/0!</v>
      </c>
      <c r="R626" s="69">
        <v>0</v>
      </c>
      <c r="S626" s="69">
        <v>0</v>
      </c>
      <c r="T626" s="6" t="e">
        <f t="shared" ref="T626:T637" si="1690">S626/R626</f>
        <v>#DIV/0!</v>
      </c>
      <c r="U626" s="35" t="e">
        <f t="shared" ref="U626:U637" si="1691">IF(T626&gt;=W626,"Desempenho Ótimo",(IF(T626&gt;V626,"Desempenho Bom",(IF(T626&gt;X626,"Desempenho Médio",IF(T626&lt;=X626,"Desempenho Deficitário",0))))))</f>
        <v>#DIV/0!</v>
      </c>
      <c r="V626" s="6" t="e">
        <f t="shared" ref="V626:Z626" si="1692">V614</f>
        <v>#DIV/0!</v>
      </c>
      <c r="W626" s="6" t="e">
        <f t="shared" si="1692"/>
        <v>#DIV/0!</v>
      </c>
      <c r="X626" s="6" t="e">
        <f t="shared" si="1692"/>
        <v>#DIV/0!</v>
      </c>
      <c r="Y626" s="6" t="e">
        <f t="shared" si="1692"/>
        <v>#DIV/0!</v>
      </c>
      <c r="Z626" s="6" t="e">
        <f t="shared" si="1692"/>
        <v>#DIV/0!</v>
      </c>
    </row>
    <row r="627" spans="1:26" x14ac:dyDescent="0.2">
      <c r="A627" t="s">
        <v>111</v>
      </c>
      <c r="B627" s="6">
        <f t="shared" si="1685"/>
        <v>2</v>
      </c>
      <c r="C627" s="7" t="s">
        <v>152</v>
      </c>
      <c r="D627" s="68">
        <v>0</v>
      </c>
      <c r="E627" s="68">
        <v>0</v>
      </c>
      <c r="F627" s="65" t="e">
        <f t="shared" si="1603"/>
        <v>#DIV/0!</v>
      </c>
      <c r="G627" s="60" t="e">
        <f t="shared" si="1686"/>
        <v>#DIV/0!</v>
      </c>
      <c r="H627" s="65" t="e">
        <f t="shared" ref="H627:J627" si="1693">H615</f>
        <v>#DIV/0!</v>
      </c>
      <c r="I627" s="65" t="e">
        <f t="shared" si="1693"/>
        <v>#DIV/0!</v>
      </c>
      <c r="J627" s="65" t="e">
        <f t="shared" si="1693"/>
        <v>#DIV/0!</v>
      </c>
      <c r="K627" s="69">
        <v>0</v>
      </c>
      <c r="L627" s="69">
        <f>'Monitoramento Acumulado Geral'!Q627</f>
        <v>0</v>
      </c>
      <c r="M627" s="6" t="e">
        <f>(SUM(L623:L627))/K626</f>
        <v>#DIV/0!</v>
      </c>
      <c r="N627" s="35" t="e">
        <f t="shared" si="1688"/>
        <v>#DIV/0!</v>
      </c>
      <c r="O627" s="6" t="e">
        <f t="shared" ref="O627:Q627" si="1694">O615</f>
        <v>#DIV/0!</v>
      </c>
      <c r="P627" s="6" t="e">
        <f t="shared" si="1694"/>
        <v>#DIV/0!</v>
      </c>
      <c r="Q627" s="6" t="e">
        <f t="shared" si="1694"/>
        <v>#DIV/0!</v>
      </c>
      <c r="R627" s="69">
        <v>0</v>
      </c>
      <c r="S627" s="69">
        <v>0</v>
      </c>
      <c r="T627" s="6" t="e">
        <f t="shared" si="1690"/>
        <v>#DIV/0!</v>
      </c>
      <c r="U627" s="35" t="e">
        <f t="shared" si="1691"/>
        <v>#DIV/0!</v>
      </c>
      <c r="V627" s="6" t="e">
        <f t="shared" ref="V627:Z627" si="1695">V615</f>
        <v>#DIV/0!</v>
      </c>
      <c r="W627" s="6" t="e">
        <f t="shared" si="1695"/>
        <v>#DIV/0!</v>
      </c>
      <c r="X627" s="6" t="e">
        <f t="shared" si="1695"/>
        <v>#DIV/0!</v>
      </c>
      <c r="Y627" s="6" t="e">
        <f t="shared" si="1695"/>
        <v>#DIV/0!</v>
      </c>
      <c r="Z627" s="6" t="e">
        <f t="shared" si="1695"/>
        <v>#DIV/0!</v>
      </c>
    </row>
    <row r="628" spans="1:26" x14ac:dyDescent="0.2">
      <c r="A628" t="s">
        <v>111</v>
      </c>
      <c r="B628" s="6">
        <f t="shared" si="1685"/>
        <v>3</v>
      </c>
      <c r="C628" s="7" t="s">
        <v>153</v>
      </c>
      <c r="D628" s="68">
        <v>0</v>
      </c>
      <c r="E628" s="68">
        <v>15</v>
      </c>
      <c r="F628" s="65" t="e">
        <f t="shared" si="1603"/>
        <v>#DIV/0!</v>
      </c>
      <c r="G628" s="60" t="e">
        <f t="shared" si="1686"/>
        <v>#DIV/0!</v>
      </c>
      <c r="H628" s="65" t="e">
        <f t="shared" ref="H628:J628" si="1696">H616</f>
        <v>#DIV/0!</v>
      </c>
      <c r="I628" s="65" t="e">
        <f t="shared" si="1696"/>
        <v>#DIV/0!</v>
      </c>
      <c r="J628" s="65" t="e">
        <f t="shared" si="1696"/>
        <v>#DIV/0!</v>
      </c>
      <c r="K628" s="69">
        <v>0</v>
      </c>
      <c r="L628" s="69">
        <f>'Monitoramento Acumulado Geral'!Q628</f>
        <v>0</v>
      </c>
      <c r="M628" s="6" t="e">
        <f>(SUM(L623:L628))/K627</f>
        <v>#DIV/0!</v>
      </c>
      <c r="N628" s="35" t="e">
        <f t="shared" si="1688"/>
        <v>#DIV/0!</v>
      </c>
      <c r="O628" s="6" t="e">
        <f t="shared" ref="O628:Q628" si="1697">O616</f>
        <v>#DIV/0!</v>
      </c>
      <c r="P628" s="6" t="e">
        <f t="shared" si="1697"/>
        <v>#DIV/0!</v>
      </c>
      <c r="Q628" s="6" t="e">
        <f t="shared" si="1697"/>
        <v>#DIV/0!</v>
      </c>
      <c r="R628" s="69">
        <v>0</v>
      </c>
      <c r="S628" s="69">
        <v>0</v>
      </c>
      <c r="T628" s="6" t="e">
        <f t="shared" si="1690"/>
        <v>#DIV/0!</v>
      </c>
      <c r="U628" s="35" t="e">
        <f t="shared" si="1691"/>
        <v>#DIV/0!</v>
      </c>
      <c r="V628" s="6" t="e">
        <f t="shared" ref="V628:Z628" si="1698">V616</f>
        <v>#DIV/0!</v>
      </c>
      <c r="W628" s="6" t="e">
        <f t="shared" si="1698"/>
        <v>#DIV/0!</v>
      </c>
      <c r="X628" s="6" t="e">
        <f t="shared" si="1698"/>
        <v>#DIV/0!</v>
      </c>
      <c r="Y628" s="6" t="e">
        <f t="shared" si="1698"/>
        <v>#DIV/0!</v>
      </c>
      <c r="Z628" s="6" t="e">
        <f t="shared" si="1698"/>
        <v>#DIV/0!</v>
      </c>
    </row>
    <row r="629" spans="1:26" x14ac:dyDescent="0.2">
      <c r="A629" t="s">
        <v>111</v>
      </c>
      <c r="B629" s="6">
        <f t="shared" si="1685"/>
        <v>4</v>
      </c>
      <c r="C629" s="7" t="s">
        <v>154</v>
      </c>
      <c r="D629" s="68">
        <v>0</v>
      </c>
      <c r="E629" s="68">
        <v>15</v>
      </c>
      <c r="F629" s="65" t="e">
        <f t="shared" si="1603"/>
        <v>#DIV/0!</v>
      </c>
      <c r="G629" s="60" t="e">
        <f t="shared" si="1686"/>
        <v>#DIV/0!</v>
      </c>
      <c r="H629" s="65" t="e">
        <f t="shared" ref="H629:J629" si="1699">H617</f>
        <v>#DIV/0!</v>
      </c>
      <c r="I629" s="65" t="e">
        <f t="shared" si="1699"/>
        <v>#DIV/0!</v>
      </c>
      <c r="J629" s="65" t="e">
        <f t="shared" si="1699"/>
        <v>#DIV/0!</v>
      </c>
      <c r="K629" s="69">
        <v>0</v>
      </c>
      <c r="L629" s="69">
        <f>'Monitoramento Acumulado Geral'!Q629</f>
        <v>0</v>
      </c>
      <c r="M629" s="6" t="e">
        <f>(SUM(L623:L629))/K628</f>
        <v>#DIV/0!</v>
      </c>
      <c r="N629" s="35" t="e">
        <f t="shared" si="1688"/>
        <v>#DIV/0!</v>
      </c>
      <c r="O629" s="6" t="e">
        <f t="shared" ref="O629:Q629" si="1700">O617</f>
        <v>#DIV/0!</v>
      </c>
      <c r="P629" s="6" t="e">
        <f t="shared" si="1700"/>
        <v>#DIV/0!</v>
      </c>
      <c r="Q629" s="6" t="e">
        <f t="shared" si="1700"/>
        <v>#DIV/0!</v>
      </c>
      <c r="R629" s="69">
        <v>0</v>
      </c>
      <c r="S629" s="69">
        <v>0</v>
      </c>
      <c r="T629" s="6" t="e">
        <f t="shared" si="1690"/>
        <v>#DIV/0!</v>
      </c>
      <c r="U629" s="35" t="e">
        <f t="shared" si="1691"/>
        <v>#DIV/0!</v>
      </c>
      <c r="V629" s="6" t="e">
        <f t="shared" ref="V629:Z629" si="1701">V617</f>
        <v>#DIV/0!</v>
      </c>
      <c r="W629" s="6" t="e">
        <f t="shared" si="1701"/>
        <v>#DIV/0!</v>
      </c>
      <c r="X629" s="6" t="e">
        <f t="shared" si="1701"/>
        <v>#DIV/0!</v>
      </c>
      <c r="Y629" s="6" t="e">
        <f t="shared" si="1701"/>
        <v>#DIV/0!</v>
      </c>
      <c r="Z629" s="6" t="e">
        <f t="shared" si="1701"/>
        <v>#DIV/0!</v>
      </c>
    </row>
    <row r="630" spans="1:26" x14ac:dyDescent="0.2">
      <c r="A630" t="s">
        <v>111</v>
      </c>
      <c r="B630" s="6">
        <f t="shared" si="1685"/>
        <v>5</v>
      </c>
      <c r="C630" s="7" t="s">
        <v>155</v>
      </c>
      <c r="D630" s="68">
        <v>0</v>
      </c>
      <c r="E630" s="68">
        <v>60</v>
      </c>
      <c r="F630" s="65" t="e">
        <f t="shared" si="1603"/>
        <v>#DIV/0!</v>
      </c>
      <c r="G630" s="60" t="e">
        <f t="shared" si="1686"/>
        <v>#DIV/0!</v>
      </c>
      <c r="H630" s="65" t="e">
        <f t="shared" ref="H630:J630" si="1702">H618</f>
        <v>#DIV/0!</v>
      </c>
      <c r="I630" s="65" t="e">
        <f t="shared" si="1702"/>
        <v>#DIV/0!</v>
      </c>
      <c r="J630" s="65" t="e">
        <f t="shared" si="1702"/>
        <v>#DIV/0!</v>
      </c>
      <c r="K630" s="69">
        <v>0</v>
      </c>
      <c r="L630" s="69">
        <f>'Monitoramento Acumulado Geral'!Q630</f>
        <v>3045</v>
      </c>
      <c r="M630" s="6" t="e">
        <f>(SUM(L623:L630))/K629</f>
        <v>#DIV/0!</v>
      </c>
      <c r="N630" s="35" t="e">
        <f t="shared" si="1688"/>
        <v>#DIV/0!</v>
      </c>
      <c r="O630" s="6" t="e">
        <f t="shared" ref="O630:Q630" si="1703">O618</f>
        <v>#DIV/0!</v>
      </c>
      <c r="P630" s="6" t="e">
        <f t="shared" si="1703"/>
        <v>#DIV/0!</v>
      </c>
      <c r="Q630" s="6" t="e">
        <f t="shared" si="1703"/>
        <v>#DIV/0!</v>
      </c>
      <c r="R630" s="69">
        <v>0</v>
      </c>
      <c r="S630" s="69">
        <v>0</v>
      </c>
      <c r="T630" s="6" t="e">
        <f t="shared" si="1690"/>
        <v>#DIV/0!</v>
      </c>
      <c r="U630" s="35" t="e">
        <f t="shared" si="1691"/>
        <v>#DIV/0!</v>
      </c>
      <c r="V630" s="6" t="e">
        <f t="shared" ref="V630:Z630" si="1704">V618</f>
        <v>#DIV/0!</v>
      </c>
      <c r="W630" s="6" t="e">
        <f t="shared" si="1704"/>
        <v>#DIV/0!</v>
      </c>
      <c r="X630" s="6" t="e">
        <f t="shared" si="1704"/>
        <v>#DIV/0!</v>
      </c>
      <c r="Y630" s="6" t="e">
        <f t="shared" si="1704"/>
        <v>#DIV/0!</v>
      </c>
      <c r="Z630" s="6" t="e">
        <f t="shared" si="1704"/>
        <v>#DIV/0!</v>
      </c>
    </row>
    <row r="631" spans="1:26" x14ac:dyDescent="0.2">
      <c r="A631" t="s">
        <v>111</v>
      </c>
      <c r="B631" s="6">
        <f t="shared" si="1685"/>
        <v>6</v>
      </c>
      <c r="C631" s="7" t="s">
        <v>156</v>
      </c>
      <c r="D631" s="68">
        <v>0</v>
      </c>
      <c r="E631" s="68">
        <v>75</v>
      </c>
      <c r="F631" s="65" t="e">
        <f t="shared" si="1603"/>
        <v>#DIV/0!</v>
      </c>
      <c r="G631" s="60" t="e">
        <f t="shared" si="1686"/>
        <v>#DIV/0!</v>
      </c>
      <c r="H631" s="65" t="e">
        <f t="shared" ref="H631:J631" si="1705">H619</f>
        <v>#DIV/0!</v>
      </c>
      <c r="I631" s="65" t="e">
        <f t="shared" si="1705"/>
        <v>#DIV/0!</v>
      </c>
      <c r="J631" s="65" t="e">
        <f t="shared" si="1705"/>
        <v>#DIV/0!</v>
      </c>
      <c r="K631" s="69">
        <v>0</v>
      </c>
      <c r="L631" s="69">
        <f>'Monitoramento Acumulado Geral'!Q631</f>
        <v>2174.89</v>
      </c>
      <c r="M631" s="6" t="e">
        <f>(SUM(L623:L631))/K630</f>
        <v>#DIV/0!</v>
      </c>
      <c r="N631" s="35" t="e">
        <f t="shared" si="1688"/>
        <v>#DIV/0!</v>
      </c>
      <c r="O631" s="6" t="e">
        <f t="shared" ref="O631:Q631" si="1706">O619</f>
        <v>#DIV/0!</v>
      </c>
      <c r="P631" s="6" t="e">
        <f t="shared" si="1706"/>
        <v>#DIV/0!</v>
      </c>
      <c r="Q631" s="6" t="e">
        <f t="shared" si="1706"/>
        <v>#DIV/0!</v>
      </c>
      <c r="R631" s="69">
        <v>0</v>
      </c>
      <c r="S631" s="69">
        <v>0</v>
      </c>
      <c r="T631" s="6" t="e">
        <f t="shared" si="1690"/>
        <v>#DIV/0!</v>
      </c>
      <c r="U631" s="35" t="e">
        <f t="shared" si="1691"/>
        <v>#DIV/0!</v>
      </c>
      <c r="V631" s="6" t="e">
        <f t="shared" ref="V631:Z631" si="1707">V619</f>
        <v>#DIV/0!</v>
      </c>
      <c r="W631" s="6" t="e">
        <f t="shared" si="1707"/>
        <v>#DIV/0!</v>
      </c>
      <c r="X631" s="6" t="e">
        <f t="shared" si="1707"/>
        <v>#DIV/0!</v>
      </c>
      <c r="Y631" s="6" t="e">
        <f t="shared" si="1707"/>
        <v>#DIV/0!</v>
      </c>
      <c r="Z631" s="6" t="e">
        <f t="shared" si="1707"/>
        <v>#DIV/0!</v>
      </c>
    </row>
    <row r="632" spans="1:26" x14ac:dyDescent="0.2">
      <c r="A632" t="s">
        <v>111</v>
      </c>
      <c r="B632" s="6">
        <f t="shared" si="1685"/>
        <v>7</v>
      </c>
      <c r="C632" s="7" t="s">
        <v>157</v>
      </c>
      <c r="D632" s="68">
        <v>0</v>
      </c>
      <c r="E632" s="68">
        <v>80</v>
      </c>
      <c r="F632" s="65" t="e">
        <f t="shared" si="1603"/>
        <v>#DIV/0!</v>
      </c>
      <c r="G632" s="60" t="e">
        <f t="shared" si="1686"/>
        <v>#DIV/0!</v>
      </c>
      <c r="H632" s="65" t="e">
        <f t="shared" ref="H632:J632" si="1708">H620</f>
        <v>#DIV/0!</v>
      </c>
      <c r="I632" s="65" t="e">
        <f t="shared" si="1708"/>
        <v>#DIV/0!</v>
      </c>
      <c r="J632" s="65" t="e">
        <f t="shared" si="1708"/>
        <v>#DIV/0!</v>
      </c>
      <c r="K632" s="69">
        <v>0</v>
      </c>
      <c r="L632" s="69">
        <f>'Monitoramento Acumulado Geral'!Q632</f>
        <v>1</v>
      </c>
      <c r="M632" s="6" t="e">
        <f>(SUM(L623:L632))/K631</f>
        <v>#DIV/0!</v>
      </c>
      <c r="N632" s="35" t="e">
        <f t="shared" si="1688"/>
        <v>#DIV/0!</v>
      </c>
      <c r="O632" s="6" t="e">
        <f t="shared" ref="O632:Q632" si="1709">O620</f>
        <v>#DIV/0!</v>
      </c>
      <c r="P632" s="6" t="e">
        <f t="shared" si="1709"/>
        <v>#DIV/0!</v>
      </c>
      <c r="Q632" s="6" t="e">
        <f t="shared" si="1709"/>
        <v>#DIV/0!</v>
      </c>
      <c r="R632" s="69">
        <v>0</v>
      </c>
      <c r="S632" s="69">
        <v>0</v>
      </c>
      <c r="T632" s="6" t="e">
        <f t="shared" si="1690"/>
        <v>#DIV/0!</v>
      </c>
      <c r="U632" s="35" t="e">
        <f t="shared" si="1691"/>
        <v>#DIV/0!</v>
      </c>
      <c r="V632" s="6" t="e">
        <f t="shared" ref="V632:Z632" si="1710">V620</f>
        <v>#DIV/0!</v>
      </c>
      <c r="W632" s="6" t="e">
        <f t="shared" si="1710"/>
        <v>#DIV/0!</v>
      </c>
      <c r="X632" s="6" t="e">
        <f t="shared" si="1710"/>
        <v>#DIV/0!</v>
      </c>
      <c r="Y632" s="6" t="e">
        <f t="shared" si="1710"/>
        <v>#DIV/0!</v>
      </c>
      <c r="Z632" s="6" t="e">
        <f t="shared" si="1710"/>
        <v>#DIV/0!</v>
      </c>
    </row>
    <row r="633" spans="1:26" x14ac:dyDescent="0.2">
      <c r="A633" t="s">
        <v>111</v>
      </c>
      <c r="B633" s="6">
        <f t="shared" si="1685"/>
        <v>8</v>
      </c>
      <c r="C633" s="7" t="s">
        <v>158</v>
      </c>
      <c r="D633" s="68">
        <v>0</v>
      </c>
      <c r="E633" s="68">
        <v>80</v>
      </c>
      <c r="F633" s="65" t="e">
        <f t="shared" si="1603"/>
        <v>#DIV/0!</v>
      </c>
      <c r="G633" s="60" t="e">
        <f t="shared" si="1686"/>
        <v>#DIV/0!</v>
      </c>
      <c r="H633" s="65" t="e">
        <f t="shared" ref="H633:J633" si="1711">H621</f>
        <v>#DIV/0!</v>
      </c>
      <c r="I633" s="65" t="e">
        <f t="shared" si="1711"/>
        <v>#DIV/0!</v>
      </c>
      <c r="J633" s="65" t="e">
        <f t="shared" si="1711"/>
        <v>#DIV/0!</v>
      </c>
      <c r="K633" s="69">
        <v>0</v>
      </c>
      <c r="L633" s="69">
        <f>'Monitoramento Acumulado Geral'!Q633</f>
        <v>3860</v>
      </c>
      <c r="M633" s="6" t="e">
        <f>(SUM(L623:L633))/K632</f>
        <v>#DIV/0!</v>
      </c>
      <c r="N633" s="35" t="e">
        <f t="shared" si="1688"/>
        <v>#DIV/0!</v>
      </c>
      <c r="O633" s="6" t="e">
        <f t="shared" ref="O633:Q633" si="1712">O621</f>
        <v>#DIV/0!</v>
      </c>
      <c r="P633" s="6" t="e">
        <f t="shared" si="1712"/>
        <v>#DIV/0!</v>
      </c>
      <c r="Q633" s="6" t="e">
        <f t="shared" si="1712"/>
        <v>#DIV/0!</v>
      </c>
      <c r="R633" s="69">
        <v>0</v>
      </c>
      <c r="S633" s="69">
        <v>0</v>
      </c>
      <c r="T633" s="6" t="e">
        <f t="shared" si="1690"/>
        <v>#DIV/0!</v>
      </c>
      <c r="U633" s="35" t="e">
        <f t="shared" si="1691"/>
        <v>#DIV/0!</v>
      </c>
      <c r="V633" s="6" t="e">
        <f t="shared" ref="V633:Z633" si="1713">V621</f>
        <v>#DIV/0!</v>
      </c>
      <c r="W633" s="6" t="e">
        <f t="shared" si="1713"/>
        <v>#DIV/0!</v>
      </c>
      <c r="X633" s="6" t="e">
        <f t="shared" si="1713"/>
        <v>#DIV/0!</v>
      </c>
      <c r="Y633" s="6" t="e">
        <f t="shared" si="1713"/>
        <v>#DIV/0!</v>
      </c>
      <c r="Z633" s="6" t="e">
        <f t="shared" si="1713"/>
        <v>#DIV/0!</v>
      </c>
    </row>
    <row r="634" spans="1:26" x14ac:dyDescent="0.2">
      <c r="A634" t="s">
        <v>111</v>
      </c>
      <c r="B634" s="6">
        <f t="shared" si="1685"/>
        <v>9</v>
      </c>
      <c r="C634" s="7" t="s">
        <v>159</v>
      </c>
      <c r="D634" s="68">
        <v>0</v>
      </c>
      <c r="E634" s="68">
        <v>80</v>
      </c>
      <c r="F634" s="65" t="e">
        <f t="shared" si="1603"/>
        <v>#DIV/0!</v>
      </c>
      <c r="G634" s="60" t="e">
        <f t="shared" si="1686"/>
        <v>#DIV/0!</v>
      </c>
      <c r="H634" s="65" t="e">
        <f t="shared" ref="H634:J634" si="1714">H622</f>
        <v>#DIV/0!</v>
      </c>
      <c r="I634" s="65" t="e">
        <f t="shared" si="1714"/>
        <v>#DIV/0!</v>
      </c>
      <c r="J634" s="65" t="e">
        <f t="shared" si="1714"/>
        <v>#DIV/0!</v>
      </c>
      <c r="K634" s="69">
        <v>0</v>
      </c>
      <c r="L634" s="69">
        <f>'Monitoramento Acumulado Geral'!Q634</f>
        <v>2650</v>
      </c>
      <c r="M634" s="6" t="e">
        <f>(SUM(L623:L634))/K633</f>
        <v>#DIV/0!</v>
      </c>
      <c r="N634" s="35" t="e">
        <f t="shared" si="1688"/>
        <v>#DIV/0!</v>
      </c>
      <c r="O634" s="6" t="e">
        <f t="shared" ref="O634:Q634" si="1715">O622</f>
        <v>#DIV/0!</v>
      </c>
      <c r="P634" s="6" t="e">
        <f t="shared" si="1715"/>
        <v>#DIV/0!</v>
      </c>
      <c r="Q634" s="6" t="e">
        <f t="shared" si="1715"/>
        <v>#DIV/0!</v>
      </c>
      <c r="R634" s="69">
        <v>0</v>
      </c>
      <c r="S634" s="69">
        <v>0</v>
      </c>
      <c r="T634" s="6" t="e">
        <f t="shared" si="1690"/>
        <v>#DIV/0!</v>
      </c>
      <c r="U634" s="35" t="e">
        <f t="shared" si="1691"/>
        <v>#DIV/0!</v>
      </c>
      <c r="V634" s="6" t="e">
        <f t="shared" ref="V634:Z634" si="1716">V622</f>
        <v>#DIV/0!</v>
      </c>
      <c r="W634" s="6" t="e">
        <f t="shared" si="1716"/>
        <v>#DIV/0!</v>
      </c>
      <c r="X634" s="6" t="e">
        <f t="shared" si="1716"/>
        <v>#DIV/0!</v>
      </c>
      <c r="Y634" s="6" t="e">
        <f t="shared" si="1716"/>
        <v>#DIV/0!</v>
      </c>
      <c r="Z634" s="6" t="e">
        <f t="shared" si="1716"/>
        <v>#DIV/0!</v>
      </c>
    </row>
    <row r="635" spans="1:26" x14ac:dyDescent="0.2">
      <c r="A635" t="s">
        <v>111</v>
      </c>
      <c r="B635" s="6">
        <f t="shared" si="1685"/>
        <v>10</v>
      </c>
      <c r="C635" s="7" t="s">
        <v>160</v>
      </c>
      <c r="D635" s="68">
        <v>0</v>
      </c>
      <c r="E635" s="68">
        <v>80</v>
      </c>
      <c r="F635" s="65" t="e">
        <f t="shared" si="1603"/>
        <v>#DIV/0!</v>
      </c>
      <c r="G635" s="60" t="e">
        <f t="shared" si="1686"/>
        <v>#DIV/0!</v>
      </c>
      <c r="H635" s="65" t="e">
        <f t="shared" ref="H635:J635" si="1717">H623</f>
        <v>#DIV/0!</v>
      </c>
      <c r="I635" s="65" t="e">
        <f t="shared" si="1717"/>
        <v>#DIV/0!</v>
      </c>
      <c r="J635" s="65" t="e">
        <f t="shared" si="1717"/>
        <v>#DIV/0!</v>
      </c>
      <c r="K635" s="69">
        <v>0</v>
      </c>
      <c r="L635" s="69">
        <f>'Monitoramento Acumulado Geral'!Q635</f>
        <v>0</v>
      </c>
      <c r="M635" s="6" t="e">
        <f>L635/K635</f>
        <v>#DIV/0!</v>
      </c>
      <c r="N635" s="35" t="e">
        <f t="shared" si="1688"/>
        <v>#DIV/0!</v>
      </c>
      <c r="O635" s="6" t="e">
        <f t="shared" ref="O635:Q635" si="1718">O623</f>
        <v>#DIV/0!</v>
      </c>
      <c r="P635" s="6" t="e">
        <f t="shared" si="1718"/>
        <v>#DIV/0!</v>
      </c>
      <c r="Q635" s="6" t="e">
        <f t="shared" si="1718"/>
        <v>#DIV/0!</v>
      </c>
      <c r="R635" s="69">
        <v>0</v>
      </c>
      <c r="S635" s="69">
        <v>0</v>
      </c>
      <c r="T635" s="6" t="e">
        <f t="shared" si="1690"/>
        <v>#DIV/0!</v>
      </c>
      <c r="U635" s="35" t="e">
        <f t="shared" si="1691"/>
        <v>#DIV/0!</v>
      </c>
      <c r="V635" s="6" t="e">
        <f t="shared" ref="V635:Z635" si="1719">V623</f>
        <v>#DIV/0!</v>
      </c>
      <c r="W635" s="6" t="e">
        <f t="shared" si="1719"/>
        <v>#DIV/0!</v>
      </c>
      <c r="X635" s="6" t="e">
        <f t="shared" si="1719"/>
        <v>#DIV/0!</v>
      </c>
      <c r="Y635" s="6" t="e">
        <f t="shared" si="1719"/>
        <v>#DIV/0!</v>
      </c>
      <c r="Z635" s="6" t="e">
        <f t="shared" si="1719"/>
        <v>#DIV/0!</v>
      </c>
    </row>
    <row r="636" spans="1:26" x14ac:dyDescent="0.2">
      <c r="A636" t="s">
        <v>111</v>
      </c>
      <c r="B636" s="6">
        <f t="shared" si="1685"/>
        <v>11</v>
      </c>
      <c r="C636" s="7" t="s">
        <v>161</v>
      </c>
      <c r="D636" s="68">
        <v>0</v>
      </c>
      <c r="E636" s="68">
        <v>0</v>
      </c>
      <c r="F636" s="65" t="e">
        <f t="shared" si="1603"/>
        <v>#DIV/0!</v>
      </c>
      <c r="G636" s="60" t="e">
        <f t="shared" si="1686"/>
        <v>#DIV/0!</v>
      </c>
      <c r="H636" s="65" t="e">
        <f t="shared" ref="H636:J636" si="1720">H624</f>
        <v>#DIV/0!</v>
      </c>
      <c r="I636" s="65" t="e">
        <f t="shared" si="1720"/>
        <v>#DIV/0!</v>
      </c>
      <c r="J636" s="65" t="e">
        <f t="shared" si="1720"/>
        <v>#DIV/0!</v>
      </c>
      <c r="K636" s="69">
        <v>0</v>
      </c>
      <c r="L636" s="69">
        <f>'Monitoramento Acumulado Geral'!Q636</f>
        <v>0</v>
      </c>
      <c r="M636" s="6" t="e">
        <f>(SUM(L635:L636))/K635</f>
        <v>#DIV/0!</v>
      </c>
      <c r="N636" s="35" t="e">
        <f t="shared" si="1688"/>
        <v>#DIV/0!</v>
      </c>
      <c r="O636" s="6" t="e">
        <f t="shared" ref="O636:Q636" si="1721">O624</f>
        <v>#DIV/0!</v>
      </c>
      <c r="P636" s="6" t="e">
        <f t="shared" si="1721"/>
        <v>#DIV/0!</v>
      </c>
      <c r="Q636" s="6" t="e">
        <f t="shared" si="1721"/>
        <v>#DIV/0!</v>
      </c>
      <c r="R636" s="69">
        <v>0</v>
      </c>
      <c r="S636" s="69">
        <v>0</v>
      </c>
      <c r="T636" s="6" t="e">
        <f t="shared" si="1690"/>
        <v>#DIV/0!</v>
      </c>
      <c r="U636" s="35" t="e">
        <f t="shared" si="1691"/>
        <v>#DIV/0!</v>
      </c>
      <c r="V636" s="6" t="e">
        <f t="shared" ref="V636:Z636" si="1722">V624</f>
        <v>#DIV/0!</v>
      </c>
      <c r="W636" s="6" t="e">
        <f t="shared" si="1722"/>
        <v>#DIV/0!</v>
      </c>
      <c r="X636" s="6" t="e">
        <f t="shared" si="1722"/>
        <v>#DIV/0!</v>
      </c>
      <c r="Y636" s="6" t="e">
        <f t="shared" si="1722"/>
        <v>#DIV/0!</v>
      </c>
      <c r="Z636" s="6" t="e">
        <f t="shared" si="1722"/>
        <v>#DIV/0!</v>
      </c>
    </row>
    <row r="637" spans="1:26" x14ac:dyDescent="0.2">
      <c r="A637" t="s">
        <v>111</v>
      </c>
      <c r="B637" s="6">
        <f t="shared" si="1685"/>
        <v>12</v>
      </c>
      <c r="C637" s="7" t="s">
        <v>162</v>
      </c>
      <c r="D637" s="68">
        <v>0</v>
      </c>
      <c r="E637" s="68">
        <v>0</v>
      </c>
      <c r="F637" s="65" t="e">
        <f t="shared" si="1603"/>
        <v>#DIV/0!</v>
      </c>
      <c r="G637" s="60" t="e">
        <f t="shared" si="1686"/>
        <v>#DIV/0!</v>
      </c>
      <c r="H637" s="65" t="e">
        <f t="shared" ref="H637:J637" si="1723">H625</f>
        <v>#DIV/0!</v>
      </c>
      <c r="I637" s="65" t="e">
        <f t="shared" si="1723"/>
        <v>#DIV/0!</v>
      </c>
      <c r="J637" s="65" t="e">
        <f t="shared" si="1723"/>
        <v>#DIV/0!</v>
      </c>
      <c r="K637" s="69">
        <v>0</v>
      </c>
      <c r="L637" s="69">
        <f>'Monitoramento Acumulado Geral'!Q637</f>
        <v>0</v>
      </c>
      <c r="M637" s="6" t="e">
        <f>(SUM(L635:L637))/K636</f>
        <v>#DIV/0!</v>
      </c>
      <c r="N637" s="35" t="e">
        <f t="shared" si="1688"/>
        <v>#DIV/0!</v>
      </c>
      <c r="O637" s="6" t="e">
        <f t="shared" ref="O637:Q637" si="1724">O625</f>
        <v>#DIV/0!</v>
      </c>
      <c r="P637" s="6" t="e">
        <f t="shared" si="1724"/>
        <v>#DIV/0!</v>
      </c>
      <c r="Q637" s="6" t="e">
        <f t="shared" si="1724"/>
        <v>#DIV/0!</v>
      </c>
      <c r="R637" s="69">
        <v>0</v>
      </c>
      <c r="S637" s="69">
        <v>0</v>
      </c>
      <c r="T637" s="6" t="e">
        <f t="shared" si="1690"/>
        <v>#DIV/0!</v>
      </c>
      <c r="U637" s="35" t="e">
        <f t="shared" si="1691"/>
        <v>#DIV/0!</v>
      </c>
      <c r="V637" s="6" t="e">
        <f t="shared" ref="V637:Z637" si="1725">V625</f>
        <v>#DIV/0!</v>
      </c>
      <c r="W637" s="6" t="e">
        <f t="shared" si="1725"/>
        <v>#DIV/0!</v>
      </c>
      <c r="X637" s="6" t="e">
        <f t="shared" si="1725"/>
        <v>#DIV/0!</v>
      </c>
      <c r="Y637" s="6" t="e">
        <f t="shared" si="1725"/>
        <v>#DIV/0!</v>
      </c>
      <c r="Z637" s="6" t="e">
        <f t="shared" si="1725"/>
        <v>#DIV/0!</v>
      </c>
    </row>
    <row r="638" spans="1:26" x14ac:dyDescent="0.2">
      <c r="A638" s="7" t="s">
        <v>96</v>
      </c>
      <c r="B638" s="6">
        <f t="shared" si="1608"/>
        <v>1</v>
      </c>
      <c r="C638" s="7" t="s">
        <v>151</v>
      </c>
      <c r="D638" s="68">
        <v>75</v>
      </c>
      <c r="E638" s="68">
        <v>0</v>
      </c>
      <c r="F638" s="65">
        <f t="shared" si="1603"/>
        <v>0</v>
      </c>
      <c r="G638" s="60" t="e">
        <f t="shared" si="1609"/>
        <v>#DIV/0!</v>
      </c>
      <c r="H638" s="65" t="e">
        <f t="shared" ref="H638:J638" si="1726">H626</f>
        <v>#DIV/0!</v>
      </c>
      <c r="I638" s="65" t="e">
        <f t="shared" si="1726"/>
        <v>#DIV/0!</v>
      </c>
      <c r="J638" s="65" t="e">
        <f t="shared" si="1726"/>
        <v>#DIV/0!</v>
      </c>
      <c r="K638" s="69">
        <v>30000</v>
      </c>
      <c r="L638" s="69">
        <f>'Monitoramento Acumulado Geral'!Q638</f>
        <v>0</v>
      </c>
      <c r="M638" s="6">
        <f>L638/K638</f>
        <v>0</v>
      </c>
      <c r="N638" s="35" t="e">
        <f t="shared" si="1611"/>
        <v>#DIV/0!</v>
      </c>
      <c r="O638" s="6" t="e">
        <f t="shared" ref="O638:Q638" si="1727">O626</f>
        <v>#DIV/0!</v>
      </c>
      <c r="P638" s="6" t="e">
        <f t="shared" si="1727"/>
        <v>#DIV/0!</v>
      </c>
      <c r="Q638" s="6" t="e">
        <f t="shared" si="1727"/>
        <v>#DIV/0!</v>
      </c>
      <c r="R638" s="69">
        <v>80</v>
      </c>
      <c r="S638" s="69">
        <v>0</v>
      </c>
      <c r="T638" s="6">
        <f t="shared" si="1606"/>
        <v>0</v>
      </c>
      <c r="U638" s="35" t="e">
        <f t="shared" si="1613"/>
        <v>#DIV/0!</v>
      </c>
      <c r="V638" s="6" t="e">
        <f t="shared" ref="V638:Z638" si="1728">V626</f>
        <v>#DIV/0!</v>
      </c>
      <c r="W638" s="6" t="e">
        <f t="shared" si="1728"/>
        <v>#DIV/0!</v>
      </c>
      <c r="X638" s="6" t="e">
        <f t="shared" si="1728"/>
        <v>#DIV/0!</v>
      </c>
      <c r="Y638" s="6" t="e">
        <f t="shared" si="1728"/>
        <v>#DIV/0!</v>
      </c>
      <c r="Z638" s="6" t="e">
        <f t="shared" si="1728"/>
        <v>#DIV/0!</v>
      </c>
    </row>
    <row r="639" spans="1:26" x14ac:dyDescent="0.2">
      <c r="A639" s="7" t="s">
        <v>96</v>
      </c>
      <c r="B639" s="6">
        <f t="shared" si="1608"/>
        <v>2</v>
      </c>
      <c r="C639" s="7" t="s">
        <v>152</v>
      </c>
      <c r="D639" s="68">
        <v>75</v>
      </c>
      <c r="E639" s="68">
        <v>0</v>
      </c>
      <c r="F639" s="65">
        <f t="shared" si="1603"/>
        <v>0</v>
      </c>
      <c r="G639" s="60" t="e">
        <f t="shared" si="1609"/>
        <v>#DIV/0!</v>
      </c>
      <c r="H639" s="65" t="e">
        <f t="shared" ref="H639:J639" si="1729">H627</f>
        <v>#DIV/0!</v>
      </c>
      <c r="I639" s="65" t="e">
        <f t="shared" si="1729"/>
        <v>#DIV/0!</v>
      </c>
      <c r="J639" s="65" t="e">
        <f t="shared" si="1729"/>
        <v>#DIV/0!</v>
      </c>
      <c r="K639" s="69">
        <v>30000</v>
      </c>
      <c r="L639" s="69">
        <f>'Monitoramento Acumulado Geral'!Q639</f>
        <v>0</v>
      </c>
      <c r="M639" s="6">
        <f>(SUM(L638:L639))/K638</f>
        <v>0</v>
      </c>
      <c r="N639" s="35" t="e">
        <f t="shared" si="1611"/>
        <v>#DIV/0!</v>
      </c>
      <c r="O639" s="6" t="e">
        <f t="shared" ref="O639:Q639" si="1730">O627</f>
        <v>#DIV/0!</v>
      </c>
      <c r="P639" s="6" t="e">
        <f t="shared" si="1730"/>
        <v>#DIV/0!</v>
      </c>
      <c r="Q639" s="6" t="e">
        <f t="shared" si="1730"/>
        <v>#DIV/0!</v>
      </c>
      <c r="R639" s="69">
        <v>80</v>
      </c>
      <c r="S639" s="69">
        <v>0</v>
      </c>
      <c r="T639" s="6">
        <f t="shared" si="1606"/>
        <v>0</v>
      </c>
      <c r="U639" s="35" t="e">
        <f t="shared" si="1613"/>
        <v>#DIV/0!</v>
      </c>
      <c r="V639" s="6" t="e">
        <f t="shared" ref="V639:Z639" si="1731">V627</f>
        <v>#DIV/0!</v>
      </c>
      <c r="W639" s="6" t="e">
        <f t="shared" si="1731"/>
        <v>#DIV/0!</v>
      </c>
      <c r="X639" s="6" t="e">
        <f t="shared" si="1731"/>
        <v>#DIV/0!</v>
      </c>
      <c r="Y639" s="6" t="e">
        <f t="shared" si="1731"/>
        <v>#DIV/0!</v>
      </c>
      <c r="Z639" s="6" t="e">
        <f t="shared" si="1731"/>
        <v>#DIV/0!</v>
      </c>
    </row>
    <row r="640" spans="1:26" x14ac:dyDescent="0.2">
      <c r="A640" s="7" t="s">
        <v>96</v>
      </c>
      <c r="B640" s="6">
        <f t="shared" si="1608"/>
        <v>3</v>
      </c>
      <c r="C640" s="7" t="s">
        <v>153</v>
      </c>
      <c r="D640" s="68">
        <v>75</v>
      </c>
      <c r="E640" s="68">
        <v>0</v>
      </c>
      <c r="F640" s="65">
        <f t="shared" si="1603"/>
        <v>0</v>
      </c>
      <c r="G640" s="60" t="e">
        <f t="shared" si="1609"/>
        <v>#DIV/0!</v>
      </c>
      <c r="H640" s="65" t="e">
        <f t="shared" ref="H640:J640" si="1732">H628</f>
        <v>#DIV/0!</v>
      </c>
      <c r="I640" s="65" t="e">
        <f t="shared" si="1732"/>
        <v>#DIV/0!</v>
      </c>
      <c r="J640" s="65" t="e">
        <f t="shared" si="1732"/>
        <v>#DIV/0!</v>
      </c>
      <c r="K640" s="69">
        <v>30000</v>
      </c>
      <c r="L640" s="69">
        <f>'Monitoramento Acumulado Geral'!Q640</f>
        <v>0</v>
      </c>
      <c r="M640" s="6">
        <f>(SUM(L638:L640))/K639</f>
        <v>0</v>
      </c>
      <c r="N640" s="35" t="e">
        <f t="shared" si="1611"/>
        <v>#DIV/0!</v>
      </c>
      <c r="O640" s="6" t="e">
        <f t="shared" ref="O640:Q640" si="1733">O628</f>
        <v>#DIV/0!</v>
      </c>
      <c r="P640" s="6" t="e">
        <f t="shared" si="1733"/>
        <v>#DIV/0!</v>
      </c>
      <c r="Q640" s="6" t="e">
        <f t="shared" si="1733"/>
        <v>#DIV/0!</v>
      </c>
      <c r="R640" s="69">
        <v>80</v>
      </c>
      <c r="S640" s="69">
        <v>0</v>
      </c>
      <c r="T640" s="6">
        <f t="shared" si="1606"/>
        <v>0</v>
      </c>
      <c r="U640" s="35" t="e">
        <f t="shared" si="1613"/>
        <v>#DIV/0!</v>
      </c>
      <c r="V640" s="6" t="e">
        <f t="shared" ref="V640:Z640" si="1734">V628</f>
        <v>#DIV/0!</v>
      </c>
      <c r="W640" s="6" t="e">
        <f t="shared" si="1734"/>
        <v>#DIV/0!</v>
      </c>
      <c r="X640" s="6" t="e">
        <f t="shared" si="1734"/>
        <v>#DIV/0!</v>
      </c>
      <c r="Y640" s="6" t="e">
        <f t="shared" si="1734"/>
        <v>#DIV/0!</v>
      </c>
      <c r="Z640" s="6" t="e">
        <f t="shared" si="1734"/>
        <v>#DIV/0!</v>
      </c>
    </row>
    <row r="641" spans="1:26" x14ac:dyDescent="0.2">
      <c r="A641" s="7" t="s">
        <v>96</v>
      </c>
      <c r="B641" s="6">
        <f t="shared" si="1608"/>
        <v>4</v>
      </c>
      <c r="C641" s="7" t="s">
        <v>154</v>
      </c>
      <c r="D641" s="68">
        <v>75</v>
      </c>
      <c r="E641" s="68">
        <v>0</v>
      </c>
      <c r="F641" s="65">
        <f t="shared" si="1603"/>
        <v>0</v>
      </c>
      <c r="G641" s="60" t="e">
        <f t="shared" si="1609"/>
        <v>#DIV/0!</v>
      </c>
      <c r="H641" s="65" t="e">
        <f t="shared" ref="H641:J641" si="1735">H629</f>
        <v>#DIV/0!</v>
      </c>
      <c r="I641" s="65" t="e">
        <f t="shared" si="1735"/>
        <v>#DIV/0!</v>
      </c>
      <c r="J641" s="65" t="e">
        <f t="shared" si="1735"/>
        <v>#DIV/0!</v>
      </c>
      <c r="K641" s="69">
        <v>30000</v>
      </c>
      <c r="L641" s="69">
        <f>'Monitoramento Acumulado Geral'!Q641</f>
        <v>0</v>
      </c>
      <c r="M641" s="6">
        <f>(SUM(L638:L641))/K640</f>
        <v>0</v>
      </c>
      <c r="N641" s="35" t="e">
        <f t="shared" si="1611"/>
        <v>#DIV/0!</v>
      </c>
      <c r="O641" s="6" t="e">
        <f t="shared" ref="O641:Q641" si="1736">O629</f>
        <v>#DIV/0!</v>
      </c>
      <c r="P641" s="6" t="e">
        <f t="shared" si="1736"/>
        <v>#DIV/0!</v>
      </c>
      <c r="Q641" s="6" t="e">
        <f t="shared" si="1736"/>
        <v>#DIV/0!</v>
      </c>
      <c r="R641" s="69">
        <v>80</v>
      </c>
      <c r="S641" s="69">
        <v>0</v>
      </c>
      <c r="T641" s="6">
        <f t="shared" si="1606"/>
        <v>0</v>
      </c>
      <c r="U641" s="35" t="e">
        <f t="shared" si="1613"/>
        <v>#DIV/0!</v>
      </c>
      <c r="V641" s="6" t="e">
        <f t="shared" ref="V641:Z641" si="1737">V629</f>
        <v>#DIV/0!</v>
      </c>
      <c r="W641" s="6" t="e">
        <f t="shared" si="1737"/>
        <v>#DIV/0!</v>
      </c>
      <c r="X641" s="6" t="e">
        <f t="shared" si="1737"/>
        <v>#DIV/0!</v>
      </c>
      <c r="Y641" s="6" t="e">
        <f t="shared" si="1737"/>
        <v>#DIV/0!</v>
      </c>
      <c r="Z641" s="6" t="e">
        <f t="shared" si="1737"/>
        <v>#DIV/0!</v>
      </c>
    </row>
    <row r="642" spans="1:26" x14ac:dyDescent="0.2">
      <c r="A642" s="7" t="s">
        <v>96</v>
      </c>
      <c r="B642" s="6">
        <f t="shared" si="1608"/>
        <v>5</v>
      </c>
      <c r="C642" s="7" t="s">
        <v>155</v>
      </c>
      <c r="D642" s="68">
        <v>75</v>
      </c>
      <c r="E642" s="68">
        <v>19</v>
      </c>
      <c r="F642" s="65">
        <f t="shared" si="1603"/>
        <v>0.25333333333333335</v>
      </c>
      <c r="G642" s="60" t="e">
        <f t="shared" si="1609"/>
        <v>#DIV/0!</v>
      </c>
      <c r="H642" s="65" t="e">
        <f t="shared" ref="H642:J642" si="1738">H630</f>
        <v>#DIV/0!</v>
      </c>
      <c r="I642" s="65" t="e">
        <f t="shared" si="1738"/>
        <v>#DIV/0!</v>
      </c>
      <c r="J642" s="65" t="e">
        <f t="shared" si="1738"/>
        <v>#DIV/0!</v>
      </c>
      <c r="K642" s="69">
        <v>30000</v>
      </c>
      <c r="L642" s="69">
        <f>'Monitoramento Acumulado Geral'!Q642</f>
        <v>5640</v>
      </c>
      <c r="M642" s="6">
        <f>(SUM(L638:L642))/K641</f>
        <v>0.188</v>
      </c>
      <c r="N642" s="35" t="e">
        <f t="shared" si="1611"/>
        <v>#DIV/0!</v>
      </c>
      <c r="O642" s="6" t="e">
        <f t="shared" ref="O642:Q642" si="1739">O630</f>
        <v>#DIV/0!</v>
      </c>
      <c r="P642" s="6" t="e">
        <f t="shared" si="1739"/>
        <v>#DIV/0!</v>
      </c>
      <c r="Q642" s="6" t="e">
        <f t="shared" si="1739"/>
        <v>#DIV/0!</v>
      </c>
      <c r="R642" s="69">
        <v>80</v>
      </c>
      <c r="S642" s="69">
        <v>43</v>
      </c>
      <c r="T642" s="6">
        <f t="shared" si="1606"/>
        <v>0.53749999999999998</v>
      </c>
      <c r="U642" s="35" t="e">
        <f t="shared" si="1613"/>
        <v>#DIV/0!</v>
      </c>
      <c r="V642" s="6" t="e">
        <f t="shared" ref="V642:Z642" si="1740">V630</f>
        <v>#DIV/0!</v>
      </c>
      <c r="W642" s="6" t="e">
        <f t="shared" si="1740"/>
        <v>#DIV/0!</v>
      </c>
      <c r="X642" s="6" t="e">
        <f t="shared" si="1740"/>
        <v>#DIV/0!</v>
      </c>
      <c r="Y642" s="6" t="e">
        <f t="shared" si="1740"/>
        <v>#DIV/0!</v>
      </c>
      <c r="Z642" s="6" t="e">
        <f t="shared" si="1740"/>
        <v>#DIV/0!</v>
      </c>
    </row>
    <row r="643" spans="1:26" x14ac:dyDescent="0.2">
      <c r="A643" s="7" t="s">
        <v>96</v>
      </c>
      <c r="B643" s="6">
        <f t="shared" si="1608"/>
        <v>6</v>
      </c>
      <c r="C643" s="7" t="s">
        <v>156</v>
      </c>
      <c r="D643" s="68">
        <v>75</v>
      </c>
      <c r="E643" s="68">
        <v>19</v>
      </c>
      <c r="F643" s="65">
        <f t="shared" si="1603"/>
        <v>0.25333333333333335</v>
      </c>
      <c r="G643" s="60" t="e">
        <f t="shared" si="1609"/>
        <v>#DIV/0!</v>
      </c>
      <c r="H643" s="65" t="e">
        <f t="shared" ref="H643:J643" si="1741">H631</f>
        <v>#DIV/0!</v>
      </c>
      <c r="I643" s="65" t="e">
        <f t="shared" si="1741"/>
        <v>#DIV/0!</v>
      </c>
      <c r="J643" s="65" t="e">
        <f t="shared" si="1741"/>
        <v>#DIV/0!</v>
      </c>
      <c r="K643" s="69">
        <v>30000</v>
      </c>
      <c r="L643" s="69">
        <f>'Monitoramento Acumulado Geral'!Q643</f>
        <v>0</v>
      </c>
      <c r="M643" s="6">
        <f>(SUM(L638:L643))/K642</f>
        <v>0.188</v>
      </c>
      <c r="N643" s="35" t="e">
        <f t="shared" si="1611"/>
        <v>#DIV/0!</v>
      </c>
      <c r="O643" s="6" t="e">
        <f t="shared" ref="O643:Q643" si="1742">O631</f>
        <v>#DIV/0!</v>
      </c>
      <c r="P643" s="6" t="e">
        <f t="shared" si="1742"/>
        <v>#DIV/0!</v>
      </c>
      <c r="Q643" s="6" t="e">
        <f t="shared" si="1742"/>
        <v>#DIV/0!</v>
      </c>
      <c r="R643" s="69">
        <v>80</v>
      </c>
      <c r="S643" s="69">
        <v>43</v>
      </c>
      <c r="T643" s="6">
        <f t="shared" si="1606"/>
        <v>0.53749999999999998</v>
      </c>
      <c r="U643" s="35" t="e">
        <f t="shared" si="1613"/>
        <v>#DIV/0!</v>
      </c>
      <c r="V643" s="6" t="e">
        <f t="shared" ref="V643:Z643" si="1743">V631</f>
        <v>#DIV/0!</v>
      </c>
      <c r="W643" s="6" t="e">
        <f t="shared" si="1743"/>
        <v>#DIV/0!</v>
      </c>
      <c r="X643" s="6" t="e">
        <f t="shared" si="1743"/>
        <v>#DIV/0!</v>
      </c>
      <c r="Y643" s="6" t="e">
        <f t="shared" si="1743"/>
        <v>#DIV/0!</v>
      </c>
      <c r="Z643" s="6" t="e">
        <f t="shared" si="1743"/>
        <v>#DIV/0!</v>
      </c>
    </row>
    <row r="644" spans="1:26" x14ac:dyDescent="0.2">
      <c r="A644" s="7" t="s">
        <v>96</v>
      </c>
      <c r="B644" s="6">
        <f t="shared" si="1608"/>
        <v>7</v>
      </c>
      <c r="C644" s="7" t="s">
        <v>157</v>
      </c>
      <c r="D644" s="68">
        <v>75</v>
      </c>
      <c r="E644" s="68">
        <v>19</v>
      </c>
      <c r="F644" s="65">
        <f t="shared" si="1603"/>
        <v>0.25333333333333335</v>
      </c>
      <c r="G644" s="60" t="e">
        <f t="shared" si="1609"/>
        <v>#DIV/0!</v>
      </c>
      <c r="H644" s="65" t="e">
        <f t="shared" ref="H644:J644" si="1744">H632</f>
        <v>#DIV/0!</v>
      </c>
      <c r="I644" s="65" t="e">
        <f t="shared" si="1744"/>
        <v>#DIV/0!</v>
      </c>
      <c r="J644" s="65" t="e">
        <f t="shared" si="1744"/>
        <v>#DIV/0!</v>
      </c>
      <c r="K644" s="69">
        <v>30000</v>
      </c>
      <c r="L644" s="69">
        <f>'Monitoramento Acumulado Geral'!Q644</f>
        <v>0</v>
      </c>
      <c r="M644" s="6">
        <f>(SUM(L638:L644))/K643</f>
        <v>0.188</v>
      </c>
      <c r="N644" s="35" t="e">
        <f t="shared" si="1611"/>
        <v>#DIV/0!</v>
      </c>
      <c r="O644" s="6" t="e">
        <f t="shared" ref="O644:Q644" si="1745">O632</f>
        <v>#DIV/0!</v>
      </c>
      <c r="P644" s="6" t="e">
        <f t="shared" si="1745"/>
        <v>#DIV/0!</v>
      </c>
      <c r="Q644" s="6" t="e">
        <f t="shared" si="1745"/>
        <v>#DIV/0!</v>
      </c>
      <c r="R644" s="69">
        <v>80</v>
      </c>
      <c r="S644" s="69">
        <v>43</v>
      </c>
      <c r="T644" s="6">
        <f t="shared" si="1606"/>
        <v>0.53749999999999998</v>
      </c>
      <c r="U644" s="35" t="e">
        <f t="shared" si="1613"/>
        <v>#DIV/0!</v>
      </c>
      <c r="V644" s="6" t="e">
        <f t="shared" ref="V644:Z644" si="1746">V632</f>
        <v>#DIV/0!</v>
      </c>
      <c r="W644" s="6" t="e">
        <f t="shared" si="1746"/>
        <v>#DIV/0!</v>
      </c>
      <c r="X644" s="6" t="e">
        <f t="shared" si="1746"/>
        <v>#DIV/0!</v>
      </c>
      <c r="Y644" s="6" t="e">
        <f t="shared" si="1746"/>
        <v>#DIV/0!</v>
      </c>
      <c r="Z644" s="6" t="e">
        <f t="shared" si="1746"/>
        <v>#DIV/0!</v>
      </c>
    </row>
    <row r="645" spans="1:26" x14ac:dyDescent="0.2">
      <c r="A645" s="7" t="s">
        <v>96</v>
      </c>
      <c r="B645" s="6">
        <f t="shared" si="1608"/>
        <v>8</v>
      </c>
      <c r="C645" s="7" t="s">
        <v>158</v>
      </c>
      <c r="D645" s="68">
        <v>75</v>
      </c>
      <c r="E645" s="68">
        <v>28</v>
      </c>
      <c r="F645" s="65">
        <f t="shared" si="1603"/>
        <v>0.37333333333333335</v>
      </c>
      <c r="G645" s="60" t="e">
        <f t="shared" si="1609"/>
        <v>#DIV/0!</v>
      </c>
      <c r="H645" s="65" t="e">
        <f t="shared" ref="H645:J645" si="1747">H633</f>
        <v>#DIV/0!</v>
      </c>
      <c r="I645" s="65" t="e">
        <f t="shared" si="1747"/>
        <v>#DIV/0!</v>
      </c>
      <c r="J645" s="65" t="e">
        <f t="shared" si="1747"/>
        <v>#DIV/0!</v>
      </c>
      <c r="K645" s="69">
        <v>30000</v>
      </c>
      <c r="L645" s="69">
        <f>'Monitoramento Acumulado Geral'!Q645</f>
        <v>1000</v>
      </c>
      <c r="M645" s="6">
        <f>(SUM(L638:L645))/K644</f>
        <v>0.22133333333333333</v>
      </c>
      <c r="N645" s="35" t="e">
        <f t="shared" si="1611"/>
        <v>#DIV/0!</v>
      </c>
      <c r="O645" s="6" t="e">
        <f t="shared" ref="O645:Q645" si="1748">O633</f>
        <v>#DIV/0!</v>
      </c>
      <c r="P645" s="6" t="e">
        <f t="shared" si="1748"/>
        <v>#DIV/0!</v>
      </c>
      <c r="Q645" s="6" t="e">
        <f t="shared" si="1748"/>
        <v>#DIV/0!</v>
      </c>
      <c r="R645" s="69">
        <v>80</v>
      </c>
      <c r="S645" s="69">
        <v>43</v>
      </c>
      <c r="T645" s="6">
        <f t="shared" si="1606"/>
        <v>0.53749999999999998</v>
      </c>
      <c r="U645" s="35" t="e">
        <f t="shared" si="1613"/>
        <v>#DIV/0!</v>
      </c>
      <c r="V645" s="6" t="e">
        <f t="shared" ref="V645:Z645" si="1749">V633</f>
        <v>#DIV/0!</v>
      </c>
      <c r="W645" s="6" t="e">
        <f t="shared" si="1749"/>
        <v>#DIV/0!</v>
      </c>
      <c r="X645" s="6" t="e">
        <f t="shared" si="1749"/>
        <v>#DIV/0!</v>
      </c>
      <c r="Y645" s="6" t="e">
        <f t="shared" si="1749"/>
        <v>#DIV/0!</v>
      </c>
      <c r="Z645" s="6" t="e">
        <f t="shared" si="1749"/>
        <v>#DIV/0!</v>
      </c>
    </row>
    <row r="646" spans="1:26" x14ac:dyDescent="0.2">
      <c r="A646" s="7" t="s">
        <v>96</v>
      </c>
      <c r="B646" s="6">
        <f t="shared" si="1608"/>
        <v>9</v>
      </c>
      <c r="C646" s="7" t="s">
        <v>159</v>
      </c>
      <c r="D646" s="68">
        <v>75</v>
      </c>
      <c r="E646" s="68">
        <v>28</v>
      </c>
      <c r="F646" s="65">
        <f t="shared" si="1603"/>
        <v>0.37333333333333335</v>
      </c>
      <c r="G646" s="60" t="e">
        <f t="shared" si="1609"/>
        <v>#DIV/0!</v>
      </c>
      <c r="H646" s="65" t="e">
        <f t="shared" ref="H646:J646" si="1750">H634</f>
        <v>#DIV/0!</v>
      </c>
      <c r="I646" s="65" t="e">
        <f t="shared" si="1750"/>
        <v>#DIV/0!</v>
      </c>
      <c r="J646" s="65" t="e">
        <f t="shared" si="1750"/>
        <v>#DIV/0!</v>
      </c>
      <c r="K646" s="69">
        <v>30000</v>
      </c>
      <c r="L646" s="69">
        <f>'Monitoramento Acumulado Geral'!Q646</f>
        <v>0</v>
      </c>
      <c r="M646" s="6">
        <f>(SUM(L638:L646))/K645</f>
        <v>0.22133333333333333</v>
      </c>
      <c r="N646" s="35" t="e">
        <f t="shared" si="1611"/>
        <v>#DIV/0!</v>
      </c>
      <c r="O646" s="6" t="e">
        <f t="shared" ref="O646:Q646" si="1751">O634</f>
        <v>#DIV/0!</v>
      </c>
      <c r="P646" s="6" t="e">
        <f t="shared" si="1751"/>
        <v>#DIV/0!</v>
      </c>
      <c r="Q646" s="6" t="e">
        <f t="shared" si="1751"/>
        <v>#DIV/0!</v>
      </c>
      <c r="R646" s="69">
        <v>80</v>
      </c>
      <c r="S646" s="69">
        <v>43</v>
      </c>
      <c r="T646" s="6">
        <f t="shared" si="1606"/>
        <v>0.53749999999999998</v>
      </c>
      <c r="U646" s="35" t="e">
        <f t="shared" si="1613"/>
        <v>#DIV/0!</v>
      </c>
      <c r="V646" s="6" t="e">
        <f t="shared" ref="V646:Z646" si="1752">V634</f>
        <v>#DIV/0!</v>
      </c>
      <c r="W646" s="6" t="e">
        <f t="shared" si="1752"/>
        <v>#DIV/0!</v>
      </c>
      <c r="X646" s="6" t="e">
        <f t="shared" si="1752"/>
        <v>#DIV/0!</v>
      </c>
      <c r="Y646" s="6" t="e">
        <f t="shared" si="1752"/>
        <v>#DIV/0!</v>
      </c>
      <c r="Z646" s="6" t="e">
        <f t="shared" si="1752"/>
        <v>#DIV/0!</v>
      </c>
    </row>
    <row r="647" spans="1:26" x14ac:dyDescent="0.2">
      <c r="A647" s="7" t="s">
        <v>96</v>
      </c>
      <c r="B647" s="6">
        <f t="shared" si="1608"/>
        <v>10</v>
      </c>
      <c r="C647" s="7" t="s">
        <v>160</v>
      </c>
      <c r="D647" s="68">
        <v>75</v>
      </c>
      <c r="E647" s="68">
        <v>28</v>
      </c>
      <c r="F647" s="65">
        <f t="shared" si="1603"/>
        <v>0.37333333333333335</v>
      </c>
      <c r="G647" s="60" t="e">
        <f t="shared" si="1609"/>
        <v>#DIV/0!</v>
      </c>
      <c r="H647" s="65" t="e">
        <f t="shared" ref="H647:J647" si="1753">H635</f>
        <v>#DIV/0!</v>
      </c>
      <c r="I647" s="65" t="e">
        <f t="shared" si="1753"/>
        <v>#DIV/0!</v>
      </c>
      <c r="J647" s="65" t="e">
        <f t="shared" si="1753"/>
        <v>#DIV/0!</v>
      </c>
      <c r="K647" s="69">
        <v>30000</v>
      </c>
      <c r="L647" s="69">
        <f>'Monitoramento Acumulado Geral'!Q647</f>
        <v>0</v>
      </c>
      <c r="M647" s="6">
        <f>(SUM(L638:L647))/K646</f>
        <v>0.22133333333333333</v>
      </c>
      <c r="N647" s="35" t="e">
        <f t="shared" si="1611"/>
        <v>#DIV/0!</v>
      </c>
      <c r="O647" s="6" t="e">
        <f t="shared" ref="O647:Q647" si="1754">O635</f>
        <v>#DIV/0!</v>
      </c>
      <c r="P647" s="6" t="e">
        <f t="shared" si="1754"/>
        <v>#DIV/0!</v>
      </c>
      <c r="Q647" s="6" t="e">
        <f t="shared" si="1754"/>
        <v>#DIV/0!</v>
      </c>
      <c r="R647" s="69">
        <v>80</v>
      </c>
      <c r="S647" s="69">
        <v>43</v>
      </c>
      <c r="T647" s="6">
        <f t="shared" si="1606"/>
        <v>0.53749999999999998</v>
      </c>
      <c r="U647" s="35" t="e">
        <f t="shared" si="1613"/>
        <v>#DIV/0!</v>
      </c>
      <c r="V647" s="6" t="e">
        <f t="shared" ref="V647:Z647" si="1755">V635</f>
        <v>#DIV/0!</v>
      </c>
      <c r="W647" s="6" t="e">
        <f t="shared" si="1755"/>
        <v>#DIV/0!</v>
      </c>
      <c r="X647" s="6" t="e">
        <f t="shared" si="1755"/>
        <v>#DIV/0!</v>
      </c>
      <c r="Y647" s="6" t="e">
        <f t="shared" si="1755"/>
        <v>#DIV/0!</v>
      </c>
      <c r="Z647" s="6" t="e">
        <f t="shared" si="1755"/>
        <v>#DIV/0!</v>
      </c>
    </row>
    <row r="648" spans="1:26" x14ac:dyDescent="0.2">
      <c r="A648" s="7" t="s">
        <v>96</v>
      </c>
      <c r="B648" s="6">
        <f t="shared" si="1608"/>
        <v>11</v>
      </c>
      <c r="C648" s="7" t="s">
        <v>161</v>
      </c>
      <c r="D648" s="68">
        <v>75</v>
      </c>
      <c r="E648" s="68">
        <v>0</v>
      </c>
      <c r="F648" s="65">
        <f t="shared" si="1603"/>
        <v>0</v>
      </c>
      <c r="G648" s="60" t="e">
        <f t="shared" si="1609"/>
        <v>#DIV/0!</v>
      </c>
      <c r="H648" s="65" t="e">
        <f t="shared" ref="H648:J648" si="1756">H636</f>
        <v>#DIV/0!</v>
      </c>
      <c r="I648" s="65" t="e">
        <f t="shared" si="1756"/>
        <v>#DIV/0!</v>
      </c>
      <c r="J648" s="65" t="e">
        <f t="shared" si="1756"/>
        <v>#DIV/0!</v>
      </c>
      <c r="K648" s="69">
        <v>30000</v>
      </c>
      <c r="L648" s="69">
        <f>'Monitoramento Acumulado Geral'!Q648</f>
        <v>0</v>
      </c>
      <c r="M648" s="6">
        <f>(SUM(L638:L648))/K647</f>
        <v>0.22133333333333333</v>
      </c>
      <c r="N648" s="35" t="e">
        <f t="shared" si="1611"/>
        <v>#DIV/0!</v>
      </c>
      <c r="O648" s="6" t="e">
        <f t="shared" ref="O648:Q648" si="1757">O636</f>
        <v>#DIV/0!</v>
      </c>
      <c r="P648" s="6" t="e">
        <f t="shared" si="1757"/>
        <v>#DIV/0!</v>
      </c>
      <c r="Q648" s="6" t="e">
        <f t="shared" si="1757"/>
        <v>#DIV/0!</v>
      </c>
      <c r="R648" s="69">
        <v>80</v>
      </c>
      <c r="S648" s="69">
        <v>0</v>
      </c>
      <c r="T648" s="6">
        <f t="shared" si="1606"/>
        <v>0</v>
      </c>
      <c r="U648" s="35" t="e">
        <f t="shared" si="1613"/>
        <v>#DIV/0!</v>
      </c>
      <c r="V648" s="6" t="e">
        <f t="shared" ref="V648:Z648" si="1758">V636</f>
        <v>#DIV/0!</v>
      </c>
      <c r="W648" s="6" t="e">
        <f t="shared" si="1758"/>
        <v>#DIV/0!</v>
      </c>
      <c r="X648" s="6" t="e">
        <f t="shared" si="1758"/>
        <v>#DIV/0!</v>
      </c>
      <c r="Y648" s="6" t="e">
        <f t="shared" si="1758"/>
        <v>#DIV/0!</v>
      </c>
      <c r="Z648" s="6" t="e">
        <f t="shared" si="1758"/>
        <v>#DIV/0!</v>
      </c>
    </row>
    <row r="649" spans="1:26" x14ac:dyDescent="0.2">
      <c r="A649" s="7" t="s">
        <v>96</v>
      </c>
      <c r="B649" s="6">
        <f t="shared" si="1608"/>
        <v>12</v>
      </c>
      <c r="C649" s="7" t="s">
        <v>162</v>
      </c>
      <c r="D649" s="68">
        <v>75</v>
      </c>
      <c r="E649" s="68">
        <v>0</v>
      </c>
      <c r="F649" s="65">
        <f t="shared" si="1603"/>
        <v>0</v>
      </c>
      <c r="G649" s="60" t="e">
        <f t="shared" si="1609"/>
        <v>#DIV/0!</v>
      </c>
      <c r="H649" s="65" t="e">
        <f t="shared" ref="H649:J649" si="1759">H637</f>
        <v>#DIV/0!</v>
      </c>
      <c r="I649" s="65" t="e">
        <f t="shared" si="1759"/>
        <v>#DIV/0!</v>
      </c>
      <c r="J649" s="65" t="e">
        <f t="shared" si="1759"/>
        <v>#DIV/0!</v>
      </c>
      <c r="K649" s="69">
        <v>30000</v>
      </c>
      <c r="L649" s="69">
        <f>'Monitoramento Acumulado Geral'!Q649</f>
        <v>0</v>
      </c>
      <c r="M649" s="6">
        <f>(SUM(L638:L649))/K648</f>
        <v>0.22133333333333333</v>
      </c>
      <c r="N649" s="35" t="e">
        <f t="shared" si="1611"/>
        <v>#DIV/0!</v>
      </c>
      <c r="O649" s="6" t="e">
        <f t="shared" ref="O649:Q649" si="1760">O637</f>
        <v>#DIV/0!</v>
      </c>
      <c r="P649" s="6" t="e">
        <f t="shared" si="1760"/>
        <v>#DIV/0!</v>
      </c>
      <c r="Q649" s="6" t="e">
        <f t="shared" si="1760"/>
        <v>#DIV/0!</v>
      </c>
      <c r="R649" s="69">
        <v>80</v>
      </c>
      <c r="S649" s="69">
        <v>0</v>
      </c>
      <c r="T649" s="6">
        <f t="shared" si="1606"/>
        <v>0</v>
      </c>
      <c r="U649" s="35" t="e">
        <f t="shared" si="1613"/>
        <v>#DIV/0!</v>
      </c>
      <c r="V649" s="6" t="e">
        <f t="shared" ref="V649:Z649" si="1761">V637</f>
        <v>#DIV/0!</v>
      </c>
      <c r="W649" s="6" t="e">
        <f t="shared" si="1761"/>
        <v>#DIV/0!</v>
      </c>
      <c r="X649" s="6" t="e">
        <f t="shared" si="1761"/>
        <v>#DIV/0!</v>
      </c>
      <c r="Y649" s="6" t="e">
        <f t="shared" si="1761"/>
        <v>#DIV/0!</v>
      </c>
      <c r="Z649" s="6" t="e">
        <f t="shared" si="1761"/>
        <v>#DIV/0!</v>
      </c>
    </row>
    <row r="650" spans="1:26" x14ac:dyDescent="0.2">
      <c r="A650" s="7" t="s">
        <v>66</v>
      </c>
      <c r="B650" s="6">
        <f t="shared" si="1608"/>
        <v>1</v>
      </c>
      <c r="C650" s="7" t="s">
        <v>151</v>
      </c>
      <c r="D650" s="68">
        <v>75</v>
      </c>
      <c r="E650" s="68">
        <v>0</v>
      </c>
      <c r="F650" s="65">
        <f t="shared" si="1603"/>
        <v>0</v>
      </c>
      <c r="G650" s="60" t="e">
        <f t="shared" si="1609"/>
        <v>#DIV/0!</v>
      </c>
      <c r="H650" s="65" t="e">
        <f t="shared" ref="H650:J650" si="1762">H638</f>
        <v>#DIV/0!</v>
      </c>
      <c r="I650" s="65" t="e">
        <f t="shared" si="1762"/>
        <v>#DIV/0!</v>
      </c>
      <c r="J650" s="65" t="e">
        <f t="shared" si="1762"/>
        <v>#DIV/0!</v>
      </c>
      <c r="K650" s="69">
        <v>7000</v>
      </c>
      <c r="L650" s="69">
        <f>'Monitoramento Acumulado Geral'!Q650</f>
        <v>0</v>
      </c>
      <c r="M650" s="6">
        <f>L650/K650</f>
        <v>0</v>
      </c>
      <c r="N650" s="35" t="e">
        <f t="shared" si="1611"/>
        <v>#DIV/0!</v>
      </c>
      <c r="O650" s="6" t="e">
        <f t="shared" ref="O650:Q650" si="1763">O638</f>
        <v>#DIV/0!</v>
      </c>
      <c r="P650" s="6" t="e">
        <f t="shared" si="1763"/>
        <v>#DIV/0!</v>
      </c>
      <c r="Q650" s="6" t="e">
        <f t="shared" si="1763"/>
        <v>#DIV/0!</v>
      </c>
      <c r="R650" s="69">
        <v>80</v>
      </c>
      <c r="S650" s="69">
        <v>0</v>
      </c>
      <c r="T650" s="6">
        <f t="shared" si="1606"/>
        <v>0</v>
      </c>
      <c r="U650" s="35" t="e">
        <f t="shared" si="1613"/>
        <v>#DIV/0!</v>
      </c>
      <c r="V650" s="6" t="e">
        <f t="shared" ref="V650:Z650" si="1764">V638</f>
        <v>#DIV/0!</v>
      </c>
      <c r="W650" s="6" t="e">
        <f t="shared" si="1764"/>
        <v>#DIV/0!</v>
      </c>
      <c r="X650" s="6" t="e">
        <f t="shared" si="1764"/>
        <v>#DIV/0!</v>
      </c>
      <c r="Y650" s="6" t="e">
        <f t="shared" si="1764"/>
        <v>#DIV/0!</v>
      </c>
      <c r="Z650" s="6" t="e">
        <f t="shared" si="1764"/>
        <v>#DIV/0!</v>
      </c>
    </row>
    <row r="651" spans="1:26" x14ac:dyDescent="0.2">
      <c r="A651" s="7" t="s">
        <v>66</v>
      </c>
      <c r="B651" s="6">
        <f t="shared" si="1608"/>
        <v>2</v>
      </c>
      <c r="C651" s="7" t="s">
        <v>152</v>
      </c>
      <c r="D651" s="68">
        <v>75</v>
      </c>
      <c r="E651" s="68">
        <v>36</v>
      </c>
      <c r="F651" s="65">
        <f t="shared" si="1603"/>
        <v>0.48</v>
      </c>
      <c r="G651" s="60" t="e">
        <f t="shared" si="1609"/>
        <v>#DIV/0!</v>
      </c>
      <c r="H651" s="65" t="e">
        <f t="shared" ref="H651:J651" si="1765">H639</f>
        <v>#DIV/0!</v>
      </c>
      <c r="I651" s="65" t="e">
        <f t="shared" si="1765"/>
        <v>#DIV/0!</v>
      </c>
      <c r="J651" s="65" t="e">
        <f t="shared" si="1765"/>
        <v>#DIV/0!</v>
      </c>
      <c r="K651" s="69">
        <v>7000</v>
      </c>
      <c r="L651" s="69">
        <f>'Monitoramento Acumulado Geral'!Q651</f>
        <v>3420</v>
      </c>
      <c r="M651" s="6">
        <f>(SUM(L650:L651))/K650</f>
        <v>0.48857142857142855</v>
      </c>
      <c r="N651" s="35" t="e">
        <f t="shared" si="1611"/>
        <v>#DIV/0!</v>
      </c>
      <c r="O651" s="6" t="e">
        <f t="shared" ref="O651:Q651" si="1766">O639</f>
        <v>#DIV/0!</v>
      </c>
      <c r="P651" s="6" t="e">
        <f t="shared" si="1766"/>
        <v>#DIV/0!</v>
      </c>
      <c r="Q651" s="6" t="e">
        <f t="shared" si="1766"/>
        <v>#DIV/0!</v>
      </c>
      <c r="R651" s="69">
        <v>80</v>
      </c>
      <c r="S651" s="69">
        <v>0</v>
      </c>
      <c r="T651" s="6">
        <f t="shared" si="1606"/>
        <v>0</v>
      </c>
      <c r="U651" s="35" t="e">
        <f t="shared" si="1613"/>
        <v>#DIV/0!</v>
      </c>
      <c r="V651" s="6" t="e">
        <f t="shared" ref="V651:Z651" si="1767">V639</f>
        <v>#DIV/0!</v>
      </c>
      <c r="W651" s="6" t="e">
        <f t="shared" si="1767"/>
        <v>#DIV/0!</v>
      </c>
      <c r="X651" s="6" t="e">
        <f t="shared" si="1767"/>
        <v>#DIV/0!</v>
      </c>
      <c r="Y651" s="6" t="e">
        <f t="shared" si="1767"/>
        <v>#DIV/0!</v>
      </c>
      <c r="Z651" s="6" t="e">
        <f t="shared" si="1767"/>
        <v>#DIV/0!</v>
      </c>
    </row>
    <row r="652" spans="1:26" x14ac:dyDescent="0.2">
      <c r="A652" s="7" t="s">
        <v>66</v>
      </c>
      <c r="B652" s="6">
        <f t="shared" si="1608"/>
        <v>3</v>
      </c>
      <c r="C652" s="7" t="s">
        <v>153</v>
      </c>
      <c r="D652" s="68">
        <v>75</v>
      </c>
      <c r="E652" s="68">
        <v>36</v>
      </c>
      <c r="F652" s="65">
        <f t="shared" si="1603"/>
        <v>0.48</v>
      </c>
      <c r="G652" s="60" t="e">
        <f t="shared" si="1609"/>
        <v>#DIV/0!</v>
      </c>
      <c r="H652" s="65" t="e">
        <f t="shared" ref="H652:J652" si="1768">H640</f>
        <v>#DIV/0!</v>
      </c>
      <c r="I652" s="65" t="e">
        <f t="shared" si="1768"/>
        <v>#DIV/0!</v>
      </c>
      <c r="J652" s="65" t="e">
        <f t="shared" si="1768"/>
        <v>#DIV/0!</v>
      </c>
      <c r="K652" s="69">
        <v>7000</v>
      </c>
      <c r="L652" s="69">
        <f>'Monitoramento Acumulado Geral'!Q652</f>
        <v>0</v>
      </c>
      <c r="M652" s="6">
        <f>(SUM(L650:L652))/K651</f>
        <v>0.48857142857142855</v>
      </c>
      <c r="N652" s="35" t="e">
        <f t="shared" si="1611"/>
        <v>#DIV/0!</v>
      </c>
      <c r="O652" s="6" t="e">
        <f t="shared" ref="O652:Q652" si="1769">O640</f>
        <v>#DIV/0!</v>
      </c>
      <c r="P652" s="6" t="e">
        <f t="shared" si="1769"/>
        <v>#DIV/0!</v>
      </c>
      <c r="Q652" s="6" t="e">
        <f t="shared" si="1769"/>
        <v>#DIV/0!</v>
      </c>
      <c r="R652" s="69">
        <v>80</v>
      </c>
      <c r="S652" s="69">
        <v>0</v>
      </c>
      <c r="T652" s="6">
        <f t="shared" si="1606"/>
        <v>0</v>
      </c>
      <c r="U652" s="35" t="e">
        <f t="shared" si="1613"/>
        <v>#DIV/0!</v>
      </c>
      <c r="V652" s="6" t="e">
        <f t="shared" ref="V652:Z652" si="1770">V640</f>
        <v>#DIV/0!</v>
      </c>
      <c r="W652" s="6" t="e">
        <f t="shared" si="1770"/>
        <v>#DIV/0!</v>
      </c>
      <c r="X652" s="6" t="e">
        <f t="shared" si="1770"/>
        <v>#DIV/0!</v>
      </c>
      <c r="Y652" s="6" t="e">
        <f t="shared" si="1770"/>
        <v>#DIV/0!</v>
      </c>
      <c r="Z652" s="6" t="e">
        <f t="shared" si="1770"/>
        <v>#DIV/0!</v>
      </c>
    </row>
    <row r="653" spans="1:26" x14ac:dyDescent="0.2">
      <c r="A653" s="7" t="s">
        <v>66</v>
      </c>
      <c r="B653" s="6">
        <f t="shared" si="1608"/>
        <v>4</v>
      </c>
      <c r="C653" s="7" t="s">
        <v>154</v>
      </c>
      <c r="D653" s="68">
        <v>75</v>
      </c>
      <c r="E653" s="68">
        <v>36</v>
      </c>
      <c r="F653" s="65">
        <f t="shared" si="1603"/>
        <v>0.48</v>
      </c>
      <c r="G653" s="60" t="e">
        <f t="shared" si="1609"/>
        <v>#DIV/0!</v>
      </c>
      <c r="H653" s="65" t="e">
        <f t="shared" ref="H653:J653" si="1771">H641</f>
        <v>#DIV/0!</v>
      </c>
      <c r="I653" s="65" t="e">
        <f t="shared" si="1771"/>
        <v>#DIV/0!</v>
      </c>
      <c r="J653" s="65" t="e">
        <f t="shared" si="1771"/>
        <v>#DIV/0!</v>
      </c>
      <c r="K653" s="69">
        <v>7000</v>
      </c>
      <c r="L653" s="69">
        <f>'Monitoramento Acumulado Geral'!Q653</f>
        <v>0</v>
      </c>
      <c r="M653" s="6">
        <f>(SUM(L650:L653))/K652</f>
        <v>0.48857142857142855</v>
      </c>
      <c r="N653" s="35" t="e">
        <f t="shared" si="1611"/>
        <v>#DIV/0!</v>
      </c>
      <c r="O653" s="6" t="e">
        <f t="shared" ref="O653:Q653" si="1772">O641</f>
        <v>#DIV/0!</v>
      </c>
      <c r="P653" s="6" t="e">
        <f t="shared" si="1772"/>
        <v>#DIV/0!</v>
      </c>
      <c r="Q653" s="6" t="e">
        <f t="shared" si="1772"/>
        <v>#DIV/0!</v>
      </c>
      <c r="R653" s="69">
        <v>80</v>
      </c>
      <c r="S653" s="69">
        <v>0</v>
      </c>
      <c r="T653" s="6">
        <f t="shared" si="1606"/>
        <v>0</v>
      </c>
      <c r="U653" s="35" t="e">
        <f t="shared" si="1613"/>
        <v>#DIV/0!</v>
      </c>
      <c r="V653" s="6" t="e">
        <f t="shared" ref="V653:Z653" si="1773">V641</f>
        <v>#DIV/0!</v>
      </c>
      <c r="W653" s="6" t="e">
        <f t="shared" si="1773"/>
        <v>#DIV/0!</v>
      </c>
      <c r="X653" s="6" t="e">
        <f t="shared" si="1773"/>
        <v>#DIV/0!</v>
      </c>
      <c r="Y653" s="6" t="e">
        <f t="shared" si="1773"/>
        <v>#DIV/0!</v>
      </c>
      <c r="Z653" s="6" t="e">
        <f t="shared" si="1773"/>
        <v>#DIV/0!</v>
      </c>
    </row>
    <row r="654" spans="1:26" x14ac:dyDescent="0.2">
      <c r="A654" s="7" t="s">
        <v>66</v>
      </c>
      <c r="B654" s="6">
        <f t="shared" si="1608"/>
        <v>5</v>
      </c>
      <c r="C654" s="7" t="s">
        <v>155</v>
      </c>
      <c r="D654" s="68">
        <v>75</v>
      </c>
      <c r="E654" s="68">
        <v>36</v>
      </c>
      <c r="F654" s="65">
        <f t="shared" si="1603"/>
        <v>0.48</v>
      </c>
      <c r="G654" s="60" t="e">
        <f t="shared" si="1609"/>
        <v>#DIV/0!</v>
      </c>
      <c r="H654" s="65" t="e">
        <f t="shared" ref="H654:J654" si="1774">H642</f>
        <v>#DIV/0!</v>
      </c>
      <c r="I654" s="65" t="e">
        <f t="shared" si="1774"/>
        <v>#DIV/0!</v>
      </c>
      <c r="J654" s="65" t="e">
        <f t="shared" si="1774"/>
        <v>#DIV/0!</v>
      </c>
      <c r="K654" s="69">
        <v>7000</v>
      </c>
      <c r="L654" s="69">
        <f>'Monitoramento Acumulado Geral'!Q654</f>
        <v>0</v>
      </c>
      <c r="M654" s="6">
        <f>(SUM(L650:L654))/K653</f>
        <v>0.48857142857142855</v>
      </c>
      <c r="N654" s="35" t="e">
        <f t="shared" si="1611"/>
        <v>#DIV/0!</v>
      </c>
      <c r="O654" s="6" t="e">
        <f t="shared" ref="O654:Q654" si="1775">O642</f>
        <v>#DIV/0!</v>
      </c>
      <c r="P654" s="6" t="e">
        <f t="shared" si="1775"/>
        <v>#DIV/0!</v>
      </c>
      <c r="Q654" s="6" t="e">
        <f t="shared" si="1775"/>
        <v>#DIV/0!</v>
      </c>
      <c r="R654" s="69">
        <v>80</v>
      </c>
      <c r="S654" s="69">
        <v>64</v>
      </c>
      <c r="T654" s="6">
        <f t="shared" si="1606"/>
        <v>0.8</v>
      </c>
      <c r="U654" s="35" t="e">
        <f t="shared" si="1613"/>
        <v>#DIV/0!</v>
      </c>
      <c r="V654" s="6" t="e">
        <f t="shared" ref="V654:Z654" si="1776">V642</f>
        <v>#DIV/0!</v>
      </c>
      <c r="W654" s="6" t="e">
        <f t="shared" si="1776"/>
        <v>#DIV/0!</v>
      </c>
      <c r="X654" s="6" t="e">
        <f t="shared" si="1776"/>
        <v>#DIV/0!</v>
      </c>
      <c r="Y654" s="6" t="e">
        <f t="shared" si="1776"/>
        <v>#DIV/0!</v>
      </c>
      <c r="Z654" s="6" t="e">
        <f t="shared" si="1776"/>
        <v>#DIV/0!</v>
      </c>
    </row>
    <row r="655" spans="1:26" x14ac:dyDescent="0.2">
      <c r="A655" s="7" t="s">
        <v>66</v>
      </c>
      <c r="B655" s="6">
        <f t="shared" si="1608"/>
        <v>6</v>
      </c>
      <c r="C655" s="7" t="s">
        <v>156</v>
      </c>
      <c r="D655" s="68">
        <v>75</v>
      </c>
      <c r="E655" s="68">
        <v>71</v>
      </c>
      <c r="F655" s="65">
        <f t="shared" si="1603"/>
        <v>0.94666666666666666</v>
      </c>
      <c r="G655" s="60" t="e">
        <f t="shared" si="1609"/>
        <v>#DIV/0!</v>
      </c>
      <c r="H655" s="65" t="e">
        <f t="shared" ref="H655:J655" si="1777">H643</f>
        <v>#DIV/0!</v>
      </c>
      <c r="I655" s="65" t="e">
        <f t="shared" si="1777"/>
        <v>#DIV/0!</v>
      </c>
      <c r="J655" s="65" t="e">
        <f t="shared" si="1777"/>
        <v>#DIV/0!</v>
      </c>
      <c r="K655" s="69">
        <v>7000</v>
      </c>
      <c r="L655" s="69">
        <f>'Monitoramento Acumulado Geral'!Q655</f>
        <v>1920</v>
      </c>
      <c r="M655" s="6">
        <f>(SUM(L650:L655))/K654</f>
        <v>0.7628571428571429</v>
      </c>
      <c r="N655" s="35" t="e">
        <f t="shared" si="1611"/>
        <v>#DIV/0!</v>
      </c>
      <c r="O655" s="6" t="e">
        <f t="shared" ref="O655:Q655" si="1778">O643</f>
        <v>#DIV/0!</v>
      </c>
      <c r="P655" s="6" t="e">
        <f t="shared" si="1778"/>
        <v>#DIV/0!</v>
      </c>
      <c r="Q655" s="6" t="e">
        <f t="shared" si="1778"/>
        <v>#DIV/0!</v>
      </c>
      <c r="R655" s="69">
        <v>80</v>
      </c>
      <c r="S655" s="69">
        <v>64</v>
      </c>
      <c r="T655" s="6">
        <f t="shared" si="1606"/>
        <v>0.8</v>
      </c>
      <c r="U655" s="35" t="e">
        <f t="shared" si="1613"/>
        <v>#DIV/0!</v>
      </c>
      <c r="V655" s="6" t="e">
        <f t="shared" ref="V655:Z655" si="1779">V643</f>
        <v>#DIV/0!</v>
      </c>
      <c r="W655" s="6" t="e">
        <f t="shared" si="1779"/>
        <v>#DIV/0!</v>
      </c>
      <c r="X655" s="6" t="e">
        <f t="shared" si="1779"/>
        <v>#DIV/0!</v>
      </c>
      <c r="Y655" s="6" t="e">
        <f t="shared" si="1779"/>
        <v>#DIV/0!</v>
      </c>
      <c r="Z655" s="6" t="e">
        <f t="shared" si="1779"/>
        <v>#DIV/0!</v>
      </c>
    </row>
    <row r="656" spans="1:26" x14ac:dyDescent="0.2">
      <c r="A656" s="7" t="s">
        <v>66</v>
      </c>
      <c r="B656" s="6">
        <f t="shared" si="1608"/>
        <v>7</v>
      </c>
      <c r="C656" s="7" t="s">
        <v>157</v>
      </c>
      <c r="D656" s="68">
        <v>75</v>
      </c>
      <c r="E656" s="68">
        <v>71</v>
      </c>
      <c r="F656" s="67">
        <f t="shared" si="1603"/>
        <v>0.94666666666666666</v>
      </c>
      <c r="G656" s="60" t="e">
        <f t="shared" si="1609"/>
        <v>#DIV/0!</v>
      </c>
      <c r="H656" s="65" t="e">
        <f t="shared" ref="H656:J656" si="1780">H644</f>
        <v>#DIV/0!</v>
      </c>
      <c r="I656" s="65" t="e">
        <f t="shared" si="1780"/>
        <v>#DIV/0!</v>
      </c>
      <c r="J656" s="65" t="e">
        <f t="shared" si="1780"/>
        <v>#DIV/0!</v>
      </c>
      <c r="K656" s="69">
        <v>7000</v>
      </c>
      <c r="L656" s="69">
        <f>'Monitoramento Acumulado Geral'!Q656</f>
        <v>0</v>
      </c>
      <c r="M656" s="6">
        <f>(SUM(L650:L656))/K655</f>
        <v>0.7628571428571429</v>
      </c>
      <c r="N656" s="35" t="e">
        <f t="shared" si="1611"/>
        <v>#DIV/0!</v>
      </c>
      <c r="O656" s="6" t="e">
        <f t="shared" ref="O656:Q656" si="1781">O644</f>
        <v>#DIV/0!</v>
      </c>
      <c r="P656" s="6" t="e">
        <f t="shared" si="1781"/>
        <v>#DIV/0!</v>
      </c>
      <c r="Q656" s="6" t="e">
        <f t="shared" si="1781"/>
        <v>#DIV/0!</v>
      </c>
      <c r="R656" s="69">
        <v>80</v>
      </c>
      <c r="S656" s="69">
        <v>64</v>
      </c>
      <c r="T656" s="6">
        <f t="shared" si="1606"/>
        <v>0.8</v>
      </c>
      <c r="U656" s="35" t="e">
        <f t="shared" si="1613"/>
        <v>#DIV/0!</v>
      </c>
      <c r="V656" s="6" t="e">
        <f t="shared" ref="V656:Z656" si="1782">V644</f>
        <v>#DIV/0!</v>
      </c>
      <c r="W656" s="6" t="e">
        <f t="shared" si="1782"/>
        <v>#DIV/0!</v>
      </c>
      <c r="X656" s="6" t="e">
        <f t="shared" si="1782"/>
        <v>#DIV/0!</v>
      </c>
      <c r="Y656" s="6" t="e">
        <f t="shared" si="1782"/>
        <v>#DIV/0!</v>
      </c>
      <c r="Z656" s="6" t="e">
        <f t="shared" si="1782"/>
        <v>#DIV/0!</v>
      </c>
    </row>
    <row r="657" spans="1:26" x14ac:dyDescent="0.2">
      <c r="A657" s="7" t="s">
        <v>66</v>
      </c>
      <c r="B657" s="6">
        <f t="shared" si="1608"/>
        <v>8</v>
      </c>
      <c r="C657" s="7" t="s">
        <v>158</v>
      </c>
      <c r="D657" s="68">
        <v>75</v>
      </c>
      <c r="E657" s="68">
        <v>71</v>
      </c>
      <c r="F657" s="65">
        <f t="shared" si="1603"/>
        <v>0.94666666666666666</v>
      </c>
      <c r="G657" s="60" t="e">
        <f t="shared" si="1609"/>
        <v>#DIV/0!</v>
      </c>
      <c r="H657" s="65" t="e">
        <f t="shared" ref="H657:J657" si="1783">H645</f>
        <v>#DIV/0!</v>
      </c>
      <c r="I657" s="65" t="e">
        <f t="shared" si="1783"/>
        <v>#DIV/0!</v>
      </c>
      <c r="J657" s="65" t="e">
        <f t="shared" si="1783"/>
        <v>#DIV/0!</v>
      </c>
      <c r="K657" s="69">
        <v>7000</v>
      </c>
      <c r="L657" s="69">
        <f>'Monitoramento Acumulado Geral'!Q657</f>
        <v>1500</v>
      </c>
      <c r="M657" s="6">
        <f>(SUM(L650:L657))/K656</f>
        <v>0.97714285714285709</v>
      </c>
      <c r="N657" s="35" t="e">
        <f t="shared" si="1611"/>
        <v>#DIV/0!</v>
      </c>
      <c r="O657" s="6" t="e">
        <f t="shared" ref="O657:Q657" si="1784">O645</f>
        <v>#DIV/0!</v>
      </c>
      <c r="P657" s="6" t="e">
        <f t="shared" si="1784"/>
        <v>#DIV/0!</v>
      </c>
      <c r="Q657" s="6" t="e">
        <f t="shared" si="1784"/>
        <v>#DIV/0!</v>
      </c>
      <c r="R657" s="69">
        <v>80</v>
      </c>
      <c r="S657" s="69">
        <v>64</v>
      </c>
      <c r="T657" s="6">
        <f t="shared" si="1606"/>
        <v>0.8</v>
      </c>
      <c r="U657" s="35" t="e">
        <f t="shared" si="1613"/>
        <v>#DIV/0!</v>
      </c>
      <c r="V657" s="6" t="e">
        <f t="shared" ref="V657:Z657" si="1785">V645</f>
        <v>#DIV/0!</v>
      </c>
      <c r="W657" s="6" t="e">
        <f t="shared" si="1785"/>
        <v>#DIV/0!</v>
      </c>
      <c r="X657" s="6" t="e">
        <f t="shared" si="1785"/>
        <v>#DIV/0!</v>
      </c>
      <c r="Y657" s="6" t="e">
        <f t="shared" si="1785"/>
        <v>#DIV/0!</v>
      </c>
      <c r="Z657" s="6" t="e">
        <f t="shared" si="1785"/>
        <v>#DIV/0!</v>
      </c>
    </row>
    <row r="658" spans="1:26" x14ac:dyDescent="0.2">
      <c r="A658" s="7" t="s">
        <v>66</v>
      </c>
      <c r="B658" s="6">
        <f t="shared" si="1608"/>
        <v>9</v>
      </c>
      <c r="C658" s="7" t="s">
        <v>159</v>
      </c>
      <c r="D658" s="68">
        <v>75</v>
      </c>
      <c r="E658" s="68">
        <v>71</v>
      </c>
      <c r="F658" s="65">
        <f t="shared" si="1603"/>
        <v>0.94666666666666666</v>
      </c>
      <c r="G658" s="60" t="e">
        <f t="shared" si="1609"/>
        <v>#DIV/0!</v>
      </c>
      <c r="H658" s="65" t="e">
        <f t="shared" ref="H658:J658" si="1786">H646</f>
        <v>#DIV/0!</v>
      </c>
      <c r="I658" s="65" t="e">
        <f t="shared" si="1786"/>
        <v>#DIV/0!</v>
      </c>
      <c r="J658" s="65" t="e">
        <f t="shared" si="1786"/>
        <v>#DIV/0!</v>
      </c>
      <c r="K658" s="69">
        <v>7000</v>
      </c>
      <c r="L658" s="69">
        <f>'Monitoramento Acumulado Geral'!Q658</f>
        <v>0</v>
      </c>
      <c r="M658" s="6">
        <f>(SUM(L650:L658))/K657</f>
        <v>0.97714285714285709</v>
      </c>
      <c r="N658" s="35" t="e">
        <f t="shared" si="1611"/>
        <v>#DIV/0!</v>
      </c>
      <c r="O658" s="6" t="e">
        <f t="shared" ref="O658:Q658" si="1787">O646</f>
        <v>#DIV/0!</v>
      </c>
      <c r="P658" s="6" t="e">
        <f t="shared" si="1787"/>
        <v>#DIV/0!</v>
      </c>
      <c r="Q658" s="6" t="e">
        <f t="shared" si="1787"/>
        <v>#DIV/0!</v>
      </c>
      <c r="R658" s="69">
        <v>80</v>
      </c>
      <c r="S658" s="69">
        <v>64</v>
      </c>
      <c r="T658" s="6">
        <f t="shared" si="1606"/>
        <v>0.8</v>
      </c>
      <c r="U658" s="35" t="e">
        <f t="shared" si="1613"/>
        <v>#DIV/0!</v>
      </c>
      <c r="V658" s="6" t="e">
        <f t="shared" ref="V658:Z658" si="1788">V646</f>
        <v>#DIV/0!</v>
      </c>
      <c r="W658" s="6" t="e">
        <f t="shared" si="1788"/>
        <v>#DIV/0!</v>
      </c>
      <c r="X658" s="6" t="e">
        <f t="shared" si="1788"/>
        <v>#DIV/0!</v>
      </c>
      <c r="Y658" s="6" t="e">
        <f t="shared" si="1788"/>
        <v>#DIV/0!</v>
      </c>
      <c r="Z658" s="6" t="e">
        <f t="shared" si="1788"/>
        <v>#DIV/0!</v>
      </c>
    </row>
    <row r="659" spans="1:26" x14ac:dyDescent="0.2">
      <c r="A659" s="7" t="s">
        <v>66</v>
      </c>
      <c r="B659" s="6">
        <f t="shared" si="1608"/>
        <v>10</v>
      </c>
      <c r="C659" s="7" t="s">
        <v>160</v>
      </c>
      <c r="D659" s="68">
        <v>75</v>
      </c>
      <c r="E659" s="68">
        <v>71</v>
      </c>
      <c r="F659" s="65">
        <f t="shared" si="1603"/>
        <v>0.94666666666666666</v>
      </c>
      <c r="G659" s="60" t="e">
        <f t="shared" si="1609"/>
        <v>#DIV/0!</v>
      </c>
      <c r="H659" s="65" t="e">
        <f t="shared" ref="H659:J659" si="1789">H647</f>
        <v>#DIV/0!</v>
      </c>
      <c r="I659" s="65" t="e">
        <f t="shared" si="1789"/>
        <v>#DIV/0!</v>
      </c>
      <c r="J659" s="65" t="e">
        <f t="shared" si="1789"/>
        <v>#DIV/0!</v>
      </c>
      <c r="K659" s="69">
        <v>7000</v>
      </c>
      <c r="L659" s="69">
        <f>'Monitoramento Acumulado Geral'!Q659</f>
        <v>0</v>
      </c>
      <c r="M659" s="6">
        <f>(SUM(L650:L659))/K658</f>
        <v>0.97714285714285709</v>
      </c>
      <c r="N659" s="35" t="e">
        <f t="shared" si="1611"/>
        <v>#DIV/0!</v>
      </c>
      <c r="O659" s="6" t="e">
        <f t="shared" ref="O659:Q659" si="1790">O647</f>
        <v>#DIV/0!</v>
      </c>
      <c r="P659" s="6" t="e">
        <f t="shared" si="1790"/>
        <v>#DIV/0!</v>
      </c>
      <c r="Q659" s="6" t="e">
        <f t="shared" si="1790"/>
        <v>#DIV/0!</v>
      </c>
      <c r="R659" s="69">
        <v>80</v>
      </c>
      <c r="S659" s="69">
        <v>64</v>
      </c>
      <c r="T659" s="6">
        <f t="shared" si="1606"/>
        <v>0.8</v>
      </c>
      <c r="U659" s="35" t="e">
        <f t="shared" si="1613"/>
        <v>#DIV/0!</v>
      </c>
      <c r="V659" s="6" t="e">
        <f t="shared" ref="V659:Z659" si="1791">V647</f>
        <v>#DIV/0!</v>
      </c>
      <c r="W659" s="6" t="e">
        <f t="shared" si="1791"/>
        <v>#DIV/0!</v>
      </c>
      <c r="X659" s="6" t="e">
        <f t="shared" si="1791"/>
        <v>#DIV/0!</v>
      </c>
      <c r="Y659" s="6" t="e">
        <f t="shared" si="1791"/>
        <v>#DIV/0!</v>
      </c>
      <c r="Z659" s="6" t="e">
        <f t="shared" si="1791"/>
        <v>#DIV/0!</v>
      </c>
    </row>
    <row r="660" spans="1:26" x14ac:dyDescent="0.2">
      <c r="A660" s="7" t="s">
        <v>66</v>
      </c>
      <c r="B660" s="6">
        <f t="shared" si="1608"/>
        <v>11</v>
      </c>
      <c r="C660" s="7" t="s">
        <v>161</v>
      </c>
      <c r="D660" s="68">
        <v>75</v>
      </c>
      <c r="E660" s="68">
        <v>0</v>
      </c>
      <c r="F660" s="65">
        <f t="shared" si="1603"/>
        <v>0</v>
      </c>
      <c r="G660" s="60" t="e">
        <f t="shared" si="1609"/>
        <v>#DIV/0!</v>
      </c>
      <c r="H660" s="65" t="e">
        <f t="shared" ref="H660:J660" si="1792">H648</f>
        <v>#DIV/0!</v>
      </c>
      <c r="I660" s="65" t="e">
        <f t="shared" si="1792"/>
        <v>#DIV/0!</v>
      </c>
      <c r="J660" s="65" t="e">
        <f t="shared" si="1792"/>
        <v>#DIV/0!</v>
      </c>
      <c r="K660" s="69">
        <v>7000</v>
      </c>
      <c r="L660" s="69">
        <f>'Monitoramento Acumulado Geral'!Q660</f>
        <v>0</v>
      </c>
      <c r="M660" s="6">
        <f>(SUM(L650:L660))/K659</f>
        <v>0.97714285714285709</v>
      </c>
      <c r="N660" s="35" t="e">
        <f t="shared" si="1611"/>
        <v>#DIV/0!</v>
      </c>
      <c r="O660" s="6" t="e">
        <f t="shared" ref="O660:Q660" si="1793">O648</f>
        <v>#DIV/0!</v>
      </c>
      <c r="P660" s="6" t="e">
        <f t="shared" si="1793"/>
        <v>#DIV/0!</v>
      </c>
      <c r="Q660" s="6" t="e">
        <f t="shared" si="1793"/>
        <v>#DIV/0!</v>
      </c>
      <c r="R660" s="69">
        <v>80</v>
      </c>
      <c r="S660" s="69">
        <v>0</v>
      </c>
      <c r="T660" s="6">
        <f t="shared" si="1606"/>
        <v>0</v>
      </c>
      <c r="U660" s="35" t="e">
        <f t="shared" si="1613"/>
        <v>#DIV/0!</v>
      </c>
      <c r="V660" s="6" t="e">
        <f t="shared" ref="V660:Z660" si="1794">V648</f>
        <v>#DIV/0!</v>
      </c>
      <c r="W660" s="6" t="e">
        <f t="shared" si="1794"/>
        <v>#DIV/0!</v>
      </c>
      <c r="X660" s="6" t="e">
        <f t="shared" si="1794"/>
        <v>#DIV/0!</v>
      </c>
      <c r="Y660" s="6" t="e">
        <f t="shared" si="1794"/>
        <v>#DIV/0!</v>
      </c>
      <c r="Z660" s="6" t="e">
        <f t="shared" si="1794"/>
        <v>#DIV/0!</v>
      </c>
    </row>
    <row r="661" spans="1:26" x14ac:dyDescent="0.2">
      <c r="A661" s="7" t="s">
        <v>66</v>
      </c>
      <c r="B661" s="6">
        <f t="shared" si="1608"/>
        <v>12</v>
      </c>
      <c r="C661" s="7" t="s">
        <v>162</v>
      </c>
      <c r="D661" s="68">
        <v>75</v>
      </c>
      <c r="E661" s="68">
        <v>0</v>
      </c>
      <c r="F661" s="65">
        <f t="shared" si="1603"/>
        <v>0</v>
      </c>
      <c r="G661" s="60" t="e">
        <f t="shared" si="1609"/>
        <v>#DIV/0!</v>
      </c>
      <c r="H661" s="65" t="e">
        <f t="shared" ref="H661:J661" si="1795">H649</f>
        <v>#DIV/0!</v>
      </c>
      <c r="I661" s="65" t="e">
        <f t="shared" si="1795"/>
        <v>#DIV/0!</v>
      </c>
      <c r="J661" s="65" t="e">
        <f t="shared" si="1795"/>
        <v>#DIV/0!</v>
      </c>
      <c r="K661" s="69">
        <v>7000</v>
      </c>
      <c r="L661" s="69">
        <f>'Monitoramento Acumulado Geral'!Q661</f>
        <v>0</v>
      </c>
      <c r="M661" s="6">
        <f>(SUM(L650:L661))/K660</f>
        <v>0.97714285714285709</v>
      </c>
      <c r="N661" s="35" t="e">
        <f t="shared" si="1611"/>
        <v>#DIV/0!</v>
      </c>
      <c r="O661" s="6" t="e">
        <f t="shared" ref="O661:Q661" si="1796">O649</f>
        <v>#DIV/0!</v>
      </c>
      <c r="P661" s="6" t="e">
        <f t="shared" si="1796"/>
        <v>#DIV/0!</v>
      </c>
      <c r="Q661" s="6" t="e">
        <f t="shared" si="1796"/>
        <v>#DIV/0!</v>
      </c>
      <c r="R661" s="69">
        <v>80</v>
      </c>
      <c r="S661" s="69">
        <v>0</v>
      </c>
      <c r="T661" s="6">
        <f t="shared" si="1606"/>
        <v>0</v>
      </c>
      <c r="U661" s="35" t="e">
        <f t="shared" si="1613"/>
        <v>#DIV/0!</v>
      </c>
      <c r="V661" s="6" t="e">
        <f t="shared" ref="V661:Z661" si="1797">V649</f>
        <v>#DIV/0!</v>
      </c>
      <c r="W661" s="6" t="e">
        <f t="shared" si="1797"/>
        <v>#DIV/0!</v>
      </c>
      <c r="X661" s="6" t="e">
        <f t="shared" si="1797"/>
        <v>#DIV/0!</v>
      </c>
      <c r="Y661" s="6" t="e">
        <f t="shared" si="1797"/>
        <v>#DIV/0!</v>
      </c>
      <c r="Z661" s="6" t="e">
        <f t="shared" si="1797"/>
        <v>#DIV/0!</v>
      </c>
    </row>
    <row r="662" spans="1:26" x14ac:dyDescent="0.2">
      <c r="A662" s="7" t="s">
        <v>146</v>
      </c>
      <c r="B662" s="6">
        <f t="shared" si="1608"/>
        <v>1</v>
      </c>
      <c r="C662" s="7" t="s">
        <v>151</v>
      </c>
      <c r="D662" s="68">
        <v>60</v>
      </c>
      <c r="E662" s="68">
        <v>0</v>
      </c>
      <c r="F662" s="65">
        <f t="shared" ref="F662:F737" si="1798">E662/D662</f>
        <v>0</v>
      </c>
      <c r="G662" s="60" t="e">
        <f t="shared" si="1609"/>
        <v>#DIV/0!</v>
      </c>
      <c r="H662" s="65" t="e">
        <f t="shared" ref="H662:J662" si="1799">H650</f>
        <v>#DIV/0!</v>
      </c>
      <c r="I662" s="65" t="e">
        <f t="shared" si="1799"/>
        <v>#DIV/0!</v>
      </c>
      <c r="J662" s="65" t="e">
        <f t="shared" si="1799"/>
        <v>#DIV/0!</v>
      </c>
      <c r="K662" s="69">
        <v>12000</v>
      </c>
      <c r="L662" s="69">
        <f>'Monitoramento Acumulado Geral'!Q662</f>
        <v>0</v>
      </c>
      <c r="M662" s="6">
        <f>L662/K662</f>
        <v>0</v>
      </c>
      <c r="N662" s="35" t="e">
        <f t="shared" si="1611"/>
        <v>#DIV/0!</v>
      </c>
      <c r="O662" s="6" t="e">
        <f t="shared" ref="O662:Q662" si="1800">O650</f>
        <v>#DIV/0!</v>
      </c>
      <c r="P662" s="6" t="e">
        <f t="shared" si="1800"/>
        <v>#DIV/0!</v>
      </c>
      <c r="Q662" s="6" t="e">
        <f t="shared" si="1800"/>
        <v>#DIV/0!</v>
      </c>
      <c r="R662" s="69">
        <v>66</v>
      </c>
      <c r="S662" s="69">
        <v>0</v>
      </c>
      <c r="T662" s="6">
        <f t="shared" ref="T662:T737" si="1801">S662/R662</f>
        <v>0</v>
      </c>
      <c r="U662" s="35" t="e">
        <f t="shared" si="1613"/>
        <v>#DIV/0!</v>
      </c>
      <c r="V662" s="6" t="e">
        <f t="shared" ref="V662:Z662" si="1802">V650</f>
        <v>#DIV/0!</v>
      </c>
      <c r="W662" s="6" t="e">
        <f t="shared" si="1802"/>
        <v>#DIV/0!</v>
      </c>
      <c r="X662" s="6" t="e">
        <f t="shared" si="1802"/>
        <v>#DIV/0!</v>
      </c>
      <c r="Y662" s="6" t="e">
        <f t="shared" si="1802"/>
        <v>#DIV/0!</v>
      </c>
      <c r="Z662" s="6" t="e">
        <f t="shared" si="1802"/>
        <v>#DIV/0!</v>
      </c>
    </row>
    <row r="663" spans="1:26" x14ac:dyDescent="0.2">
      <c r="A663" s="7" t="s">
        <v>146</v>
      </c>
      <c r="B663" s="6">
        <f t="shared" ref="B663:B738" si="1803">_xlfn.IFS(C663="Janeiro",1,C663="Fevereiro",2,C663="Março",3,C663="Abril",4,C663="Maio",5,C663="Junho",6,C663="Julho",7,C663="Agosto",8,C663="Setembro",9,C663="Outubro",10,C663="Novembro",11,C663="Dezembro",12,TRUE,0)</f>
        <v>2</v>
      </c>
      <c r="C663" s="7" t="s">
        <v>152</v>
      </c>
      <c r="D663" s="68">
        <v>60</v>
      </c>
      <c r="E663" s="68">
        <v>0</v>
      </c>
      <c r="F663" s="65">
        <f t="shared" si="1798"/>
        <v>0</v>
      </c>
      <c r="G663" s="60" t="e">
        <f t="shared" ref="G663:G738" si="1804">IF(F663&gt;=I663,"Desempenho Ótimo",(IF(F663&gt;H663,"Desempenho Bom",(IF(F663&gt;J663,"Desempenho Médio",IF(F663&lt;=J663,"Desempenho Deficitário",0))))))</f>
        <v>#DIV/0!</v>
      </c>
      <c r="H663" s="65" t="e">
        <f t="shared" ref="H663:J663" si="1805">H651</f>
        <v>#DIV/0!</v>
      </c>
      <c r="I663" s="65" t="e">
        <f t="shared" si="1805"/>
        <v>#DIV/0!</v>
      </c>
      <c r="J663" s="65" t="e">
        <f t="shared" si="1805"/>
        <v>#DIV/0!</v>
      </c>
      <c r="K663" s="69">
        <v>12000</v>
      </c>
      <c r="L663" s="69">
        <f>'Monitoramento Acumulado Geral'!Q663</f>
        <v>0</v>
      </c>
      <c r="M663" s="6">
        <f>(SUM(L662:L663))/K662</f>
        <v>0</v>
      </c>
      <c r="N663" s="35" t="e">
        <f t="shared" ref="N663:N738" si="1806">IF(M663&gt;=P663,"Desempenho Ótimo",(IF(M663&gt;O663,"Desempenho Bom",(IF(M663&gt;Q663,"Desempenho Médio",IF(M663&lt;=Q663,"Desempenho Deficitário",0))))))</f>
        <v>#DIV/0!</v>
      </c>
      <c r="O663" s="6" t="e">
        <f t="shared" ref="O663:Q663" si="1807">O651</f>
        <v>#DIV/0!</v>
      </c>
      <c r="P663" s="6" t="e">
        <f t="shared" si="1807"/>
        <v>#DIV/0!</v>
      </c>
      <c r="Q663" s="6" t="e">
        <f t="shared" si="1807"/>
        <v>#DIV/0!</v>
      </c>
      <c r="R663" s="69">
        <v>66</v>
      </c>
      <c r="S663" s="69">
        <v>0</v>
      </c>
      <c r="T663" s="6">
        <f t="shared" si="1801"/>
        <v>0</v>
      </c>
      <c r="U663" s="35" t="e">
        <f t="shared" ref="U663:U738" si="1808">IF(T663&gt;=W663,"Desempenho Ótimo",(IF(T663&gt;V663,"Desempenho Bom",(IF(T663&gt;X663,"Desempenho Médio",IF(T663&lt;=X663,"Desempenho Deficitário",0))))))</f>
        <v>#DIV/0!</v>
      </c>
      <c r="V663" s="6" t="e">
        <f t="shared" ref="V663:Z663" si="1809">V651</f>
        <v>#DIV/0!</v>
      </c>
      <c r="W663" s="6" t="e">
        <f t="shared" si="1809"/>
        <v>#DIV/0!</v>
      </c>
      <c r="X663" s="6" t="e">
        <f t="shared" si="1809"/>
        <v>#DIV/0!</v>
      </c>
      <c r="Y663" s="6" t="e">
        <f t="shared" si="1809"/>
        <v>#DIV/0!</v>
      </c>
      <c r="Z663" s="6" t="e">
        <f t="shared" si="1809"/>
        <v>#DIV/0!</v>
      </c>
    </row>
    <row r="664" spans="1:26" x14ac:dyDescent="0.2">
      <c r="A664" s="7" t="s">
        <v>146</v>
      </c>
      <c r="B664" s="6">
        <f t="shared" si="1803"/>
        <v>3</v>
      </c>
      <c r="C664" s="7" t="s">
        <v>153</v>
      </c>
      <c r="D664" s="68">
        <v>60</v>
      </c>
      <c r="E664" s="68">
        <v>0</v>
      </c>
      <c r="F664" s="65">
        <f t="shared" si="1798"/>
        <v>0</v>
      </c>
      <c r="G664" s="60" t="e">
        <f t="shared" si="1804"/>
        <v>#DIV/0!</v>
      </c>
      <c r="H664" s="65" t="e">
        <f t="shared" ref="H664:J664" si="1810">H652</f>
        <v>#DIV/0!</v>
      </c>
      <c r="I664" s="65" t="e">
        <f t="shared" si="1810"/>
        <v>#DIV/0!</v>
      </c>
      <c r="J664" s="65" t="e">
        <f t="shared" si="1810"/>
        <v>#DIV/0!</v>
      </c>
      <c r="K664" s="69">
        <v>12000</v>
      </c>
      <c r="L664" s="69">
        <f>'Monitoramento Acumulado Geral'!Q664</f>
        <v>0</v>
      </c>
      <c r="M664" s="6">
        <f>(SUM(L662:L664))/K663</f>
        <v>0</v>
      </c>
      <c r="N664" s="35" t="e">
        <f t="shared" si="1806"/>
        <v>#DIV/0!</v>
      </c>
      <c r="O664" s="6" t="e">
        <f t="shared" ref="O664:Q664" si="1811">O652</f>
        <v>#DIV/0!</v>
      </c>
      <c r="P664" s="6" t="e">
        <f t="shared" si="1811"/>
        <v>#DIV/0!</v>
      </c>
      <c r="Q664" s="6" t="e">
        <f t="shared" si="1811"/>
        <v>#DIV/0!</v>
      </c>
      <c r="R664" s="69">
        <v>66</v>
      </c>
      <c r="S664" s="69">
        <v>0</v>
      </c>
      <c r="T664" s="6">
        <f t="shared" si="1801"/>
        <v>0</v>
      </c>
      <c r="U664" s="35" t="e">
        <f t="shared" si="1808"/>
        <v>#DIV/0!</v>
      </c>
      <c r="V664" s="6" t="e">
        <f t="shared" ref="V664:Z664" si="1812">V652</f>
        <v>#DIV/0!</v>
      </c>
      <c r="W664" s="6" t="e">
        <f t="shared" si="1812"/>
        <v>#DIV/0!</v>
      </c>
      <c r="X664" s="6" t="e">
        <f t="shared" si="1812"/>
        <v>#DIV/0!</v>
      </c>
      <c r="Y664" s="6" t="e">
        <f t="shared" si="1812"/>
        <v>#DIV/0!</v>
      </c>
      <c r="Z664" s="6" t="e">
        <f t="shared" si="1812"/>
        <v>#DIV/0!</v>
      </c>
    </row>
    <row r="665" spans="1:26" x14ac:dyDescent="0.2">
      <c r="A665" s="7" t="s">
        <v>146</v>
      </c>
      <c r="B665" s="6">
        <f t="shared" si="1803"/>
        <v>4</v>
      </c>
      <c r="C665" s="7" t="s">
        <v>154</v>
      </c>
      <c r="D665" s="68">
        <v>60</v>
      </c>
      <c r="E665" s="68">
        <v>37</v>
      </c>
      <c r="F665" s="65">
        <f t="shared" si="1798"/>
        <v>0.6166666666666667</v>
      </c>
      <c r="G665" s="60" t="e">
        <f t="shared" si="1804"/>
        <v>#DIV/0!</v>
      </c>
      <c r="H665" s="65" t="e">
        <f t="shared" ref="H665:J665" si="1813">H653</f>
        <v>#DIV/0!</v>
      </c>
      <c r="I665" s="65" t="e">
        <f t="shared" si="1813"/>
        <v>#DIV/0!</v>
      </c>
      <c r="J665" s="65" t="e">
        <f t="shared" si="1813"/>
        <v>#DIV/0!</v>
      </c>
      <c r="K665" s="69">
        <v>12000</v>
      </c>
      <c r="L665" s="69">
        <f>'Monitoramento Acumulado Geral'!Q665</f>
        <v>2216.9499999999998</v>
      </c>
      <c r="M665" s="6">
        <f>(SUM(L662:L665))/K664</f>
        <v>0.18474583333333333</v>
      </c>
      <c r="N665" s="35" t="e">
        <f t="shared" si="1806"/>
        <v>#DIV/0!</v>
      </c>
      <c r="O665" s="6" t="e">
        <f t="shared" ref="O665:Q665" si="1814">O653</f>
        <v>#DIV/0!</v>
      </c>
      <c r="P665" s="6" t="e">
        <f t="shared" si="1814"/>
        <v>#DIV/0!</v>
      </c>
      <c r="Q665" s="6" t="e">
        <f t="shared" si="1814"/>
        <v>#DIV/0!</v>
      </c>
      <c r="R665" s="69">
        <v>66</v>
      </c>
      <c r="S665" s="69">
        <v>0</v>
      </c>
      <c r="T665" s="6">
        <f t="shared" si="1801"/>
        <v>0</v>
      </c>
      <c r="U665" s="35" t="e">
        <f t="shared" si="1808"/>
        <v>#DIV/0!</v>
      </c>
      <c r="V665" s="6" t="e">
        <f t="shared" ref="V665:Z665" si="1815">V653</f>
        <v>#DIV/0!</v>
      </c>
      <c r="W665" s="6" t="e">
        <f t="shared" si="1815"/>
        <v>#DIV/0!</v>
      </c>
      <c r="X665" s="6" t="e">
        <f t="shared" si="1815"/>
        <v>#DIV/0!</v>
      </c>
      <c r="Y665" s="6" t="e">
        <f t="shared" si="1815"/>
        <v>#DIV/0!</v>
      </c>
      <c r="Z665" s="6" t="e">
        <f t="shared" si="1815"/>
        <v>#DIV/0!</v>
      </c>
    </row>
    <row r="666" spans="1:26" x14ac:dyDescent="0.2">
      <c r="A666" s="7" t="s">
        <v>146</v>
      </c>
      <c r="B666" s="6">
        <f t="shared" si="1803"/>
        <v>5</v>
      </c>
      <c r="C666" s="7" t="s">
        <v>155</v>
      </c>
      <c r="D666" s="68">
        <v>60</v>
      </c>
      <c r="E666" s="68">
        <v>42</v>
      </c>
      <c r="F666" s="65">
        <f t="shared" si="1798"/>
        <v>0.7</v>
      </c>
      <c r="G666" s="60" t="e">
        <f t="shared" si="1804"/>
        <v>#DIV/0!</v>
      </c>
      <c r="H666" s="65" t="e">
        <f t="shared" ref="H666:J666" si="1816">H654</f>
        <v>#DIV/0!</v>
      </c>
      <c r="I666" s="65" t="e">
        <f t="shared" si="1816"/>
        <v>#DIV/0!</v>
      </c>
      <c r="J666" s="65" t="e">
        <f t="shared" si="1816"/>
        <v>#DIV/0!</v>
      </c>
      <c r="K666" s="69">
        <v>12000</v>
      </c>
      <c r="L666" s="69">
        <f>'Monitoramento Acumulado Geral'!Q666</f>
        <v>1000</v>
      </c>
      <c r="M666" s="6">
        <f>(SUM(L662:L666))/K665</f>
        <v>0.26807916666666665</v>
      </c>
      <c r="N666" s="35" t="e">
        <f t="shared" si="1806"/>
        <v>#DIV/0!</v>
      </c>
      <c r="O666" s="6" t="e">
        <f t="shared" ref="O666:Q666" si="1817">O654</f>
        <v>#DIV/0!</v>
      </c>
      <c r="P666" s="6" t="e">
        <f t="shared" si="1817"/>
        <v>#DIV/0!</v>
      </c>
      <c r="Q666" s="6" t="e">
        <f t="shared" si="1817"/>
        <v>#DIV/0!</v>
      </c>
      <c r="R666" s="69">
        <v>66</v>
      </c>
      <c r="S666" s="69">
        <v>0</v>
      </c>
      <c r="T666" s="6">
        <f t="shared" si="1801"/>
        <v>0</v>
      </c>
      <c r="U666" s="35" t="e">
        <f t="shared" si="1808"/>
        <v>#DIV/0!</v>
      </c>
      <c r="V666" s="6" t="e">
        <f t="shared" ref="V666:Z666" si="1818">V654</f>
        <v>#DIV/0!</v>
      </c>
      <c r="W666" s="6" t="e">
        <f t="shared" si="1818"/>
        <v>#DIV/0!</v>
      </c>
      <c r="X666" s="6" t="e">
        <f t="shared" si="1818"/>
        <v>#DIV/0!</v>
      </c>
      <c r="Y666" s="6" t="e">
        <f t="shared" si="1818"/>
        <v>#DIV/0!</v>
      </c>
      <c r="Z666" s="6" t="e">
        <f t="shared" si="1818"/>
        <v>#DIV/0!</v>
      </c>
    </row>
    <row r="667" spans="1:26" x14ac:dyDescent="0.2">
      <c r="A667" s="7" t="s">
        <v>146</v>
      </c>
      <c r="B667" s="6">
        <f t="shared" si="1803"/>
        <v>6</v>
      </c>
      <c r="C667" s="7" t="s">
        <v>156</v>
      </c>
      <c r="D667" s="68">
        <v>60</v>
      </c>
      <c r="E667" s="68">
        <v>42</v>
      </c>
      <c r="F667" s="65">
        <f t="shared" si="1798"/>
        <v>0.7</v>
      </c>
      <c r="G667" s="60" t="e">
        <f t="shared" si="1804"/>
        <v>#DIV/0!</v>
      </c>
      <c r="H667" s="65" t="e">
        <f t="shared" ref="H667:J667" si="1819">H655</f>
        <v>#DIV/0!</v>
      </c>
      <c r="I667" s="65" t="e">
        <f t="shared" si="1819"/>
        <v>#DIV/0!</v>
      </c>
      <c r="J667" s="65" t="e">
        <f t="shared" si="1819"/>
        <v>#DIV/0!</v>
      </c>
      <c r="K667" s="69">
        <v>12000</v>
      </c>
      <c r="L667" s="69">
        <f>'Monitoramento Acumulado Geral'!Q667</f>
        <v>2550</v>
      </c>
      <c r="M667" s="6">
        <f>(SUM(L662:L667))/K666</f>
        <v>0.48057916666666667</v>
      </c>
      <c r="N667" s="35" t="e">
        <f t="shared" si="1806"/>
        <v>#DIV/0!</v>
      </c>
      <c r="O667" s="6" t="e">
        <f t="shared" ref="O667:Q667" si="1820">O655</f>
        <v>#DIV/0!</v>
      </c>
      <c r="P667" s="6" t="e">
        <f t="shared" si="1820"/>
        <v>#DIV/0!</v>
      </c>
      <c r="Q667" s="6" t="e">
        <f t="shared" si="1820"/>
        <v>#DIV/0!</v>
      </c>
      <c r="R667" s="69">
        <v>66</v>
      </c>
      <c r="S667" s="69">
        <v>0</v>
      </c>
      <c r="T667" s="6">
        <f t="shared" si="1801"/>
        <v>0</v>
      </c>
      <c r="U667" s="35" t="e">
        <f t="shared" si="1808"/>
        <v>#DIV/0!</v>
      </c>
      <c r="V667" s="6" t="e">
        <f t="shared" ref="V667:Z667" si="1821">V655</f>
        <v>#DIV/0!</v>
      </c>
      <c r="W667" s="6" t="e">
        <f t="shared" si="1821"/>
        <v>#DIV/0!</v>
      </c>
      <c r="X667" s="6" t="e">
        <f t="shared" si="1821"/>
        <v>#DIV/0!</v>
      </c>
      <c r="Y667" s="6" t="e">
        <f t="shared" si="1821"/>
        <v>#DIV/0!</v>
      </c>
      <c r="Z667" s="6" t="e">
        <f t="shared" si="1821"/>
        <v>#DIV/0!</v>
      </c>
    </row>
    <row r="668" spans="1:26" x14ac:dyDescent="0.2">
      <c r="A668" s="7" t="s">
        <v>146</v>
      </c>
      <c r="B668" s="6">
        <f t="shared" si="1803"/>
        <v>7</v>
      </c>
      <c r="C668" s="7" t="s">
        <v>157</v>
      </c>
      <c r="D668" s="68">
        <v>60</v>
      </c>
      <c r="E668" s="68">
        <v>42</v>
      </c>
      <c r="F668" s="65">
        <f t="shared" si="1798"/>
        <v>0.7</v>
      </c>
      <c r="G668" s="60" t="e">
        <f t="shared" si="1804"/>
        <v>#DIV/0!</v>
      </c>
      <c r="H668" s="65" t="e">
        <f t="shared" ref="H668:J668" si="1822">H656</f>
        <v>#DIV/0!</v>
      </c>
      <c r="I668" s="65" t="e">
        <f t="shared" si="1822"/>
        <v>#DIV/0!</v>
      </c>
      <c r="J668" s="65" t="e">
        <f t="shared" si="1822"/>
        <v>#DIV/0!</v>
      </c>
      <c r="K668" s="69">
        <v>12000</v>
      </c>
      <c r="L668" s="69">
        <f>'Monitoramento Acumulado Geral'!Q668</f>
        <v>0</v>
      </c>
      <c r="M668" s="6">
        <f>(SUM(L662:L668))/K667</f>
        <v>0.48057916666666667</v>
      </c>
      <c r="N668" s="35" t="e">
        <f t="shared" si="1806"/>
        <v>#DIV/0!</v>
      </c>
      <c r="O668" s="6" t="e">
        <f t="shared" ref="O668:Q668" si="1823">O656</f>
        <v>#DIV/0!</v>
      </c>
      <c r="P668" s="6" t="e">
        <f t="shared" si="1823"/>
        <v>#DIV/0!</v>
      </c>
      <c r="Q668" s="6" t="e">
        <f t="shared" si="1823"/>
        <v>#DIV/0!</v>
      </c>
      <c r="R668" s="69">
        <v>66</v>
      </c>
      <c r="S668" s="69">
        <v>0</v>
      </c>
      <c r="T668" s="6">
        <f t="shared" si="1801"/>
        <v>0</v>
      </c>
      <c r="U668" s="35" t="e">
        <f t="shared" si="1808"/>
        <v>#DIV/0!</v>
      </c>
      <c r="V668" s="6" t="e">
        <f t="shared" ref="V668:Z668" si="1824">V656</f>
        <v>#DIV/0!</v>
      </c>
      <c r="W668" s="6" t="e">
        <f t="shared" si="1824"/>
        <v>#DIV/0!</v>
      </c>
      <c r="X668" s="6" t="e">
        <f t="shared" si="1824"/>
        <v>#DIV/0!</v>
      </c>
      <c r="Y668" s="6" t="e">
        <f t="shared" si="1824"/>
        <v>#DIV/0!</v>
      </c>
      <c r="Z668" s="6" t="e">
        <f t="shared" si="1824"/>
        <v>#DIV/0!</v>
      </c>
    </row>
    <row r="669" spans="1:26" x14ac:dyDescent="0.2">
      <c r="A669" s="7" t="s">
        <v>146</v>
      </c>
      <c r="B669" s="6">
        <f t="shared" si="1803"/>
        <v>8</v>
      </c>
      <c r="C669" s="7" t="s">
        <v>158</v>
      </c>
      <c r="D669" s="68">
        <v>60</v>
      </c>
      <c r="E669" s="68">
        <v>42</v>
      </c>
      <c r="F669" s="65">
        <f t="shared" si="1798"/>
        <v>0.7</v>
      </c>
      <c r="G669" s="60" t="e">
        <f t="shared" si="1804"/>
        <v>#DIV/0!</v>
      </c>
      <c r="H669" s="65" t="e">
        <f t="shared" ref="H669:J669" si="1825">H657</f>
        <v>#DIV/0!</v>
      </c>
      <c r="I669" s="65" t="e">
        <f t="shared" si="1825"/>
        <v>#DIV/0!</v>
      </c>
      <c r="J669" s="65" t="e">
        <f t="shared" si="1825"/>
        <v>#DIV/0!</v>
      </c>
      <c r="K669" s="69">
        <v>12000</v>
      </c>
      <c r="L669" s="69">
        <f>'Monitoramento Acumulado Geral'!Q669</f>
        <v>0</v>
      </c>
      <c r="M669" s="6">
        <f>(SUM(L662:L669))/K668</f>
        <v>0.48057916666666667</v>
      </c>
      <c r="N669" s="35" t="e">
        <f t="shared" si="1806"/>
        <v>#DIV/0!</v>
      </c>
      <c r="O669" s="6" t="e">
        <f t="shared" ref="O669:Q669" si="1826">O657</f>
        <v>#DIV/0!</v>
      </c>
      <c r="P669" s="6" t="e">
        <f t="shared" si="1826"/>
        <v>#DIV/0!</v>
      </c>
      <c r="Q669" s="6" t="e">
        <f t="shared" si="1826"/>
        <v>#DIV/0!</v>
      </c>
      <c r="R669" s="69">
        <v>66</v>
      </c>
      <c r="S669" s="69">
        <v>0</v>
      </c>
      <c r="T669" s="6">
        <f t="shared" si="1801"/>
        <v>0</v>
      </c>
      <c r="U669" s="35" t="e">
        <f t="shared" si="1808"/>
        <v>#DIV/0!</v>
      </c>
      <c r="V669" s="6" t="e">
        <f t="shared" ref="V669:Z669" si="1827">V657</f>
        <v>#DIV/0!</v>
      </c>
      <c r="W669" s="6" t="e">
        <f t="shared" si="1827"/>
        <v>#DIV/0!</v>
      </c>
      <c r="X669" s="6" t="e">
        <f t="shared" si="1827"/>
        <v>#DIV/0!</v>
      </c>
      <c r="Y669" s="6" t="e">
        <f t="shared" si="1827"/>
        <v>#DIV/0!</v>
      </c>
      <c r="Z669" s="6" t="e">
        <f t="shared" si="1827"/>
        <v>#DIV/0!</v>
      </c>
    </row>
    <row r="670" spans="1:26" x14ac:dyDescent="0.2">
      <c r="A670" s="7" t="s">
        <v>146</v>
      </c>
      <c r="B670" s="6">
        <f t="shared" si="1803"/>
        <v>9</v>
      </c>
      <c r="C670" s="7" t="s">
        <v>159</v>
      </c>
      <c r="D670" s="68">
        <v>60</v>
      </c>
      <c r="E670" s="68">
        <v>42</v>
      </c>
      <c r="F670" s="65">
        <f t="shared" si="1798"/>
        <v>0.7</v>
      </c>
      <c r="G670" s="60" t="e">
        <f t="shared" si="1804"/>
        <v>#DIV/0!</v>
      </c>
      <c r="H670" s="65" t="e">
        <f t="shared" ref="H670:J670" si="1828">H658</f>
        <v>#DIV/0!</v>
      </c>
      <c r="I670" s="65" t="e">
        <f t="shared" si="1828"/>
        <v>#DIV/0!</v>
      </c>
      <c r="J670" s="65" t="e">
        <f t="shared" si="1828"/>
        <v>#DIV/0!</v>
      </c>
      <c r="K670" s="69">
        <v>12000</v>
      </c>
      <c r="L670" s="69">
        <f>'Monitoramento Acumulado Geral'!Q670</f>
        <v>0</v>
      </c>
      <c r="M670" s="6">
        <f>(SUM(L662:L670))/K669</f>
        <v>0.48057916666666667</v>
      </c>
      <c r="N670" s="35" t="e">
        <f t="shared" si="1806"/>
        <v>#DIV/0!</v>
      </c>
      <c r="O670" s="6" t="e">
        <f t="shared" ref="O670:Q670" si="1829">O658</f>
        <v>#DIV/0!</v>
      </c>
      <c r="P670" s="6" t="e">
        <f t="shared" si="1829"/>
        <v>#DIV/0!</v>
      </c>
      <c r="Q670" s="6" t="e">
        <f t="shared" si="1829"/>
        <v>#DIV/0!</v>
      </c>
      <c r="R670" s="69">
        <v>66</v>
      </c>
      <c r="S670" s="69">
        <v>0</v>
      </c>
      <c r="T670" s="6">
        <f t="shared" si="1801"/>
        <v>0</v>
      </c>
      <c r="U670" s="35" t="e">
        <f t="shared" si="1808"/>
        <v>#DIV/0!</v>
      </c>
      <c r="V670" s="6" t="e">
        <f t="shared" ref="V670:Z670" si="1830">V658</f>
        <v>#DIV/0!</v>
      </c>
      <c r="W670" s="6" t="e">
        <f t="shared" si="1830"/>
        <v>#DIV/0!</v>
      </c>
      <c r="X670" s="6" t="e">
        <f t="shared" si="1830"/>
        <v>#DIV/0!</v>
      </c>
      <c r="Y670" s="6" t="e">
        <f t="shared" si="1830"/>
        <v>#DIV/0!</v>
      </c>
      <c r="Z670" s="6" t="e">
        <f t="shared" si="1830"/>
        <v>#DIV/0!</v>
      </c>
    </row>
    <row r="671" spans="1:26" x14ac:dyDescent="0.2">
      <c r="A671" s="7" t="s">
        <v>146</v>
      </c>
      <c r="B671" s="6">
        <f t="shared" si="1803"/>
        <v>10</v>
      </c>
      <c r="C671" s="7" t="s">
        <v>160</v>
      </c>
      <c r="D671" s="68">
        <v>60</v>
      </c>
      <c r="E671" s="68">
        <v>42</v>
      </c>
      <c r="F671" s="65">
        <f t="shared" si="1798"/>
        <v>0.7</v>
      </c>
      <c r="G671" s="60" t="e">
        <f t="shared" si="1804"/>
        <v>#DIV/0!</v>
      </c>
      <c r="H671" s="65" t="e">
        <f t="shared" ref="H671:J671" si="1831">H659</f>
        <v>#DIV/0!</v>
      </c>
      <c r="I671" s="65" t="e">
        <f t="shared" si="1831"/>
        <v>#DIV/0!</v>
      </c>
      <c r="J671" s="65" t="e">
        <f t="shared" si="1831"/>
        <v>#DIV/0!</v>
      </c>
      <c r="K671" s="69">
        <v>12000</v>
      </c>
      <c r="L671" s="69">
        <f>'Monitoramento Acumulado Geral'!Q671</f>
        <v>0</v>
      </c>
      <c r="M671" s="6">
        <f>(SUM(L662:L671))/K670</f>
        <v>0.48057916666666667</v>
      </c>
      <c r="N671" s="35" t="e">
        <f t="shared" si="1806"/>
        <v>#DIV/0!</v>
      </c>
      <c r="O671" s="6" t="e">
        <f t="shared" ref="O671:Q671" si="1832">O659</f>
        <v>#DIV/0!</v>
      </c>
      <c r="P671" s="6" t="e">
        <f t="shared" si="1832"/>
        <v>#DIV/0!</v>
      </c>
      <c r="Q671" s="6" t="e">
        <f t="shared" si="1832"/>
        <v>#DIV/0!</v>
      </c>
      <c r="R671" s="69">
        <v>66</v>
      </c>
      <c r="S671" s="69">
        <v>0</v>
      </c>
      <c r="T671" s="6">
        <f t="shared" si="1801"/>
        <v>0</v>
      </c>
      <c r="U671" s="35" t="e">
        <f t="shared" si="1808"/>
        <v>#DIV/0!</v>
      </c>
      <c r="V671" s="6" t="e">
        <f t="shared" ref="V671:Z671" si="1833">V659</f>
        <v>#DIV/0!</v>
      </c>
      <c r="W671" s="6" t="e">
        <f t="shared" si="1833"/>
        <v>#DIV/0!</v>
      </c>
      <c r="X671" s="6" t="e">
        <f t="shared" si="1833"/>
        <v>#DIV/0!</v>
      </c>
      <c r="Y671" s="6" t="e">
        <f t="shared" si="1833"/>
        <v>#DIV/0!</v>
      </c>
      <c r="Z671" s="6" t="e">
        <f t="shared" si="1833"/>
        <v>#DIV/0!</v>
      </c>
    </row>
    <row r="672" spans="1:26" x14ac:dyDescent="0.2">
      <c r="A672" s="7" t="s">
        <v>146</v>
      </c>
      <c r="B672" s="6">
        <f t="shared" si="1803"/>
        <v>11</v>
      </c>
      <c r="C672" s="7" t="s">
        <v>161</v>
      </c>
      <c r="D672" s="68">
        <v>60</v>
      </c>
      <c r="E672" s="68">
        <v>0</v>
      </c>
      <c r="F672" s="65">
        <f t="shared" si="1798"/>
        <v>0</v>
      </c>
      <c r="G672" s="60" t="e">
        <f t="shared" si="1804"/>
        <v>#DIV/0!</v>
      </c>
      <c r="H672" s="65" t="e">
        <f t="shared" ref="H672:J672" si="1834">H660</f>
        <v>#DIV/0!</v>
      </c>
      <c r="I672" s="65" t="e">
        <f t="shared" si="1834"/>
        <v>#DIV/0!</v>
      </c>
      <c r="J672" s="65" t="e">
        <f t="shared" si="1834"/>
        <v>#DIV/0!</v>
      </c>
      <c r="K672" s="69">
        <v>12000</v>
      </c>
      <c r="L672" s="69">
        <f>'Monitoramento Acumulado Geral'!Q672</f>
        <v>0</v>
      </c>
      <c r="M672" s="6">
        <f>(SUM(L662:L672))/K671</f>
        <v>0.48057916666666667</v>
      </c>
      <c r="N672" s="35" t="e">
        <f t="shared" si="1806"/>
        <v>#DIV/0!</v>
      </c>
      <c r="O672" s="6" t="e">
        <f t="shared" ref="O672:Q672" si="1835">O660</f>
        <v>#DIV/0!</v>
      </c>
      <c r="P672" s="6" t="e">
        <f t="shared" si="1835"/>
        <v>#DIV/0!</v>
      </c>
      <c r="Q672" s="6" t="e">
        <f t="shared" si="1835"/>
        <v>#DIV/0!</v>
      </c>
      <c r="R672" s="69">
        <v>66</v>
      </c>
      <c r="S672" s="69">
        <v>0</v>
      </c>
      <c r="T672" s="6">
        <f t="shared" si="1801"/>
        <v>0</v>
      </c>
      <c r="U672" s="35" t="e">
        <f t="shared" si="1808"/>
        <v>#DIV/0!</v>
      </c>
      <c r="V672" s="6" t="e">
        <f t="shared" ref="V672:Z672" si="1836">V660</f>
        <v>#DIV/0!</v>
      </c>
      <c r="W672" s="6" t="e">
        <f t="shared" si="1836"/>
        <v>#DIV/0!</v>
      </c>
      <c r="X672" s="6" t="e">
        <f t="shared" si="1836"/>
        <v>#DIV/0!</v>
      </c>
      <c r="Y672" s="6" t="e">
        <f t="shared" si="1836"/>
        <v>#DIV/0!</v>
      </c>
      <c r="Z672" s="6" t="e">
        <f t="shared" si="1836"/>
        <v>#DIV/0!</v>
      </c>
    </row>
    <row r="673" spans="1:26" x14ac:dyDescent="0.2">
      <c r="A673" s="7" t="s">
        <v>146</v>
      </c>
      <c r="B673" s="6">
        <f t="shared" si="1803"/>
        <v>12</v>
      </c>
      <c r="C673" s="7" t="s">
        <v>162</v>
      </c>
      <c r="D673" s="68">
        <v>60</v>
      </c>
      <c r="E673" s="68">
        <v>0</v>
      </c>
      <c r="F673" s="65">
        <f t="shared" si="1798"/>
        <v>0</v>
      </c>
      <c r="G673" s="60" t="e">
        <f t="shared" si="1804"/>
        <v>#DIV/0!</v>
      </c>
      <c r="H673" s="65" t="e">
        <f t="shared" ref="H673:J673" si="1837">H661</f>
        <v>#DIV/0!</v>
      </c>
      <c r="I673" s="65" t="e">
        <f t="shared" si="1837"/>
        <v>#DIV/0!</v>
      </c>
      <c r="J673" s="65" t="e">
        <f t="shared" si="1837"/>
        <v>#DIV/0!</v>
      </c>
      <c r="K673" s="69">
        <v>12000</v>
      </c>
      <c r="L673" s="69">
        <f>'Monitoramento Acumulado Geral'!Q673</f>
        <v>0</v>
      </c>
      <c r="M673" s="6">
        <f>(SUM(L662:L673))/K672</f>
        <v>0.48057916666666667</v>
      </c>
      <c r="N673" s="35" t="e">
        <f t="shared" si="1806"/>
        <v>#DIV/0!</v>
      </c>
      <c r="O673" s="6" t="e">
        <f t="shared" ref="O673:Q673" si="1838">O661</f>
        <v>#DIV/0!</v>
      </c>
      <c r="P673" s="6" t="e">
        <f t="shared" si="1838"/>
        <v>#DIV/0!</v>
      </c>
      <c r="Q673" s="6" t="e">
        <f t="shared" si="1838"/>
        <v>#DIV/0!</v>
      </c>
      <c r="R673" s="69">
        <v>66</v>
      </c>
      <c r="S673" s="69">
        <v>0</v>
      </c>
      <c r="T673" s="6">
        <f t="shared" si="1801"/>
        <v>0</v>
      </c>
      <c r="U673" s="35" t="e">
        <f t="shared" si="1808"/>
        <v>#DIV/0!</v>
      </c>
      <c r="V673" s="6" t="e">
        <f t="shared" ref="V673:Z673" si="1839">V661</f>
        <v>#DIV/0!</v>
      </c>
      <c r="W673" s="6" t="e">
        <f t="shared" si="1839"/>
        <v>#DIV/0!</v>
      </c>
      <c r="X673" s="6" t="e">
        <f t="shared" si="1839"/>
        <v>#DIV/0!</v>
      </c>
      <c r="Y673" s="6" t="e">
        <f t="shared" si="1839"/>
        <v>#DIV/0!</v>
      </c>
      <c r="Z673" s="6" t="e">
        <f t="shared" si="1839"/>
        <v>#DIV/0!</v>
      </c>
    </row>
    <row r="674" spans="1:26" x14ac:dyDescent="0.2">
      <c r="A674" s="7" t="s">
        <v>131</v>
      </c>
      <c r="B674" s="6">
        <f t="shared" si="1803"/>
        <v>1</v>
      </c>
      <c r="C674" s="7" t="s">
        <v>151</v>
      </c>
      <c r="D674" s="68">
        <v>65</v>
      </c>
      <c r="E674" s="68">
        <v>14</v>
      </c>
      <c r="F674" s="65">
        <f t="shared" si="1798"/>
        <v>0.2153846153846154</v>
      </c>
      <c r="G674" s="60" t="e">
        <f t="shared" si="1804"/>
        <v>#DIV/0!</v>
      </c>
      <c r="H674" s="65" t="e">
        <f t="shared" ref="H674:J674" si="1840">H662</f>
        <v>#DIV/0!</v>
      </c>
      <c r="I674" s="65" t="e">
        <f t="shared" si="1840"/>
        <v>#DIV/0!</v>
      </c>
      <c r="J674" s="65" t="e">
        <f t="shared" si="1840"/>
        <v>#DIV/0!</v>
      </c>
      <c r="K674" s="69">
        <v>16000</v>
      </c>
      <c r="L674" s="69">
        <f>'Monitoramento Acumulado Geral'!Q674</f>
        <v>1600</v>
      </c>
      <c r="M674" s="6">
        <f>L674/K674</f>
        <v>0.1</v>
      </c>
      <c r="N674" s="35" t="e">
        <f t="shared" si="1806"/>
        <v>#DIV/0!</v>
      </c>
      <c r="O674" s="6" t="e">
        <f t="shared" ref="O674:Q674" si="1841">O662</f>
        <v>#DIV/0!</v>
      </c>
      <c r="P674" s="6" t="e">
        <f t="shared" si="1841"/>
        <v>#DIV/0!</v>
      </c>
      <c r="Q674" s="6" t="e">
        <f t="shared" si="1841"/>
        <v>#DIV/0!</v>
      </c>
      <c r="R674" s="69">
        <v>44</v>
      </c>
      <c r="S674" s="69">
        <v>0</v>
      </c>
      <c r="T674" s="6">
        <f t="shared" si="1801"/>
        <v>0</v>
      </c>
      <c r="U674" s="35" t="e">
        <f t="shared" si="1808"/>
        <v>#DIV/0!</v>
      </c>
      <c r="V674" s="6" t="e">
        <f t="shared" ref="V674:Z674" si="1842">V662</f>
        <v>#DIV/0!</v>
      </c>
      <c r="W674" s="6" t="e">
        <f t="shared" si="1842"/>
        <v>#DIV/0!</v>
      </c>
      <c r="X674" s="6" t="e">
        <f t="shared" si="1842"/>
        <v>#DIV/0!</v>
      </c>
      <c r="Y674" s="6" t="e">
        <f t="shared" si="1842"/>
        <v>#DIV/0!</v>
      </c>
      <c r="Z674" s="6" t="e">
        <f t="shared" si="1842"/>
        <v>#DIV/0!</v>
      </c>
    </row>
    <row r="675" spans="1:26" x14ac:dyDescent="0.2">
      <c r="A675" s="7" t="s">
        <v>131</v>
      </c>
      <c r="B675" s="6">
        <f t="shared" si="1803"/>
        <v>2</v>
      </c>
      <c r="C675" s="7" t="s">
        <v>152</v>
      </c>
      <c r="D675" s="68">
        <v>65</v>
      </c>
      <c r="E675" s="68">
        <v>25</v>
      </c>
      <c r="F675" s="65">
        <f t="shared" si="1798"/>
        <v>0.38461538461538464</v>
      </c>
      <c r="G675" s="60" t="e">
        <f t="shared" si="1804"/>
        <v>#DIV/0!</v>
      </c>
      <c r="H675" s="65" t="e">
        <f t="shared" ref="H675:J675" si="1843">H663</f>
        <v>#DIV/0!</v>
      </c>
      <c r="I675" s="65" t="e">
        <f t="shared" si="1843"/>
        <v>#DIV/0!</v>
      </c>
      <c r="J675" s="65" t="e">
        <f t="shared" si="1843"/>
        <v>#DIV/0!</v>
      </c>
      <c r="K675" s="69">
        <v>16000</v>
      </c>
      <c r="L675" s="69">
        <f>'Monitoramento Acumulado Geral'!Q675</f>
        <v>2600</v>
      </c>
      <c r="M675" s="6">
        <f>(SUM(L674:L675))/K674</f>
        <v>0.26250000000000001</v>
      </c>
      <c r="N675" s="35" t="e">
        <f t="shared" si="1806"/>
        <v>#DIV/0!</v>
      </c>
      <c r="O675" s="6" t="e">
        <f t="shared" ref="O675:Q675" si="1844">O663</f>
        <v>#DIV/0!</v>
      </c>
      <c r="P675" s="6" t="e">
        <f t="shared" si="1844"/>
        <v>#DIV/0!</v>
      </c>
      <c r="Q675" s="6" t="e">
        <f t="shared" si="1844"/>
        <v>#DIV/0!</v>
      </c>
      <c r="R675" s="69">
        <v>44</v>
      </c>
      <c r="S675" s="69">
        <v>0</v>
      </c>
      <c r="T675" s="6">
        <f t="shared" si="1801"/>
        <v>0</v>
      </c>
      <c r="U675" s="35" t="e">
        <f t="shared" si="1808"/>
        <v>#DIV/0!</v>
      </c>
      <c r="V675" s="6" t="e">
        <f t="shared" ref="V675:Z675" si="1845">V663</f>
        <v>#DIV/0!</v>
      </c>
      <c r="W675" s="6" t="e">
        <f t="shared" si="1845"/>
        <v>#DIV/0!</v>
      </c>
      <c r="X675" s="6" t="e">
        <f t="shared" si="1845"/>
        <v>#DIV/0!</v>
      </c>
      <c r="Y675" s="6" t="e">
        <f t="shared" si="1845"/>
        <v>#DIV/0!</v>
      </c>
      <c r="Z675" s="6" t="e">
        <f t="shared" si="1845"/>
        <v>#DIV/0!</v>
      </c>
    </row>
    <row r="676" spans="1:26" x14ac:dyDescent="0.2">
      <c r="A676" s="7" t="s">
        <v>131</v>
      </c>
      <c r="B676" s="6">
        <f t="shared" si="1803"/>
        <v>3</v>
      </c>
      <c r="C676" s="7" t="s">
        <v>153</v>
      </c>
      <c r="D676" s="68">
        <v>65</v>
      </c>
      <c r="E676" s="68">
        <v>36</v>
      </c>
      <c r="F676" s="65">
        <f t="shared" si="1798"/>
        <v>0.55384615384615388</v>
      </c>
      <c r="G676" s="60" t="e">
        <f t="shared" si="1804"/>
        <v>#DIV/0!</v>
      </c>
      <c r="H676" s="65" t="e">
        <f t="shared" ref="H676:J676" si="1846">H664</f>
        <v>#DIV/0!</v>
      </c>
      <c r="I676" s="65" t="e">
        <f t="shared" si="1846"/>
        <v>#DIV/0!</v>
      </c>
      <c r="J676" s="65" t="e">
        <f t="shared" si="1846"/>
        <v>#DIV/0!</v>
      </c>
      <c r="K676" s="69">
        <v>16000</v>
      </c>
      <c r="L676" s="69">
        <f>'Monitoramento Acumulado Geral'!Q676</f>
        <v>1500</v>
      </c>
      <c r="M676" s="6">
        <f>(SUM(L674:L676))/K675</f>
        <v>0.35625000000000001</v>
      </c>
      <c r="N676" s="35" t="e">
        <f t="shared" si="1806"/>
        <v>#DIV/0!</v>
      </c>
      <c r="O676" s="6" t="e">
        <f t="shared" ref="O676:Q676" si="1847">O664</f>
        <v>#DIV/0!</v>
      </c>
      <c r="P676" s="6" t="e">
        <f t="shared" si="1847"/>
        <v>#DIV/0!</v>
      </c>
      <c r="Q676" s="6" t="e">
        <f t="shared" si="1847"/>
        <v>#DIV/0!</v>
      </c>
      <c r="R676" s="69">
        <v>44</v>
      </c>
      <c r="S676" s="69">
        <v>0</v>
      </c>
      <c r="T676" s="6">
        <f t="shared" si="1801"/>
        <v>0</v>
      </c>
      <c r="U676" s="35" t="e">
        <f t="shared" si="1808"/>
        <v>#DIV/0!</v>
      </c>
      <c r="V676" s="6" t="e">
        <f t="shared" ref="V676:Z676" si="1848">V664</f>
        <v>#DIV/0!</v>
      </c>
      <c r="W676" s="6" t="e">
        <f t="shared" si="1848"/>
        <v>#DIV/0!</v>
      </c>
      <c r="X676" s="6" t="e">
        <f t="shared" si="1848"/>
        <v>#DIV/0!</v>
      </c>
      <c r="Y676" s="6" t="e">
        <f t="shared" si="1848"/>
        <v>#DIV/0!</v>
      </c>
      <c r="Z676" s="6" t="e">
        <f t="shared" si="1848"/>
        <v>#DIV/0!</v>
      </c>
    </row>
    <row r="677" spans="1:26" x14ac:dyDescent="0.2">
      <c r="A677" s="7" t="s">
        <v>131</v>
      </c>
      <c r="B677" s="6">
        <f t="shared" si="1803"/>
        <v>4</v>
      </c>
      <c r="C677" s="7" t="s">
        <v>154</v>
      </c>
      <c r="D677" s="68">
        <v>65</v>
      </c>
      <c r="E677" s="68">
        <v>36</v>
      </c>
      <c r="F677" s="65">
        <f t="shared" si="1798"/>
        <v>0.55384615384615388</v>
      </c>
      <c r="G677" s="60" t="e">
        <f t="shared" si="1804"/>
        <v>#DIV/0!</v>
      </c>
      <c r="H677" s="65" t="e">
        <f t="shared" ref="H677:J677" si="1849">H665</f>
        <v>#DIV/0!</v>
      </c>
      <c r="I677" s="65" t="e">
        <f t="shared" si="1849"/>
        <v>#DIV/0!</v>
      </c>
      <c r="J677" s="65" t="e">
        <f t="shared" si="1849"/>
        <v>#DIV/0!</v>
      </c>
      <c r="K677" s="69">
        <v>16000</v>
      </c>
      <c r="L677" s="69">
        <f>'Monitoramento Acumulado Geral'!Q677</f>
        <v>0</v>
      </c>
      <c r="M677" s="6">
        <f>(SUM(L674:L677))/K676</f>
        <v>0.35625000000000001</v>
      </c>
      <c r="N677" s="35" t="e">
        <f t="shared" si="1806"/>
        <v>#DIV/0!</v>
      </c>
      <c r="O677" s="6" t="e">
        <f t="shared" ref="O677:Q677" si="1850">O665</f>
        <v>#DIV/0!</v>
      </c>
      <c r="P677" s="6" t="e">
        <f t="shared" si="1850"/>
        <v>#DIV/0!</v>
      </c>
      <c r="Q677" s="6" t="e">
        <f t="shared" si="1850"/>
        <v>#DIV/0!</v>
      </c>
      <c r="R677" s="69">
        <v>44</v>
      </c>
      <c r="S677" s="69">
        <v>0</v>
      </c>
      <c r="T677" s="6">
        <f t="shared" si="1801"/>
        <v>0</v>
      </c>
      <c r="U677" s="35" t="e">
        <f t="shared" si="1808"/>
        <v>#DIV/0!</v>
      </c>
      <c r="V677" s="6" t="e">
        <f t="shared" ref="V677:Z677" si="1851">V665</f>
        <v>#DIV/0!</v>
      </c>
      <c r="W677" s="6" t="e">
        <f t="shared" si="1851"/>
        <v>#DIV/0!</v>
      </c>
      <c r="X677" s="6" t="e">
        <f t="shared" si="1851"/>
        <v>#DIV/0!</v>
      </c>
      <c r="Y677" s="6" t="e">
        <f t="shared" si="1851"/>
        <v>#DIV/0!</v>
      </c>
      <c r="Z677" s="6" t="e">
        <f t="shared" si="1851"/>
        <v>#DIV/0!</v>
      </c>
    </row>
    <row r="678" spans="1:26" x14ac:dyDescent="0.2">
      <c r="A678" s="7" t="s">
        <v>131</v>
      </c>
      <c r="B678" s="6">
        <f t="shared" si="1803"/>
        <v>5</v>
      </c>
      <c r="C678" s="7" t="s">
        <v>155</v>
      </c>
      <c r="D678" s="68">
        <v>65</v>
      </c>
      <c r="E678" s="68">
        <v>54</v>
      </c>
      <c r="F678" s="65">
        <f t="shared" si="1798"/>
        <v>0.83076923076923082</v>
      </c>
      <c r="G678" s="60" t="e">
        <f t="shared" si="1804"/>
        <v>#DIV/0!</v>
      </c>
      <c r="H678" s="65" t="e">
        <f t="shared" ref="H678:J678" si="1852">H666</f>
        <v>#DIV/0!</v>
      </c>
      <c r="I678" s="65" t="e">
        <f t="shared" si="1852"/>
        <v>#DIV/0!</v>
      </c>
      <c r="J678" s="65" t="e">
        <f t="shared" si="1852"/>
        <v>#DIV/0!</v>
      </c>
      <c r="K678" s="69">
        <v>16000</v>
      </c>
      <c r="L678" s="69">
        <f>'Monitoramento Acumulado Geral'!Q678</f>
        <v>5500</v>
      </c>
      <c r="M678" s="6">
        <f>(SUM(L674:L678))/K677</f>
        <v>0.7</v>
      </c>
      <c r="N678" s="35" t="e">
        <f t="shared" si="1806"/>
        <v>#DIV/0!</v>
      </c>
      <c r="O678" s="6" t="e">
        <f t="shared" ref="O678:Q678" si="1853">O666</f>
        <v>#DIV/0!</v>
      </c>
      <c r="P678" s="6" t="e">
        <f t="shared" si="1853"/>
        <v>#DIV/0!</v>
      </c>
      <c r="Q678" s="6" t="e">
        <f t="shared" si="1853"/>
        <v>#DIV/0!</v>
      </c>
      <c r="R678" s="69">
        <v>44</v>
      </c>
      <c r="S678" s="69">
        <v>4</v>
      </c>
      <c r="T678" s="6">
        <f t="shared" si="1801"/>
        <v>9.0909090909090912E-2</v>
      </c>
      <c r="U678" s="35" t="e">
        <f t="shared" si="1808"/>
        <v>#DIV/0!</v>
      </c>
      <c r="V678" s="6" t="e">
        <f t="shared" ref="V678:Z678" si="1854">V666</f>
        <v>#DIV/0!</v>
      </c>
      <c r="W678" s="6" t="e">
        <f t="shared" si="1854"/>
        <v>#DIV/0!</v>
      </c>
      <c r="X678" s="6" t="e">
        <f t="shared" si="1854"/>
        <v>#DIV/0!</v>
      </c>
      <c r="Y678" s="6" t="e">
        <f t="shared" si="1854"/>
        <v>#DIV/0!</v>
      </c>
      <c r="Z678" s="6" t="e">
        <f t="shared" si="1854"/>
        <v>#DIV/0!</v>
      </c>
    </row>
    <row r="679" spans="1:26" x14ac:dyDescent="0.2">
      <c r="A679" s="7" t="s">
        <v>131</v>
      </c>
      <c r="B679" s="6">
        <f t="shared" si="1803"/>
        <v>6</v>
      </c>
      <c r="C679" s="7" t="s">
        <v>156</v>
      </c>
      <c r="D679" s="68">
        <v>65</v>
      </c>
      <c r="E679" s="68">
        <v>54</v>
      </c>
      <c r="F679" s="65">
        <f t="shared" si="1798"/>
        <v>0.83076923076923082</v>
      </c>
      <c r="G679" s="60" t="e">
        <f t="shared" si="1804"/>
        <v>#DIV/0!</v>
      </c>
      <c r="H679" s="65" t="e">
        <f t="shared" ref="H679:J679" si="1855">H667</f>
        <v>#DIV/0!</v>
      </c>
      <c r="I679" s="65" t="e">
        <f t="shared" si="1855"/>
        <v>#DIV/0!</v>
      </c>
      <c r="J679" s="65" t="e">
        <f t="shared" si="1855"/>
        <v>#DIV/0!</v>
      </c>
      <c r="K679" s="69">
        <v>16000</v>
      </c>
      <c r="L679" s="69">
        <f>'Monitoramento Acumulado Geral'!Q679</f>
        <v>0</v>
      </c>
      <c r="M679" s="6">
        <f>(SUM(L674:L679))/K678</f>
        <v>0.7</v>
      </c>
      <c r="N679" s="35" t="e">
        <f t="shared" si="1806"/>
        <v>#DIV/0!</v>
      </c>
      <c r="O679" s="6" t="e">
        <f t="shared" ref="O679:Q679" si="1856">O667</f>
        <v>#DIV/0!</v>
      </c>
      <c r="P679" s="6" t="e">
        <f t="shared" si="1856"/>
        <v>#DIV/0!</v>
      </c>
      <c r="Q679" s="6" t="e">
        <f t="shared" si="1856"/>
        <v>#DIV/0!</v>
      </c>
      <c r="R679" s="69">
        <v>44</v>
      </c>
      <c r="S679" s="69">
        <v>4</v>
      </c>
      <c r="T679" s="6">
        <f t="shared" si="1801"/>
        <v>9.0909090909090912E-2</v>
      </c>
      <c r="U679" s="35" t="e">
        <f t="shared" si="1808"/>
        <v>#DIV/0!</v>
      </c>
      <c r="V679" s="6" t="e">
        <f t="shared" ref="V679:Z679" si="1857">V667</f>
        <v>#DIV/0!</v>
      </c>
      <c r="W679" s="6" t="e">
        <f t="shared" si="1857"/>
        <v>#DIV/0!</v>
      </c>
      <c r="X679" s="6" t="e">
        <f t="shared" si="1857"/>
        <v>#DIV/0!</v>
      </c>
      <c r="Y679" s="6" t="e">
        <f t="shared" si="1857"/>
        <v>#DIV/0!</v>
      </c>
      <c r="Z679" s="6" t="e">
        <f t="shared" si="1857"/>
        <v>#DIV/0!</v>
      </c>
    </row>
    <row r="680" spans="1:26" x14ac:dyDescent="0.2">
      <c r="A680" s="7" t="s">
        <v>131</v>
      </c>
      <c r="B680" s="6">
        <f t="shared" si="1803"/>
        <v>7</v>
      </c>
      <c r="C680" s="7" t="s">
        <v>157</v>
      </c>
      <c r="D680" s="68">
        <v>65</v>
      </c>
      <c r="E680" s="68">
        <v>61</v>
      </c>
      <c r="F680" s="65">
        <f t="shared" si="1798"/>
        <v>0.93846153846153846</v>
      </c>
      <c r="G680" s="60" t="e">
        <f t="shared" si="1804"/>
        <v>#DIV/0!</v>
      </c>
      <c r="H680" s="65" t="e">
        <f t="shared" ref="H680:J680" si="1858">H668</f>
        <v>#DIV/0!</v>
      </c>
      <c r="I680" s="65" t="e">
        <f t="shared" si="1858"/>
        <v>#DIV/0!</v>
      </c>
      <c r="J680" s="65" t="e">
        <f t="shared" si="1858"/>
        <v>#DIV/0!</v>
      </c>
      <c r="K680" s="69">
        <v>16000</v>
      </c>
      <c r="L680" s="69">
        <f>'Monitoramento Acumulado Geral'!Q680</f>
        <v>1180</v>
      </c>
      <c r="M680" s="6">
        <f>(SUM(L674:L680))/K679</f>
        <v>0.77375000000000005</v>
      </c>
      <c r="N680" s="35" t="e">
        <f t="shared" si="1806"/>
        <v>#DIV/0!</v>
      </c>
      <c r="O680" s="6" t="e">
        <f t="shared" ref="O680:Q680" si="1859">O668</f>
        <v>#DIV/0!</v>
      </c>
      <c r="P680" s="6" t="e">
        <f t="shared" si="1859"/>
        <v>#DIV/0!</v>
      </c>
      <c r="Q680" s="6" t="e">
        <f t="shared" si="1859"/>
        <v>#DIV/0!</v>
      </c>
      <c r="R680" s="69">
        <v>44</v>
      </c>
      <c r="S680" s="69">
        <v>4</v>
      </c>
      <c r="T680" s="6">
        <f t="shared" si="1801"/>
        <v>9.0909090909090912E-2</v>
      </c>
      <c r="U680" s="35" t="e">
        <f t="shared" si="1808"/>
        <v>#DIV/0!</v>
      </c>
      <c r="V680" s="6" t="e">
        <f t="shared" ref="V680:Z680" si="1860">V668</f>
        <v>#DIV/0!</v>
      </c>
      <c r="W680" s="6" t="e">
        <f t="shared" si="1860"/>
        <v>#DIV/0!</v>
      </c>
      <c r="X680" s="6" t="e">
        <f t="shared" si="1860"/>
        <v>#DIV/0!</v>
      </c>
      <c r="Y680" s="6" t="e">
        <f t="shared" si="1860"/>
        <v>#DIV/0!</v>
      </c>
      <c r="Z680" s="6" t="e">
        <f t="shared" si="1860"/>
        <v>#DIV/0!</v>
      </c>
    </row>
    <row r="681" spans="1:26" x14ac:dyDescent="0.2">
      <c r="A681" s="7" t="s">
        <v>131</v>
      </c>
      <c r="B681" s="6">
        <f t="shared" si="1803"/>
        <v>8</v>
      </c>
      <c r="C681" s="7" t="s">
        <v>158</v>
      </c>
      <c r="D681" s="68">
        <v>65</v>
      </c>
      <c r="E681" s="68">
        <v>64</v>
      </c>
      <c r="F681" s="65">
        <f t="shared" si="1798"/>
        <v>0.98461538461538467</v>
      </c>
      <c r="G681" s="60" t="e">
        <f t="shared" si="1804"/>
        <v>#DIV/0!</v>
      </c>
      <c r="H681" s="65" t="e">
        <f t="shared" ref="H681:J681" si="1861">H669</f>
        <v>#DIV/0!</v>
      </c>
      <c r="I681" s="65" t="e">
        <f t="shared" si="1861"/>
        <v>#DIV/0!</v>
      </c>
      <c r="J681" s="65" t="e">
        <f t="shared" si="1861"/>
        <v>#DIV/0!</v>
      </c>
      <c r="K681" s="69">
        <v>16000</v>
      </c>
      <c r="L681" s="69">
        <f>'Monitoramento Acumulado Geral'!Q681</f>
        <v>400</v>
      </c>
      <c r="M681" s="6">
        <f>(SUM(L674:L681))/K680</f>
        <v>0.79874999999999996</v>
      </c>
      <c r="N681" s="35" t="e">
        <f t="shared" si="1806"/>
        <v>#DIV/0!</v>
      </c>
      <c r="O681" s="6" t="e">
        <f t="shared" ref="O681:Q681" si="1862">O669</f>
        <v>#DIV/0!</v>
      </c>
      <c r="P681" s="6" t="e">
        <f t="shared" si="1862"/>
        <v>#DIV/0!</v>
      </c>
      <c r="Q681" s="6" t="e">
        <f t="shared" si="1862"/>
        <v>#DIV/0!</v>
      </c>
      <c r="R681" s="69">
        <v>44</v>
      </c>
      <c r="S681" s="69">
        <v>4</v>
      </c>
      <c r="T681" s="6">
        <f t="shared" si="1801"/>
        <v>9.0909090909090912E-2</v>
      </c>
      <c r="U681" s="35" t="e">
        <f t="shared" si="1808"/>
        <v>#DIV/0!</v>
      </c>
      <c r="V681" s="6" t="e">
        <f t="shared" ref="V681:Z681" si="1863">V669</f>
        <v>#DIV/0!</v>
      </c>
      <c r="W681" s="6" t="e">
        <f t="shared" si="1863"/>
        <v>#DIV/0!</v>
      </c>
      <c r="X681" s="6" t="e">
        <f t="shared" si="1863"/>
        <v>#DIV/0!</v>
      </c>
      <c r="Y681" s="6" t="e">
        <f t="shared" si="1863"/>
        <v>#DIV/0!</v>
      </c>
      <c r="Z681" s="6" t="e">
        <f t="shared" si="1863"/>
        <v>#DIV/0!</v>
      </c>
    </row>
    <row r="682" spans="1:26" x14ac:dyDescent="0.2">
      <c r="A682" s="7" t="s">
        <v>131</v>
      </c>
      <c r="B682" s="6">
        <f t="shared" si="1803"/>
        <v>9</v>
      </c>
      <c r="C682" s="7" t="s">
        <v>159</v>
      </c>
      <c r="D682" s="68">
        <v>65</v>
      </c>
      <c r="E682" s="68">
        <v>64</v>
      </c>
      <c r="F682" s="65">
        <f t="shared" si="1798"/>
        <v>0.98461538461538467</v>
      </c>
      <c r="G682" s="60" t="e">
        <f t="shared" si="1804"/>
        <v>#DIV/0!</v>
      </c>
      <c r="H682" s="65" t="e">
        <f t="shared" ref="H682:J682" si="1864">H670</f>
        <v>#DIV/0!</v>
      </c>
      <c r="I682" s="65" t="e">
        <f t="shared" si="1864"/>
        <v>#DIV/0!</v>
      </c>
      <c r="J682" s="65" t="e">
        <f t="shared" si="1864"/>
        <v>#DIV/0!</v>
      </c>
      <c r="K682" s="69">
        <v>16000</v>
      </c>
      <c r="L682" s="69">
        <f>'Monitoramento Acumulado Geral'!Q682</f>
        <v>400</v>
      </c>
      <c r="M682" s="6">
        <f>(SUM(L674:L682))/K681</f>
        <v>0.82374999999999998</v>
      </c>
      <c r="N682" s="35" t="e">
        <f t="shared" si="1806"/>
        <v>#DIV/0!</v>
      </c>
      <c r="O682" s="6" t="e">
        <f t="shared" ref="O682:Q682" si="1865">O670</f>
        <v>#DIV/0!</v>
      </c>
      <c r="P682" s="6" t="e">
        <f t="shared" si="1865"/>
        <v>#DIV/0!</v>
      </c>
      <c r="Q682" s="6" t="e">
        <f t="shared" si="1865"/>
        <v>#DIV/0!</v>
      </c>
      <c r="R682" s="69">
        <v>44</v>
      </c>
      <c r="S682" s="69">
        <v>4</v>
      </c>
      <c r="T682" s="6">
        <f t="shared" si="1801"/>
        <v>9.0909090909090912E-2</v>
      </c>
      <c r="U682" s="35" t="e">
        <f t="shared" si="1808"/>
        <v>#DIV/0!</v>
      </c>
      <c r="V682" s="6" t="e">
        <f t="shared" ref="V682:Z682" si="1866">V670</f>
        <v>#DIV/0!</v>
      </c>
      <c r="W682" s="6" t="e">
        <f t="shared" si="1866"/>
        <v>#DIV/0!</v>
      </c>
      <c r="X682" s="6" t="e">
        <f t="shared" si="1866"/>
        <v>#DIV/0!</v>
      </c>
      <c r="Y682" s="6" t="e">
        <f t="shared" si="1866"/>
        <v>#DIV/0!</v>
      </c>
      <c r="Z682" s="6" t="e">
        <f t="shared" si="1866"/>
        <v>#DIV/0!</v>
      </c>
    </row>
    <row r="683" spans="1:26" x14ac:dyDescent="0.2">
      <c r="A683" s="7" t="s">
        <v>131</v>
      </c>
      <c r="B683" s="6">
        <f t="shared" si="1803"/>
        <v>10</v>
      </c>
      <c r="C683" s="7" t="s">
        <v>160</v>
      </c>
      <c r="D683" s="68">
        <v>65</v>
      </c>
      <c r="E683" s="68">
        <v>64</v>
      </c>
      <c r="F683" s="65">
        <f t="shared" si="1798"/>
        <v>0.98461538461538467</v>
      </c>
      <c r="G683" s="60" t="e">
        <f t="shared" si="1804"/>
        <v>#DIV/0!</v>
      </c>
      <c r="H683" s="65" t="e">
        <f t="shared" ref="H683:J683" si="1867">H671</f>
        <v>#DIV/0!</v>
      </c>
      <c r="I683" s="65" t="e">
        <f t="shared" si="1867"/>
        <v>#DIV/0!</v>
      </c>
      <c r="J683" s="65" t="e">
        <f t="shared" si="1867"/>
        <v>#DIV/0!</v>
      </c>
      <c r="K683" s="69">
        <v>16000</v>
      </c>
      <c r="L683" s="69">
        <f>'Monitoramento Acumulado Geral'!Q683</f>
        <v>0</v>
      </c>
      <c r="M683" s="6">
        <f>(SUM(L674:L683))/K682</f>
        <v>0.82374999999999998</v>
      </c>
      <c r="N683" s="35" t="e">
        <f t="shared" si="1806"/>
        <v>#DIV/0!</v>
      </c>
      <c r="O683" s="6" t="e">
        <f t="shared" ref="O683:Q683" si="1868">O671</f>
        <v>#DIV/0!</v>
      </c>
      <c r="P683" s="6" t="e">
        <f t="shared" si="1868"/>
        <v>#DIV/0!</v>
      </c>
      <c r="Q683" s="6" t="e">
        <f t="shared" si="1868"/>
        <v>#DIV/0!</v>
      </c>
      <c r="R683" s="69">
        <v>44</v>
      </c>
      <c r="S683" s="69">
        <v>4</v>
      </c>
      <c r="T683" s="6">
        <f t="shared" si="1801"/>
        <v>9.0909090909090912E-2</v>
      </c>
      <c r="U683" s="35" t="e">
        <f t="shared" si="1808"/>
        <v>#DIV/0!</v>
      </c>
      <c r="V683" s="6" t="e">
        <f t="shared" ref="V683:Z683" si="1869">V671</f>
        <v>#DIV/0!</v>
      </c>
      <c r="W683" s="6" t="e">
        <f t="shared" si="1869"/>
        <v>#DIV/0!</v>
      </c>
      <c r="X683" s="6" t="e">
        <f t="shared" si="1869"/>
        <v>#DIV/0!</v>
      </c>
      <c r="Y683" s="6" t="e">
        <f t="shared" si="1869"/>
        <v>#DIV/0!</v>
      </c>
      <c r="Z683" s="6" t="e">
        <f t="shared" si="1869"/>
        <v>#DIV/0!</v>
      </c>
    </row>
    <row r="684" spans="1:26" x14ac:dyDescent="0.2">
      <c r="A684" s="7" t="s">
        <v>131</v>
      </c>
      <c r="B684" s="6">
        <f t="shared" si="1803"/>
        <v>11</v>
      </c>
      <c r="C684" s="7" t="s">
        <v>161</v>
      </c>
      <c r="D684" s="68">
        <v>65</v>
      </c>
      <c r="E684" s="68">
        <v>0</v>
      </c>
      <c r="F684" s="65">
        <f t="shared" si="1798"/>
        <v>0</v>
      </c>
      <c r="G684" s="60" t="e">
        <f t="shared" si="1804"/>
        <v>#DIV/0!</v>
      </c>
      <c r="H684" s="65" t="e">
        <f t="shared" ref="H684:J684" si="1870">H672</f>
        <v>#DIV/0!</v>
      </c>
      <c r="I684" s="65" t="e">
        <f t="shared" si="1870"/>
        <v>#DIV/0!</v>
      </c>
      <c r="J684" s="65" t="e">
        <f t="shared" si="1870"/>
        <v>#DIV/0!</v>
      </c>
      <c r="K684" s="69">
        <v>16000</v>
      </c>
      <c r="L684" s="69">
        <f>'Monitoramento Acumulado Geral'!Q684</f>
        <v>0</v>
      </c>
      <c r="M684" s="6">
        <f>(SUM(L674:L684))/K683</f>
        <v>0.82374999999999998</v>
      </c>
      <c r="N684" s="35" t="e">
        <f t="shared" si="1806"/>
        <v>#DIV/0!</v>
      </c>
      <c r="O684" s="6" t="e">
        <f t="shared" ref="O684:Q684" si="1871">O672</f>
        <v>#DIV/0!</v>
      </c>
      <c r="P684" s="6" t="e">
        <f t="shared" si="1871"/>
        <v>#DIV/0!</v>
      </c>
      <c r="Q684" s="6" t="e">
        <f t="shared" si="1871"/>
        <v>#DIV/0!</v>
      </c>
      <c r="R684" s="69">
        <v>44</v>
      </c>
      <c r="S684" s="69">
        <v>0</v>
      </c>
      <c r="T684" s="6">
        <f t="shared" si="1801"/>
        <v>0</v>
      </c>
      <c r="U684" s="35" t="e">
        <f t="shared" si="1808"/>
        <v>#DIV/0!</v>
      </c>
      <c r="V684" s="6" t="e">
        <f t="shared" ref="V684:Z684" si="1872">V672</f>
        <v>#DIV/0!</v>
      </c>
      <c r="W684" s="6" t="e">
        <f t="shared" si="1872"/>
        <v>#DIV/0!</v>
      </c>
      <c r="X684" s="6" t="e">
        <f t="shared" si="1872"/>
        <v>#DIV/0!</v>
      </c>
      <c r="Y684" s="6" t="e">
        <f t="shared" si="1872"/>
        <v>#DIV/0!</v>
      </c>
      <c r="Z684" s="6" t="e">
        <f t="shared" si="1872"/>
        <v>#DIV/0!</v>
      </c>
    </row>
    <row r="685" spans="1:26" x14ac:dyDescent="0.2">
      <c r="A685" s="7" t="s">
        <v>131</v>
      </c>
      <c r="B685" s="6">
        <f t="shared" si="1803"/>
        <v>12</v>
      </c>
      <c r="C685" s="7" t="s">
        <v>162</v>
      </c>
      <c r="D685" s="68">
        <v>65</v>
      </c>
      <c r="E685" s="68">
        <v>0</v>
      </c>
      <c r="F685" s="65">
        <f t="shared" si="1798"/>
        <v>0</v>
      </c>
      <c r="G685" s="60" t="e">
        <f t="shared" si="1804"/>
        <v>#DIV/0!</v>
      </c>
      <c r="H685" s="65" t="e">
        <f t="shared" ref="H685:J685" si="1873">H673</f>
        <v>#DIV/0!</v>
      </c>
      <c r="I685" s="65" t="e">
        <f t="shared" si="1873"/>
        <v>#DIV/0!</v>
      </c>
      <c r="J685" s="65" t="e">
        <f t="shared" si="1873"/>
        <v>#DIV/0!</v>
      </c>
      <c r="K685" s="69">
        <v>16000</v>
      </c>
      <c r="L685" s="69">
        <f>'Monitoramento Acumulado Geral'!Q685</f>
        <v>0</v>
      </c>
      <c r="M685" s="6">
        <f>(SUM(L674:L685))/K684</f>
        <v>0.82374999999999998</v>
      </c>
      <c r="N685" s="35" t="e">
        <f t="shared" si="1806"/>
        <v>#DIV/0!</v>
      </c>
      <c r="O685" s="6" t="e">
        <f t="shared" ref="O685:Q685" si="1874">O673</f>
        <v>#DIV/0!</v>
      </c>
      <c r="P685" s="6" t="e">
        <f t="shared" si="1874"/>
        <v>#DIV/0!</v>
      </c>
      <c r="Q685" s="6" t="e">
        <f t="shared" si="1874"/>
        <v>#DIV/0!</v>
      </c>
      <c r="R685" s="69">
        <v>44</v>
      </c>
      <c r="S685" s="69">
        <v>0</v>
      </c>
      <c r="T685" s="6">
        <f t="shared" si="1801"/>
        <v>0</v>
      </c>
      <c r="U685" s="35" t="e">
        <f t="shared" si="1808"/>
        <v>#DIV/0!</v>
      </c>
      <c r="V685" s="6" t="e">
        <f t="shared" ref="V685:Z685" si="1875">V673</f>
        <v>#DIV/0!</v>
      </c>
      <c r="W685" s="6" t="e">
        <f t="shared" si="1875"/>
        <v>#DIV/0!</v>
      </c>
      <c r="X685" s="6" t="e">
        <f t="shared" si="1875"/>
        <v>#DIV/0!</v>
      </c>
      <c r="Y685" s="6" t="e">
        <f t="shared" si="1875"/>
        <v>#DIV/0!</v>
      </c>
      <c r="Z685" s="6" t="e">
        <f t="shared" si="1875"/>
        <v>#DIV/0!</v>
      </c>
    </row>
    <row r="686" spans="1:26" x14ac:dyDescent="0.2">
      <c r="A686" t="s">
        <v>301</v>
      </c>
      <c r="B686" s="6">
        <f t="shared" ref="B686:B697" si="1876">_xlfn.IFS(C686="Janeiro",1,C686="Fevereiro",2,C686="Março",3,C686="Abril",4,C686="Maio",5,C686="Junho",6,C686="Julho",7,C686="Agosto",8,C686="Setembro",9,C686="Outubro",10,C686="Novembro",11,C686="Dezembro",12,TRUE,0)</f>
        <v>1</v>
      </c>
      <c r="C686" s="7" t="s">
        <v>151</v>
      </c>
      <c r="D686" s="68">
        <v>0</v>
      </c>
      <c r="E686" s="68">
        <v>0</v>
      </c>
      <c r="F686" s="65" t="e">
        <f t="shared" si="1798"/>
        <v>#DIV/0!</v>
      </c>
      <c r="G686" s="60" t="e">
        <f t="shared" ref="G686:G697" si="1877">IF(F686&gt;=I686,"Desempenho Ótimo",(IF(F686&gt;H686,"Desempenho Bom",(IF(F686&gt;J686,"Desempenho Médio",IF(F686&lt;=J686,"Desempenho Deficitário",0))))))</f>
        <v>#DIV/0!</v>
      </c>
      <c r="H686" s="65" t="e">
        <f t="shared" ref="H686:J686" si="1878">H674</f>
        <v>#DIV/0!</v>
      </c>
      <c r="I686" s="65" t="e">
        <f t="shared" si="1878"/>
        <v>#DIV/0!</v>
      </c>
      <c r="J686" s="65" t="e">
        <f t="shared" si="1878"/>
        <v>#DIV/0!</v>
      </c>
      <c r="K686" s="69">
        <v>0</v>
      </c>
      <c r="L686" s="69">
        <f>'Monitoramento Acumulado Geral'!Q686</f>
        <v>0</v>
      </c>
      <c r="M686" s="6">
        <f>(SUM(L683:L686))/K685</f>
        <v>0</v>
      </c>
      <c r="N686" s="35" t="e">
        <f t="shared" ref="N686:N697" si="1879">IF(M686&gt;=P686,"Desempenho Ótimo",(IF(M686&gt;O686,"Desempenho Bom",(IF(M686&gt;Q686,"Desempenho Médio",IF(M686&lt;=Q686,"Desempenho Deficitário",0))))))</f>
        <v>#DIV/0!</v>
      </c>
      <c r="O686" s="6" t="e">
        <f t="shared" ref="O686:Q686" si="1880">O674</f>
        <v>#DIV/0!</v>
      </c>
      <c r="P686" s="6" t="e">
        <f t="shared" si="1880"/>
        <v>#DIV/0!</v>
      </c>
      <c r="Q686" s="6" t="e">
        <f t="shared" si="1880"/>
        <v>#DIV/0!</v>
      </c>
      <c r="R686" s="69">
        <v>0</v>
      </c>
      <c r="S686" s="69">
        <v>0</v>
      </c>
      <c r="T686" s="6" t="e">
        <f t="shared" ref="T686:T697" si="1881">S686/R686</f>
        <v>#DIV/0!</v>
      </c>
      <c r="U686" s="35" t="e">
        <f t="shared" ref="U686:U697" si="1882">IF(T686&gt;=W686,"Desempenho Ótimo",(IF(T686&gt;V686,"Desempenho Bom",(IF(T686&gt;X686,"Desempenho Médio",IF(T686&lt;=X686,"Desempenho Deficitário",0))))))</f>
        <v>#DIV/0!</v>
      </c>
      <c r="V686" s="6" t="e">
        <f t="shared" ref="V686:Z686" si="1883">V674</f>
        <v>#DIV/0!</v>
      </c>
      <c r="W686" s="6" t="e">
        <f t="shared" si="1883"/>
        <v>#DIV/0!</v>
      </c>
      <c r="X686" s="6" t="e">
        <f t="shared" si="1883"/>
        <v>#DIV/0!</v>
      </c>
      <c r="Y686" s="6" t="e">
        <f t="shared" si="1883"/>
        <v>#DIV/0!</v>
      </c>
      <c r="Z686" s="6" t="e">
        <f t="shared" si="1883"/>
        <v>#DIV/0!</v>
      </c>
    </row>
    <row r="687" spans="1:26" x14ac:dyDescent="0.2">
      <c r="A687" t="s">
        <v>301</v>
      </c>
      <c r="B687" s="6">
        <f t="shared" si="1876"/>
        <v>2</v>
      </c>
      <c r="C687" s="7" t="s">
        <v>152</v>
      </c>
      <c r="D687" s="68">
        <v>0</v>
      </c>
      <c r="E687" s="68">
        <v>0</v>
      </c>
      <c r="F687" s="65" t="e">
        <f t="shared" si="1798"/>
        <v>#DIV/0!</v>
      </c>
      <c r="G687" s="60" t="e">
        <f t="shared" si="1877"/>
        <v>#DIV/0!</v>
      </c>
      <c r="H687" s="65" t="e">
        <f t="shared" ref="H687:J687" si="1884">H675</f>
        <v>#DIV/0!</v>
      </c>
      <c r="I687" s="65" t="e">
        <f t="shared" si="1884"/>
        <v>#DIV/0!</v>
      </c>
      <c r="J687" s="65" t="e">
        <f t="shared" si="1884"/>
        <v>#DIV/0!</v>
      </c>
      <c r="K687" s="69">
        <v>0</v>
      </c>
      <c r="L687" s="69">
        <f>'Monitoramento Acumulado Geral'!Q687</f>
        <v>0</v>
      </c>
      <c r="M687" s="6" t="e">
        <f>(SUM(L683:L687))/K686</f>
        <v>#DIV/0!</v>
      </c>
      <c r="N687" s="35" t="e">
        <f t="shared" si="1879"/>
        <v>#DIV/0!</v>
      </c>
      <c r="O687" s="6" t="e">
        <f t="shared" ref="O687:Q687" si="1885">O675</f>
        <v>#DIV/0!</v>
      </c>
      <c r="P687" s="6" t="e">
        <f t="shared" si="1885"/>
        <v>#DIV/0!</v>
      </c>
      <c r="Q687" s="6" t="e">
        <f t="shared" si="1885"/>
        <v>#DIV/0!</v>
      </c>
      <c r="R687" s="69">
        <v>0</v>
      </c>
      <c r="S687" s="69">
        <v>0</v>
      </c>
      <c r="T687" s="6" t="e">
        <f t="shared" si="1881"/>
        <v>#DIV/0!</v>
      </c>
      <c r="U687" s="35" t="e">
        <f t="shared" si="1882"/>
        <v>#DIV/0!</v>
      </c>
      <c r="V687" s="6" t="e">
        <f t="shared" ref="V687:Z687" si="1886">V675</f>
        <v>#DIV/0!</v>
      </c>
      <c r="W687" s="6" t="e">
        <f t="shared" si="1886"/>
        <v>#DIV/0!</v>
      </c>
      <c r="X687" s="6" t="e">
        <f t="shared" si="1886"/>
        <v>#DIV/0!</v>
      </c>
      <c r="Y687" s="6" t="e">
        <f t="shared" si="1886"/>
        <v>#DIV/0!</v>
      </c>
      <c r="Z687" s="6" t="e">
        <f t="shared" si="1886"/>
        <v>#DIV/0!</v>
      </c>
    </row>
    <row r="688" spans="1:26" x14ac:dyDescent="0.2">
      <c r="A688" t="s">
        <v>301</v>
      </c>
      <c r="B688" s="6">
        <f t="shared" si="1876"/>
        <v>3</v>
      </c>
      <c r="C688" s="7" t="s">
        <v>153</v>
      </c>
      <c r="D688" s="68">
        <v>0</v>
      </c>
      <c r="E688" s="68">
        <v>0</v>
      </c>
      <c r="F688" s="65" t="e">
        <f t="shared" si="1798"/>
        <v>#DIV/0!</v>
      </c>
      <c r="G688" s="60" t="e">
        <f t="shared" si="1877"/>
        <v>#DIV/0!</v>
      </c>
      <c r="H688" s="65" t="e">
        <f t="shared" ref="H688:J688" si="1887">H676</f>
        <v>#DIV/0!</v>
      </c>
      <c r="I688" s="65" t="e">
        <f t="shared" si="1887"/>
        <v>#DIV/0!</v>
      </c>
      <c r="J688" s="65" t="e">
        <f t="shared" si="1887"/>
        <v>#DIV/0!</v>
      </c>
      <c r="K688" s="69">
        <v>0</v>
      </c>
      <c r="L688" s="69">
        <f>'Monitoramento Acumulado Geral'!Q688</f>
        <v>0</v>
      </c>
      <c r="M688" s="6" t="e">
        <f>(SUM(L683:L688))/K687</f>
        <v>#DIV/0!</v>
      </c>
      <c r="N688" s="35" t="e">
        <f t="shared" si="1879"/>
        <v>#DIV/0!</v>
      </c>
      <c r="O688" s="6" t="e">
        <f t="shared" ref="O688:Q688" si="1888">O676</f>
        <v>#DIV/0!</v>
      </c>
      <c r="P688" s="6" t="e">
        <f t="shared" si="1888"/>
        <v>#DIV/0!</v>
      </c>
      <c r="Q688" s="6" t="e">
        <f t="shared" si="1888"/>
        <v>#DIV/0!</v>
      </c>
      <c r="R688" s="69">
        <v>0</v>
      </c>
      <c r="S688" s="69">
        <v>0</v>
      </c>
      <c r="T688" s="6" t="e">
        <f t="shared" si="1881"/>
        <v>#DIV/0!</v>
      </c>
      <c r="U688" s="35" t="e">
        <f t="shared" si="1882"/>
        <v>#DIV/0!</v>
      </c>
      <c r="V688" s="6" t="e">
        <f t="shared" ref="V688:Z688" si="1889">V676</f>
        <v>#DIV/0!</v>
      </c>
      <c r="W688" s="6" t="e">
        <f t="shared" si="1889"/>
        <v>#DIV/0!</v>
      </c>
      <c r="X688" s="6" t="e">
        <f t="shared" si="1889"/>
        <v>#DIV/0!</v>
      </c>
      <c r="Y688" s="6" t="e">
        <f t="shared" si="1889"/>
        <v>#DIV/0!</v>
      </c>
      <c r="Z688" s="6" t="e">
        <f t="shared" si="1889"/>
        <v>#DIV/0!</v>
      </c>
    </row>
    <row r="689" spans="1:26" x14ac:dyDescent="0.2">
      <c r="A689" t="s">
        <v>301</v>
      </c>
      <c r="B689" s="6">
        <f t="shared" si="1876"/>
        <v>4</v>
      </c>
      <c r="C689" s="7" t="s">
        <v>154</v>
      </c>
      <c r="D689" s="68">
        <v>0</v>
      </c>
      <c r="E689" s="68">
        <v>0</v>
      </c>
      <c r="F689" s="65" t="e">
        <f t="shared" si="1798"/>
        <v>#DIV/0!</v>
      </c>
      <c r="G689" s="60" t="e">
        <f t="shared" si="1877"/>
        <v>#DIV/0!</v>
      </c>
      <c r="H689" s="65" t="e">
        <f t="shared" ref="H689:J689" si="1890">H677</f>
        <v>#DIV/0!</v>
      </c>
      <c r="I689" s="65" t="e">
        <f t="shared" si="1890"/>
        <v>#DIV/0!</v>
      </c>
      <c r="J689" s="65" t="e">
        <f t="shared" si="1890"/>
        <v>#DIV/0!</v>
      </c>
      <c r="K689" s="69">
        <v>0</v>
      </c>
      <c r="L689" s="69">
        <f>'Monitoramento Acumulado Geral'!Q689</f>
        <v>0</v>
      </c>
      <c r="M689" s="6" t="e">
        <f>(SUM(L683:L689))/K688</f>
        <v>#DIV/0!</v>
      </c>
      <c r="N689" s="35" t="e">
        <f t="shared" si="1879"/>
        <v>#DIV/0!</v>
      </c>
      <c r="O689" s="6" t="e">
        <f t="shared" ref="O689:Q689" si="1891">O677</f>
        <v>#DIV/0!</v>
      </c>
      <c r="P689" s="6" t="e">
        <f t="shared" si="1891"/>
        <v>#DIV/0!</v>
      </c>
      <c r="Q689" s="6" t="e">
        <f t="shared" si="1891"/>
        <v>#DIV/0!</v>
      </c>
      <c r="R689" s="69">
        <v>0</v>
      </c>
      <c r="S689" s="69">
        <v>0</v>
      </c>
      <c r="T689" s="6" t="e">
        <f t="shared" si="1881"/>
        <v>#DIV/0!</v>
      </c>
      <c r="U689" s="35" t="e">
        <f t="shared" si="1882"/>
        <v>#DIV/0!</v>
      </c>
      <c r="V689" s="6" t="e">
        <f t="shared" ref="V689:Z689" si="1892">V677</f>
        <v>#DIV/0!</v>
      </c>
      <c r="W689" s="6" t="e">
        <f t="shared" si="1892"/>
        <v>#DIV/0!</v>
      </c>
      <c r="X689" s="6" t="e">
        <f t="shared" si="1892"/>
        <v>#DIV/0!</v>
      </c>
      <c r="Y689" s="6" t="e">
        <f t="shared" si="1892"/>
        <v>#DIV/0!</v>
      </c>
      <c r="Z689" s="6" t="e">
        <f t="shared" si="1892"/>
        <v>#DIV/0!</v>
      </c>
    </row>
    <row r="690" spans="1:26" x14ac:dyDescent="0.2">
      <c r="A690" t="s">
        <v>301</v>
      </c>
      <c r="B690" s="6">
        <f t="shared" si="1876"/>
        <v>5</v>
      </c>
      <c r="C690" s="7" t="s">
        <v>155</v>
      </c>
      <c r="D690" s="68">
        <v>0</v>
      </c>
      <c r="E690" s="68">
        <v>15</v>
      </c>
      <c r="F690" s="65" t="e">
        <f t="shared" si="1798"/>
        <v>#DIV/0!</v>
      </c>
      <c r="G690" s="60" t="e">
        <f t="shared" si="1877"/>
        <v>#DIV/0!</v>
      </c>
      <c r="H690" s="65" t="e">
        <f t="shared" ref="H690:J690" si="1893">H678</f>
        <v>#DIV/0!</v>
      </c>
      <c r="I690" s="65" t="e">
        <f t="shared" si="1893"/>
        <v>#DIV/0!</v>
      </c>
      <c r="J690" s="65" t="e">
        <f t="shared" si="1893"/>
        <v>#DIV/0!</v>
      </c>
      <c r="K690" s="69">
        <v>0</v>
      </c>
      <c r="L690" s="69">
        <f>'Monitoramento Acumulado Geral'!Q690</f>
        <v>0</v>
      </c>
      <c r="M690" s="6" t="e">
        <f>(SUM(L683:L690))/K689</f>
        <v>#DIV/0!</v>
      </c>
      <c r="N690" s="35" t="e">
        <f t="shared" si="1879"/>
        <v>#DIV/0!</v>
      </c>
      <c r="O690" s="6" t="e">
        <f t="shared" ref="O690:Q690" si="1894">O678</f>
        <v>#DIV/0!</v>
      </c>
      <c r="P690" s="6" t="e">
        <f t="shared" si="1894"/>
        <v>#DIV/0!</v>
      </c>
      <c r="Q690" s="6" t="e">
        <f t="shared" si="1894"/>
        <v>#DIV/0!</v>
      </c>
      <c r="R690" s="69">
        <v>0</v>
      </c>
      <c r="S690" s="69">
        <v>0</v>
      </c>
      <c r="T690" s="6" t="e">
        <f t="shared" si="1881"/>
        <v>#DIV/0!</v>
      </c>
      <c r="U690" s="35" t="e">
        <f t="shared" si="1882"/>
        <v>#DIV/0!</v>
      </c>
      <c r="V690" s="6" t="e">
        <f t="shared" ref="V690:Z690" si="1895">V678</f>
        <v>#DIV/0!</v>
      </c>
      <c r="W690" s="6" t="e">
        <f t="shared" si="1895"/>
        <v>#DIV/0!</v>
      </c>
      <c r="X690" s="6" t="e">
        <f t="shared" si="1895"/>
        <v>#DIV/0!</v>
      </c>
      <c r="Y690" s="6" t="e">
        <f t="shared" si="1895"/>
        <v>#DIV/0!</v>
      </c>
      <c r="Z690" s="6" t="e">
        <f t="shared" si="1895"/>
        <v>#DIV/0!</v>
      </c>
    </row>
    <row r="691" spans="1:26" x14ac:dyDescent="0.2">
      <c r="A691" t="s">
        <v>301</v>
      </c>
      <c r="B691" s="6">
        <f t="shared" si="1876"/>
        <v>6</v>
      </c>
      <c r="C691" s="7" t="s">
        <v>156</v>
      </c>
      <c r="D691" s="68">
        <v>0</v>
      </c>
      <c r="E691" s="68">
        <v>15</v>
      </c>
      <c r="F691" s="65" t="e">
        <f t="shared" si="1798"/>
        <v>#DIV/0!</v>
      </c>
      <c r="G691" s="60" t="e">
        <f t="shared" si="1877"/>
        <v>#DIV/0!</v>
      </c>
      <c r="H691" s="65" t="e">
        <f t="shared" ref="H691:J691" si="1896">H679</f>
        <v>#DIV/0!</v>
      </c>
      <c r="I691" s="65" t="e">
        <f t="shared" si="1896"/>
        <v>#DIV/0!</v>
      </c>
      <c r="J691" s="65" t="e">
        <f t="shared" si="1896"/>
        <v>#DIV/0!</v>
      </c>
      <c r="K691" s="69">
        <v>0</v>
      </c>
      <c r="L691" s="69">
        <f>'Monitoramento Acumulado Geral'!Q691</f>
        <v>0</v>
      </c>
      <c r="M691" s="6" t="e">
        <f>(SUM(L683:L691))/K690</f>
        <v>#DIV/0!</v>
      </c>
      <c r="N691" s="35" t="e">
        <f t="shared" si="1879"/>
        <v>#DIV/0!</v>
      </c>
      <c r="O691" s="6" t="e">
        <f t="shared" ref="O691:Q691" si="1897">O679</f>
        <v>#DIV/0!</v>
      </c>
      <c r="P691" s="6" t="e">
        <f t="shared" si="1897"/>
        <v>#DIV/0!</v>
      </c>
      <c r="Q691" s="6" t="e">
        <f t="shared" si="1897"/>
        <v>#DIV/0!</v>
      </c>
      <c r="R691" s="69">
        <v>0</v>
      </c>
      <c r="S691" s="69">
        <v>0</v>
      </c>
      <c r="T691" s="6" t="e">
        <f t="shared" si="1881"/>
        <v>#DIV/0!</v>
      </c>
      <c r="U691" s="35" t="e">
        <f t="shared" si="1882"/>
        <v>#DIV/0!</v>
      </c>
      <c r="V691" s="6" t="e">
        <f t="shared" ref="V691:Z691" si="1898">V679</f>
        <v>#DIV/0!</v>
      </c>
      <c r="W691" s="6" t="e">
        <f t="shared" si="1898"/>
        <v>#DIV/0!</v>
      </c>
      <c r="X691" s="6" t="e">
        <f t="shared" si="1898"/>
        <v>#DIV/0!</v>
      </c>
      <c r="Y691" s="6" t="e">
        <f t="shared" si="1898"/>
        <v>#DIV/0!</v>
      </c>
      <c r="Z691" s="6" t="e">
        <f t="shared" si="1898"/>
        <v>#DIV/0!</v>
      </c>
    </row>
    <row r="692" spans="1:26" x14ac:dyDescent="0.2">
      <c r="A692" t="s">
        <v>301</v>
      </c>
      <c r="B692" s="6">
        <f t="shared" si="1876"/>
        <v>7</v>
      </c>
      <c r="C692" s="7" t="s">
        <v>157</v>
      </c>
      <c r="D692" s="68">
        <v>0</v>
      </c>
      <c r="E692" s="68">
        <v>15</v>
      </c>
      <c r="F692" s="65" t="e">
        <f t="shared" si="1798"/>
        <v>#DIV/0!</v>
      </c>
      <c r="G692" s="60" t="e">
        <f t="shared" si="1877"/>
        <v>#DIV/0!</v>
      </c>
      <c r="H692" s="65" t="e">
        <f t="shared" ref="H692:J692" si="1899">H680</f>
        <v>#DIV/0!</v>
      </c>
      <c r="I692" s="65" t="e">
        <f t="shared" si="1899"/>
        <v>#DIV/0!</v>
      </c>
      <c r="J692" s="65" t="e">
        <f t="shared" si="1899"/>
        <v>#DIV/0!</v>
      </c>
      <c r="K692" s="69">
        <v>0</v>
      </c>
      <c r="L692" s="69">
        <f>'Monitoramento Acumulado Geral'!Q692</f>
        <v>0</v>
      </c>
      <c r="M692" s="6" t="e">
        <f>(SUM(L683:L692))/K691</f>
        <v>#DIV/0!</v>
      </c>
      <c r="N692" s="35" t="e">
        <f t="shared" si="1879"/>
        <v>#DIV/0!</v>
      </c>
      <c r="O692" s="6" t="e">
        <f t="shared" ref="O692:Q692" si="1900">O680</f>
        <v>#DIV/0!</v>
      </c>
      <c r="P692" s="6" t="e">
        <f t="shared" si="1900"/>
        <v>#DIV/0!</v>
      </c>
      <c r="Q692" s="6" t="e">
        <f t="shared" si="1900"/>
        <v>#DIV/0!</v>
      </c>
      <c r="R692" s="69">
        <v>0</v>
      </c>
      <c r="S692" s="69">
        <v>0</v>
      </c>
      <c r="T692" s="6" t="e">
        <f t="shared" si="1881"/>
        <v>#DIV/0!</v>
      </c>
      <c r="U692" s="35" t="e">
        <f t="shared" si="1882"/>
        <v>#DIV/0!</v>
      </c>
      <c r="V692" s="6" t="e">
        <f t="shared" ref="V692:Z692" si="1901">V680</f>
        <v>#DIV/0!</v>
      </c>
      <c r="W692" s="6" t="e">
        <f t="shared" si="1901"/>
        <v>#DIV/0!</v>
      </c>
      <c r="X692" s="6" t="e">
        <f t="shared" si="1901"/>
        <v>#DIV/0!</v>
      </c>
      <c r="Y692" s="6" t="e">
        <f t="shared" si="1901"/>
        <v>#DIV/0!</v>
      </c>
      <c r="Z692" s="6" t="e">
        <f t="shared" si="1901"/>
        <v>#DIV/0!</v>
      </c>
    </row>
    <row r="693" spans="1:26" x14ac:dyDescent="0.2">
      <c r="A693" t="s">
        <v>301</v>
      </c>
      <c r="B693" s="6">
        <f t="shared" si="1876"/>
        <v>8</v>
      </c>
      <c r="C693" s="7" t="s">
        <v>158</v>
      </c>
      <c r="D693" s="68">
        <v>0</v>
      </c>
      <c r="E693" s="68">
        <v>40</v>
      </c>
      <c r="F693" s="65" t="e">
        <f t="shared" si="1798"/>
        <v>#DIV/0!</v>
      </c>
      <c r="G693" s="60" t="e">
        <f t="shared" si="1877"/>
        <v>#DIV/0!</v>
      </c>
      <c r="H693" s="65" t="e">
        <f t="shared" ref="H693:J693" si="1902">H681</f>
        <v>#DIV/0!</v>
      </c>
      <c r="I693" s="65" t="e">
        <f t="shared" si="1902"/>
        <v>#DIV/0!</v>
      </c>
      <c r="J693" s="65" t="e">
        <f t="shared" si="1902"/>
        <v>#DIV/0!</v>
      </c>
      <c r="K693" s="69">
        <v>0</v>
      </c>
      <c r="L693" s="69">
        <f>'Monitoramento Acumulado Geral'!Q693</f>
        <v>90</v>
      </c>
      <c r="M693" s="6" t="e">
        <f>(SUM(L683:L693))/K692</f>
        <v>#DIV/0!</v>
      </c>
      <c r="N693" s="35" t="e">
        <f t="shared" si="1879"/>
        <v>#DIV/0!</v>
      </c>
      <c r="O693" s="6" t="e">
        <f t="shared" ref="O693:Q693" si="1903">O681</f>
        <v>#DIV/0!</v>
      </c>
      <c r="P693" s="6" t="e">
        <f t="shared" si="1903"/>
        <v>#DIV/0!</v>
      </c>
      <c r="Q693" s="6" t="e">
        <f t="shared" si="1903"/>
        <v>#DIV/0!</v>
      </c>
      <c r="R693" s="69">
        <v>0</v>
      </c>
      <c r="S693" s="69">
        <v>0</v>
      </c>
      <c r="T693" s="6" t="e">
        <f t="shared" si="1881"/>
        <v>#DIV/0!</v>
      </c>
      <c r="U693" s="35" t="e">
        <f t="shared" si="1882"/>
        <v>#DIV/0!</v>
      </c>
      <c r="V693" s="6" t="e">
        <f t="shared" ref="V693:Z693" si="1904">V681</f>
        <v>#DIV/0!</v>
      </c>
      <c r="W693" s="6" t="e">
        <f t="shared" si="1904"/>
        <v>#DIV/0!</v>
      </c>
      <c r="X693" s="6" t="e">
        <f t="shared" si="1904"/>
        <v>#DIV/0!</v>
      </c>
      <c r="Y693" s="6" t="e">
        <f t="shared" si="1904"/>
        <v>#DIV/0!</v>
      </c>
      <c r="Z693" s="6" t="e">
        <f t="shared" si="1904"/>
        <v>#DIV/0!</v>
      </c>
    </row>
    <row r="694" spans="1:26" x14ac:dyDescent="0.2">
      <c r="A694" t="s">
        <v>301</v>
      </c>
      <c r="B694" s="6">
        <f t="shared" si="1876"/>
        <v>9</v>
      </c>
      <c r="C694" s="7" t="s">
        <v>159</v>
      </c>
      <c r="D694" s="68">
        <v>0</v>
      </c>
      <c r="E694" s="68">
        <v>50</v>
      </c>
      <c r="F694" s="65" t="e">
        <f t="shared" si="1798"/>
        <v>#DIV/0!</v>
      </c>
      <c r="G694" s="60" t="e">
        <f t="shared" si="1877"/>
        <v>#DIV/0!</v>
      </c>
      <c r="H694" s="65" t="e">
        <f t="shared" ref="H694:J694" si="1905">H682</f>
        <v>#DIV/0!</v>
      </c>
      <c r="I694" s="65" t="e">
        <f t="shared" si="1905"/>
        <v>#DIV/0!</v>
      </c>
      <c r="J694" s="65" t="e">
        <f t="shared" si="1905"/>
        <v>#DIV/0!</v>
      </c>
      <c r="K694" s="69">
        <v>0</v>
      </c>
      <c r="L694" s="69">
        <f>'Monitoramento Acumulado Geral'!Q694</f>
        <v>510</v>
      </c>
      <c r="M694" s="6" t="e">
        <f>(SUM(L683:L694))/K693</f>
        <v>#DIV/0!</v>
      </c>
      <c r="N694" s="35" t="e">
        <f t="shared" si="1879"/>
        <v>#DIV/0!</v>
      </c>
      <c r="O694" s="6" t="e">
        <f t="shared" ref="O694:Q694" si="1906">O682</f>
        <v>#DIV/0!</v>
      </c>
      <c r="P694" s="6" t="e">
        <f t="shared" si="1906"/>
        <v>#DIV/0!</v>
      </c>
      <c r="Q694" s="6" t="e">
        <f t="shared" si="1906"/>
        <v>#DIV/0!</v>
      </c>
      <c r="R694" s="69">
        <v>0</v>
      </c>
      <c r="S694" s="69">
        <v>0</v>
      </c>
      <c r="T694" s="6" t="e">
        <f t="shared" si="1881"/>
        <v>#DIV/0!</v>
      </c>
      <c r="U694" s="35" t="e">
        <f t="shared" si="1882"/>
        <v>#DIV/0!</v>
      </c>
      <c r="V694" s="6" t="e">
        <f t="shared" ref="V694:Z694" si="1907">V682</f>
        <v>#DIV/0!</v>
      </c>
      <c r="W694" s="6" t="e">
        <f t="shared" si="1907"/>
        <v>#DIV/0!</v>
      </c>
      <c r="X694" s="6" t="e">
        <f t="shared" si="1907"/>
        <v>#DIV/0!</v>
      </c>
      <c r="Y694" s="6" t="e">
        <f t="shared" si="1907"/>
        <v>#DIV/0!</v>
      </c>
      <c r="Z694" s="6" t="e">
        <f t="shared" si="1907"/>
        <v>#DIV/0!</v>
      </c>
    </row>
    <row r="695" spans="1:26" x14ac:dyDescent="0.2">
      <c r="A695" t="s">
        <v>301</v>
      </c>
      <c r="B695" s="6">
        <f t="shared" si="1876"/>
        <v>10</v>
      </c>
      <c r="C695" s="7" t="s">
        <v>160</v>
      </c>
      <c r="D695" s="68">
        <v>0</v>
      </c>
      <c r="E695" s="68">
        <v>50</v>
      </c>
      <c r="F695" s="65" t="e">
        <f t="shared" si="1798"/>
        <v>#DIV/0!</v>
      </c>
      <c r="G695" s="60" t="e">
        <f t="shared" si="1877"/>
        <v>#DIV/0!</v>
      </c>
      <c r="H695" s="65" t="e">
        <f t="shared" ref="H695:J695" si="1908">H683</f>
        <v>#DIV/0!</v>
      </c>
      <c r="I695" s="65" t="e">
        <f t="shared" si="1908"/>
        <v>#DIV/0!</v>
      </c>
      <c r="J695" s="65" t="e">
        <f t="shared" si="1908"/>
        <v>#DIV/0!</v>
      </c>
      <c r="K695" s="69">
        <v>0</v>
      </c>
      <c r="L695" s="69">
        <f>'Monitoramento Acumulado Geral'!Q695</f>
        <v>0</v>
      </c>
      <c r="M695" s="6" t="e">
        <f>L695/K695</f>
        <v>#DIV/0!</v>
      </c>
      <c r="N695" s="35" t="e">
        <f t="shared" si="1879"/>
        <v>#DIV/0!</v>
      </c>
      <c r="O695" s="6" t="e">
        <f t="shared" ref="O695:Q695" si="1909">O683</f>
        <v>#DIV/0!</v>
      </c>
      <c r="P695" s="6" t="e">
        <f t="shared" si="1909"/>
        <v>#DIV/0!</v>
      </c>
      <c r="Q695" s="6" t="e">
        <f t="shared" si="1909"/>
        <v>#DIV/0!</v>
      </c>
      <c r="R695" s="69">
        <v>0</v>
      </c>
      <c r="S695" s="69">
        <v>0</v>
      </c>
      <c r="T695" s="6" t="e">
        <f t="shared" si="1881"/>
        <v>#DIV/0!</v>
      </c>
      <c r="U695" s="35" t="e">
        <f t="shared" si="1882"/>
        <v>#DIV/0!</v>
      </c>
      <c r="V695" s="6" t="e">
        <f t="shared" ref="V695:Z695" si="1910">V683</f>
        <v>#DIV/0!</v>
      </c>
      <c r="W695" s="6" t="e">
        <f t="shared" si="1910"/>
        <v>#DIV/0!</v>
      </c>
      <c r="X695" s="6" t="e">
        <f t="shared" si="1910"/>
        <v>#DIV/0!</v>
      </c>
      <c r="Y695" s="6" t="e">
        <f t="shared" si="1910"/>
        <v>#DIV/0!</v>
      </c>
      <c r="Z695" s="6" t="e">
        <f t="shared" si="1910"/>
        <v>#DIV/0!</v>
      </c>
    </row>
    <row r="696" spans="1:26" x14ac:dyDescent="0.2">
      <c r="A696" t="s">
        <v>301</v>
      </c>
      <c r="B696" s="6">
        <f t="shared" si="1876"/>
        <v>11</v>
      </c>
      <c r="C696" s="7" t="s">
        <v>161</v>
      </c>
      <c r="D696" s="68">
        <v>0</v>
      </c>
      <c r="E696" s="68">
        <v>0</v>
      </c>
      <c r="F696" s="65" t="e">
        <f t="shared" si="1798"/>
        <v>#DIV/0!</v>
      </c>
      <c r="G696" s="60" t="e">
        <f t="shared" si="1877"/>
        <v>#DIV/0!</v>
      </c>
      <c r="H696" s="65" t="e">
        <f t="shared" ref="H696:J696" si="1911">H684</f>
        <v>#DIV/0!</v>
      </c>
      <c r="I696" s="65" t="e">
        <f t="shared" si="1911"/>
        <v>#DIV/0!</v>
      </c>
      <c r="J696" s="65" t="e">
        <f t="shared" si="1911"/>
        <v>#DIV/0!</v>
      </c>
      <c r="K696" s="69">
        <v>0</v>
      </c>
      <c r="L696" s="69">
        <f>'Monitoramento Acumulado Geral'!Q696</f>
        <v>0</v>
      </c>
      <c r="M696" s="6" t="e">
        <f>(SUM(L695:L696))/K695</f>
        <v>#DIV/0!</v>
      </c>
      <c r="N696" s="35" t="e">
        <f t="shared" si="1879"/>
        <v>#DIV/0!</v>
      </c>
      <c r="O696" s="6" t="e">
        <f t="shared" ref="O696:Q696" si="1912">O684</f>
        <v>#DIV/0!</v>
      </c>
      <c r="P696" s="6" t="e">
        <f t="shared" si="1912"/>
        <v>#DIV/0!</v>
      </c>
      <c r="Q696" s="6" t="e">
        <f t="shared" si="1912"/>
        <v>#DIV/0!</v>
      </c>
      <c r="R696" s="69">
        <v>0</v>
      </c>
      <c r="S696" s="69">
        <v>0</v>
      </c>
      <c r="T696" s="6" t="e">
        <f t="shared" si="1881"/>
        <v>#DIV/0!</v>
      </c>
      <c r="U696" s="35" t="e">
        <f t="shared" si="1882"/>
        <v>#DIV/0!</v>
      </c>
      <c r="V696" s="6" t="e">
        <f t="shared" ref="V696:Z696" si="1913">V684</f>
        <v>#DIV/0!</v>
      </c>
      <c r="W696" s="6" t="e">
        <f t="shared" si="1913"/>
        <v>#DIV/0!</v>
      </c>
      <c r="X696" s="6" t="e">
        <f t="shared" si="1913"/>
        <v>#DIV/0!</v>
      </c>
      <c r="Y696" s="6" t="e">
        <f t="shared" si="1913"/>
        <v>#DIV/0!</v>
      </c>
      <c r="Z696" s="6" t="e">
        <f t="shared" si="1913"/>
        <v>#DIV/0!</v>
      </c>
    </row>
    <row r="697" spans="1:26" x14ac:dyDescent="0.2">
      <c r="A697" t="s">
        <v>301</v>
      </c>
      <c r="B697" s="6">
        <f t="shared" si="1876"/>
        <v>12</v>
      </c>
      <c r="C697" s="7" t="s">
        <v>162</v>
      </c>
      <c r="D697" s="68">
        <v>0</v>
      </c>
      <c r="E697" s="68">
        <v>0</v>
      </c>
      <c r="F697" s="65" t="e">
        <f t="shared" si="1798"/>
        <v>#DIV/0!</v>
      </c>
      <c r="G697" s="60" t="e">
        <f t="shared" si="1877"/>
        <v>#DIV/0!</v>
      </c>
      <c r="H697" s="65" t="e">
        <f t="shared" ref="H697:J697" si="1914">H685</f>
        <v>#DIV/0!</v>
      </c>
      <c r="I697" s="65" t="e">
        <f t="shared" si="1914"/>
        <v>#DIV/0!</v>
      </c>
      <c r="J697" s="65" t="e">
        <f t="shared" si="1914"/>
        <v>#DIV/0!</v>
      </c>
      <c r="K697" s="69">
        <v>0</v>
      </c>
      <c r="L697" s="69">
        <f>'Monitoramento Acumulado Geral'!Q697</f>
        <v>0</v>
      </c>
      <c r="M697" s="6" t="e">
        <f>(SUM(L695:L697))/K696</f>
        <v>#DIV/0!</v>
      </c>
      <c r="N697" s="35" t="e">
        <f t="shared" si="1879"/>
        <v>#DIV/0!</v>
      </c>
      <c r="O697" s="6" t="e">
        <f t="shared" ref="O697:Q697" si="1915">O685</f>
        <v>#DIV/0!</v>
      </c>
      <c r="P697" s="6" t="e">
        <f t="shared" si="1915"/>
        <v>#DIV/0!</v>
      </c>
      <c r="Q697" s="6" t="e">
        <f t="shared" si="1915"/>
        <v>#DIV/0!</v>
      </c>
      <c r="R697" s="69">
        <v>0</v>
      </c>
      <c r="S697" s="69">
        <v>0</v>
      </c>
      <c r="T697" s="6" t="e">
        <f t="shared" si="1881"/>
        <v>#DIV/0!</v>
      </c>
      <c r="U697" s="35" t="e">
        <f t="shared" si="1882"/>
        <v>#DIV/0!</v>
      </c>
      <c r="V697" s="6" t="e">
        <f t="shared" ref="V697:Z697" si="1916">V685</f>
        <v>#DIV/0!</v>
      </c>
      <c r="W697" s="6" t="e">
        <f t="shared" si="1916"/>
        <v>#DIV/0!</v>
      </c>
      <c r="X697" s="6" t="e">
        <f t="shared" si="1916"/>
        <v>#DIV/0!</v>
      </c>
      <c r="Y697" s="6" t="e">
        <f t="shared" si="1916"/>
        <v>#DIV/0!</v>
      </c>
      <c r="Z697" s="6" t="e">
        <f t="shared" si="1916"/>
        <v>#DIV/0!</v>
      </c>
    </row>
    <row r="698" spans="1:26" x14ac:dyDescent="0.2">
      <c r="A698" s="7" t="s">
        <v>42</v>
      </c>
      <c r="B698" s="6">
        <f t="shared" si="1803"/>
        <v>1</v>
      </c>
      <c r="C698" s="7" t="s">
        <v>151</v>
      </c>
      <c r="D698" s="68">
        <v>75</v>
      </c>
      <c r="E698" s="68">
        <v>0</v>
      </c>
      <c r="F698" s="65">
        <f t="shared" si="1798"/>
        <v>0</v>
      </c>
      <c r="G698" s="60" t="e">
        <f t="shared" si="1804"/>
        <v>#DIV/0!</v>
      </c>
      <c r="H698" s="65" t="e">
        <f t="shared" ref="H698:J698" si="1917">H686</f>
        <v>#DIV/0!</v>
      </c>
      <c r="I698" s="65" t="e">
        <f t="shared" si="1917"/>
        <v>#DIV/0!</v>
      </c>
      <c r="J698" s="65" t="e">
        <f t="shared" si="1917"/>
        <v>#DIV/0!</v>
      </c>
      <c r="K698" s="69">
        <v>10730.07</v>
      </c>
      <c r="L698" s="69">
        <f>'Monitoramento Acumulado Geral'!Q698</f>
        <v>0</v>
      </c>
      <c r="M698" s="6">
        <f>L698/K698</f>
        <v>0</v>
      </c>
      <c r="N698" s="35" t="e">
        <f t="shared" si="1806"/>
        <v>#DIV/0!</v>
      </c>
      <c r="O698" s="6" t="e">
        <f t="shared" ref="O698:Q698" si="1918">O686</f>
        <v>#DIV/0!</v>
      </c>
      <c r="P698" s="6" t="e">
        <f t="shared" si="1918"/>
        <v>#DIV/0!</v>
      </c>
      <c r="Q698" s="6" t="e">
        <f t="shared" si="1918"/>
        <v>#DIV/0!</v>
      </c>
      <c r="R698" s="69">
        <v>50</v>
      </c>
      <c r="S698" s="69">
        <v>0</v>
      </c>
      <c r="T698" s="6">
        <f t="shared" si="1801"/>
        <v>0</v>
      </c>
      <c r="U698" s="35" t="e">
        <f t="shared" si="1808"/>
        <v>#DIV/0!</v>
      </c>
      <c r="V698" s="6" t="e">
        <f t="shared" ref="V698:Z698" si="1919">V686</f>
        <v>#DIV/0!</v>
      </c>
      <c r="W698" s="6" t="e">
        <f t="shared" si="1919"/>
        <v>#DIV/0!</v>
      </c>
      <c r="X698" s="6" t="e">
        <f t="shared" si="1919"/>
        <v>#DIV/0!</v>
      </c>
      <c r="Y698" s="6" t="e">
        <f t="shared" si="1919"/>
        <v>#DIV/0!</v>
      </c>
      <c r="Z698" s="6" t="e">
        <f t="shared" si="1919"/>
        <v>#DIV/0!</v>
      </c>
    </row>
    <row r="699" spans="1:26" x14ac:dyDescent="0.2">
      <c r="A699" s="7" t="s">
        <v>42</v>
      </c>
      <c r="B699" s="6">
        <f t="shared" si="1803"/>
        <v>2</v>
      </c>
      <c r="C699" s="7" t="s">
        <v>152</v>
      </c>
      <c r="D699" s="68">
        <v>75</v>
      </c>
      <c r="E699" s="68">
        <v>36</v>
      </c>
      <c r="F699" s="65">
        <f t="shared" si="1798"/>
        <v>0.48</v>
      </c>
      <c r="G699" s="60" t="e">
        <f t="shared" si="1804"/>
        <v>#DIV/0!</v>
      </c>
      <c r="H699" s="65" t="e">
        <f t="shared" ref="H699:J699" si="1920">H687</f>
        <v>#DIV/0!</v>
      </c>
      <c r="I699" s="65" t="e">
        <f t="shared" si="1920"/>
        <v>#DIV/0!</v>
      </c>
      <c r="J699" s="65" t="e">
        <f t="shared" si="1920"/>
        <v>#DIV/0!</v>
      </c>
      <c r="K699" s="69">
        <v>10730.07</v>
      </c>
      <c r="L699" s="69">
        <f>'Monitoramento Acumulado Geral'!Q699</f>
        <v>600</v>
      </c>
      <c r="M699" s="6">
        <f>(SUM(L698:L699))/K698</f>
        <v>5.5917622159035313E-2</v>
      </c>
      <c r="N699" s="35" t="e">
        <f t="shared" si="1806"/>
        <v>#DIV/0!</v>
      </c>
      <c r="O699" s="6" t="e">
        <f t="shared" ref="O699:Q699" si="1921">O687</f>
        <v>#DIV/0!</v>
      </c>
      <c r="P699" s="6" t="e">
        <f t="shared" si="1921"/>
        <v>#DIV/0!</v>
      </c>
      <c r="Q699" s="6" t="e">
        <f t="shared" si="1921"/>
        <v>#DIV/0!</v>
      </c>
      <c r="R699" s="69">
        <v>50</v>
      </c>
      <c r="S699" s="69">
        <v>0</v>
      </c>
      <c r="T699" s="6">
        <f t="shared" si="1801"/>
        <v>0</v>
      </c>
      <c r="U699" s="35" t="e">
        <f t="shared" si="1808"/>
        <v>#DIV/0!</v>
      </c>
      <c r="V699" s="6" t="e">
        <f t="shared" ref="V699:Z699" si="1922">V687</f>
        <v>#DIV/0!</v>
      </c>
      <c r="W699" s="6" t="e">
        <f t="shared" si="1922"/>
        <v>#DIV/0!</v>
      </c>
      <c r="X699" s="6" t="e">
        <f t="shared" si="1922"/>
        <v>#DIV/0!</v>
      </c>
      <c r="Y699" s="6" t="e">
        <f t="shared" si="1922"/>
        <v>#DIV/0!</v>
      </c>
      <c r="Z699" s="6" t="e">
        <f t="shared" si="1922"/>
        <v>#DIV/0!</v>
      </c>
    </row>
    <row r="700" spans="1:26" x14ac:dyDescent="0.2">
      <c r="A700" s="7" t="s">
        <v>42</v>
      </c>
      <c r="B700" s="6">
        <f t="shared" si="1803"/>
        <v>3</v>
      </c>
      <c r="C700" s="7" t="s">
        <v>153</v>
      </c>
      <c r="D700" s="68">
        <v>75</v>
      </c>
      <c r="E700" s="68">
        <v>36</v>
      </c>
      <c r="F700" s="65">
        <f t="shared" si="1798"/>
        <v>0.48</v>
      </c>
      <c r="G700" s="60" t="e">
        <f t="shared" si="1804"/>
        <v>#DIV/0!</v>
      </c>
      <c r="H700" s="65" t="e">
        <f t="shared" ref="H700:J700" si="1923">H688</f>
        <v>#DIV/0!</v>
      </c>
      <c r="I700" s="65" t="e">
        <f t="shared" si="1923"/>
        <v>#DIV/0!</v>
      </c>
      <c r="J700" s="65" t="e">
        <f t="shared" si="1923"/>
        <v>#DIV/0!</v>
      </c>
      <c r="K700" s="69">
        <v>10730.07</v>
      </c>
      <c r="L700" s="69">
        <f>'Monitoramento Acumulado Geral'!Q700</f>
        <v>0</v>
      </c>
      <c r="M700" s="6">
        <f>(SUM(L698:L700))/K699</f>
        <v>5.5917622159035313E-2</v>
      </c>
      <c r="N700" s="35" t="e">
        <f t="shared" si="1806"/>
        <v>#DIV/0!</v>
      </c>
      <c r="O700" s="6" t="e">
        <f t="shared" ref="O700:Q700" si="1924">O688</f>
        <v>#DIV/0!</v>
      </c>
      <c r="P700" s="6" t="e">
        <f t="shared" si="1924"/>
        <v>#DIV/0!</v>
      </c>
      <c r="Q700" s="6" t="e">
        <f t="shared" si="1924"/>
        <v>#DIV/0!</v>
      </c>
      <c r="R700" s="69">
        <v>50</v>
      </c>
      <c r="S700" s="69">
        <v>0</v>
      </c>
      <c r="T700" s="6">
        <f t="shared" si="1801"/>
        <v>0</v>
      </c>
      <c r="U700" s="35" t="e">
        <f t="shared" si="1808"/>
        <v>#DIV/0!</v>
      </c>
      <c r="V700" s="6" t="e">
        <f t="shared" ref="V700:Z700" si="1925">V688</f>
        <v>#DIV/0!</v>
      </c>
      <c r="W700" s="6" t="e">
        <f t="shared" si="1925"/>
        <v>#DIV/0!</v>
      </c>
      <c r="X700" s="6" t="e">
        <f t="shared" si="1925"/>
        <v>#DIV/0!</v>
      </c>
      <c r="Y700" s="6" t="e">
        <f t="shared" si="1925"/>
        <v>#DIV/0!</v>
      </c>
      <c r="Z700" s="6" t="e">
        <f t="shared" si="1925"/>
        <v>#DIV/0!</v>
      </c>
    </row>
    <row r="701" spans="1:26" x14ac:dyDescent="0.2">
      <c r="A701" s="7" t="s">
        <v>42</v>
      </c>
      <c r="B701" s="6">
        <f t="shared" si="1803"/>
        <v>4</v>
      </c>
      <c r="C701" s="7" t="s">
        <v>154</v>
      </c>
      <c r="D701" s="68">
        <v>75</v>
      </c>
      <c r="E701" s="68">
        <v>36</v>
      </c>
      <c r="F701" s="65">
        <f t="shared" si="1798"/>
        <v>0.48</v>
      </c>
      <c r="G701" s="60" t="e">
        <f t="shared" si="1804"/>
        <v>#DIV/0!</v>
      </c>
      <c r="H701" s="65" t="e">
        <f t="shared" ref="H701:J701" si="1926">H689</f>
        <v>#DIV/0!</v>
      </c>
      <c r="I701" s="65" t="e">
        <f t="shared" si="1926"/>
        <v>#DIV/0!</v>
      </c>
      <c r="J701" s="65" t="e">
        <f t="shared" si="1926"/>
        <v>#DIV/0!</v>
      </c>
      <c r="K701" s="69">
        <v>10730.07</v>
      </c>
      <c r="L701" s="69">
        <f>'Monitoramento Acumulado Geral'!Q701</f>
        <v>0</v>
      </c>
      <c r="M701" s="6">
        <f>(SUM(L698:L701))/K700</f>
        <v>5.5917622159035313E-2</v>
      </c>
      <c r="N701" s="35" t="e">
        <f t="shared" si="1806"/>
        <v>#DIV/0!</v>
      </c>
      <c r="O701" s="6" t="e">
        <f t="shared" ref="O701:Q701" si="1927">O689</f>
        <v>#DIV/0!</v>
      </c>
      <c r="P701" s="6" t="e">
        <f t="shared" si="1927"/>
        <v>#DIV/0!</v>
      </c>
      <c r="Q701" s="6" t="e">
        <f t="shared" si="1927"/>
        <v>#DIV/0!</v>
      </c>
      <c r="R701" s="69">
        <v>50</v>
      </c>
      <c r="S701" s="69">
        <v>0</v>
      </c>
      <c r="T701" s="6">
        <f t="shared" si="1801"/>
        <v>0</v>
      </c>
      <c r="U701" s="35" t="e">
        <f t="shared" si="1808"/>
        <v>#DIV/0!</v>
      </c>
      <c r="V701" s="6" t="e">
        <f t="shared" ref="V701:Z701" si="1928">V689</f>
        <v>#DIV/0!</v>
      </c>
      <c r="W701" s="6" t="e">
        <f t="shared" si="1928"/>
        <v>#DIV/0!</v>
      </c>
      <c r="X701" s="6" t="e">
        <f t="shared" si="1928"/>
        <v>#DIV/0!</v>
      </c>
      <c r="Y701" s="6" t="e">
        <f t="shared" si="1928"/>
        <v>#DIV/0!</v>
      </c>
      <c r="Z701" s="6" t="e">
        <f t="shared" si="1928"/>
        <v>#DIV/0!</v>
      </c>
    </row>
    <row r="702" spans="1:26" x14ac:dyDescent="0.2">
      <c r="A702" s="7" t="s">
        <v>42</v>
      </c>
      <c r="B702" s="6">
        <f t="shared" si="1803"/>
        <v>5</v>
      </c>
      <c r="C702" s="7" t="s">
        <v>155</v>
      </c>
      <c r="D702" s="68">
        <v>75</v>
      </c>
      <c r="E702" s="68">
        <v>50</v>
      </c>
      <c r="F702" s="65">
        <f t="shared" si="1798"/>
        <v>0.66666666666666663</v>
      </c>
      <c r="G702" s="60" t="e">
        <f t="shared" si="1804"/>
        <v>#DIV/0!</v>
      </c>
      <c r="H702" s="65" t="e">
        <f t="shared" ref="H702:J702" si="1929">H690</f>
        <v>#DIV/0!</v>
      </c>
      <c r="I702" s="65" t="e">
        <f t="shared" si="1929"/>
        <v>#DIV/0!</v>
      </c>
      <c r="J702" s="65" t="e">
        <f t="shared" si="1929"/>
        <v>#DIV/0!</v>
      </c>
      <c r="K702" s="69">
        <v>10730.07</v>
      </c>
      <c r="L702" s="69">
        <f>'Monitoramento Acumulado Geral'!Q702</f>
        <v>283.5</v>
      </c>
      <c r="M702" s="6">
        <f>(SUM(L698:L702))/K701</f>
        <v>8.2338698629179488E-2</v>
      </c>
      <c r="N702" s="35" t="e">
        <f t="shared" si="1806"/>
        <v>#DIV/0!</v>
      </c>
      <c r="O702" s="6" t="e">
        <f t="shared" ref="O702:Q702" si="1930">O690</f>
        <v>#DIV/0!</v>
      </c>
      <c r="P702" s="6" t="e">
        <f t="shared" si="1930"/>
        <v>#DIV/0!</v>
      </c>
      <c r="Q702" s="6" t="e">
        <f t="shared" si="1930"/>
        <v>#DIV/0!</v>
      </c>
      <c r="R702" s="69">
        <v>50</v>
      </c>
      <c r="S702" s="69">
        <v>50</v>
      </c>
      <c r="T702" s="6">
        <f t="shared" si="1801"/>
        <v>1</v>
      </c>
      <c r="U702" s="35" t="e">
        <f t="shared" si="1808"/>
        <v>#DIV/0!</v>
      </c>
      <c r="V702" s="6" t="e">
        <f t="shared" ref="V702:Z702" si="1931">V690</f>
        <v>#DIV/0!</v>
      </c>
      <c r="W702" s="6" t="e">
        <f t="shared" si="1931"/>
        <v>#DIV/0!</v>
      </c>
      <c r="X702" s="6" t="e">
        <f t="shared" si="1931"/>
        <v>#DIV/0!</v>
      </c>
      <c r="Y702" s="6" t="e">
        <f t="shared" si="1931"/>
        <v>#DIV/0!</v>
      </c>
      <c r="Z702" s="6" t="e">
        <f t="shared" si="1931"/>
        <v>#DIV/0!</v>
      </c>
    </row>
    <row r="703" spans="1:26" x14ac:dyDescent="0.2">
      <c r="A703" s="7" t="s">
        <v>42</v>
      </c>
      <c r="B703" s="6">
        <f t="shared" si="1803"/>
        <v>6</v>
      </c>
      <c r="C703" s="7" t="s">
        <v>156</v>
      </c>
      <c r="D703" s="68">
        <v>75</v>
      </c>
      <c r="E703" s="68">
        <v>50</v>
      </c>
      <c r="F703" s="65">
        <f t="shared" si="1798"/>
        <v>0.66666666666666663</v>
      </c>
      <c r="G703" s="60" t="e">
        <f t="shared" si="1804"/>
        <v>#DIV/0!</v>
      </c>
      <c r="H703" s="65" t="e">
        <f t="shared" ref="H703:J703" si="1932">H691</f>
        <v>#DIV/0!</v>
      </c>
      <c r="I703" s="65" t="e">
        <f t="shared" si="1932"/>
        <v>#DIV/0!</v>
      </c>
      <c r="J703" s="65" t="e">
        <f t="shared" si="1932"/>
        <v>#DIV/0!</v>
      </c>
      <c r="K703" s="69">
        <v>10730.07</v>
      </c>
      <c r="L703" s="69">
        <f>'Monitoramento Acumulado Geral'!Q703</f>
        <v>0</v>
      </c>
      <c r="M703" s="6">
        <f>(SUM(L698:L703))/K702</f>
        <v>8.2338698629179488E-2</v>
      </c>
      <c r="N703" s="35" t="e">
        <f t="shared" si="1806"/>
        <v>#DIV/0!</v>
      </c>
      <c r="O703" s="6" t="e">
        <f t="shared" ref="O703:Q703" si="1933">O691</f>
        <v>#DIV/0!</v>
      </c>
      <c r="P703" s="6" t="e">
        <f t="shared" si="1933"/>
        <v>#DIV/0!</v>
      </c>
      <c r="Q703" s="6" t="e">
        <f t="shared" si="1933"/>
        <v>#DIV/0!</v>
      </c>
      <c r="R703" s="69">
        <v>50</v>
      </c>
      <c r="S703" s="69">
        <v>50</v>
      </c>
      <c r="T703" s="6">
        <f t="shared" si="1801"/>
        <v>1</v>
      </c>
      <c r="U703" s="35" t="e">
        <f t="shared" si="1808"/>
        <v>#DIV/0!</v>
      </c>
      <c r="V703" s="6" t="e">
        <f t="shared" ref="V703:Z703" si="1934">V691</f>
        <v>#DIV/0!</v>
      </c>
      <c r="W703" s="6" t="e">
        <f t="shared" si="1934"/>
        <v>#DIV/0!</v>
      </c>
      <c r="X703" s="6" t="e">
        <f t="shared" si="1934"/>
        <v>#DIV/0!</v>
      </c>
      <c r="Y703" s="6" t="e">
        <f t="shared" si="1934"/>
        <v>#DIV/0!</v>
      </c>
      <c r="Z703" s="6" t="e">
        <f t="shared" si="1934"/>
        <v>#DIV/0!</v>
      </c>
    </row>
    <row r="704" spans="1:26" x14ac:dyDescent="0.2">
      <c r="A704" s="7" t="s">
        <v>42</v>
      </c>
      <c r="B704" s="6">
        <f t="shared" si="1803"/>
        <v>7</v>
      </c>
      <c r="C704" s="7" t="s">
        <v>157</v>
      </c>
      <c r="D704" s="68">
        <v>75</v>
      </c>
      <c r="E704" s="68">
        <v>56</v>
      </c>
      <c r="F704" s="65">
        <f t="shared" si="1798"/>
        <v>0.7466666666666667</v>
      </c>
      <c r="G704" s="60" t="e">
        <f t="shared" si="1804"/>
        <v>#DIV/0!</v>
      </c>
      <c r="H704" s="65" t="e">
        <f t="shared" ref="H704:J704" si="1935">H692</f>
        <v>#DIV/0!</v>
      </c>
      <c r="I704" s="65" t="e">
        <f t="shared" si="1935"/>
        <v>#DIV/0!</v>
      </c>
      <c r="J704" s="65" t="e">
        <f t="shared" si="1935"/>
        <v>#DIV/0!</v>
      </c>
      <c r="K704" s="69">
        <v>10730.07</v>
      </c>
      <c r="L704" s="69">
        <f>'Monitoramento Acumulado Geral'!Q704</f>
        <v>150</v>
      </c>
      <c r="M704" s="6">
        <f>(SUM(L698:L704))/K703</f>
        <v>9.6318104168938323E-2</v>
      </c>
      <c r="N704" s="35" t="e">
        <f t="shared" si="1806"/>
        <v>#DIV/0!</v>
      </c>
      <c r="O704" s="6" t="e">
        <f t="shared" ref="O704:Q704" si="1936">O692</f>
        <v>#DIV/0!</v>
      </c>
      <c r="P704" s="6" t="e">
        <f t="shared" si="1936"/>
        <v>#DIV/0!</v>
      </c>
      <c r="Q704" s="6" t="e">
        <f t="shared" si="1936"/>
        <v>#DIV/0!</v>
      </c>
      <c r="R704" s="69">
        <v>50</v>
      </c>
      <c r="S704" s="69">
        <v>50</v>
      </c>
      <c r="T704" s="6">
        <f t="shared" si="1801"/>
        <v>1</v>
      </c>
      <c r="U704" s="35" t="e">
        <f t="shared" si="1808"/>
        <v>#DIV/0!</v>
      </c>
      <c r="V704" s="6" t="e">
        <f t="shared" ref="V704:Z704" si="1937">V692</f>
        <v>#DIV/0!</v>
      </c>
      <c r="W704" s="6" t="e">
        <f t="shared" si="1937"/>
        <v>#DIV/0!</v>
      </c>
      <c r="X704" s="6" t="e">
        <f t="shared" si="1937"/>
        <v>#DIV/0!</v>
      </c>
      <c r="Y704" s="6" t="e">
        <f t="shared" si="1937"/>
        <v>#DIV/0!</v>
      </c>
      <c r="Z704" s="6" t="e">
        <f t="shared" si="1937"/>
        <v>#DIV/0!</v>
      </c>
    </row>
    <row r="705" spans="1:26" x14ac:dyDescent="0.2">
      <c r="A705" s="7" t="s">
        <v>42</v>
      </c>
      <c r="B705" s="6">
        <f t="shared" si="1803"/>
        <v>8</v>
      </c>
      <c r="C705" s="7" t="s">
        <v>158</v>
      </c>
      <c r="D705" s="68">
        <v>75</v>
      </c>
      <c r="E705" s="68">
        <v>64</v>
      </c>
      <c r="F705" s="65">
        <f t="shared" si="1798"/>
        <v>0.85333333333333339</v>
      </c>
      <c r="G705" s="60" t="e">
        <f t="shared" si="1804"/>
        <v>#DIV/0!</v>
      </c>
      <c r="H705" s="65" t="e">
        <f t="shared" ref="H705:J705" si="1938">H693</f>
        <v>#DIV/0!</v>
      </c>
      <c r="I705" s="65" t="e">
        <f t="shared" si="1938"/>
        <v>#DIV/0!</v>
      </c>
      <c r="J705" s="65" t="e">
        <f t="shared" si="1938"/>
        <v>#DIV/0!</v>
      </c>
      <c r="K705" s="69">
        <v>10730.07</v>
      </c>
      <c r="L705" s="69">
        <f>'Monitoramento Acumulado Geral'!Q705</f>
        <v>100</v>
      </c>
      <c r="M705" s="6">
        <f>(SUM(L698:L705))/K704</f>
        <v>0.10563770786211088</v>
      </c>
      <c r="N705" s="35" t="e">
        <f t="shared" si="1806"/>
        <v>#DIV/0!</v>
      </c>
      <c r="O705" s="6" t="e">
        <f t="shared" ref="O705:Q705" si="1939">O693</f>
        <v>#DIV/0!</v>
      </c>
      <c r="P705" s="6" t="e">
        <f t="shared" si="1939"/>
        <v>#DIV/0!</v>
      </c>
      <c r="Q705" s="6" t="e">
        <f t="shared" si="1939"/>
        <v>#DIV/0!</v>
      </c>
      <c r="R705" s="69">
        <v>50</v>
      </c>
      <c r="S705" s="69">
        <v>50</v>
      </c>
      <c r="T705" s="6">
        <f t="shared" si="1801"/>
        <v>1</v>
      </c>
      <c r="U705" s="35" t="e">
        <f t="shared" si="1808"/>
        <v>#DIV/0!</v>
      </c>
      <c r="V705" s="6" t="e">
        <f t="shared" ref="V705:Z705" si="1940">V693</f>
        <v>#DIV/0!</v>
      </c>
      <c r="W705" s="6" t="e">
        <f t="shared" si="1940"/>
        <v>#DIV/0!</v>
      </c>
      <c r="X705" s="6" t="e">
        <f t="shared" si="1940"/>
        <v>#DIV/0!</v>
      </c>
      <c r="Y705" s="6" t="e">
        <f t="shared" si="1940"/>
        <v>#DIV/0!</v>
      </c>
      <c r="Z705" s="6" t="e">
        <f t="shared" si="1940"/>
        <v>#DIV/0!</v>
      </c>
    </row>
    <row r="706" spans="1:26" x14ac:dyDescent="0.2">
      <c r="A706" s="7" t="s">
        <v>42</v>
      </c>
      <c r="B706" s="6">
        <f t="shared" si="1803"/>
        <v>9</v>
      </c>
      <c r="C706" s="7" t="s">
        <v>159</v>
      </c>
      <c r="D706" s="68">
        <v>75</v>
      </c>
      <c r="E706" s="68">
        <v>71</v>
      </c>
      <c r="F706" s="65">
        <f t="shared" si="1798"/>
        <v>0.94666666666666666</v>
      </c>
      <c r="G706" s="60" t="e">
        <f t="shared" si="1804"/>
        <v>#DIV/0!</v>
      </c>
      <c r="H706" s="65" t="e">
        <f t="shared" ref="H706:J706" si="1941">H694</f>
        <v>#DIV/0!</v>
      </c>
      <c r="I706" s="65" t="e">
        <f t="shared" si="1941"/>
        <v>#DIV/0!</v>
      </c>
      <c r="J706" s="65" t="e">
        <f t="shared" si="1941"/>
        <v>#DIV/0!</v>
      </c>
      <c r="K706" s="69">
        <v>10730.07</v>
      </c>
      <c r="L706" s="69">
        <f>'Monitoramento Acumulado Geral'!Q706</f>
        <v>165</v>
      </c>
      <c r="M706" s="6">
        <f>(SUM(L698:L706))/K705</f>
        <v>0.12101505395584558</v>
      </c>
      <c r="N706" s="35" t="e">
        <f t="shared" si="1806"/>
        <v>#DIV/0!</v>
      </c>
      <c r="O706" s="6" t="e">
        <f t="shared" ref="O706:Q706" si="1942">O694</f>
        <v>#DIV/0!</v>
      </c>
      <c r="P706" s="6" t="e">
        <f t="shared" si="1942"/>
        <v>#DIV/0!</v>
      </c>
      <c r="Q706" s="6" t="e">
        <f t="shared" si="1942"/>
        <v>#DIV/0!</v>
      </c>
      <c r="R706" s="69">
        <v>50</v>
      </c>
      <c r="S706" s="69">
        <v>50</v>
      </c>
      <c r="T706" s="6">
        <f t="shared" si="1801"/>
        <v>1</v>
      </c>
      <c r="U706" s="35" t="e">
        <f t="shared" si="1808"/>
        <v>#DIV/0!</v>
      </c>
      <c r="V706" s="6" t="e">
        <f t="shared" ref="V706:Z706" si="1943">V694</f>
        <v>#DIV/0!</v>
      </c>
      <c r="W706" s="6" t="e">
        <f t="shared" si="1943"/>
        <v>#DIV/0!</v>
      </c>
      <c r="X706" s="6" t="e">
        <f t="shared" si="1943"/>
        <v>#DIV/0!</v>
      </c>
      <c r="Y706" s="6" t="e">
        <f t="shared" si="1943"/>
        <v>#DIV/0!</v>
      </c>
      <c r="Z706" s="6" t="e">
        <f t="shared" si="1943"/>
        <v>#DIV/0!</v>
      </c>
    </row>
    <row r="707" spans="1:26" x14ac:dyDescent="0.2">
      <c r="A707" s="7" t="s">
        <v>42</v>
      </c>
      <c r="B707" s="6">
        <f t="shared" si="1803"/>
        <v>10</v>
      </c>
      <c r="C707" s="7" t="s">
        <v>160</v>
      </c>
      <c r="D707" s="68">
        <v>75</v>
      </c>
      <c r="E707" s="68">
        <v>71</v>
      </c>
      <c r="F707" s="65">
        <f t="shared" si="1798"/>
        <v>0.94666666666666666</v>
      </c>
      <c r="G707" s="60" t="e">
        <f t="shared" si="1804"/>
        <v>#DIV/0!</v>
      </c>
      <c r="H707" s="65" t="e">
        <f t="shared" ref="H707:J707" si="1944">H695</f>
        <v>#DIV/0!</v>
      </c>
      <c r="I707" s="65" t="e">
        <f t="shared" si="1944"/>
        <v>#DIV/0!</v>
      </c>
      <c r="J707" s="65" t="e">
        <f t="shared" si="1944"/>
        <v>#DIV/0!</v>
      </c>
      <c r="K707" s="69">
        <v>10730.07</v>
      </c>
      <c r="L707" s="69">
        <f>'Monitoramento Acumulado Geral'!Q707</f>
        <v>0</v>
      </c>
      <c r="M707" s="6">
        <f>(SUM(L698:L707))/K706</f>
        <v>0.12101505395584558</v>
      </c>
      <c r="N707" s="35" t="e">
        <f t="shared" si="1806"/>
        <v>#DIV/0!</v>
      </c>
      <c r="O707" s="6" t="e">
        <f t="shared" ref="O707:Q707" si="1945">O695</f>
        <v>#DIV/0!</v>
      </c>
      <c r="P707" s="6" t="e">
        <f t="shared" si="1945"/>
        <v>#DIV/0!</v>
      </c>
      <c r="Q707" s="6" t="e">
        <f t="shared" si="1945"/>
        <v>#DIV/0!</v>
      </c>
      <c r="R707" s="69">
        <v>50</v>
      </c>
      <c r="S707" s="69">
        <v>50</v>
      </c>
      <c r="T707" s="6">
        <f t="shared" si="1801"/>
        <v>1</v>
      </c>
      <c r="U707" s="35" t="e">
        <f t="shared" si="1808"/>
        <v>#DIV/0!</v>
      </c>
      <c r="V707" s="6" t="e">
        <f t="shared" ref="V707:Z707" si="1946">V695</f>
        <v>#DIV/0!</v>
      </c>
      <c r="W707" s="6" t="e">
        <f t="shared" si="1946"/>
        <v>#DIV/0!</v>
      </c>
      <c r="X707" s="6" t="e">
        <f t="shared" si="1946"/>
        <v>#DIV/0!</v>
      </c>
      <c r="Y707" s="6" t="e">
        <f t="shared" si="1946"/>
        <v>#DIV/0!</v>
      </c>
      <c r="Z707" s="6" t="e">
        <f t="shared" si="1946"/>
        <v>#DIV/0!</v>
      </c>
    </row>
    <row r="708" spans="1:26" x14ac:dyDescent="0.2">
      <c r="A708" s="7" t="s">
        <v>42</v>
      </c>
      <c r="B708" s="6">
        <f t="shared" si="1803"/>
        <v>11</v>
      </c>
      <c r="C708" s="7" t="s">
        <v>161</v>
      </c>
      <c r="D708" s="68">
        <v>75</v>
      </c>
      <c r="E708" s="68">
        <v>0</v>
      </c>
      <c r="F708" s="65">
        <f t="shared" si="1798"/>
        <v>0</v>
      </c>
      <c r="G708" s="60" t="e">
        <f t="shared" si="1804"/>
        <v>#DIV/0!</v>
      </c>
      <c r="H708" s="65" t="e">
        <f t="shared" ref="H708:J708" si="1947">H696</f>
        <v>#DIV/0!</v>
      </c>
      <c r="I708" s="65" t="e">
        <f t="shared" si="1947"/>
        <v>#DIV/0!</v>
      </c>
      <c r="J708" s="65" t="e">
        <f t="shared" si="1947"/>
        <v>#DIV/0!</v>
      </c>
      <c r="K708" s="69">
        <v>10730.07</v>
      </c>
      <c r="L708" s="69">
        <f>'Monitoramento Acumulado Geral'!Q708</f>
        <v>0</v>
      </c>
      <c r="M708" s="6">
        <f>(SUM(L698:L708))/K707</f>
        <v>0.12101505395584558</v>
      </c>
      <c r="N708" s="35" t="e">
        <f t="shared" si="1806"/>
        <v>#DIV/0!</v>
      </c>
      <c r="O708" s="6" t="e">
        <f t="shared" ref="O708:Q708" si="1948">O696</f>
        <v>#DIV/0!</v>
      </c>
      <c r="P708" s="6" t="e">
        <f t="shared" si="1948"/>
        <v>#DIV/0!</v>
      </c>
      <c r="Q708" s="6" t="e">
        <f t="shared" si="1948"/>
        <v>#DIV/0!</v>
      </c>
      <c r="R708" s="69">
        <v>50</v>
      </c>
      <c r="S708" s="69">
        <v>0</v>
      </c>
      <c r="T708" s="6">
        <f t="shared" si="1801"/>
        <v>0</v>
      </c>
      <c r="U708" s="35" t="e">
        <f t="shared" si="1808"/>
        <v>#DIV/0!</v>
      </c>
      <c r="V708" s="6" t="e">
        <f t="shared" ref="V708:Z708" si="1949">V696</f>
        <v>#DIV/0!</v>
      </c>
      <c r="W708" s="6" t="e">
        <f t="shared" si="1949"/>
        <v>#DIV/0!</v>
      </c>
      <c r="X708" s="6" t="e">
        <f t="shared" si="1949"/>
        <v>#DIV/0!</v>
      </c>
      <c r="Y708" s="6" t="e">
        <f t="shared" si="1949"/>
        <v>#DIV/0!</v>
      </c>
      <c r="Z708" s="6" t="e">
        <f t="shared" si="1949"/>
        <v>#DIV/0!</v>
      </c>
    </row>
    <row r="709" spans="1:26" x14ac:dyDescent="0.2">
      <c r="A709" s="7" t="s">
        <v>42</v>
      </c>
      <c r="B709" s="6">
        <f t="shared" si="1803"/>
        <v>12</v>
      </c>
      <c r="C709" s="7" t="s">
        <v>162</v>
      </c>
      <c r="D709" s="68">
        <v>75</v>
      </c>
      <c r="E709" s="68">
        <v>0</v>
      </c>
      <c r="F709" s="65">
        <f t="shared" si="1798"/>
        <v>0</v>
      </c>
      <c r="G709" s="60" t="e">
        <f t="shared" si="1804"/>
        <v>#DIV/0!</v>
      </c>
      <c r="H709" s="65" t="e">
        <f t="shared" ref="H709:J709" si="1950">H697</f>
        <v>#DIV/0!</v>
      </c>
      <c r="I709" s="65" t="e">
        <f t="shared" si="1950"/>
        <v>#DIV/0!</v>
      </c>
      <c r="J709" s="65" t="e">
        <f t="shared" si="1950"/>
        <v>#DIV/0!</v>
      </c>
      <c r="K709" s="69">
        <v>10730.07</v>
      </c>
      <c r="L709" s="69">
        <f>'Monitoramento Acumulado Geral'!Q709</f>
        <v>0</v>
      </c>
      <c r="M709" s="6">
        <f>(SUM(L698:L709))/K708</f>
        <v>0.12101505395584558</v>
      </c>
      <c r="N709" s="35" t="e">
        <f t="shared" si="1806"/>
        <v>#DIV/0!</v>
      </c>
      <c r="O709" s="6" t="e">
        <f t="shared" ref="O709:Q709" si="1951">O697</f>
        <v>#DIV/0!</v>
      </c>
      <c r="P709" s="6" t="e">
        <f t="shared" si="1951"/>
        <v>#DIV/0!</v>
      </c>
      <c r="Q709" s="6" t="e">
        <f t="shared" si="1951"/>
        <v>#DIV/0!</v>
      </c>
      <c r="R709" s="69">
        <v>50</v>
      </c>
      <c r="S709" s="69">
        <v>0</v>
      </c>
      <c r="T709" s="6">
        <f t="shared" si="1801"/>
        <v>0</v>
      </c>
      <c r="U709" s="35" t="e">
        <f t="shared" si="1808"/>
        <v>#DIV/0!</v>
      </c>
      <c r="V709" s="6" t="e">
        <f t="shared" ref="V709:Z709" si="1952">V697</f>
        <v>#DIV/0!</v>
      </c>
      <c r="W709" s="6" t="e">
        <f t="shared" si="1952"/>
        <v>#DIV/0!</v>
      </c>
      <c r="X709" s="6" t="e">
        <f t="shared" si="1952"/>
        <v>#DIV/0!</v>
      </c>
      <c r="Y709" s="6" t="e">
        <f t="shared" si="1952"/>
        <v>#DIV/0!</v>
      </c>
      <c r="Z709" s="6" t="e">
        <f t="shared" si="1952"/>
        <v>#DIV/0!</v>
      </c>
    </row>
    <row r="710" spans="1:26" x14ac:dyDescent="0.2">
      <c r="A710" s="7" t="s">
        <v>108</v>
      </c>
      <c r="B710" s="6">
        <f t="shared" si="1803"/>
        <v>1</v>
      </c>
      <c r="C710" s="7" t="s">
        <v>151</v>
      </c>
      <c r="D710" s="68">
        <v>75</v>
      </c>
      <c r="E710" s="68">
        <v>0</v>
      </c>
      <c r="F710" s="65">
        <f t="shared" si="1798"/>
        <v>0</v>
      </c>
      <c r="G710" s="60" t="e">
        <f t="shared" si="1804"/>
        <v>#DIV/0!</v>
      </c>
      <c r="H710" s="65" t="e">
        <f t="shared" ref="H710:J710" si="1953">H698</f>
        <v>#DIV/0!</v>
      </c>
      <c r="I710" s="65" t="e">
        <f t="shared" si="1953"/>
        <v>#DIV/0!</v>
      </c>
      <c r="J710" s="65" t="e">
        <f t="shared" si="1953"/>
        <v>#DIV/0!</v>
      </c>
      <c r="K710" s="69">
        <v>18000</v>
      </c>
      <c r="L710" s="69">
        <f>'Monitoramento Acumulado Geral'!Q710</f>
        <v>0</v>
      </c>
      <c r="M710" s="6">
        <f>L710/K710</f>
        <v>0</v>
      </c>
      <c r="N710" s="35" t="e">
        <f t="shared" si="1806"/>
        <v>#DIV/0!</v>
      </c>
      <c r="O710" s="6" t="e">
        <f t="shared" ref="O710:Q710" si="1954">O698</f>
        <v>#DIV/0!</v>
      </c>
      <c r="P710" s="6" t="e">
        <f t="shared" si="1954"/>
        <v>#DIV/0!</v>
      </c>
      <c r="Q710" s="6" t="e">
        <f t="shared" si="1954"/>
        <v>#DIV/0!</v>
      </c>
      <c r="R710" s="69">
        <v>80</v>
      </c>
      <c r="S710" s="69">
        <v>0</v>
      </c>
      <c r="T710" s="6">
        <f t="shared" si="1801"/>
        <v>0</v>
      </c>
      <c r="U710" s="35" t="e">
        <f t="shared" si="1808"/>
        <v>#DIV/0!</v>
      </c>
      <c r="V710" s="6" t="e">
        <f t="shared" ref="V710:Z710" si="1955">V698</f>
        <v>#DIV/0!</v>
      </c>
      <c r="W710" s="6" t="e">
        <f t="shared" si="1955"/>
        <v>#DIV/0!</v>
      </c>
      <c r="X710" s="6" t="e">
        <f t="shared" si="1955"/>
        <v>#DIV/0!</v>
      </c>
      <c r="Y710" s="6" t="e">
        <f t="shared" si="1955"/>
        <v>#DIV/0!</v>
      </c>
      <c r="Z710" s="6" t="e">
        <f t="shared" si="1955"/>
        <v>#DIV/0!</v>
      </c>
    </row>
    <row r="711" spans="1:26" x14ac:dyDescent="0.2">
      <c r="A711" s="7" t="s">
        <v>108</v>
      </c>
      <c r="B711" s="6">
        <f t="shared" si="1803"/>
        <v>2</v>
      </c>
      <c r="C711" s="7" t="s">
        <v>152</v>
      </c>
      <c r="D711" s="68">
        <v>75</v>
      </c>
      <c r="E711" s="68">
        <v>0</v>
      </c>
      <c r="F711" s="65">
        <f t="shared" si="1798"/>
        <v>0</v>
      </c>
      <c r="G711" s="60" t="e">
        <f t="shared" si="1804"/>
        <v>#DIV/0!</v>
      </c>
      <c r="H711" s="65" t="e">
        <f t="shared" ref="H711:J711" si="1956">H699</f>
        <v>#DIV/0!</v>
      </c>
      <c r="I711" s="65" t="e">
        <f t="shared" si="1956"/>
        <v>#DIV/0!</v>
      </c>
      <c r="J711" s="65" t="e">
        <f t="shared" si="1956"/>
        <v>#DIV/0!</v>
      </c>
      <c r="K711" s="69">
        <v>18000</v>
      </c>
      <c r="L711" s="69">
        <f>'Monitoramento Acumulado Geral'!Q711</f>
        <v>0</v>
      </c>
      <c r="M711" s="6">
        <f>(SUM(L710:L711))/K710</f>
        <v>0</v>
      </c>
      <c r="N711" s="35" t="e">
        <f t="shared" si="1806"/>
        <v>#DIV/0!</v>
      </c>
      <c r="O711" s="6" t="e">
        <f t="shared" ref="O711:Q711" si="1957">O699</f>
        <v>#DIV/0!</v>
      </c>
      <c r="P711" s="6" t="e">
        <f t="shared" si="1957"/>
        <v>#DIV/0!</v>
      </c>
      <c r="Q711" s="6" t="e">
        <f t="shared" si="1957"/>
        <v>#DIV/0!</v>
      </c>
      <c r="R711" s="69">
        <v>80</v>
      </c>
      <c r="S711" s="69">
        <v>0</v>
      </c>
      <c r="T711" s="6">
        <f t="shared" si="1801"/>
        <v>0</v>
      </c>
      <c r="U711" s="35" t="e">
        <f t="shared" si="1808"/>
        <v>#DIV/0!</v>
      </c>
      <c r="V711" s="6" t="e">
        <f t="shared" ref="V711:Z711" si="1958">V699</f>
        <v>#DIV/0!</v>
      </c>
      <c r="W711" s="6" t="e">
        <f t="shared" si="1958"/>
        <v>#DIV/0!</v>
      </c>
      <c r="X711" s="6" t="e">
        <f t="shared" si="1958"/>
        <v>#DIV/0!</v>
      </c>
      <c r="Y711" s="6" t="e">
        <f t="shared" si="1958"/>
        <v>#DIV/0!</v>
      </c>
      <c r="Z711" s="6" t="e">
        <f t="shared" si="1958"/>
        <v>#DIV/0!</v>
      </c>
    </row>
    <row r="712" spans="1:26" x14ac:dyDescent="0.2">
      <c r="A712" s="7" t="s">
        <v>108</v>
      </c>
      <c r="B712" s="6">
        <f t="shared" si="1803"/>
        <v>3</v>
      </c>
      <c r="C712" s="7" t="s">
        <v>153</v>
      </c>
      <c r="D712" s="68">
        <v>75</v>
      </c>
      <c r="E712" s="68">
        <v>0</v>
      </c>
      <c r="F712" s="65">
        <f t="shared" si="1798"/>
        <v>0</v>
      </c>
      <c r="G712" s="60" t="e">
        <f t="shared" si="1804"/>
        <v>#DIV/0!</v>
      </c>
      <c r="H712" s="65" t="e">
        <f t="shared" ref="H712:J712" si="1959">H700</f>
        <v>#DIV/0!</v>
      </c>
      <c r="I712" s="65" t="e">
        <f t="shared" si="1959"/>
        <v>#DIV/0!</v>
      </c>
      <c r="J712" s="65" t="e">
        <f t="shared" si="1959"/>
        <v>#DIV/0!</v>
      </c>
      <c r="K712" s="69">
        <v>18000</v>
      </c>
      <c r="L712" s="69">
        <f>'Monitoramento Acumulado Geral'!Q712</f>
        <v>0</v>
      </c>
      <c r="M712" s="6">
        <f>(SUM(L710:L712))/K711</f>
        <v>0</v>
      </c>
      <c r="N712" s="35" t="e">
        <f t="shared" si="1806"/>
        <v>#DIV/0!</v>
      </c>
      <c r="O712" s="6" t="e">
        <f t="shared" ref="O712:Q712" si="1960">O700</f>
        <v>#DIV/0!</v>
      </c>
      <c r="P712" s="6" t="e">
        <f t="shared" si="1960"/>
        <v>#DIV/0!</v>
      </c>
      <c r="Q712" s="6" t="e">
        <f t="shared" si="1960"/>
        <v>#DIV/0!</v>
      </c>
      <c r="R712" s="69">
        <v>80</v>
      </c>
      <c r="S712" s="69">
        <v>0</v>
      </c>
      <c r="T712" s="6">
        <f t="shared" si="1801"/>
        <v>0</v>
      </c>
      <c r="U712" s="35" t="e">
        <f t="shared" si="1808"/>
        <v>#DIV/0!</v>
      </c>
      <c r="V712" s="6" t="e">
        <f t="shared" ref="V712:Z712" si="1961">V700</f>
        <v>#DIV/0!</v>
      </c>
      <c r="W712" s="6" t="e">
        <f t="shared" si="1961"/>
        <v>#DIV/0!</v>
      </c>
      <c r="X712" s="6" t="e">
        <f t="shared" si="1961"/>
        <v>#DIV/0!</v>
      </c>
      <c r="Y712" s="6" t="e">
        <f t="shared" si="1961"/>
        <v>#DIV/0!</v>
      </c>
      <c r="Z712" s="6" t="e">
        <f t="shared" si="1961"/>
        <v>#DIV/0!</v>
      </c>
    </row>
    <row r="713" spans="1:26" x14ac:dyDescent="0.2">
      <c r="A713" s="7" t="s">
        <v>108</v>
      </c>
      <c r="B713" s="6">
        <f t="shared" si="1803"/>
        <v>4</v>
      </c>
      <c r="C713" s="7" t="s">
        <v>154</v>
      </c>
      <c r="D713" s="68">
        <v>75</v>
      </c>
      <c r="E713" s="68">
        <v>0</v>
      </c>
      <c r="F713" s="65">
        <f t="shared" si="1798"/>
        <v>0</v>
      </c>
      <c r="G713" s="60" t="e">
        <f t="shared" si="1804"/>
        <v>#DIV/0!</v>
      </c>
      <c r="H713" s="65" t="e">
        <f t="shared" ref="H713:J713" si="1962">H701</f>
        <v>#DIV/0!</v>
      </c>
      <c r="I713" s="65" t="e">
        <f t="shared" si="1962"/>
        <v>#DIV/0!</v>
      </c>
      <c r="J713" s="65" t="e">
        <f t="shared" si="1962"/>
        <v>#DIV/0!</v>
      </c>
      <c r="K713" s="69">
        <v>18000</v>
      </c>
      <c r="L713" s="69">
        <f>'Monitoramento Acumulado Geral'!Q713</f>
        <v>0</v>
      </c>
      <c r="M713" s="6">
        <f>(SUM(L710:L713))/K712</f>
        <v>0</v>
      </c>
      <c r="N713" s="35" t="e">
        <f t="shared" si="1806"/>
        <v>#DIV/0!</v>
      </c>
      <c r="O713" s="6" t="e">
        <f t="shared" ref="O713:Q713" si="1963">O701</f>
        <v>#DIV/0!</v>
      </c>
      <c r="P713" s="6" t="e">
        <f t="shared" si="1963"/>
        <v>#DIV/0!</v>
      </c>
      <c r="Q713" s="6" t="e">
        <f t="shared" si="1963"/>
        <v>#DIV/0!</v>
      </c>
      <c r="R713" s="69">
        <v>80</v>
      </c>
      <c r="S713" s="69">
        <v>0</v>
      </c>
      <c r="T713" s="6">
        <f t="shared" si="1801"/>
        <v>0</v>
      </c>
      <c r="U713" s="35" t="e">
        <f t="shared" si="1808"/>
        <v>#DIV/0!</v>
      </c>
      <c r="V713" s="6" t="e">
        <f t="shared" ref="V713:Z713" si="1964">V701</f>
        <v>#DIV/0!</v>
      </c>
      <c r="W713" s="6" t="e">
        <f t="shared" si="1964"/>
        <v>#DIV/0!</v>
      </c>
      <c r="X713" s="6" t="e">
        <f t="shared" si="1964"/>
        <v>#DIV/0!</v>
      </c>
      <c r="Y713" s="6" t="e">
        <f t="shared" si="1964"/>
        <v>#DIV/0!</v>
      </c>
      <c r="Z713" s="6" t="e">
        <f t="shared" si="1964"/>
        <v>#DIV/0!</v>
      </c>
    </row>
    <row r="714" spans="1:26" x14ac:dyDescent="0.2">
      <c r="A714" s="7" t="s">
        <v>108</v>
      </c>
      <c r="B714" s="6">
        <f t="shared" si="1803"/>
        <v>5</v>
      </c>
      <c r="C714" s="7" t="s">
        <v>155</v>
      </c>
      <c r="D714" s="68">
        <v>75</v>
      </c>
      <c r="E714" s="68">
        <v>0</v>
      </c>
      <c r="F714" s="65">
        <f t="shared" si="1798"/>
        <v>0</v>
      </c>
      <c r="G714" s="60" t="e">
        <f t="shared" si="1804"/>
        <v>#DIV/0!</v>
      </c>
      <c r="H714" s="65" t="e">
        <f t="shared" ref="H714:J714" si="1965">H702</f>
        <v>#DIV/0!</v>
      </c>
      <c r="I714" s="65" t="e">
        <f t="shared" si="1965"/>
        <v>#DIV/0!</v>
      </c>
      <c r="J714" s="65" t="e">
        <f t="shared" si="1965"/>
        <v>#DIV/0!</v>
      </c>
      <c r="K714" s="69">
        <v>18000</v>
      </c>
      <c r="L714" s="69">
        <f>'Monitoramento Acumulado Geral'!Q714</f>
        <v>0</v>
      </c>
      <c r="M714" s="6">
        <f>(SUM(L710:L714))/K713</f>
        <v>0</v>
      </c>
      <c r="N714" s="35" t="e">
        <f t="shared" si="1806"/>
        <v>#DIV/0!</v>
      </c>
      <c r="O714" s="6" t="e">
        <f t="shared" ref="O714:Q714" si="1966">O702</f>
        <v>#DIV/0!</v>
      </c>
      <c r="P714" s="6" t="e">
        <f t="shared" si="1966"/>
        <v>#DIV/0!</v>
      </c>
      <c r="Q714" s="6" t="e">
        <f t="shared" si="1966"/>
        <v>#DIV/0!</v>
      </c>
      <c r="R714" s="69">
        <v>80</v>
      </c>
      <c r="S714" s="69">
        <v>20</v>
      </c>
      <c r="T714" s="6">
        <f t="shared" si="1801"/>
        <v>0.25</v>
      </c>
      <c r="U714" s="35" t="e">
        <f t="shared" si="1808"/>
        <v>#DIV/0!</v>
      </c>
      <c r="V714" s="6" t="e">
        <f t="shared" ref="V714:Z714" si="1967">V702</f>
        <v>#DIV/0!</v>
      </c>
      <c r="W714" s="6" t="e">
        <f t="shared" si="1967"/>
        <v>#DIV/0!</v>
      </c>
      <c r="X714" s="6" t="e">
        <f t="shared" si="1967"/>
        <v>#DIV/0!</v>
      </c>
      <c r="Y714" s="6" t="e">
        <f t="shared" si="1967"/>
        <v>#DIV/0!</v>
      </c>
      <c r="Z714" s="6" t="e">
        <f t="shared" si="1967"/>
        <v>#DIV/0!</v>
      </c>
    </row>
    <row r="715" spans="1:26" x14ac:dyDescent="0.2">
      <c r="A715" s="7" t="s">
        <v>108</v>
      </c>
      <c r="B715" s="6">
        <f t="shared" si="1803"/>
        <v>6</v>
      </c>
      <c r="C715" s="7" t="s">
        <v>156</v>
      </c>
      <c r="D715" s="68">
        <v>75</v>
      </c>
      <c r="E715" s="68">
        <v>0</v>
      </c>
      <c r="F715" s="65">
        <f t="shared" si="1798"/>
        <v>0</v>
      </c>
      <c r="G715" s="60" t="e">
        <f t="shared" si="1804"/>
        <v>#DIV/0!</v>
      </c>
      <c r="H715" s="65" t="e">
        <f t="shared" ref="H715:J715" si="1968">H703</f>
        <v>#DIV/0!</v>
      </c>
      <c r="I715" s="65" t="e">
        <f t="shared" si="1968"/>
        <v>#DIV/0!</v>
      </c>
      <c r="J715" s="65" t="e">
        <f t="shared" si="1968"/>
        <v>#DIV/0!</v>
      </c>
      <c r="K715" s="69">
        <v>18000</v>
      </c>
      <c r="L715" s="69">
        <f>'Monitoramento Acumulado Geral'!Q715</f>
        <v>0</v>
      </c>
      <c r="M715" s="6">
        <f>(SUM(L710:L715))/K714</f>
        <v>0</v>
      </c>
      <c r="N715" s="35" t="e">
        <f t="shared" si="1806"/>
        <v>#DIV/0!</v>
      </c>
      <c r="O715" s="6" t="e">
        <f t="shared" ref="O715:Q715" si="1969">O703</f>
        <v>#DIV/0!</v>
      </c>
      <c r="P715" s="6" t="e">
        <f t="shared" si="1969"/>
        <v>#DIV/0!</v>
      </c>
      <c r="Q715" s="6" t="e">
        <f t="shared" si="1969"/>
        <v>#DIV/0!</v>
      </c>
      <c r="R715" s="69">
        <v>80</v>
      </c>
      <c r="S715" s="69">
        <v>20</v>
      </c>
      <c r="T715" s="6">
        <f t="shared" si="1801"/>
        <v>0.25</v>
      </c>
      <c r="U715" s="35" t="e">
        <f t="shared" si="1808"/>
        <v>#DIV/0!</v>
      </c>
      <c r="V715" s="6" t="e">
        <f t="shared" ref="V715:Z715" si="1970">V703</f>
        <v>#DIV/0!</v>
      </c>
      <c r="W715" s="6" t="e">
        <f t="shared" si="1970"/>
        <v>#DIV/0!</v>
      </c>
      <c r="X715" s="6" t="e">
        <f t="shared" si="1970"/>
        <v>#DIV/0!</v>
      </c>
      <c r="Y715" s="6" t="e">
        <f t="shared" si="1970"/>
        <v>#DIV/0!</v>
      </c>
      <c r="Z715" s="6" t="e">
        <f t="shared" si="1970"/>
        <v>#DIV/0!</v>
      </c>
    </row>
    <row r="716" spans="1:26" x14ac:dyDescent="0.2">
      <c r="A716" s="7" t="s">
        <v>108</v>
      </c>
      <c r="B716" s="6">
        <f t="shared" si="1803"/>
        <v>7</v>
      </c>
      <c r="C716" s="7" t="s">
        <v>157</v>
      </c>
      <c r="D716" s="68">
        <v>75</v>
      </c>
      <c r="E716" s="68">
        <v>0</v>
      </c>
      <c r="F716" s="65">
        <f t="shared" si="1798"/>
        <v>0</v>
      </c>
      <c r="G716" s="60" t="e">
        <f t="shared" si="1804"/>
        <v>#DIV/0!</v>
      </c>
      <c r="H716" s="65" t="e">
        <f t="shared" ref="H716:J716" si="1971">H704</f>
        <v>#DIV/0!</v>
      </c>
      <c r="I716" s="65" t="e">
        <f t="shared" si="1971"/>
        <v>#DIV/0!</v>
      </c>
      <c r="J716" s="65" t="e">
        <f t="shared" si="1971"/>
        <v>#DIV/0!</v>
      </c>
      <c r="K716" s="69">
        <v>18000</v>
      </c>
      <c r="L716" s="69">
        <f>'Monitoramento Acumulado Geral'!Q716</f>
        <v>0</v>
      </c>
      <c r="M716" s="6">
        <f>(SUM(L710:L716))/K715</f>
        <v>0</v>
      </c>
      <c r="N716" s="35" t="e">
        <f t="shared" si="1806"/>
        <v>#DIV/0!</v>
      </c>
      <c r="O716" s="6" t="e">
        <f t="shared" ref="O716:Q716" si="1972">O704</f>
        <v>#DIV/0!</v>
      </c>
      <c r="P716" s="6" t="e">
        <f t="shared" si="1972"/>
        <v>#DIV/0!</v>
      </c>
      <c r="Q716" s="6" t="e">
        <f t="shared" si="1972"/>
        <v>#DIV/0!</v>
      </c>
      <c r="R716" s="69">
        <v>80</v>
      </c>
      <c r="S716" s="69">
        <v>20</v>
      </c>
      <c r="T716" s="6">
        <f t="shared" si="1801"/>
        <v>0.25</v>
      </c>
      <c r="U716" s="35" t="e">
        <f t="shared" si="1808"/>
        <v>#DIV/0!</v>
      </c>
      <c r="V716" s="6" t="e">
        <f t="shared" ref="V716:Z716" si="1973">V704</f>
        <v>#DIV/0!</v>
      </c>
      <c r="W716" s="6" t="e">
        <f t="shared" si="1973"/>
        <v>#DIV/0!</v>
      </c>
      <c r="X716" s="6" t="e">
        <f t="shared" si="1973"/>
        <v>#DIV/0!</v>
      </c>
      <c r="Y716" s="6" t="e">
        <f t="shared" si="1973"/>
        <v>#DIV/0!</v>
      </c>
      <c r="Z716" s="6" t="e">
        <f t="shared" si="1973"/>
        <v>#DIV/0!</v>
      </c>
    </row>
    <row r="717" spans="1:26" x14ac:dyDescent="0.2">
      <c r="A717" s="7" t="s">
        <v>108</v>
      </c>
      <c r="B717" s="6">
        <f t="shared" si="1803"/>
        <v>8</v>
      </c>
      <c r="C717" s="7" t="s">
        <v>158</v>
      </c>
      <c r="D717" s="68">
        <v>75</v>
      </c>
      <c r="E717" s="68">
        <v>0</v>
      </c>
      <c r="F717" s="65">
        <f t="shared" si="1798"/>
        <v>0</v>
      </c>
      <c r="G717" s="60" t="e">
        <f t="shared" si="1804"/>
        <v>#DIV/0!</v>
      </c>
      <c r="H717" s="65" t="e">
        <f t="shared" ref="H717:J717" si="1974">H705</f>
        <v>#DIV/0!</v>
      </c>
      <c r="I717" s="65" t="e">
        <f t="shared" si="1974"/>
        <v>#DIV/0!</v>
      </c>
      <c r="J717" s="65" t="e">
        <f t="shared" si="1974"/>
        <v>#DIV/0!</v>
      </c>
      <c r="K717" s="69">
        <v>18000</v>
      </c>
      <c r="L717" s="69">
        <f>'Monitoramento Acumulado Geral'!Q717</f>
        <v>0</v>
      </c>
      <c r="M717" s="6">
        <f>(SUM(L710:L717))/K716</f>
        <v>0</v>
      </c>
      <c r="N717" s="35" t="e">
        <f t="shared" si="1806"/>
        <v>#DIV/0!</v>
      </c>
      <c r="O717" s="6" t="e">
        <f t="shared" ref="O717:Q717" si="1975">O705</f>
        <v>#DIV/0!</v>
      </c>
      <c r="P717" s="6" t="e">
        <f t="shared" si="1975"/>
        <v>#DIV/0!</v>
      </c>
      <c r="Q717" s="6" t="e">
        <f t="shared" si="1975"/>
        <v>#DIV/0!</v>
      </c>
      <c r="R717" s="69">
        <v>80</v>
      </c>
      <c r="S717" s="69">
        <v>20</v>
      </c>
      <c r="T717" s="6">
        <f t="shared" si="1801"/>
        <v>0.25</v>
      </c>
      <c r="U717" s="35" t="e">
        <f t="shared" si="1808"/>
        <v>#DIV/0!</v>
      </c>
      <c r="V717" s="6" t="e">
        <f t="shared" ref="V717:Z717" si="1976">V705</f>
        <v>#DIV/0!</v>
      </c>
      <c r="W717" s="6" t="e">
        <f t="shared" si="1976"/>
        <v>#DIV/0!</v>
      </c>
      <c r="X717" s="6" t="e">
        <f t="shared" si="1976"/>
        <v>#DIV/0!</v>
      </c>
      <c r="Y717" s="6" t="e">
        <f t="shared" si="1976"/>
        <v>#DIV/0!</v>
      </c>
      <c r="Z717" s="6" t="e">
        <f t="shared" si="1976"/>
        <v>#DIV/0!</v>
      </c>
    </row>
    <row r="718" spans="1:26" x14ac:dyDescent="0.2">
      <c r="A718" s="7" t="s">
        <v>108</v>
      </c>
      <c r="B718" s="6">
        <f t="shared" si="1803"/>
        <v>9</v>
      </c>
      <c r="C718" s="7" t="s">
        <v>159</v>
      </c>
      <c r="D718" s="68">
        <v>75</v>
      </c>
      <c r="E718" s="68">
        <v>0</v>
      </c>
      <c r="F718" s="65">
        <f t="shared" si="1798"/>
        <v>0</v>
      </c>
      <c r="G718" s="60" t="e">
        <f t="shared" si="1804"/>
        <v>#DIV/0!</v>
      </c>
      <c r="H718" s="65" t="e">
        <f t="shared" ref="H718:J718" si="1977">H706</f>
        <v>#DIV/0!</v>
      </c>
      <c r="I718" s="65" t="e">
        <f t="shared" si="1977"/>
        <v>#DIV/0!</v>
      </c>
      <c r="J718" s="65" t="e">
        <f t="shared" si="1977"/>
        <v>#DIV/0!</v>
      </c>
      <c r="K718" s="69">
        <v>18000</v>
      </c>
      <c r="L718" s="69">
        <f>'Monitoramento Acumulado Geral'!Q718</f>
        <v>0</v>
      </c>
      <c r="M718" s="6">
        <f>(SUM(L710:L718))/K717</f>
        <v>0</v>
      </c>
      <c r="N718" s="35" t="e">
        <f t="shared" si="1806"/>
        <v>#DIV/0!</v>
      </c>
      <c r="O718" s="6" t="e">
        <f t="shared" ref="O718:Q718" si="1978">O706</f>
        <v>#DIV/0!</v>
      </c>
      <c r="P718" s="6" t="e">
        <f t="shared" si="1978"/>
        <v>#DIV/0!</v>
      </c>
      <c r="Q718" s="6" t="e">
        <f t="shared" si="1978"/>
        <v>#DIV/0!</v>
      </c>
      <c r="R718" s="69">
        <v>80</v>
      </c>
      <c r="S718" s="69">
        <v>20</v>
      </c>
      <c r="T718" s="6">
        <f t="shared" si="1801"/>
        <v>0.25</v>
      </c>
      <c r="U718" s="35" t="e">
        <f t="shared" si="1808"/>
        <v>#DIV/0!</v>
      </c>
      <c r="V718" s="6" t="e">
        <f t="shared" ref="V718:Z718" si="1979">V706</f>
        <v>#DIV/0!</v>
      </c>
      <c r="W718" s="6" t="e">
        <f t="shared" si="1979"/>
        <v>#DIV/0!</v>
      </c>
      <c r="X718" s="6" t="e">
        <f t="shared" si="1979"/>
        <v>#DIV/0!</v>
      </c>
      <c r="Y718" s="6" t="e">
        <f t="shared" si="1979"/>
        <v>#DIV/0!</v>
      </c>
      <c r="Z718" s="6" t="e">
        <f t="shared" si="1979"/>
        <v>#DIV/0!</v>
      </c>
    </row>
    <row r="719" spans="1:26" x14ac:dyDescent="0.2">
      <c r="A719" s="7" t="s">
        <v>108</v>
      </c>
      <c r="B719" s="6">
        <f t="shared" si="1803"/>
        <v>10</v>
      </c>
      <c r="C719" s="7" t="s">
        <v>160</v>
      </c>
      <c r="D719" s="68">
        <v>75</v>
      </c>
      <c r="E719" s="68">
        <v>0</v>
      </c>
      <c r="F719" s="65">
        <f t="shared" si="1798"/>
        <v>0</v>
      </c>
      <c r="G719" s="60" t="e">
        <f t="shared" si="1804"/>
        <v>#DIV/0!</v>
      </c>
      <c r="H719" s="65" t="e">
        <f t="shared" ref="H719:J719" si="1980">H707</f>
        <v>#DIV/0!</v>
      </c>
      <c r="I719" s="65" t="e">
        <f t="shared" si="1980"/>
        <v>#DIV/0!</v>
      </c>
      <c r="J719" s="65" t="e">
        <f t="shared" si="1980"/>
        <v>#DIV/0!</v>
      </c>
      <c r="K719" s="69">
        <v>18000</v>
      </c>
      <c r="L719" s="69">
        <f>'Monitoramento Acumulado Geral'!Q719</f>
        <v>0</v>
      </c>
      <c r="M719" s="6">
        <f>(SUM(L710:L719))/K718</f>
        <v>0</v>
      </c>
      <c r="N719" s="35" t="e">
        <f t="shared" si="1806"/>
        <v>#DIV/0!</v>
      </c>
      <c r="O719" s="6" t="e">
        <f t="shared" ref="O719:Q719" si="1981">O707</f>
        <v>#DIV/0!</v>
      </c>
      <c r="P719" s="6" t="e">
        <f t="shared" si="1981"/>
        <v>#DIV/0!</v>
      </c>
      <c r="Q719" s="6" t="e">
        <f t="shared" si="1981"/>
        <v>#DIV/0!</v>
      </c>
      <c r="R719" s="69">
        <v>80</v>
      </c>
      <c r="S719" s="69">
        <v>20</v>
      </c>
      <c r="T719" s="6">
        <f t="shared" si="1801"/>
        <v>0.25</v>
      </c>
      <c r="U719" s="35" t="e">
        <f t="shared" si="1808"/>
        <v>#DIV/0!</v>
      </c>
      <c r="V719" s="6" t="e">
        <f t="shared" ref="V719:Z719" si="1982">V707</f>
        <v>#DIV/0!</v>
      </c>
      <c r="W719" s="6" t="e">
        <f t="shared" si="1982"/>
        <v>#DIV/0!</v>
      </c>
      <c r="X719" s="6" t="e">
        <f t="shared" si="1982"/>
        <v>#DIV/0!</v>
      </c>
      <c r="Y719" s="6" t="e">
        <f t="shared" si="1982"/>
        <v>#DIV/0!</v>
      </c>
      <c r="Z719" s="6" t="e">
        <f t="shared" si="1982"/>
        <v>#DIV/0!</v>
      </c>
    </row>
    <row r="720" spans="1:26" x14ac:dyDescent="0.2">
      <c r="A720" s="7" t="s">
        <v>108</v>
      </c>
      <c r="B720" s="6">
        <f t="shared" si="1803"/>
        <v>11</v>
      </c>
      <c r="C720" s="7" t="s">
        <v>161</v>
      </c>
      <c r="D720" s="68">
        <v>75</v>
      </c>
      <c r="E720" s="68">
        <v>0</v>
      </c>
      <c r="F720" s="65">
        <f t="shared" si="1798"/>
        <v>0</v>
      </c>
      <c r="G720" s="60" t="e">
        <f t="shared" si="1804"/>
        <v>#DIV/0!</v>
      </c>
      <c r="H720" s="65" t="e">
        <f t="shared" ref="H720:J720" si="1983">H708</f>
        <v>#DIV/0!</v>
      </c>
      <c r="I720" s="65" t="e">
        <f t="shared" si="1983"/>
        <v>#DIV/0!</v>
      </c>
      <c r="J720" s="65" t="e">
        <f t="shared" si="1983"/>
        <v>#DIV/0!</v>
      </c>
      <c r="K720" s="69">
        <v>18000</v>
      </c>
      <c r="L720" s="69">
        <f>'Monitoramento Acumulado Geral'!Q720</f>
        <v>0</v>
      </c>
      <c r="M720" s="6">
        <f>(SUM(L710:L720))/K719</f>
        <v>0</v>
      </c>
      <c r="N720" s="35" t="e">
        <f t="shared" si="1806"/>
        <v>#DIV/0!</v>
      </c>
      <c r="O720" s="6" t="e">
        <f t="shared" ref="O720:Q720" si="1984">O708</f>
        <v>#DIV/0!</v>
      </c>
      <c r="P720" s="6" t="e">
        <f t="shared" si="1984"/>
        <v>#DIV/0!</v>
      </c>
      <c r="Q720" s="6" t="e">
        <f t="shared" si="1984"/>
        <v>#DIV/0!</v>
      </c>
      <c r="R720" s="69">
        <v>80</v>
      </c>
      <c r="S720" s="69">
        <v>0</v>
      </c>
      <c r="T720" s="6">
        <f t="shared" si="1801"/>
        <v>0</v>
      </c>
      <c r="U720" s="35" t="e">
        <f t="shared" si="1808"/>
        <v>#DIV/0!</v>
      </c>
      <c r="V720" s="6" t="e">
        <f t="shared" ref="V720:Z720" si="1985">V708</f>
        <v>#DIV/0!</v>
      </c>
      <c r="W720" s="6" t="e">
        <f t="shared" si="1985"/>
        <v>#DIV/0!</v>
      </c>
      <c r="X720" s="6" t="e">
        <f t="shared" si="1985"/>
        <v>#DIV/0!</v>
      </c>
      <c r="Y720" s="6" t="e">
        <f t="shared" si="1985"/>
        <v>#DIV/0!</v>
      </c>
      <c r="Z720" s="6" t="e">
        <f t="shared" si="1985"/>
        <v>#DIV/0!</v>
      </c>
    </row>
    <row r="721" spans="1:26" x14ac:dyDescent="0.2">
      <c r="A721" s="7" t="s">
        <v>108</v>
      </c>
      <c r="B721" s="6">
        <f t="shared" si="1803"/>
        <v>12</v>
      </c>
      <c r="C721" s="7" t="s">
        <v>162</v>
      </c>
      <c r="D721" s="68">
        <v>75</v>
      </c>
      <c r="E721" s="68">
        <v>0</v>
      </c>
      <c r="F721" s="65">
        <f t="shared" si="1798"/>
        <v>0</v>
      </c>
      <c r="G721" s="60" t="e">
        <f t="shared" si="1804"/>
        <v>#DIV/0!</v>
      </c>
      <c r="H721" s="65" t="e">
        <f t="shared" ref="H721:J721" si="1986">H709</f>
        <v>#DIV/0!</v>
      </c>
      <c r="I721" s="65" t="e">
        <f t="shared" si="1986"/>
        <v>#DIV/0!</v>
      </c>
      <c r="J721" s="65" t="e">
        <f t="shared" si="1986"/>
        <v>#DIV/0!</v>
      </c>
      <c r="K721" s="69">
        <v>18000</v>
      </c>
      <c r="L721" s="69">
        <f>'Monitoramento Acumulado Geral'!Q721</f>
        <v>0</v>
      </c>
      <c r="M721" s="6">
        <f>(SUM(L710:L721))/K720</f>
        <v>0</v>
      </c>
      <c r="N721" s="35" t="e">
        <f t="shared" si="1806"/>
        <v>#DIV/0!</v>
      </c>
      <c r="O721" s="6" t="e">
        <f t="shared" ref="O721:Q721" si="1987">O709</f>
        <v>#DIV/0!</v>
      </c>
      <c r="P721" s="6" t="e">
        <f t="shared" si="1987"/>
        <v>#DIV/0!</v>
      </c>
      <c r="Q721" s="6" t="e">
        <f t="shared" si="1987"/>
        <v>#DIV/0!</v>
      </c>
      <c r="R721" s="69">
        <v>80</v>
      </c>
      <c r="S721" s="69">
        <v>0</v>
      </c>
      <c r="T721" s="6">
        <f t="shared" si="1801"/>
        <v>0</v>
      </c>
      <c r="U721" s="35" t="e">
        <f t="shared" si="1808"/>
        <v>#DIV/0!</v>
      </c>
      <c r="V721" s="6" t="e">
        <f t="shared" ref="V721:Z721" si="1988">V709</f>
        <v>#DIV/0!</v>
      </c>
      <c r="W721" s="6" t="e">
        <f t="shared" si="1988"/>
        <v>#DIV/0!</v>
      </c>
      <c r="X721" s="6" t="e">
        <f t="shared" si="1988"/>
        <v>#DIV/0!</v>
      </c>
      <c r="Y721" s="6" t="e">
        <f t="shared" si="1988"/>
        <v>#DIV/0!</v>
      </c>
      <c r="Z721" s="6" t="e">
        <f t="shared" si="1988"/>
        <v>#DIV/0!</v>
      </c>
    </row>
    <row r="722" spans="1:26" x14ac:dyDescent="0.2">
      <c r="A722" s="7" t="s">
        <v>129</v>
      </c>
      <c r="B722" s="6">
        <f t="shared" si="1803"/>
        <v>1</v>
      </c>
      <c r="C722" s="7" t="s">
        <v>151</v>
      </c>
      <c r="D722" s="68">
        <v>25</v>
      </c>
      <c r="E722" s="68">
        <v>0</v>
      </c>
      <c r="F722" s="65">
        <f t="shared" si="1798"/>
        <v>0</v>
      </c>
      <c r="G722" s="60" t="e">
        <f t="shared" si="1804"/>
        <v>#DIV/0!</v>
      </c>
      <c r="H722" s="65" t="e">
        <f t="shared" ref="H722:J722" si="1989">H710</f>
        <v>#DIV/0!</v>
      </c>
      <c r="I722" s="65" t="e">
        <f t="shared" si="1989"/>
        <v>#DIV/0!</v>
      </c>
      <c r="J722" s="65" t="e">
        <f t="shared" si="1989"/>
        <v>#DIV/0!</v>
      </c>
      <c r="K722" s="69">
        <v>4800</v>
      </c>
      <c r="L722" s="69">
        <f>'Monitoramento Acumulado Geral'!Q722</f>
        <v>0</v>
      </c>
      <c r="M722" s="6">
        <f>L722/K722</f>
        <v>0</v>
      </c>
      <c r="N722" s="35" t="e">
        <f t="shared" si="1806"/>
        <v>#DIV/0!</v>
      </c>
      <c r="O722" s="6" t="e">
        <f t="shared" ref="O722:Q722" si="1990">O698</f>
        <v>#DIV/0!</v>
      </c>
      <c r="P722" s="6" t="e">
        <f t="shared" si="1990"/>
        <v>#DIV/0!</v>
      </c>
      <c r="Q722" s="6" t="e">
        <f t="shared" si="1990"/>
        <v>#DIV/0!</v>
      </c>
      <c r="R722" s="69">
        <v>43</v>
      </c>
      <c r="S722" s="69">
        <v>0</v>
      </c>
      <c r="T722" s="6">
        <f t="shared" si="1801"/>
        <v>0</v>
      </c>
      <c r="U722" s="35" t="e">
        <f t="shared" si="1808"/>
        <v>#DIV/0!</v>
      </c>
      <c r="V722" s="6" t="e">
        <f t="shared" ref="V722:Z722" si="1991">V710</f>
        <v>#DIV/0!</v>
      </c>
      <c r="W722" s="6" t="e">
        <f t="shared" si="1991"/>
        <v>#DIV/0!</v>
      </c>
      <c r="X722" s="6" t="e">
        <f t="shared" si="1991"/>
        <v>#DIV/0!</v>
      </c>
      <c r="Y722" s="6" t="e">
        <f t="shared" si="1991"/>
        <v>#DIV/0!</v>
      </c>
      <c r="Z722" s="6" t="e">
        <f t="shared" si="1991"/>
        <v>#DIV/0!</v>
      </c>
    </row>
    <row r="723" spans="1:26" x14ac:dyDescent="0.2">
      <c r="A723" s="7" t="s">
        <v>129</v>
      </c>
      <c r="B723" s="6">
        <f t="shared" si="1803"/>
        <v>2</v>
      </c>
      <c r="C723" s="7" t="s">
        <v>152</v>
      </c>
      <c r="D723" s="68">
        <v>25</v>
      </c>
      <c r="E723" s="68">
        <v>0</v>
      </c>
      <c r="F723" s="65">
        <f t="shared" si="1798"/>
        <v>0</v>
      </c>
      <c r="G723" s="60" t="e">
        <f t="shared" si="1804"/>
        <v>#DIV/0!</v>
      </c>
      <c r="H723" s="65" t="e">
        <f t="shared" ref="H723:J723" si="1992">H711</f>
        <v>#DIV/0!</v>
      </c>
      <c r="I723" s="65" t="e">
        <f t="shared" si="1992"/>
        <v>#DIV/0!</v>
      </c>
      <c r="J723" s="65" t="e">
        <f t="shared" si="1992"/>
        <v>#DIV/0!</v>
      </c>
      <c r="K723" s="69">
        <v>4800</v>
      </c>
      <c r="L723" s="69">
        <f>'Monitoramento Acumulado Geral'!Q723</f>
        <v>0</v>
      </c>
      <c r="M723" s="6">
        <f>(SUM(L722:L723))/K722</f>
        <v>0</v>
      </c>
      <c r="N723" s="35" t="e">
        <f t="shared" si="1806"/>
        <v>#DIV/0!</v>
      </c>
      <c r="O723" s="6" t="e">
        <f t="shared" ref="O723:Q723" si="1993">O699</f>
        <v>#DIV/0!</v>
      </c>
      <c r="P723" s="6" t="e">
        <f t="shared" si="1993"/>
        <v>#DIV/0!</v>
      </c>
      <c r="Q723" s="6" t="e">
        <f t="shared" si="1993"/>
        <v>#DIV/0!</v>
      </c>
      <c r="R723" s="69">
        <v>43</v>
      </c>
      <c r="S723" s="69">
        <v>0</v>
      </c>
      <c r="T723" s="6">
        <f t="shared" si="1801"/>
        <v>0</v>
      </c>
      <c r="U723" s="35" t="e">
        <f t="shared" si="1808"/>
        <v>#DIV/0!</v>
      </c>
      <c r="V723" s="6" t="e">
        <f t="shared" ref="V723:Z723" si="1994">V711</f>
        <v>#DIV/0!</v>
      </c>
      <c r="W723" s="6" t="e">
        <f t="shared" si="1994"/>
        <v>#DIV/0!</v>
      </c>
      <c r="X723" s="6" t="e">
        <f t="shared" si="1994"/>
        <v>#DIV/0!</v>
      </c>
      <c r="Y723" s="6" t="e">
        <f t="shared" si="1994"/>
        <v>#DIV/0!</v>
      </c>
      <c r="Z723" s="6" t="e">
        <f t="shared" si="1994"/>
        <v>#DIV/0!</v>
      </c>
    </row>
    <row r="724" spans="1:26" x14ac:dyDescent="0.2">
      <c r="A724" s="7" t="s">
        <v>129</v>
      </c>
      <c r="B724" s="6">
        <f t="shared" si="1803"/>
        <v>3</v>
      </c>
      <c r="C724" s="7" t="s">
        <v>153</v>
      </c>
      <c r="D724" s="68">
        <v>25</v>
      </c>
      <c r="E724" s="68">
        <v>0</v>
      </c>
      <c r="F724" s="65">
        <f t="shared" si="1798"/>
        <v>0</v>
      </c>
      <c r="G724" s="60" t="e">
        <f t="shared" si="1804"/>
        <v>#DIV/0!</v>
      </c>
      <c r="H724" s="65" t="e">
        <f t="shared" ref="H724:J724" si="1995">H712</f>
        <v>#DIV/0!</v>
      </c>
      <c r="I724" s="65" t="e">
        <f t="shared" si="1995"/>
        <v>#DIV/0!</v>
      </c>
      <c r="J724" s="65" t="e">
        <f t="shared" si="1995"/>
        <v>#DIV/0!</v>
      </c>
      <c r="K724" s="69">
        <v>4800</v>
      </c>
      <c r="L724" s="69">
        <f>'Monitoramento Acumulado Geral'!Q724</f>
        <v>0</v>
      </c>
      <c r="M724" s="6">
        <f>(SUM(L722:L724))/K723</f>
        <v>0</v>
      </c>
      <c r="N724" s="35" t="e">
        <f t="shared" si="1806"/>
        <v>#DIV/0!</v>
      </c>
      <c r="O724" s="6" t="e">
        <f t="shared" ref="O724:Q724" si="1996">O700</f>
        <v>#DIV/0!</v>
      </c>
      <c r="P724" s="6" t="e">
        <f t="shared" si="1996"/>
        <v>#DIV/0!</v>
      </c>
      <c r="Q724" s="6" t="e">
        <f t="shared" si="1996"/>
        <v>#DIV/0!</v>
      </c>
      <c r="R724" s="69">
        <v>43</v>
      </c>
      <c r="S724" s="69">
        <v>0</v>
      </c>
      <c r="T724" s="6">
        <f t="shared" si="1801"/>
        <v>0</v>
      </c>
      <c r="U724" s="35" t="e">
        <f t="shared" si="1808"/>
        <v>#DIV/0!</v>
      </c>
      <c r="V724" s="6" t="e">
        <f t="shared" ref="V724:Z724" si="1997">V712</f>
        <v>#DIV/0!</v>
      </c>
      <c r="W724" s="6" t="e">
        <f t="shared" si="1997"/>
        <v>#DIV/0!</v>
      </c>
      <c r="X724" s="6" t="e">
        <f t="shared" si="1997"/>
        <v>#DIV/0!</v>
      </c>
      <c r="Y724" s="6" t="e">
        <f t="shared" si="1997"/>
        <v>#DIV/0!</v>
      </c>
      <c r="Z724" s="6" t="e">
        <f t="shared" si="1997"/>
        <v>#DIV/0!</v>
      </c>
    </row>
    <row r="725" spans="1:26" x14ac:dyDescent="0.2">
      <c r="A725" s="7" t="s">
        <v>129</v>
      </c>
      <c r="B725" s="6">
        <f t="shared" si="1803"/>
        <v>4</v>
      </c>
      <c r="C725" s="7" t="s">
        <v>154</v>
      </c>
      <c r="D725" s="68">
        <v>25</v>
      </c>
      <c r="E725" s="68">
        <v>0</v>
      </c>
      <c r="F725" s="65">
        <f t="shared" si="1798"/>
        <v>0</v>
      </c>
      <c r="G725" s="60" t="e">
        <f t="shared" si="1804"/>
        <v>#DIV/0!</v>
      </c>
      <c r="H725" s="65" t="e">
        <f t="shared" ref="H725:J725" si="1998">H713</f>
        <v>#DIV/0!</v>
      </c>
      <c r="I725" s="65" t="e">
        <f t="shared" si="1998"/>
        <v>#DIV/0!</v>
      </c>
      <c r="J725" s="65" t="e">
        <f t="shared" si="1998"/>
        <v>#DIV/0!</v>
      </c>
      <c r="K725" s="69">
        <v>4800</v>
      </c>
      <c r="L725" s="69">
        <f>'Monitoramento Acumulado Geral'!Q725</f>
        <v>0</v>
      </c>
      <c r="M725" s="6">
        <f>(SUM(L722:L725))/K724</f>
        <v>0</v>
      </c>
      <c r="N725" s="35" t="e">
        <f t="shared" si="1806"/>
        <v>#DIV/0!</v>
      </c>
      <c r="O725" s="6" t="e">
        <f t="shared" ref="O725:Q725" si="1999">O701</f>
        <v>#DIV/0!</v>
      </c>
      <c r="P725" s="6" t="e">
        <f t="shared" si="1999"/>
        <v>#DIV/0!</v>
      </c>
      <c r="Q725" s="6" t="e">
        <f t="shared" si="1999"/>
        <v>#DIV/0!</v>
      </c>
      <c r="R725" s="69">
        <v>43</v>
      </c>
      <c r="S725" s="69">
        <v>0</v>
      </c>
      <c r="T725" s="6">
        <f t="shared" si="1801"/>
        <v>0</v>
      </c>
      <c r="U725" s="35" t="e">
        <f t="shared" si="1808"/>
        <v>#DIV/0!</v>
      </c>
      <c r="V725" s="6" t="e">
        <f t="shared" ref="V725:Z725" si="2000">V713</f>
        <v>#DIV/0!</v>
      </c>
      <c r="W725" s="6" t="e">
        <f t="shared" si="2000"/>
        <v>#DIV/0!</v>
      </c>
      <c r="X725" s="6" t="e">
        <f t="shared" si="2000"/>
        <v>#DIV/0!</v>
      </c>
      <c r="Y725" s="6" t="e">
        <f t="shared" si="2000"/>
        <v>#DIV/0!</v>
      </c>
      <c r="Z725" s="6" t="e">
        <f t="shared" si="2000"/>
        <v>#DIV/0!</v>
      </c>
    </row>
    <row r="726" spans="1:26" x14ac:dyDescent="0.2">
      <c r="A726" s="7" t="s">
        <v>129</v>
      </c>
      <c r="B726" s="6">
        <f t="shared" si="1803"/>
        <v>5</v>
      </c>
      <c r="C726" s="7" t="s">
        <v>155</v>
      </c>
      <c r="D726" s="68">
        <v>25</v>
      </c>
      <c r="E726" s="68">
        <v>0</v>
      </c>
      <c r="F726" s="65">
        <f t="shared" si="1798"/>
        <v>0</v>
      </c>
      <c r="G726" s="60" t="e">
        <f t="shared" si="1804"/>
        <v>#DIV/0!</v>
      </c>
      <c r="H726" s="65" t="e">
        <f t="shared" ref="H726:J726" si="2001">H714</f>
        <v>#DIV/0!</v>
      </c>
      <c r="I726" s="65" t="e">
        <f t="shared" si="2001"/>
        <v>#DIV/0!</v>
      </c>
      <c r="J726" s="65" t="e">
        <f t="shared" si="2001"/>
        <v>#DIV/0!</v>
      </c>
      <c r="K726" s="69">
        <v>4800</v>
      </c>
      <c r="L726" s="69">
        <f>'Monitoramento Acumulado Geral'!Q726</f>
        <v>0</v>
      </c>
      <c r="M726" s="6">
        <f>(SUM(L722:L726))/K725</f>
        <v>0</v>
      </c>
      <c r="N726" s="35" t="e">
        <f t="shared" si="1806"/>
        <v>#DIV/0!</v>
      </c>
      <c r="O726" s="6" t="e">
        <f t="shared" ref="O726:Q726" si="2002">O702</f>
        <v>#DIV/0!</v>
      </c>
      <c r="P726" s="6" t="e">
        <f t="shared" si="2002"/>
        <v>#DIV/0!</v>
      </c>
      <c r="Q726" s="6" t="e">
        <f t="shared" si="2002"/>
        <v>#DIV/0!</v>
      </c>
      <c r="R726" s="69">
        <v>43</v>
      </c>
      <c r="S726" s="69">
        <v>0</v>
      </c>
      <c r="T726" s="6">
        <f t="shared" si="1801"/>
        <v>0</v>
      </c>
      <c r="U726" s="35" t="e">
        <f t="shared" si="1808"/>
        <v>#DIV/0!</v>
      </c>
      <c r="V726" s="6" t="e">
        <f t="shared" ref="V726:Z726" si="2003">V714</f>
        <v>#DIV/0!</v>
      </c>
      <c r="W726" s="6" t="e">
        <f t="shared" si="2003"/>
        <v>#DIV/0!</v>
      </c>
      <c r="X726" s="6" t="e">
        <f t="shared" si="2003"/>
        <v>#DIV/0!</v>
      </c>
      <c r="Y726" s="6" t="e">
        <f t="shared" si="2003"/>
        <v>#DIV/0!</v>
      </c>
      <c r="Z726" s="6" t="e">
        <f t="shared" si="2003"/>
        <v>#DIV/0!</v>
      </c>
    </row>
    <row r="727" spans="1:26" x14ac:dyDescent="0.2">
      <c r="A727" s="7" t="s">
        <v>129</v>
      </c>
      <c r="B727" s="6">
        <f t="shared" si="1803"/>
        <v>6</v>
      </c>
      <c r="C727" s="7" t="s">
        <v>156</v>
      </c>
      <c r="D727" s="68">
        <v>25</v>
      </c>
      <c r="E727" s="68">
        <v>0</v>
      </c>
      <c r="F727" s="65">
        <f t="shared" si="1798"/>
        <v>0</v>
      </c>
      <c r="G727" s="60" t="e">
        <f t="shared" si="1804"/>
        <v>#DIV/0!</v>
      </c>
      <c r="H727" s="65" t="e">
        <f t="shared" ref="H727:J727" si="2004">H715</f>
        <v>#DIV/0!</v>
      </c>
      <c r="I727" s="65" t="e">
        <f t="shared" si="2004"/>
        <v>#DIV/0!</v>
      </c>
      <c r="J727" s="65" t="e">
        <f t="shared" si="2004"/>
        <v>#DIV/0!</v>
      </c>
      <c r="K727" s="69">
        <v>4800</v>
      </c>
      <c r="L727" s="69">
        <f>'Monitoramento Acumulado Geral'!Q727</f>
        <v>0</v>
      </c>
      <c r="M727" s="6">
        <f>(SUM(L722:L727))/K726</f>
        <v>0</v>
      </c>
      <c r="N727" s="35" t="e">
        <f t="shared" si="1806"/>
        <v>#DIV/0!</v>
      </c>
      <c r="O727" s="6" t="e">
        <f t="shared" ref="O727:Q727" si="2005">O703</f>
        <v>#DIV/0!</v>
      </c>
      <c r="P727" s="6" t="e">
        <f t="shared" si="2005"/>
        <v>#DIV/0!</v>
      </c>
      <c r="Q727" s="6" t="e">
        <f t="shared" si="2005"/>
        <v>#DIV/0!</v>
      </c>
      <c r="R727" s="69">
        <v>43</v>
      </c>
      <c r="S727" s="69">
        <v>0</v>
      </c>
      <c r="T727" s="6">
        <f t="shared" si="1801"/>
        <v>0</v>
      </c>
      <c r="U727" s="35" t="e">
        <f t="shared" si="1808"/>
        <v>#DIV/0!</v>
      </c>
      <c r="V727" s="6" t="e">
        <f t="shared" ref="V727:Z727" si="2006">V715</f>
        <v>#DIV/0!</v>
      </c>
      <c r="W727" s="6" t="e">
        <f t="shared" si="2006"/>
        <v>#DIV/0!</v>
      </c>
      <c r="X727" s="6" t="e">
        <f t="shared" si="2006"/>
        <v>#DIV/0!</v>
      </c>
      <c r="Y727" s="6" t="e">
        <f t="shared" si="2006"/>
        <v>#DIV/0!</v>
      </c>
      <c r="Z727" s="6" t="e">
        <f t="shared" si="2006"/>
        <v>#DIV/0!</v>
      </c>
    </row>
    <row r="728" spans="1:26" x14ac:dyDescent="0.2">
      <c r="A728" s="7" t="s">
        <v>129</v>
      </c>
      <c r="B728" s="6">
        <f t="shared" si="1803"/>
        <v>7</v>
      </c>
      <c r="C728" s="7" t="s">
        <v>157</v>
      </c>
      <c r="D728" s="68">
        <v>25</v>
      </c>
      <c r="E728" s="68">
        <v>0</v>
      </c>
      <c r="F728" s="65">
        <f t="shared" si="1798"/>
        <v>0</v>
      </c>
      <c r="G728" s="60" t="e">
        <f t="shared" si="1804"/>
        <v>#DIV/0!</v>
      </c>
      <c r="H728" s="65" t="e">
        <f t="shared" ref="H728:J728" si="2007">H716</f>
        <v>#DIV/0!</v>
      </c>
      <c r="I728" s="65" t="e">
        <f t="shared" si="2007"/>
        <v>#DIV/0!</v>
      </c>
      <c r="J728" s="65" t="e">
        <f t="shared" si="2007"/>
        <v>#DIV/0!</v>
      </c>
      <c r="K728" s="69">
        <v>4800</v>
      </c>
      <c r="L728" s="69">
        <f>'Monitoramento Acumulado Geral'!Q728</f>
        <v>0</v>
      </c>
      <c r="M728" s="6">
        <f>(SUM(L722:L728))/K727</f>
        <v>0</v>
      </c>
      <c r="N728" s="35" t="e">
        <f t="shared" si="1806"/>
        <v>#DIV/0!</v>
      </c>
      <c r="O728" s="6" t="e">
        <f t="shared" ref="O728:Q728" si="2008">O704</f>
        <v>#DIV/0!</v>
      </c>
      <c r="P728" s="6" t="e">
        <f t="shared" si="2008"/>
        <v>#DIV/0!</v>
      </c>
      <c r="Q728" s="6" t="e">
        <f t="shared" si="2008"/>
        <v>#DIV/0!</v>
      </c>
      <c r="R728" s="69">
        <v>43</v>
      </c>
      <c r="S728" s="69">
        <v>0</v>
      </c>
      <c r="T728" s="6">
        <f t="shared" si="1801"/>
        <v>0</v>
      </c>
      <c r="U728" s="35" t="e">
        <f t="shared" si="1808"/>
        <v>#DIV/0!</v>
      </c>
      <c r="V728" s="6" t="e">
        <f t="shared" ref="V728:Z728" si="2009">V716</f>
        <v>#DIV/0!</v>
      </c>
      <c r="W728" s="6" t="e">
        <f t="shared" si="2009"/>
        <v>#DIV/0!</v>
      </c>
      <c r="X728" s="6" t="e">
        <f t="shared" si="2009"/>
        <v>#DIV/0!</v>
      </c>
      <c r="Y728" s="6" t="e">
        <f t="shared" si="2009"/>
        <v>#DIV/0!</v>
      </c>
      <c r="Z728" s="6" t="e">
        <f t="shared" si="2009"/>
        <v>#DIV/0!</v>
      </c>
    </row>
    <row r="729" spans="1:26" x14ac:dyDescent="0.2">
      <c r="A729" s="7" t="s">
        <v>129</v>
      </c>
      <c r="B729" s="6">
        <f t="shared" si="1803"/>
        <v>8</v>
      </c>
      <c r="C729" s="7" t="s">
        <v>158</v>
      </c>
      <c r="D729" s="68">
        <v>25</v>
      </c>
      <c r="E729" s="68">
        <v>0</v>
      </c>
      <c r="F729" s="65">
        <f t="shared" si="1798"/>
        <v>0</v>
      </c>
      <c r="G729" s="60" t="e">
        <f t="shared" si="1804"/>
        <v>#DIV/0!</v>
      </c>
      <c r="H729" s="65" t="e">
        <f t="shared" ref="H729:J729" si="2010">H717</f>
        <v>#DIV/0!</v>
      </c>
      <c r="I729" s="65" t="e">
        <f t="shared" si="2010"/>
        <v>#DIV/0!</v>
      </c>
      <c r="J729" s="65" t="e">
        <f t="shared" si="2010"/>
        <v>#DIV/0!</v>
      </c>
      <c r="K729" s="69">
        <v>4800</v>
      </c>
      <c r="L729" s="69">
        <f>'Monitoramento Acumulado Geral'!Q729</f>
        <v>0</v>
      </c>
      <c r="M729" s="6">
        <f>(SUM(L722:L729))/K728</f>
        <v>0</v>
      </c>
      <c r="N729" s="35" t="e">
        <f t="shared" si="1806"/>
        <v>#DIV/0!</v>
      </c>
      <c r="O729" s="6" t="e">
        <f t="shared" ref="O729:Q729" si="2011">O705</f>
        <v>#DIV/0!</v>
      </c>
      <c r="P729" s="6" t="e">
        <f t="shared" si="2011"/>
        <v>#DIV/0!</v>
      </c>
      <c r="Q729" s="6" t="e">
        <f t="shared" si="2011"/>
        <v>#DIV/0!</v>
      </c>
      <c r="R729" s="69">
        <v>43</v>
      </c>
      <c r="S729" s="69">
        <v>0</v>
      </c>
      <c r="T729" s="6">
        <f t="shared" si="1801"/>
        <v>0</v>
      </c>
      <c r="U729" s="35" t="e">
        <f t="shared" si="1808"/>
        <v>#DIV/0!</v>
      </c>
      <c r="V729" s="6" t="e">
        <f t="shared" ref="V729:Z729" si="2012">V717</f>
        <v>#DIV/0!</v>
      </c>
      <c r="W729" s="6" t="e">
        <f t="shared" si="2012"/>
        <v>#DIV/0!</v>
      </c>
      <c r="X729" s="6" t="e">
        <f t="shared" si="2012"/>
        <v>#DIV/0!</v>
      </c>
      <c r="Y729" s="6" t="e">
        <f t="shared" si="2012"/>
        <v>#DIV/0!</v>
      </c>
      <c r="Z729" s="6" t="e">
        <f t="shared" si="2012"/>
        <v>#DIV/0!</v>
      </c>
    </row>
    <row r="730" spans="1:26" x14ac:dyDescent="0.2">
      <c r="A730" s="7" t="s">
        <v>129</v>
      </c>
      <c r="B730" s="6">
        <f t="shared" si="1803"/>
        <v>9</v>
      </c>
      <c r="C730" s="7" t="s">
        <v>159</v>
      </c>
      <c r="D730" s="68">
        <v>25</v>
      </c>
      <c r="E730" s="68">
        <v>0</v>
      </c>
      <c r="F730" s="65">
        <f t="shared" si="1798"/>
        <v>0</v>
      </c>
      <c r="G730" s="60" t="e">
        <f t="shared" si="1804"/>
        <v>#DIV/0!</v>
      </c>
      <c r="H730" s="65" t="e">
        <f t="shared" ref="H730:J730" si="2013">H718</f>
        <v>#DIV/0!</v>
      </c>
      <c r="I730" s="65" t="e">
        <f t="shared" si="2013"/>
        <v>#DIV/0!</v>
      </c>
      <c r="J730" s="65" t="e">
        <f t="shared" si="2013"/>
        <v>#DIV/0!</v>
      </c>
      <c r="K730" s="69">
        <v>4800</v>
      </c>
      <c r="L730" s="69">
        <f>'Monitoramento Acumulado Geral'!Q730</f>
        <v>0</v>
      </c>
      <c r="M730" s="6">
        <f>(SUM(L722:L730))/K729</f>
        <v>0</v>
      </c>
      <c r="N730" s="35" t="e">
        <f t="shared" si="1806"/>
        <v>#DIV/0!</v>
      </c>
      <c r="O730" s="6" t="e">
        <f t="shared" ref="O730:Q730" si="2014">O706</f>
        <v>#DIV/0!</v>
      </c>
      <c r="P730" s="6" t="e">
        <f t="shared" si="2014"/>
        <v>#DIV/0!</v>
      </c>
      <c r="Q730" s="6" t="e">
        <f t="shared" si="2014"/>
        <v>#DIV/0!</v>
      </c>
      <c r="R730" s="69">
        <v>43</v>
      </c>
      <c r="S730" s="69">
        <v>0</v>
      </c>
      <c r="T730" s="6">
        <f t="shared" si="1801"/>
        <v>0</v>
      </c>
      <c r="U730" s="35" t="e">
        <f t="shared" si="1808"/>
        <v>#DIV/0!</v>
      </c>
      <c r="V730" s="6" t="e">
        <f t="shared" ref="V730:Z730" si="2015">V718</f>
        <v>#DIV/0!</v>
      </c>
      <c r="W730" s="6" t="e">
        <f t="shared" si="2015"/>
        <v>#DIV/0!</v>
      </c>
      <c r="X730" s="6" t="e">
        <f t="shared" si="2015"/>
        <v>#DIV/0!</v>
      </c>
      <c r="Y730" s="6" t="e">
        <f t="shared" si="2015"/>
        <v>#DIV/0!</v>
      </c>
      <c r="Z730" s="6" t="e">
        <f t="shared" si="2015"/>
        <v>#DIV/0!</v>
      </c>
    </row>
    <row r="731" spans="1:26" x14ac:dyDescent="0.2">
      <c r="A731" s="7" t="s">
        <v>129</v>
      </c>
      <c r="B731" s="6">
        <f t="shared" si="1803"/>
        <v>10</v>
      </c>
      <c r="C731" s="7" t="s">
        <v>160</v>
      </c>
      <c r="D731" s="68">
        <v>25</v>
      </c>
      <c r="E731" s="68">
        <v>0</v>
      </c>
      <c r="F731" s="65">
        <f t="shared" si="1798"/>
        <v>0</v>
      </c>
      <c r="G731" s="60" t="e">
        <f t="shared" si="1804"/>
        <v>#DIV/0!</v>
      </c>
      <c r="H731" s="65" t="e">
        <f t="shared" ref="H731:J731" si="2016">H719</f>
        <v>#DIV/0!</v>
      </c>
      <c r="I731" s="65" t="e">
        <f t="shared" si="2016"/>
        <v>#DIV/0!</v>
      </c>
      <c r="J731" s="65" t="e">
        <f t="shared" si="2016"/>
        <v>#DIV/0!</v>
      </c>
      <c r="K731" s="69">
        <v>4800</v>
      </c>
      <c r="L731" s="69">
        <f>'Monitoramento Acumulado Geral'!Q731</f>
        <v>0</v>
      </c>
      <c r="M731" s="6">
        <f>(SUM(L722:L731))/K730</f>
        <v>0</v>
      </c>
      <c r="N731" s="35" t="e">
        <f t="shared" si="1806"/>
        <v>#DIV/0!</v>
      </c>
      <c r="O731" s="6" t="e">
        <f t="shared" ref="O731:Q731" si="2017">O707</f>
        <v>#DIV/0!</v>
      </c>
      <c r="P731" s="6" t="e">
        <f t="shared" si="2017"/>
        <v>#DIV/0!</v>
      </c>
      <c r="Q731" s="6" t="e">
        <f t="shared" si="2017"/>
        <v>#DIV/0!</v>
      </c>
      <c r="R731" s="69">
        <v>43</v>
      </c>
      <c r="S731" s="69">
        <v>0</v>
      </c>
      <c r="T731" s="6">
        <f t="shared" si="1801"/>
        <v>0</v>
      </c>
      <c r="U731" s="35" t="e">
        <f t="shared" si="1808"/>
        <v>#DIV/0!</v>
      </c>
      <c r="V731" s="6" t="e">
        <f t="shared" ref="V731:Z731" si="2018">V719</f>
        <v>#DIV/0!</v>
      </c>
      <c r="W731" s="6" t="e">
        <f t="shared" si="2018"/>
        <v>#DIV/0!</v>
      </c>
      <c r="X731" s="6" t="e">
        <f t="shared" si="2018"/>
        <v>#DIV/0!</v>
      </c>
      <c r="Y731" s="6" t="e">
        <f t="shared" si="2018"/>
        <v>#DIV/0!</v>
      </c>
      <c r="Z731" s="6" t="e">
        <f t="shared" si="2018"/>
        <v>#DIV/0!</v>
      </c>
    </row>
    <row r="732" spans="1:26" x14ac:dyDescent="0.2">
      <c r="A732" s="7" t="s">
        <v>129</v>
      </c>
      <c r="B732" s="6">
        <f t="shared" si="1803"/>
        <v>11</v>
      </c>
      <c r="C732" s="7" t="s">
        <v>161</v>
      </c>
      <c r="D732" s="68">
        <v>25</v>
      </c>
      <c r="E732" s="68">
        <v>0</v>
      </c>
      <c r="F732" s="65">
        <f t="shared" si="1798"/>
        <v>0</v>
      </c>
      <c r="G732" s="60" t="e">
        <f t="shared" si="1804"/>
        <v>#DIV/0!</v>
      </c>
      <c r="H732" s="65" t="e">
        <f t="shared" ref="H732:J732" si="2019">H720</f>
        <v>#DIV/0!</v>
      </c>
      <c r="I732" s="65" t="e">
        <f t="shared" si="2019"/>
        <v>#DIV/0!</v>
      </c>
      <c r="J732" s="65" t="e">
        <f t="shared" si="2019"/>
        <v>#DIV/0!</v>
      </c>
      <c r="K732" s="69">
        <v>4800</v>
      </c>
      <c r="L732" s="69">
        <f>'Monitoramento Acumulado Geral'!Q732</f>
        <v>0</v>
      </c>
      <c r="M732" s="6">
        <f>(SUM(L722:L732))/K731</f>
        <v>0</v>
      </c>
      <c r="N732" s="35" t="e">
        <f t="shared" si="1806"/>
        <v>#DIV/0!</v>
      </c>
      <c r="O732" s="6" t="e">
        <f t="shared" ref="O732:Q732" si="2020">O708</f>
        <v>#DIV/0!</v>
      </c>
      <c r="P732" s="6" t="e">
        <f t="shared" si="2020"/>
        <v>#DIV/0!</v>
      </c>
      <c r="Q732" s="6" t="e">
        <f t="shared" si="2020"/>
        <v>#DIV/0!</v>
      </c>
      <c r="R732" s="69">
        <v>43</v>
      </c>
      <c r="S732" s="69">
        <v>0</v>
      </c>
      <c r="T732" s="6">
        <f t="shared" si="1801"/>
        <v>0</v>
      </c>
      <c r="U732" s="35" t="e">
        <f t="shared" si="1808"/>
        <v>#DIV/0!</v>
      </c>
      <c r="V732" s="6" t="e">
        <f t="shared" ref="V732:Z732" si="2021">V720</f>
        <v>#DIV/0!</v>
      </c>
      <c r="W732" s="6" t="e">
        <f t="shared" si="2021"/>
        <v>#DIV/0!</v>
      </c>
      <c r="X732" s="6" t="e">
        <f t="shared" si="2021"/>
        <v>#DIV/0!</v>
      </c>
      <c r="Y732" s="6" t="e">
        <f t="shared" si="2021"/>
        <v>#DIV/0!</v>
      </c>
      <c r="Z732" s="6" t="e">
        <f t="shared" si="2021"/>
        <v>#DIV/0!</v>
      </c>
    </row>
    <row r="733" spans="1:26" x14ac:dyDescent="0.2">
      <c r="A733" s="7" t="s">
        <v>129</v>
      </c>
      <c r="B733" s="6">
        <f t="shared" si="1803"/>
        <v>12</v>
      </c>
      <c r="C733" s="7" t="s">
        <v>162</v>
      </c>
      <c r="D733" s="68">
        <v>25</v>
      </c>
      <c r="E733" s="68">
        <v>0</v>
      </c>
      <c r="F733" s="65">
        <f t="shared" si="1798"/>
        <v>0</v>
      </c>
      <c r="G733" s="60" t="e">
        <f t="shared" si="1804"/>
        <v>#DIV/0!</v>
      </c>
      <c r="H733" s="65" t="e">
        <f t="shared" ref="H733:J733" si="2022">H721</f>
        <v>#DIV/0!</v>
      </c>
      <c r="I733" s="65" t="e">
        <f t="shared" si="2022"/>
        <v>#DIV/0!</v>
      </c>
      <c r="J733" s="65" t="e">
        <f t="shared" si="2022"/>
        <v>#DIV/0!</v>
      </c>
      <c r="K733" s="69">
        <v>4800</v>
      </c>
      <c r="L733" s="69">
        <f>'Monitoramento Acumulado Geral'!Q733</f>
        <v>0</v>
      </c>
      <c r="M733" s="6">
        <f>(SUM(L722:L733))/K732</f>
        <v>0</v>
      </c>
      <c r="N733" s="35" t="e">
        <f t="shared" si="1806"/>
        <v>#DIV/0!</v>
      </c>
      <c r="O733" s="6" t="e">
        <f t="shared" ref="O733:Q733" si="2023">O709</f>
        <v>#DIV/0!</v>
      </c>
      <c r="P733" s="6" t="e">
        <f t="shared" si="2023"/>
        <v>#DIV/0!</v>
      </c>
      <c r="Q733" s="6" t="e">
        <f t="shared" si="2023"/>
        <v>#DIV/0!</v>
      </c>
      <c r="R733" s="69">
        <v>43</v>
      </c>
      <c r="S733" s="69">
        <v>0</v>
      </c>
      <c r="T733" s="6">
        <f t="shared" si="1801"/>
        <v>0</v>
      </c>
      <c r="U733" s="35" t="e">
        <f t="shared" si="1808"/>
        <v>#DIV/0!</v>
      </c>
      <c r="V733" s="6" t="e">
        <f t="shared" ref="V733:Z733" si="2024">V721</f>
        <v>#DIV/0!</v>
      </c>
      <c r="W733" s="6" t="e">
        <f t="shared" si="2024"/>
        <v>#DIV/0!</v>
      </c>
      <c r="X733" s="6" t="e">
        <f t="shared" si="2024"/>
        <v>#DIV/0!</v>
      </c>
      <c r="Y733" s="6" t="e">
        <f t="shared" si="2024"/>
        <v>#DIV/0!</v>
      </c>
      <c r="Z733" s="6" t="e">
        <f t="shared" si="2024"/>
        <v>#DIV/0!</v>
      </c>
    </row>
    <row r="734" spans="1:26" x14ac:dyDescent="0.2">
      <c r="A734" s="7" t="s">
        <v>125</v>
      </c>
      <c r="B734" s="6">
        <f t="shared" si="1803"/>
        <v>1</v>
      </c>
      <c r="C734" s="7" t="s">
        <v>151</v>
      </c>
      <c r="D734" s="68">
        <v>75</v>
      </c>
      <c r="E734" s="68">
        <v>0</v>
      </c>
      <c r="F734" s="65">
        <f t="shared" si="1798"/>
        <v>0</v>
      </c>
      <c r="G734" s="60" t="e">
        <f t="shared" si="1804"/>
        <v>#DIV/0!</v>
      </c>
      <c r="H734" s="65" t="e">
        <f t="shared" ref="H734:J734" si="2025">H722</f>
        <v>#DIV/0!</v>
      </c>
      <c r="I734" s="65" t="e">
        <f t="shared" si="2025"/>
        <v>#DIV/0!</v>
      </c>
      <c r="J734" s="65" t="e">
        <f t="shared" si="2025"/>
        <v>#DIV/0!</v>
      </c>
      <c r="K734" s="69">
        <v>6920.5</v>
      </c>
      <c r="L734" s="69">
        <f>'Monitoramento Acumulado Geral'!Q734</f>
        <v>0</v>
      </c>
      <c r="M734" s="6">
        <f>L734/K734</f>
        <v>0</v>
      </c>
      <c r="N734" s="35" t="e">
        <f t="shared" si="1806"/>
        <v>#DIV/0!</v>
      </c>
      <c r="O734" s="6" t="e">
        <f t="shared" ref="O734:Q734" si="2026">O722</f>
        <v>#DIV/0!</v>
      </c>
      <c r="P734" s="6" t="e">
        <f t="shared" si="2026"/>
        <v>#DIV/0!</v>
      </c>
      <c r="Q734" s="6" t="e">
        <f t="shared" si="2026"/>
        <v>#DIV/0!</v>
      </c>
      <c r="R734" s="69">
        <v>80</v>
      </c>
      <c r="S734" s="69">
        <v>0</v>
      </c>
      <c r="T734" s="6">
        <f t="shared" si="1801"/>
        <v>0</v>
      </c>
      <c r="U734" s="35" t="e">
        <f t="shared" si="1808"/>
        <v>#DIV/0!</v>
      </c>
      <c r="V734" s="6" t="e">
        <f t="shared" ref="V734:Z734" si="2027">V722</f>
        <v>#DIV/0!</v>
      </c>
      <c r="W734" s="6" t="e">
        <f t="shared" si="2027"/>
        <v>#DIV/0!</v>
      </c>
      <c r="X734" s="6" t="e">
        <f t="shared" si="2027"/>
        <v>#DIV/0!</v>
      </c>
      <c r="Y734" s="6" t="e">
        <f t="shared" si="2027"/>
        <v>#DIV/0!</v>
      </c>
      <c r="Z734" s="6" t="e">
        <f t="shared" si="2027"/>
        <v>#DIV/0!</v>
      </c>
    </row>
    <row r="735" spans="1:26" x14ac:dyDescent="0.2">
      <c r="A735" s="7" t="s">
        <v>125</v>
      </c>
      <c r="B735" s="6">
        <f t="shared" si="1803"/>
        <v>2</v>
      </c>
      <c r="C735" s="7" t="s">
        <v>152</v>
      </c>
      <c r="D735" s="68">
        <v>75</v>
      </c>
      <c r="E735" s="68">
        <v>0</v>
      </c>
      <c r="F735" s="65">
        <f t="shared" si="1798"/>
        <v>0</v>
      </c>
      <c r="G735" s="60" t="e">
        <f t="shared" si="1804"/>
        <v>#DIV/0!</v>
      </c>
      <c r="H735" s="65" t="e">
        <f t="shared" ref="H735:J735" si="2028">H723</f>
        <v>#DIV/0!</v>
      </c>
      <c r="I735" s="65" t="e">
        <f t="shared" si="2028"/>
        <v>#DIV/0!</v>
      </c>
      <c r="J735" s="65" t="e">
        <f t="shared" si="2028"/>
        <v>#DIV/0!</v>
      </c>
      <c r="K735" s="69">
        <v>6920.5</v>
      </c>
      <c r="L735" s="69">
        <f>'Monitoramento Acumulado Geral'!Q735</f>
        <v>0</v>
      </c>
      <c r="M735" s="6">
        <f>(SUM(L734:L735))/K734</f>
        <v>0</v>
      </c>
      <c r="N735" s="35" t="e">
        <f t="shared" si="1806"/>
        <v>#DIV/0!</v>
      </c>
      <c r="O735" s="6" t="e">
        <f t="shared" ref="O735:Q735" si="2029">O723</f>
        <v>#DIV/0!</v>
      </c>
      <c r="P735" s="6" t="e">
        <f t="shared" si="2029"/>
        <v>#DIV/0!</v>
      </c>
      <c r="Q735" s="6" t="e">
        <f t="shared" si="2029"/>
        <v>#DIV/0!</v>
      </c>
      <c r="R735" s="69">
        <v>80</v>
      </c>
      <c r="S735" s="69">
        <v>0</v>
      </c>
      <c r="T735" s="6">
        <f t="shared" si="1801"/>
        <v>0</v>
      </c>
      <c r="U735" s="35" t="e">
        <f t="shared" si="1808"/>
        <v>#DIV/0!</v>
      </c>
      <c r="V735" s="6" t="e">
        <f t="shared" ref="V735:Z735" si="2030">V723</f>
        <v>#DIV/0!</v>
      </c>
      <c r="W735" s="6" t="e">
        <f t="shared" si="2030"/>
        <v>#DIV/0!</v>
      </c>
      <c r="X735" s="6" t="e">
        <f t="shared" si="2030"/>
        <v>#DIV/0!</v>
      </c>
      <c r="Y735" s="6" t="e">
        <f t="shared" si="2030"/>
        <v>#DIV/0!</v>
      </c>
      <c r="Z735" s="6" t="e">
        <f t="shared" si="2030"/>
        <v>#DIV/0!</v>
      </c>
    </row>
    <row r="736" spans="1:26" x14ac:dyDescent="0.2">
      <c r="A736" s="7" t="s">
        <v>125</v>
      </c>
      <c r="B736" s="6">
        <f t="shared" si="1803"/>
        <v>3</v>
      </c>
      <c r="C736" s="7" t="s">
        <v>153</v>
      </c>
      <c r="D736" s="68">
        <v>75</v>
      </c>
      <c r="E736" s="68">
        <v>27</v>
      </c>
      <c r="F736" s="65">
        <f t="shared" si="1798"/>
        <v>0.36</v>
      </c>
      <c r="G736" s="60" t="e">
        <f t="shared" si="1804"/>
        <v>#DIV/0!</v>
      </c>
      <c r="H736" s="65" t="e">
        <f t="shared" ref="H736:J736" si="2031">H724</f>
        <v>#DIV/0!</v>
      </c>
      <c r="I736" s="65" t="e">
        <f t="shared" si="2031"/>
        <v>#DIV/0!</v>
      </c>
      <c r="J736" s="65" t="e">
        <f t="shared" si="2031"/>
        <v>#DIV/0!</v>
      </c>
      <c r="K736" s="69">
        <v>6920.5</v>
      </c>
      <c r="L736" s="69">
        <f>'Monitoramento Acumulado Geral'!Q736</f>
        <v>1500</v>
      </c>
      <c r="M736" s="6">
        <f>(SUM(L734:L736))/K735</f>
        <v>0.21674734484502564</v>
      </c>
      <c r="N736" s="35" t="e">
        <f t="shared" si="1806"/>
        <v>#DIV/0!</v>
      </c>
      <c r="O736" s="6" t="e">
        <f t="shared" ref="O736:Q736" si="2032">O724</f>
        <v>#DIV/0!</v>
      </c>
      <c r="P736" s="6" t="e">
        <f t="shared" si="2032"/>
        <v>#DIV/0!</v>
      </c>
      <c r="Q736" s="6" t="e">
        <f t="shared" si="2032"/>
        <v>#DIV/0!</v>
      </c>
      <c r="R736" s="69">
        <v>80</v>
      </c>
      <c r="S736" s="69">
        <v>0</v>
      </c>
      <c r="T736" s="6">
        <f t="shared" si="1801"/>
        <v>0</v>
      </c>
      <c r="U736" s="35" t="e">
        <f t="shared" si="1808"/>
        <v>#DIV/0!</v>
      </c>
      <c r="V736" s="6" t="e">
        <f t="shared" ref="V736:Z736" si="2033">V724</f>
        <v>#DIV/0!</v>
      </c>
      <c r="W736" s="6" t="e">
        <f t="shared" si="2033"/>
        <v>#DIV/0!</v>
      </c>
      <c r="X736" s="6" t="e">
        <f t="shared" si="2033"/>
        <v>#DIV/0!</v>
      </c>
      <c r="Y736" s="6" t="e">
        <f t="shared" si="2033"/>
        <v>#DIV/0!</v>
      </c>
      <c r="Z736" s="6" t="e">
        <f t="shared" si="2033"/>
        <v>#DIV/0!</v>
      </c>
    </row>
    <row r="737" spans="1:26" x14ac:dyDescent="0.2">
      <c r="A737" s="7" t="s">
        <v>125</v>
      </c>
      <c r="B737" s="6">
        <f t="shared" si="1803"/>
        <v>4</v>
      </c>
      <c r="C737" s="7" t="s">
        <v>154</v>
      </c>
      <c r="D737" s="68">
        <v>75</v>
      </c>
      <c r="E737" s="68">
        <v>27</v>
      </c>
      <c r="F737" s="65">
        <f t="shared" si="1798"/>
        <v>0.36</v>
      </c>
      <c r="G737" s="60" t="e">
        <f t="shared" si="1804"/>
        <v>#DIV/0!</v>
      </c>
      <c r="H737" s="65" t="e">
        <f t="shared" ref="H737:J737" si="2034">H725</f>
        <v>#DIV/0!</v>
      </c>
      <c r="I737" s="65" t="e">
        <f t="shared" si="2034"/>
        <v>#DIV/0!</v>
      </c>
      <c r="J737" s="65" t="e">
        <f t="shared" si="2034"/>
        <v>#DIV/0!</v>
      </c>
      <c r="K737" s="69">
        <v>6920.5</v>
      </c>
      <c r="L737" s="69">
        <f>'Monitoramento Acumulado Geral'!Q737</f>
        <v>0</v>
      </c>
      <c r="M737" s="6">
        <f>(SUM(L734:L737))/K736</f>
        <v>0.21674734484502564</v>
      </c>
      <c r="N737" s="35" t="e">
        <f t="shared" si="1806"/>
        <v>#DIV/0!</v>
      </c>
      <c r="O737" s="6" t="e">
        <f t="shared" ref="O737:Q737" si="2035">O725</f>
        <v>#DIV/0!</v>
      </c>
      <c r="P737" s="6" t="e">
        <f t="shared" si="2035"/>
        <v>#DIV/0!</v>
      </c>
      <c r="Q737" s="6" t="e">
        <f t="shared" si="2035"/>
        <v>#DIV/0!</v>
      </c>
      <c r="R737" s="69">
        <v>80</v>
      </c>
      <c r="S737" s="69">
        <v>0</v>
      </c>
      <c r="T737" s="6">
        <f t="shared" si="1801"/>
        <v>0</v>
      </c>
      <c r="U737" s="35" t="e">
        <f t="shared" si="1808"/>
        <v>#DIV/0!</v>
      </c>
      <c r="V737" s="6" t="e">
        <f t="shared" ref="V737:Z737" si="2036">V725</f>
        <v>#DIV/0!</v>
      </c>
      <c r="W737" s="6" t="e">
        <f t="shared" si="2036"/>
        <v>#DIV/0!</v>
      </c>
      <c r="X737" s="6" t="e">
        <f t="shared" si="2036"/>
        <v>#DIV/0!</v>
      </c>
      <c r="Y737" s="6" t="e">
        <f t="shared" si="2036"/>
        <v>#DIV/0!</v>
      </c>
      <c r="Z737" s="6" t="e">
        <f t="shared" si="2036"/>
        <v>#DIV/0!</v>
      </c>
    </row>
    <row r="738" spans="1:26" x14ac:dyDescent="0.2">
      <c r="A738" s="7" t="s">
        <v>125</v>
      </c>
      <c r="B738" s="6">
        <f t="shared" si="1803"/>
        <v>5</v>
      </c>
      <c r="C738" s="7" t="s">
        <v>155</v>
      </c>
      <c r="D738" s="68">
        <v>75</v>
      </c>
      <c r="E738" s="68">
        <v>27</v>
      </c>
      <c r="F738" s="65">
        <f>E738/D738</f>
        <v>0.36</v>
      </c>
      <c r="G738" s="60" t="e">
        <f t="shared" si="1804"/>
        <v>#DIV/0!</v>
      </c>
      <c r="H738" s="65" t="e">
        <f t="shared" ref="H738:J738" si="2037">H726</f>
        <v>#DIV/0!</v>
      </c>
      <c r="I738" s="65" t="e">
        <f t="shared" si="2037"/>
        <v>#DIV/0!</v>
      </c>
      <c r="J738" s="65" t="e">
        <f t="shared" si="2037"/>
        <v>#DIV/0!</v>
      </c>
      <c r="K738" s="69">
        <v>6920.5</v>
      </c>
      <c r="L738" s="69">
        <f>'Monitoramento Acumulado Geral'!Q738</f>
        <v>0</v>
      </c>
      <c r="M738" s="6">
        <f>(SUM(L734:L738))/K737</f>
        <v>0.21674734484502564</v>
      </c>
      <c r="N738" s="35" t="e">
        <f t="shared" si="1806"/>
        <v>#DIV/0!</v>
      </c>
      <c r="O738" s="6" t="e">
        <f t="shared" ref="O738:Q738" si="2038">O726</f>
        <v>#DIV/0!</v>
      </c>
      <c r="P738" s="6" t="e">
        <f t="shared" si="2038"/>
        <v>#DIV/0!</v>
      </c>
      <c r="Q738" s="6" t="e">
        <f t="shared" si="2038"/>
        <v>#DIV/0!</v>
      </c>
      <c r="R738" s="69">
        <v>80</v>
      </c>
      <c r="S738" s="69">
        <v>18</v>
      </c>
      <c r="T738" s="6">
        <f t="shared" ref="T738" si="2039">S738/R738</f>
        <v>0.22500000000000001</v>
      </c>
      <c r="U738" s="35" t="e">
        <f t="shared" si="1808"/>
        <v>#DIV/0!</v>
      </c>
      <c r="V738" s="6" t="e">
        <f t="shared" ref="V738:Z738" si="2040">V726</f>
        <v>#DIV/0!</v>
      </c>
      <c r="W738" s="6" t="e">
        <f t="shared" si="2040"/>
        <v>#DIV/0!</v>
      </c>
      <c r="X738" s="6" t="e">
        <f t="shared" si="2040"/>
        <v>#DIV/0!</v>
      </c>
      <c r="Y738" s="6" t="e">
        <f t="shared" si="2040"/>
        <v>#DIV/0!</v>
      </c>
      <c r="Z738" s="6" t="e">
        <f t="shared" si="2040"/>
        <v>#DIV/0!</v>
      </c>
    </row>
    <row r="739" spans="1:26" x14ac:dyDescent="0.2">
      <c r="A739" s="7" t="s">
        <v>125</v>
      </c>
      <c r="B739" s="6">
        <f t="shared" ref="B739:B750" si="2041">_xlfn.IFS(C739="Janeiro",1,C739="Fevereiro",2,C739="Março",3,C739="Abril",4,C739="Maio",5,C739="Junho",6,C739="Julho",7,C739="Agosto",8,C739="Setembro",9,C739="Outubro",10,C739="Novembro",11,C739="Dezembro",12,TRUE,0)</f>
        <v>6</v>
      </c>
      <c r="C739" s="7" t="s">
        <v>156</v>
      </c>
      <c r="D739" s="68">
        <v>75</v>
      </c>
      <c r="E739" s="68">
        <v>27</v>
      </c>
      <c r="F739" s="65">
        <f t="shared" ref="F739:F757" si="2042">E739/D739</f>
        <v>0.36</v>
      </c>
      <c r="G739" s="60" t="e">
        <f t="shared" ref="G739:G757" si="2043">IF(F739&gt;=I739,"Desempenho Ótimo",(IF(F739&gt;H739,"Desempenho Bom",(IF(F739&gt;J739,"Desempenho Médio",IF(F739&lt;=J739,"Desempenho Deficitário",0))))))</f>
        <v>#DIV/0!</v>
      </c>
      <c r="H739" s="65" t="e">
        <f t="shared" ref="H739:J739" si="2044">H727</f>
        <v>#DIV/0!</v>
      </c>
      <c r="I739" s="65" t="e">
        <f t="shared" si="2044"/>
        <v>#DIV/0!</v>
      </c>
      <c r="J739" s="65" t="e">
        <f t="shared" si="2044"/>
        <v>#DIV/0!</v>
      </c>
      <c r="K739" s="69">
        <v>6920.5</v>
      </c>
      <c r="L739" s="69">
        <f>'Monitoramento Acumulado Geral'!Q739</f>
        <v>0</v>
      </c>
      <c r="M739" s="6">
        <f>(SUM(L734:L739))/K738</f>
        <v>0.21674734484502564</v>
      </c>
      <c r="N739" s="35" t="e">
        <f t="shared" ref="N739:N757" si="2045">IF(M739&gt;=P739,"Desempenho Ótimo",(IF(M739&gt;O739,"Desempenho Bom",(IF(M739&gt;Q739,"Desempenho Médio",IF(M739&lt;=Q739,"Desempenho Deficitário",0))))))</f>
        <v>#DIV/0!</v>
      </c>
      <c r="O739" s="6" t="e">
        <f t="shared" ref="O739:Q739" si="2046">O727</f>
        <v>#DIV/0!</v>
      </c>
      <c r="P739" s="6" t="e">
        <f t="shared" si="2046"/>
        <v>#DIV/0!</v>
      </c>
      <c r="Q739" s="6" t="e">
        <f t="shared" si="2046"/>
        <v>#DIV/0!</v>
      </c>
      <c r="R739" s="69">
        <v>80</v>
      </c>
      <c r="S739" s="69">
        <v>18</v>
      </c>
      <c r="T739" s="6">
        <f t="shared" ref="T739:T757" si="2047">S739/R739</f>
        <v>0.22500000000000001</v>
      </c>
      <c r="U739" s="35" t="e">
        <f t="shared" ref="U739:U757" si="2048">IF(T739&gt;=W739,"Desempenho Ótimo",(IF(T739&gt;V739,"Desempenho Bom",(IF(T739&gt;X739,"Desempenho Médio",IF(T739&lt;=X739,"Desempenho Deficitário",0))))))</f>
        <v>#DIV/0!</v>
      </c>
      <c r="V739" s="6" t="e">
        <f t="shared" ref="V739:Z739" si="2049">V727</f>
        <v>#DIV/0!</v>
      </c>
      <c r="W739" s="6" t="e">
        <f t="shared" si="2049"/>
        <v>#DIV/0!</v>
      </c>
      <c r="X739" s="6" t="e">
        <f t="shared" si="2049"/>
        <v>#DIV/0!</v>
      </c>
      <c r="Y739" s="6" t="e">
        <f t="shared" si="2049"/>
        <v>#DIV/0!</v>
      </c>
      <c r="Z739" s="6" t="e">
        <f t="shared" si="2049"/>
        <v>#DIV/0!</v>
      </c>
    </row>
    <row r="740" spans="1:26" x14ac:dyDescent="0.2">
      <c r="A740" s="7" t="s">
        <v>125</v>
      </c>
      <c r="B740" s="6">
        <f t="shared" si="2041"/>
        <v>7</v>
      </c>
      <c r="C740" s="7" t="s">
        <v>157</v>
      </c>
      <c r="D740" s="68">
        <v>75</v>
      </c>
      <c r="E740" s="68">
        <v>82</v>
      </c>
      <c r="F740" s="65">
        <f t="shared" si="2042"/>
        <v>1.0933333333333333</v>
      </c>
      <c r="G740" s="60" t="e">
        <f t="shared" si="2043"/>
        <v>#DIV/0!</v>
      </c>
      <c r="H740" s="65" t="e">
        <f t="shared" ref="H740:J740" si="2050">H728</f>
        <v>#DIV/0!</v>
      </c>
      <c r="I740" s="65" t="e">
        <f t="shared" si="2050"/>
        <v>#DIV/0!</v>
      </c>
      <c r="J740" s="65" t="e">
        <f t="shared" si="2050"/>
        <v>#DIV/0!</v>
      </c>
      <c r="K740" s="69">
        <v>6920.5</v>
      </c>
      <c r="L740" s="69">
        <f>'Monitoramento Acumulado Geral'!Q740</f>
        <v>3102.5</v>
      </c>
      <c r="M740" s="6">
        <f>(SUM(L734:L740))/K739</f>
        <v>0.66505310309948706</v>
      </c>
      <c r="N740" s="35" t="e">
        <f t="shared" si="2045"/>
        <v>#DIV/0!</v>
      </c>
      <c r="O740" s="6" t="e">
        <f t="shared" ref="O740:Q740" si="2051">O728</f>
        <v>#DIV/0!</v>
      </c>
      <c r="P740" s="6" t="e">
        <f t="shared" si="2051"/>
        <v>#DIV/0!</v>
      </c>
      <c r="Q740" s="6" t="e">
        <f t="shared" si="2051"/>
        <v>#DIV/0!</v>
      </c>
      <c r="R740" s="69">
        <v>80</v>
      </c>
      <c r="S740" s="69">
        <v>18</v>
      </c>
      <c r="T740" s="6">
        <f t="shared" si="2047"/>
        <v>0.22500000000000001</v>
      </c>
      <c r="U740" s="35" t="e">
        <f t="shared" si="2048"/>
        <v>#DIV/0!</v>
      </c>
      <c r="V740" s="6" t="e">
        <f t="shared" ref="V740:Z740" si="2052">V728</f>
        <v>#DIV/0!</v>
      </c>
      <c r="W740" s="6" t="e">
        <f t="shared" si="2052"/>
        <v>#DIV/0!</v>
      </c>
      <c r="X740" s="6" t="e">
        <f t="shared" si="2052"/>
        <v>#DIV/0!</v>
      </c>
      <c r="Y740" s="6" t="e">
        <f t="shared" si="2052"/>
        <v>#DIV/0!</v>
      </c>
      <c r="Z740" s="6" t="e">
        <f t="shared" si="2052"/>
        <v>#DIV/0!</v>
      </c>
    </row>
    <row r="741" spans="1:26" x14ac:dyDescent="0.2">
      <c r="A741" s="7" t="s">
        <v>125</v>
      </c>
      <c r="B741" s="6">
        <f t="shared" si="2041"/>
        <v>8</v>
      </c>
      <c r="C741" s="7" t="s">
        <v>158</v>
      </c>
      <c r="D741" s="68">
        <v>75</v>
      </c>
      <c r="E741" s="68">
        <v>82</v>
      </c>
      <c r="F741" s="65">
        <f t="shared" si="2042"/>
        <v>1.0933333333333333</v>
      </c>
      <c r="G741" s="60" t="e">
        <f t="shared" si="2043"/>
        <v>#DIV/0!</v>
      </c>
      <c r="H741" s="65" t="e">
        <f t="shared" ref="H741:J741" si="2053">H729</f>
        <v>#DIV/0!</v>
      </c>
      <c r="I741" s="65" t="e">
        <f t="shared" si="2053"/>
        <v>#DIV/0!</v>
      </c>
      <c r="J741" s="65" t="e">
        <f t="shared" si="2053"/>
        <v>#DIV/0!</v>
      </c>
      <c r="K741" s="69">
        <v>6920.5</v>
      </c>
      <c r="L741" s="69">
        <f>'Monitoramento Acumulado Geral'!Q741</f>
        <v>0</v>
      </c>
      <c r="M741" s="6">
        <f>(SUM(L734:L741))/K740</f>
        <v>0.66505310309948706</v>
      </c>
      <c r="N741" s="35" t="e">
        <f t="shared" si="2045"/>
        <v>#DIV/0!</v>
      </c>
      <c r="O741" s="6" t="e">
        <f t="shared" ref="O741:Q741" si="2054">O729</f>
        <v>#DIV/0!</v>
      </c>
      <c r="P741" s="6" t="e">
        <f t="shared" si="2054"/>
        <v>#DIV/0!</v>
      </c>
      <c r="Q741" s="6" t="e">
        <f t="shared" si="2054"/>
        <v>#DIV/0!</v>
      </c>
      <c r="R741" s="69">
        <v>80</v>
      </c>
      <c r="S741" s="69">
        <v>18</v>
      </c>
      <c r="T741" s="6">
        <f t="shared" si="2047"/>
        <v>0.22500000000000001</v>
      </c>
      <c r="U741" s="35" t="e">
        <f t="shared" si="2048"/>
        <v>#DIV/0!</v>
      </c>
      <c r="V741" s="6" t="e">
        <f t="shared" ref="V741:Z741" si="2055">V729</f>
        <v>#DIV/0!</v>
      </c>
      <c r="W741" s="6" t="e">
        <f t="shared" si="2055"/>
        <v>#DIV/0!</v>
      </c>
      <c r="X741" s="6" t="e">
        <f t="shared" si="2055"/>
        <v>#DIV/0!</v>
      </c>
      <c r="Y741" s="6" t="e">
        <f t="shared" si="2055"/>
        <v>#DIV/0!</v>
      </c>
      <c r="Z741" s="6" t="e">
        <f t="shared" si="2055"/>
        <v>#DIV/0!</v>
      </c>
    </row>
    <row r="742" spans="1:26" x14ac:dyDescent="0.2">
      <c r="A742" s="7" t="s">
        <v>125</v>
      </c>
      <c r="B742" s="6">
        <f t="shared" si="2041"/>
        <v>9</v>
      </c>
      <c r="C742" s="7" t="s">
        <v>159</v>
      </c>
      <c r="D742" s="68">
        <v>75</v>
      </c>
      <c r="E742" s="68">
        <v>82</v>
      </c>
      <c r="F742" s="65">
        <f t="shared" si="2042"/>
        <v>1.0933333333333333</v>
      </c>
      <c r="G742" s="60" t="e">
        <f t="shared" si="2043"/>
        <v>#DIV/0!</v>
      </c>
      <c r="H742" s="65" t="e">
        <f t="shared" ref="H742:J742" si="2056">H730</f>
        <v>#DIV/0!</v>
      </c>
      <c r="I742" s="65" t="e">
        <f t="shared" si="2056"/>
        <v>#DIV/0!</v>
      </c>
      <c r="J742" s="65" t="e">
        <f t="shared" si="2056"/>
        <v>#DIV/0!</v>
      </c>
      <c r="K742" s="69">
        <v>6920.5</v>
      </c>
      <c r="L742" s="69">
        <f>'Monitoramento Acumulado Geral'!Q742</f>
        <v>583.83000000000004</v>
      </c>
      <c r="M742" s="6">
        <f>(SUM(L734:L742))/K741</f>
        <v>0.7494155046600679</v>
      </c>
      <c r="N742" s="35" t="e">
        <f t="shared" si="2045"/>
        <v>#DIV/0!</v>
      </c>
      <c r="O742" s="6" t="e">
        <f t="shared" ref="O742:Q742" si="2057">O730</f>
        <v>#DIV/0!</v>
      </c>
      <c r="P742" s="6" t="e">
        <f t="shared" si="2057"/>
        <v>#DIV/0!</v>
      </c>
      <c r="Q742" s="6" t="e">
        <f t="shared" si="2057"/>
        <v>#DIV/0!</v>
      </c>
      <c r="R742" s="69">
        <v>80</v>
      </c>
      <c r="S742" s="69">
        <v>18</v>
      </c>
      <c r="T742" s="6">
        <f t="shared" si="2047"/>
        <v>0.22500000000000001</v>
      </c>
      <c r="U742" s="35" t="e">
        <f t="shared" si="2048"/>
        <v>#DIV/0!</v>
      </c>
      <c r="V742" s="6" t="e">
        <f t="shared" ref="V742:Z742" si="2058">V730</f>
        <v>#DIV/0!</v>
      </c>
      <c r="W742" s="6" t="e">
        <f t="shared" si="2058"/>
        <v>#DIV/0!</v>
      </c>
      <c r="X742" s="6" t="e">
        <f t="shared" si="2058"/>
        <v>#DIV/0!</v>
      </c>
      <c r="Y742" s="6" t="e">
        <f t="shared" si="2058"/>
        <v>#DIV/0!</v>
      </c>
      <c r="Z742" s="6" t="e">
        <f t="shared" si="2058"/>
        <v>#DIV/0!</v>
      </c>
    </row>
    <row r="743" spans="1:26" x14ac:dyDescent="0.2">
      <c r="A743" s="7" t="s">
        <v>125</v>
      </c>
      <c r="B743" s="6">
        <f t="shared" si="2041"/>
        <v>10</v>
      </c>
      <c r="C743" s="7" t="s">
        <v>160</v>
      </c>
      <c r="D743" s="68">
        <v>75</v>
      </c>
      <c r="E743" s="68">
        <v>82</v>
      </c>
      <c r="F743" s="65">
        <f t="shared" si="2042"/>
        <v>1.0933333333333333</v>
      </c>
      <c r="G743" s="60" t="e">
        <f t="shared" si="2043"/>
        <v>#DIV/0!</v>
      </c>
      <c r="H743" s="65" t="e">
        <f t="shared" ref="H743:J743" si="2059">H731</f>
        <v>#DIV/0!</v>
      </c>
      <c r="I743" s="65" t="e">
        <f t="shared" si="2059"/>
        <v>#DIV/0!</v>
      </c>
      <c r="J743" s="65" t="e">
        <f t="shared" si="2059"/>
        <v>#DIV/0!</v>
      </c>
      <c r="K743" s="69">
        <v>6920.5</v>
      </c>
      <c r="L743" s="69">
        <f>'Monitoramento Acumulado Geral'!Q743</f>
        <v>0</v>
      </c>
      <c r="M743" s="6">
        <f>(SUM(L734:L743))/K742</f>
        <v>0.7494155046600679</v>
      </c>
      <c r="N743" s="35" t="e">
        <f t="shared" si="2045"/>
        <v>#DIV/0!</v>
      </c>
      <c r="O743" s="6" t="e">
        <f t="shared" ref="O743:Q743" si="2060">O731</f>
        <v>#DIV/0!</v>
      </c>
      <c r="P743" s="6" t="e">
        <f t="shared" si="2060"/>
        <v>#DIV/0!</v>
      </c>
      <c r="Q743" s="6" t="e">
        <f t="shared" si="2060"/>
        <v>#DIV/0!</v>
      </c>
      <c r="R743" s="69">
        <v>80</v>
      </c>
      <c r="S743" s="69">
        <v>18</v>
      </c>
      <c r="T743" s="6">
        <f t="shared" si="2047"/>
        <v>0.22500000000000001</v>
      </c>
      <c r="U743" s="35" t="e">
        <f t="shared" si="2048"/>
        <v>#DIV/0!</v>
      </c>
      <c r="V743" s="6" t="e">
        <f t="shared" ref="V743:Z743" si="2061">V731</f>
        <v>#DIV/0!</v>
      </c>
      <c r="W743" s="6" t="e">
        <f t="shared" si="2061"/>
        <v>#DIV/0!</v>
      </c>
      <c r="X743" s="6" t="e">
        <f t="shared" si="2061"/>
        <v>#DIV/0!</v>
      </c>
      <c r="Y743" s="6" t="e">
        <f t="shared" si="2061"/>
        <v>#DIV/0!</v>
      </c>
      <c r="Z743" s="6" t="e">
        <f t="shared" si="2061"/>
        <v>#DIV/0!</v>
      </c>
    </row>
    <row r="744" spans="1:26" x14ac:dyDescent="0.2">
      <c r="A744" s="7" t="s">
        <v>125</v>
      </c>
      <c r="B744" s="6">
        <f t="shared" si="2041"/>
        <v>11</v>
      </c>
      <c r="C744" s="7" t="s">
        <v>161</v>
      </c>
      <c r="D744" s="68">
        <v>75</v>
      </c>
      <c r="E744" s="68">
        <v>0</v>
      </c>
      <c r="F744" s="65">
        <f t="shared" si="2042"/>
        <v>0</v>
      </c>
      <c r="G744" s="60" t="e">
        <f t="shared" si="2043"/>
        <v>#DIV/0!</v>
      </c>
      <c r="H744" s="65" t="e">
        <f t="shared" ref="H744:J744" si="2062">H732</f>
        <v>#DIV/0!</v>
      </c>
      <c r="I744" s="65" t="e">
        <f t="shared" si="2062"/>
        <v>#DIV/0!</v>
      </c>
      <c r="J744" s="65" t="e">
        <f t="shared" si="2062"/>
        <v>#DIV/0!</v>
      </c>
      <c r="K744" s="69">
        <v>6920.5</v>
      </c>
      <c r="L744" s="69">
        <f>'Monitoramento Acumulado Geral'!Q744</f>
        <v>0</v>
      </c>
      <c r="M744" s="6">
        <f>(SUM(L734:L744))/K743</f>
        <v>0.7494155046600679</v>
      </c>
      <c r="N744" s="35" t="e">
        <f t="shared" si="2045"/>
        <v>#DIV/0!</v>
      </c>
      <c r="O744" s="6" t="e">
        <f t="shared" ref="O744:Q744" si="2063">O732</f>
        <v>#DIV/0!</v>
      </c>
      <c r="P744" s="6" t="e">
        <f t="shared" si="2063"/>
        <v>#DIV/0!</v>
      </c>
      <c r="Q744" s="6" t="e">
        <f t="shared" si="2063"/>
        <v>#DIV/0!</v>
      </c>
      <c r="R744" s="69">
        <v>80</v>
      </c>
      <c r="S744" s="69">
        <v>0</v>
      </c>
      <c r="T744" s="6">
        <f t="shared" si="2047"/>
        <v>0</v>
      </c>
      <c r="U744" s="35" t="e">
        <f t="shared" si="2048"/>
        <v>#DIV/0!</v>
      </c>
      <c r="V744" s="6" t="e">
        <f t="shared" ref="V744:Z744" si="2064">V732</f>
        <v>#DIV/0!</v>
      </c>
      <c r="W744" s="6" t="e">
        <f t="shared" si="2064"/>
        <v>#DIV/0!</v>
      </c>
      <c r="X744" s="6" t="e">
        <f t="shared" si="2064"/>
        <v>#DIV/0!</v>
      </c>
      <c r="Y744" s="6" t="e">
        <f t="shared" si="2064"/>
        <v>#DIV/0!</v>
      </c>
      <c r="Z744" s="6" t="e">
        <f t="shared" si="2064"/>
        <v>#DIV/0!</v>
      </c>
    </row>
    <row r="745" spans="1:26" x14ac:dyDescent="0.2">
      <c r="A745" s="7" t="s">
        <v>125</v>
      </c>
      <c r="B745" s="6">
        <f t="shared" si="2041"/>
        <v>12</v>
      </c>
      <c r="C745" s="7" t="s">
        <v>162</v>
      </c>
      <c r="D745" s="68">
        <v>75</v>
      </c>
      <c r="E745" s="68">
        <v>0</v>
      </c>
      <c r="F745" s="65">
        <f t="shared" si="2042"/>
        <v>0</v>
      </c>
      <c r="G745" s="60" t="e">
        <f t="shared" si="2043"/>
        <v>#DIV/0!</v>
      </c>
      <c r="H745" s="65" t="e">
        <f t="shared" ref="H745:J745" si="2065">H733</f>
        <v>#DIV/0!</v>
      </c>
      <c r="I745" s="65" t="e">
        <f t="shared" si="2065"/>
        <v>#DIV/0!</v>
      </c>
      <c r="J745" s="65" t="e">
        <f t="shared" si="2065"/>
        <v>#DIV/0!</v>
      </c>
      <c r="K745" s="69">
        <v>6920.5</v>
      </c>
      <c r="L745" s="69">
        <f>'Monitoramento Acumulado Geral'!Q745</f>
        <v>0</v>
      </c>
      <c r="M745" s="6">
        <f>(SUM(L734:L745))/K744</f>
        <v>0.7494155046600679</v>
      </c>
      <c r="N745" s="35" t="e">
        <f t="shared" si="2045"/>
        <v>#DIV/0!</v>
      </c>
      <c r="O745" s="6" t="e">
        <f t="shared" ref="O745:Q745" si="2066">O733</f>
        <v>#DIV/0!</v>
      </c>
      <c r="P745" s="6" t="e">
        <f t="shared" si="2066"/>
        <v>#DIV/0!</v>
      </c>
      <c r="Q745" s="6" t="e">
        <f t="shared" si="2066"/>
        <v>#DIV/0!</v>
      </c>
      <c r="R745" s="69">
        <v>80</v>
      </c>
      <c r="S745" s="69">
        <v>0</v>
      </c>
      <c r="T745" s="6">
        <f t="shared" si="2047"/>
        <v>0</v>
      </c>
      <c r="U745" s="35" t="e">
        <f t="shared" si="2048"/>
        <v>#DIV/0!</v>
      </c>
      <c r="V745" s="6" t="e">
        <f t="shared" ref="V745:Z745" si="2067">V733</f>
        <v>#DIV/0!</v>
      </c>
      <c r="W745" s="6" t="e">
        <f t="shared" si="2067"/>
        <v>#DIV/0!</v>
      </c>
      <c r="X745" s="6" t="e">
        <f t="shared" si="2067"/>
        <v>#DIV/0!</v>
      </c>
      <c r="Y745" s="6" t="e">
        <f t="shared" si="2067"/>
        <v>#DIV/0!</v>
      </c>
      <c r="Z745" s="6" t="e">
        <f t="shared" si="2067"/>
        <v>#DIV/0!</v>
      </c>
    </row>
    <row r="746" spans="1:26" x14ac:dyDescent="0.2">
      <c r="A746" s="7" t="s">
        <v>313</v>
      </c>
      <c r="B746" s="6">
        <f t="shared" si="2041"/>
        <v>1</v>
      </c>
      <c r="C746" s="7" t="s">
        <v>151</v>
      </c>
      <c r="D746" s="68">
        <v>0</v>
      </c>
      <c r="E746" s="68">
        <v>0</v>
      </c>
      <c r="F746" s="65" t="e">
        <f t="shared" si="2042"/>
        <v>#DIV/0!</v>
      </c>
      <c r="G746" s="60" t="e">
        <f t="shared" si="2043"/>
        <v>#DIV/0!</v>
      </c>
      <c r="H746" s="65" t="e">
        <f t="shared" ref="H746:J746" si="2068">H734</f>
        <v>#DIV/0!</v>
      </c>
      <c r="I746" s="65" t="e">
        <f t="shared" si="2068"/>
        <v>#DIV/0!</v>
      </c>
      <c r="J746" s="65" t="e">
        <f t="shared" si="2068"/>
        <v>#DIV/0!</v>
      </c>
      <c r="K746" s="69">
        <v>0</v>
      </c>
      <c r="L746" s="69">
        <f>'Monitoramento Acumulado Geral'!Q746</f>
        <v>0</v>
      </c>
      <c r="M746" s="6" t="e">
        <f>L746/K746</f>
        <v>#DIV/0!</v>
      </c>
      <c r="N746" s="35" t="e">
        <f t="shared" si="2045"/>
        <v>#DIV/0!</v>
      </c>
      <c r="O746" s="6" t="e">
        <f t="shared" ref="O746:Q746" si="2069">O734</f>
        <v>#DIV/0!</v>
      </c>
      <c r="P746" s="6" t="e">
        <f t="shared" si="2069"/>
        <v>#DIV/0!</v>
      </c>
      <c r="Q746" s="6" t="e">
        <f t="shared" si="2069"/>
        <v>#DIV/0!</v>
      </c>
      <c r="R746" s="69">
        <v>0</v>
      </c>
      <c r="S746" s="69">
        <v>0</v>
      </c>
      <c r="T746" s="6" t="e">
        <f t="shared" si="2047"/>
        <v>#DIV/0!</v>
      </c>
      <c r="U746" s="35" t="e">
        <f t="shared" si="2048"/>
        <v>#DIV/0!</v>
      </c>
      <c r="V746" s="6" t="e">
        <f t="shared" ref="V746:Z746" si="2070">V734</f>
        <v>#DIV/0!</v>
      </c>
      <c r="W746" s="6" t="e">
        <f t="shared" si="2070"/>
        <v>#DIV/0!</v>
      </c>
      <c r="X746" s="6" t="e">
        <f t="shared" si="2070"/>
        <v>#DIV/0!</v>
      </c>
      <c r="Y746" s="6" t="e">
        <f t="shared" si="2070"/>
        <v>#DIV/0!</v>
      </c>
      <c r="Z746" s="6" t="e">
        <f t="shared" si="2070"/>
        <v>#DIV/0!</v>
      </c>
    </row>
    <row r="747" spans="1:26" x14ac:dyDescent="0.2">
      <c r="A747" s="7" t="s">
        <v>313</v>
      </c>
      <c r="B747" s="6">
        <f t="shared" si="2041"/>
        <v>2</v>
      </c>
      <c r="C747" s="7" t="s">
        <v>152</v>
      </c>
      <c r="D747" s="68">
        <v>0</v>
      </c>
      <c r="E747" s="68">
        <v>0</v>
      </c>
      <c r="F747" s="65" t="e">
        <f t="shared" si="2042"/>
        <v>#DIV/0!</v>
      </c>
      <c r="G747" s="60" t="e">
        <f t="shared" si="2043"/>
        <v>#DIV/0!</v>
      </c>
      <c r="H747" s="65" t="e">
        <f t="shared" ref="H747:J747" si="2071">H735</f>
        <v>#DIV/0!</v>
      </c>
      <c r="I747" s="65" t="e">
        <f t="shared" si="2071"/>
        <v>#DIV/0!</v>
      </c>
      <c r="J747" s="65" t="e">
        <f t="shared" si="2071"/>
        <v>#DIV/0!</v>
      </c>
      <c r="K747" s="69">
        <v>0</v>
      </c>
      <c r="L747" s="69">
        <f>'Monitoramento Acumulado Geral'!Q747</f>
        <v>0</v>
      </c>
      <c r="M747" s="6" t="e">
        <f>(SUM(L746:L747))/K746</f>
        <v>#DIV/0!</v>
      </c>
      <c r="N747" s="35" t="e">
        <f t="shared" si="2045"/>
        <v>#DIV/0!</v>
      </c>
      <c r="O747" s="6" t="e">
        <f t="shared" ref="O747:Q747" si="2072">O735</f>
        <v>#DIV/0!</v>
      </c>
      <c r="P747" s="6" t="e">
        <f t="shared" si="2072"/>
        <v>#DIV/0!</v>
      </c>
      <c r="Q747" s="6" t="e">
        <f t="shared" si="2072"/>
        <v>#DIV/0!</v>
      </c>
      <c r="R747" s="69">
        <v>0</v>
      </c>
      <c r="S747" s="69">
        <v>0</v>
      </c>
      <c r="T747" s="6" t="e">
        <f t="shared" si="2047"/>
        <v>#DIV/0!</v>
      </c>
      <c r="U747" s="35" t="e">
        <f t="shared" si="2048"/>
        <v>#DIV/0!</v>
      </c>
      <c r="V747" s="6" t="e">
        <f t="shared" ref="V747:Z747" si="2073">V735</f>
        <v>#DIV/0!</v>
      </c>
      <c r="W747" s="6" t="e">
        <f t="shared" si="2073"/>
        <v>#DIV/0!</v>
      </c>
      <c r="X747" s="6" t="e">
        <f t="shared" si="2073"/>
        <v>#DIV/0!</v>
      </c>
      <c r="Y747" s="6" t="e">
        <f t="shared" si="2073"/>
        <v>#DIV/0!</v>
      </c>
      <c r="Z747" s="6" t="e">
        <f t="shared" si="2073"/>
        <v>#DIV/0!</v>
      </c>
    </row>
    <row r="748" spans="1:26" x14ac:dyDescent="0.2">
      <c r="A748" s="7" t="s">
        <v>313</v>
      </c>
      <c r="B748" s="6">
        <f t="shared" si="2041"/>
        <v>3</v>
      </c>
      <c r="C748" s="7" t="s">
        <v>153</v>
      </c>
      <c r="D748" s="68">
        <v>0</v>
      </c>
      <c r="E748" s="68">
        <v>0</v>
      </c>
      <c r="F748" s="65" t="e">
        <f t="shared" si="2042"/>
        <v>#DIV/0!</v>
      </c>
      <c r="G748" s="60" t="e">
        <f t="shared" si="2043"/>
        <v>#DIV/0!</v>
      </c>
      <c r="H748" s="65" t="e">
        <f t="shared" ref="H748:J748" si="2074">H736</f>
        <v>#DIV/0!</v>
      </c>
      <c r="I748" s="65" t="e">
        <f t="shared" si="2074"/>
        <v>#DIV/0!</v>
      </c>
      <c r="J748" s="65" t="e">
        <f t="shared" si="2074"/>
        <v>#DIV/0!</v>
      </c>
      <c r="K748" s="69">
        <v>0</v>
      </c>
      <c r="L748" s="69">
        <f>'Monitoramento Acumulado Geral'!Q748</f>
        <v>0</v>
      </c>
      <c r="M748" s="6" t="e">
        <f>(SUM(L746:L748))/K747</f>
        <v>#DIV/0!</v>
      </c>
      <c r="N748" s="35" t="e">
        <f t="shared" si="2045"/>
        <v>#DIV/0!</v>
      </c>
      <c r="O748" s="6" t="e">
        <f t="shared" ref="O748:Q748" si="2075">O736</f>
        <v>#DIV/0!</v>
      </c>
      <c r="P748" s="6" t="e">
        <f t="shared" si="2075"/>
        <v>#DIV/0!</v>
      </c>
      <c r="Q748" s="6" t="e">
        <f t="shared" si="2075"/>
        <v>#DIV/0!</v>
      </c>
      <c r="R748" s="69">
        <v>0</v>
      </c>
      <c r="S748" s="69">
        <v>0</v>
      </c>
      <c r="T748" s="6" t="e">
        <f t="shared" si="2047"/>
        <v>#DIV/0!</v>
      </c>
      <c r="U748" s="35" t="e">
        <f t="shared" si="2048"/>
        <v>#DIV/0!</v>
      </c>
      <c r="V748" s="6" t="e">
        <f t="shared" ref="V748:Z748" si="2076">V736</f>
        <v>#DIV/0!</v>
      </c>
      <c r="W748" s="6" t="e">
        <f t="shared" si="2076"/>
        <v>#DIV/0!</v>
      </c>
      <c r="X748" s="6" t="e">
        <f t="shared" si="2076"/>
        <v>#DIV/0!</v>
      </c>
      <c r="Y748" s="6" t="e">
        <f t="shared" si="2076"/>
        <v>#DIV/0!</v>
      </c>
      <c r="Z748" s="6" t="e">
        <f t="shared" si="2076"/>
        <v>#DIV/0!</v>
      </c>
    </row>
    <row r="749" spans="1:26" x14ac:dyDescent="0.2">
      <c r="A749" s="7" t="s">
        <v>313</v>
      </c>
      <c r="B749" s="6">
        <f t="shared" si="2041"/>
        <v>4</v>
      </c>
      <c r="C749" s="7" t="s">
        <v>154</v>
      </c>
      <c r="D749" s="68">
        <v>0</v>
      </c>
      <c r="E749" s="68">
        <v>0</v>
      </c>
      <c r="F749" s="65" t="e">
        <f t="shared" si="2042"/>
        <v>#DIV/0!</v>
      </c>
      <c r="G749" s="60" t="e">
        <f t="shared" si="2043"/>
        <v>#DIV/0!</v>
      </c>
      <c r="H749" s="65" t="e">
        <f t="shared" ref="H749:J749" si="2077">H737</f>
        <v>#DIV/0!</v>
      </c>
      <c r="I749" s="65" t="e">
        <f t="shared" si="2077"/>
        <v>#DIV/0!</v>
      </c>
      <c r="J749" s="65" t="e">
        <f t="shared" si="2077"/>
        <v>#DIV/0!</v>
      </c>
      <c r="K749" s="69">
        <v>0</v>
      </c>
      <c r="L749" s="69">
        <f>'Monitoramento Acumulado Geral'!Q749</f>
        <v>0</v>
      </c>
      <c r="M749" s="6" t="e">
        <f>(SUM(L746:L749))/K748</f>
        <v>#DIV/0!</v>
      </c>
      <c r="N749" s="35" t="e">
        <f t="shared" si="2045"/>
        <v>#DIV/0!</v>
      </c>
      <c r="O749" s="6" t="e">
        <f t="shared" ref="O749:Q749" si="2078">O737</f>
        <v>#DIV/0!</v>
      </c>
      <c r="P749" s="6" t="e">
        <f t="shared" si="2078"/>
        <v>#DIV/0!</v>
      </c>
      <c r="Q749" s="6" t="e">
        <f t="shared" si="2078"/>
        <v>#DIV/0!</v>
      </c>
      <c r="R749" s="69">
        <v>0</v>
      </c>
      <c r="S749" s="69">
        <v>0</v>
      </c>
      <c r="T749" s="6" t="e">
        <f t="shared" si="2047"/>
        <v>#DIV/0!</v>
      </c>
      <c r="U749" s="35" t="e">
        <f t="shared" si="2048"/>
        <v>#DIV/0!</v>
      </c>
      <c r="V749" s="6" t="e">
        <f t="shared" ref="V749:Z749" si="2079">V737</f>
        <v>#DIV/0!</v>
      </c>
      <c r="W749" s="6" t="e">
        <f t="shared" si="2079"/>
        <v>#DIV/0!</v>
      </c>
      <c r="X749" s="6" t="e">
        <f t="shared" si="2079"/>
        <v>#DIV/0!</v>
      </c>
      <c r="Y749" s="6" t="e">
        <f t="shared" si="2079"/>
        <v>#DIV/0!</v>
      </c>
      <c r="Z749" s="6" t="e">
        <f t="shared" si="2079"/>
        <v>#DIV/0!</v>
      </c>
    </row>
    <row r="750" spans="1:26" x14ac:dyDescent="0.2">
      <c r="A750" s="7" t="s">
        <v>313</v>
      </c>
      <c r="B750" s="6">
        <f t="shared" si="2041"/>
        <v>5</v>
      </c>
      <c r="C750" s="7" t="s">
        <v>155</v>
      </c>
      <c r="D750" s="68">
        <v>0</v>
      </c>
      <c r="E750" s="68">
        <v>0</v>
      </c>
      <c r="F750" s="65" t="e">
        <f t="shared" si="2042"/>
        <v>#DIV/0!</v>
      </c>
      <c r="G750" s="60" t="e">
        <f t="shared" si="2043"/>
        <v>#DIV/0!</v>
      </c>
      <c r="H750" s="65" t="e">
        <f t="shared" ref="H750:J750" si="2080">H738</f>
        <v>#DIV/0!</v>
      </c>
      <c r="I750" s="65" t="e">
        <f t="shared" si="2080"/>
        <v>#DIV/0!</v>
      </c>
      <c r="J750" s="65" t="e">
        <f t="shared" si="2080"/>
        <v>#DIV/0!</v>
      </c>
      <c r="K750" s="69">
        <v>0</v>
      </c>
      <c r="L750" s="69">
        <f>'Monitoramento Acumulado Geral'!Q750</f>
        <v>0</v>
      </c>
      <c r="M750" s="6" t="e">
        <f>(SUM(L746:L750))/K749</f>
        <v>#DIV/0!</v>
      </c>
      <c r="N750" s="35" t="e">
        <f t="shared" si="2045"/>
        <v>#DIV/0!</v>
      </c>
      <c r="O750" s="6" t="e">
        <f t="shared" ref="O750:Q750" si="2081">O738</f>
        <v>#DIV/0!</v>
      </c>
      <c r="P750" s="6" t="e">
        <f t="shared" si="2081"/>
        <v>#DIV/0!</v>
      </c>
      <c r="Q750" s="6" t="e">
        <f t="shared" si="2081"/>
        <v>#DIV/0!</v>
      </c>
      <c r="R750" s="69">
        <v>0</v>
      </c>
      <c r="S750" s="69">
        <v>0</v>
      </c>
      <c r="T750" s="6" t="e">
        <f t="shared" si="2047"/>
        <v>#DIV/0!</v>
      </c>
      <c r="U750" s="35" t="e">
        <f t="shared" si="2048"/>
        <v>#DIV/0!</v>
      </c>
      <c r="V750" s="6" t="e">
        <f t="shared" ref="V750:Z750" si="2082">V738</f>
        <v>#DIV/0!</v>
      </c>
      <c r="W750" s="6" t="e">
        <f t="shared" si="2082"/>
        <v>#DIV/0!</v>
      </c>
      <c r="X750" s="6" t="e">
        <f t="shared" si="2082"/>
        <v>#DIV/0!</v>
      </c>
      <c r="Y750" s="6" t="e">
        <f t="shared" si="2082"/>
        <v>#DIV/0!</v>
      </c>
      <c r="Z750" s="6" t="e">
        <f t="shared" si="2082"/>
        <v>#DIV/0!</v>
      </c>
    </row>
    <row r="751" spans="1:26" x14ac:dyDescent="0.2">
      <c r="A751" s="7" t="s">
        <v>313</v>
      </c>
      <c r="B751" s="6">
        <f t="shared" ref="B751:B757" si="2083">_xlfn.IFS(C751="Janeiro",1,C751="Fevereiro",2,C751="Março",3,C751="Abril",4,C751="Maio",5,C751="Junho",6,C751="Julho",7,C751="Agosto",8,C751="Setembro",9,C751="Outubro",10,C751="Novembro",11,C751="Dezembro",12,TRUE,0)</f>
        <v>6</v>
      </c>
      <c r="C751" s="7" t="s">
        <v>156</v>
      </c>
      <c r="D751" s="68">
        <v>0</v>
      </c>
      <c r="E751" s="68">
        <v>0</v>
      </c>
      <c r="F751" s="65" t="e">
        <f t="shared" si="2042"/>
        <v>#DIV/0!</v>
      </c>
      <c r="G751" s="60" t="e">
        <f t="shared" si="2043"/>
        <v>#DIV/0!</v>
      </c>
      <c r="H751" s="65" t="e">
        <f t="shared" ref="H751:J751" si="2084">H739</f>
        <v>#DIV/0!</v>
      </c>
      <c r="I751" s="65" t="e">
        <f t="shared" si="2084"/>
        <v>#DIV/0!</v>
      </c>
      <c r="J751" s="65" t="e">
        <f t="shared" si="2084"/>
        <v>#DIV/0!</v>
      </c>
      <c r="K751" s="69">
        <v>0</v>
      </c>
      <c r="L751" s="69">
        <f>'Monitoramento Acumulado Geral'!Q751</f>
        <v>0</v>
      </c>
      <c r="M751" s="6" t="e">
        <f>(SUM(L746:L751))/K750</f>
        <v>#DIV/0!</v>
      </c>
      <c r="N751" s="35" t="e">
        <f t="shared" si="2045"/>
        <v>#DIV/0!</v>
      </c>
      <c r="O751" s="6" t="e">
        <f t="shared" ref="O751:Q751" si="2085">O739</f>
        <v>#DIV/0!</v>
      </c>
      <c r="P751" s="6" t="e">
        <f t="shared" si="2085"/>
        <v>#DIV/0!</v>
      </c>
      <c r="Q751" s="6" t="e">
        <f t="shared" si="2085"/>
        <v>#DIV/0!</v>
      </c>
      <c r="R751" s="69">
        <v>0</v>
      </c>
      <c r="S751" s="69">
        <v>0</v>
      </c>
      <c r="T751" s="6" t="e">
        <f t="shared" si="2047"/>
        <v>#DIV/0!</v>
      </c>
      <c r="U751" s="35" t="e">
        <f t="shared" si="2048"/>
        <v>#DIV/0!</v>
      </c>
      <c r="V751" s="6" t="e">
        <f t="shared" ref="V751:Z751" si="2086">V739</f>
        <v>#DIV/0!</v>
      </c>
      <c r="W751" s="6" t="e">
        <f t="shared" si="2086"/>
        <v>#DIV/0!</v>
      </c>
      <c r="X751" s="6" t="e">
        <f t="shared" si="2086"/>
        <v>#DIV/0!</v>
      </c>
      <c r="Y751" s="6" t="e">
        <f t="shared" si="2086"/>
        <v>#DIV/0!</v>
      </c>
      <c r="Z751" s="6" t="e">
        <f t="shared" si="2086"/>
        <v>#DIV/0!</v>
      </c>
    </row>
    <row r="752" spans="1:26" x14ac:dyDescent="0.2">
      <c r="A752" s="7" t="s">
        <v>313</v>
      </c>
      <c r="B752" s="6">
        <f t="shared" si="2083"/>
        <v>7</v>
      </c>
      <c r="C752" s="7" t="s">
        <v>157</v>
      </c>
      <c r="D752" s="68">
        <v>0</v>
      </c>
      <c r="E752" s="68">
        <v>0</v>
      </c>
      <c r="F752" s="65" t="e">
        <f t="shared" si="2042"/>
        <v>#DIV/0!</v>
      </c>
      <c r="G752" s="60" t="e">
        <f t="shared" si="2043"/>
        <v>#DIV/0!</v>
      </c>
      <c r="H752" s="65" t="e">
        <f t="shared" ref="H752:J752" si="2087">H740</f>
        <v>#DIV/0!</v>
      </c>
      <c r="I752" s="65" t="e">
        <f t="shared" si="2087"/>
        <v>#DIV/0!</v>
      </c>
      <c r="J752" s="65" t="e">
        <f t="shared" si="2087"/>
        <v>#DIV/0!</v>
      </c>
      <c r="K752" s="69">
        <v>0</v>
      </c>
      <c r="L752" s="69">
        <f>'Monitoramento Acumulado Geral'!Q752</f>
        <v>0</v>
      </c>
      <c r="M752" s="6" t="e">
        <f>(SUM(L746:L752))/K751</f>
        <v>#DIV/0!</v>
      </c>
      <c r="N752" s="35" t="e">
        <f t="shared" si="2045"/>
        <v>#DIV/0!</v>
      </c>
      <c r="O752" s="6" t="e">
        <f t="shared" ref="O752:Q752" si="2088">O740</f>
        <v>#DIV/0!</v>
      </c>
      <c r="P752" s="6" t="e">
        <f t="shared" si="2088"/>
        <v>#DIV/0!</v>
      </c>
      <c r="Q752" s="6" t="e">
        <f t="shared" si="2088"/>
        <v>#DIV/0!</v>
      </c>
      <c r="R752" s="69">
        <v>0</v>
      </c>
      <c r="S752" s="69">
        <v>0</v>
      </c>
      <c r="T752" s="6" t="e">
        <f t="shared" si="2047"/>
        <v>#DIV/0!</v>
      </c>
      <c r="U752" s="35" t="e">
        <f t="shared" si="2048"/>
        <v>#DIV/0!</v>
      </c>
      <c r="V752" s="6" t="e">
        <f t="shared" ref="V752:Z752" si="2089">V740</f>
        <v>#DIV/0!</v>
      </c>
      <c r="W752" s="6" t="e">
        <f t="shared" si="2089"/>
        <v>#DIV/0!</v>
      </c>
      <c r="X752" s="6" t="e">
        <f t="shared" si="2089"/>
        <v>#DIV/0!</v>
      </c>
      <c r="Y752" s="6" t="e">
        <f t="shared" si="2089"/>
        <v>#DIV/0!</v>
      </c>
      <c r="Z752" s="6" t="e">
        <f t="shared" si="2089"/>
        <v>#DIV/0!</v>
      </c>
    </row>
    <row r="753" spans="1:26" x14ac:dyDescent="0.2">
      <c r="A753" s="7" t="s">
        <v>313</v>
      </c>
      <c r="B753" s="6">
        <f t="shared" si="2083"/>
        <v>8</v>
      </c>
      <c r="C753" s="7" t="s">
        <v>158</v>
      </c>
      <c r="D753" s="68">
        <v>0</v>
      </c>
      <c r="E753" s="68">
        <v>0</v>
      </c>
      <c r="F753" s="65" t="e">
        <f t="shared" si="2042"/>
        <v>#DIV/0!</v>
      </c>
      <c r="G753" s="60" t="e">
        <f t="shared" si="2043"/>
        <v>#DIV/0!</v>
      </c>
      <c r="H753" s="65" t="e">
        <f t="shared" ref="H753:J753" si="2090">H741</f>
        <v>#DIV/0!</v>
      </c>
      <c r="I753" s="65" t="e">
        <f t="shared" si="2090"/>
        <v>#DIV/0!</v>
      </c>
      <c r="J753" s="65" t="e">
        <f t="shared" si="2090"/>
        <v>#DIV/0!</v>
      </c>
      <c r="K753" s="69">
        <v>0</v>
      </c>
      <c r="L753" s="69">
        <f>'Monitoramento Acumulado Geral'!Q753</f>
        <v>0</v>
      </c>
      <c r="M753" s="6" t="e">
        <f>(SUM(L746:L753))/K752</f>
        <v>#DIV/0!</v>
      </c>
      <c r="N753" s="35" t="e">
        <f t="shared" si="2045"/>
        <v>#DIV/0!</v>
      </c>
      <c r="O753" s="6" t="e">
        <f t="shared" ref="O753:Q753" si="2091">O741</f>
        <v>#DIV/0!</v>
      </c>
      <c r="P753" s="6" t="e">
        <f t="shared" si="2091"/>
        <v>#DIV/0!</v>
      </c>
      <c r="Q753" s="6" t="e">
        <f t="shared" si="2091"/>
        <v>#DIV/0!</v>
      </c>
      <c r="R753" s="69">
        <v>0</v>
      </c>
      <c r="S753" s="69">
        <v>0</v>
      </c>
      <c r="T753" s="6" t="e">
        <f t="shared" si="2047"/>
        <v>#DIV/0!</v>
      </c>
      <c r="U753" s="35" t="e">
        <f t="shared" si="2048"/>
        <v>#DIV/0!</v>
      </c>
      <c r="V753" s="6" t="e">
        <f t="shared" ref="V753:Z753" si="2092">V741</f>
        <v>#DIV/0!</v>
      </c>
      <c r="W753" s="6" t="e">
        <f t="shared" si="2092"/>
        <v>#DIV/0!</v>
      </c>
      <c r="X753" s="6" t="e">
        <f t="shared" si="2092"/>
        <v>#DIV/0!</v>
      </c>
      <c r="Y753" s="6" t="e">
        <f t="shared" si="2092"/>
        <v>#DIV/0!</v>
      </c>
      <c r="Z753" s="6" t="e">
        <f t="shared" si="2092"/>
        <v>#DIV/0!</v>
      </c>
    </row>
    <row r="754" spans="1:26" x14ac:dyDescent="0.2">
      <c r="A754" s="7" t="s">
        <v>313</v>
      </c>
      <c r="B754" s="6">
        <f t="shared" si="2083"/>
        <v>9</v>
      </c>
      <c r="C754" s="7" t="s">
        <v>159</v>
      </c>
      <c r="D754" s="68">
        <v>0</v>
      </c>
      <c r="E754" s="68">
        <v>0</v>
      </c>
      <c r="F754" s="65" t="e">
        <f t="shared" si="2042"/>
        <v>#DIV/0!</v>
      </c>
      <c r="G754" s="60" t="e">
        <f t="shared" si="2043"/>
        <v>#DIV/0!</v>
      </c>
      <c r="H754" s="65" t="e">
        <f t="shared" ref="H754:J754" si="2093">H742</f>
        <v>#DIV/0!</v>
      </c>
      <c r="I754" s="65" t="e">
        <f t="shared" si="2093"/>
        <v>#DIV/0!</v>
      </c>
      <c r="J754" s="65" t="e">
        <f t="shared" si="2093"/>
        <v>#DIV/0!</v>
      </c>
      <c r="K754" s="69">
        <v>0</v>
      </c>
      <c r="L754" s="69">
        <f>'Monitoramento Acumulado Geral'!Q754</f>
        <v>0</v>
      </c>
      <c r="M754" s="6" t="e">
        <f>(SUM(L746:L754))/K753</f>
        <v>#DIV/0!</v>
      </c>
      <c r="N754" s="35" t="e">
        <f t="shared" si="2045"/>
        <v>#DIV/0!</v>
      </c>
      <c r="O754" s="6" t="e">
        <f t="shared" ref="O754:Q754" si="2094">O742</f>
        <v>#DIV/0!</v>
      </c>
      <c r="P754" s="6" t="e">
        <f t="shared" si="2094"/>
        <v>#DIV/0!</v>
      </c>
      <c r="Q754" s="6" t="e">
        <f t="shared" si="2094"/>
        <v>#DIV/0!</v>
      </c>
      <c r="R754" s="69">
        <v>0</v>
      </c>
      <c r="S754" s="69">
        <v>0</v>
      </c>
      <c r="T754" s="6" t="e">
        <f t="shared" si="2047"/>
        <v>#DIV/0!</v>
      </c>
      <c r="U754" s="35" t="e">
        <f t="shared" si="2048"/>
        <v>#DIV/0!</v>
      </c>
      <c r="V754" s="6" t="e">
        <f t="shared" ref="V754:Z754" si="2095">V742</f>
        <v>#DIV/0!</v>
      </c>
      <c r="W754" s="6" t="e">
        <f t="shared" si="2095"/>
        <v>#DIV/0!</v>
      </c>
      <c r="X754" s="6" t="e">
        <f t="shared" si="2095"/>
        <v>#DIV/0!</v>
      </c>
      <c r="Y754" s="6" t="e">
        <f t="shared" si="2095"/>
        <v>#DIV/0!</v>
      </c>
      <c r="Z754" s="6" t="e">
        <f t="shared" si="2095"/>
        <v>#DIV/0!</v>
      </c>
    </row>
    <row r="755" spans="1:26" x14ac:dyDescent="0.2">
      <c r="A755" s="7" t="s">
        <v>313</v>
      </c>
      <c r="B755" s="6">
        <f t="shared" si="2083"/>
        <v>10</v>
      </c>
      <c r="C755" s="7" t="s">
        <v>160</v>
      </c>
      <c r="D755" s="68">
        <v>0</v>
      </c>
      <c r="E755" s="68">
        <v>0</v>
      </c>
      <c r="F755" s="65" t="e">
        <f t="shared" si="2042"/>
        <v>#DIV/0!</v>
      </c>
      <c r="G755" s="60" t="e">
        <f t="shared" si="2043"/>
        <v>#DIV/0!</v>
      </c>
      <c r="H755" s="65" t="e">
        <f t="shared" ref="H755:J755" si="2096">H743</f>
        <v>#DIV/0!</v>
      </c>
      <c r="I755" s="65" t="e">
        <f t="shared" si="2096"/>
        <v>#DIV/0!</v>
      </c>
      <c r="J755" s="65" t="e">
        <f t="shared" si="2096"/>
        <v>#DIV/0!</v>
      </c>
      <c r="K755" s="69">
        <v>0</v>
      </c>
      <c r="L755" s="69">
        <f>'Monitoramento Acumulado Geral'!Q755</f>
        <v>0</v>
      </c>
      <c r="M755" s="6" t="e">
        <f>(SUM(L746:L755))/K754</f>
        <v>#DIV/0!</v>
      </c>
      <c r="N755" s="35" t="e">
        <f t="shared" si="2045"/>
        <v>#DIV/0!</v>
      </c>
      <c r="O755" s="6" t="e">
        <f t="shared" ref="O755:Q755" si="2097">O743</f>
        <v>#DIV/0!</v>
      </c>
      <c r="P755" s="6" t="e">
        <f t="shared" si="2097"/>
        <v>#DIV/0!</v>
      </c>
      <c r="Q755" s="6" t="e">
        <f t="shared" si="2097"/>
        <v>#DIV/0!</v>
      </c>
      <c r="R755" s="69">
        <v>0</v>
      </c>
      <c r="S755" s="69">
        <v>0</v>
      </c>
      <c r="T755" s="6" t="e">
        <f t="shared" si="2047"/>
        <v>#DIV/0!</v>
      </c>
      <c r="U755" s="35" t="e">
        <f t="shared" si="2048"/>
        <v>#DIV/0!</v>
      </c>
      <c r="V755" s="6" t="e">
        <f t="shared" ref="V755:Z755" si="2098">V743</f>
        <v>#DIV/0!</v>
      </c>
      <c r="W755" s="6" t="e">
        <f t="shared" si="2098"/>
        <v>#DIV/0!</v>
      </c>
      <c r="X755" s="6" t="e">
        <f t="shared" si="2098"/>
        <v>#DIV/0!</v>
      </c>
      <c r="Y755" s="6" t="e">
        <f t="shared" si="2098"/>
        <v>#DIV/0!</v>
      </c>
      <c r="Z755" s="6" t="e">
        <f t="shared" si="2098"/>
        <v>#DIV/0!</v>
      </c>
    </row>
    <row r="756" spans="1:26" x14ac:dyDescent="0.2">
      <c r="A756" s="7" t="s">
        <v>313</v>
      </c>
      <c r="B756" s="6">
        <f t="shared" si="2083"/>
        <v>11</v>
      </c>
      <c r="C756" s="7" t="s">
        <v>161</v>
      </c>
      <c r="D756" s="68">
        <v>0</v>
      </c>
      <c r="E756" s="68">
        <v>0</v>
      </c>
      <c r="F756" s="65" t="e">
        <f t="shared" si="2042"/>
        <v>#DIV/0!</v>
      </c>
      <c r="G756" s="60" t="e">
        <f t="shared" si="2043"/>
        <v>#DIV/0!</v>
      </c>
      <c r="H756" s="65" t="e">
        <f t="shared" ref="H756:J756" si="2099">H744</f>
        <v>#DIV/0!</v>
      </c>
      <c r="I756" s="65" t="e">
        <f t="shared" si="2099"/>
        <v>#DIV/0!</v>
      </c>
      <c r="J756" s="65" t="e">
        <f t="shared" si="2099"/>
        <v>#DIV/0!</v>
      </c>
      <c r="K756" s="69">
        <v>0</v>
      </c>
      <c r="L756" s="69">
        <f>'Monitoramento Acumulado Geral'!Q756</f>
        <v>0</v>
      </c>
      <c r="M756" s="6" t="e">
        <f>(SUM(L746:L756))/K755</f>
        <v>#DIV/0!</v>
      </c>
      <c r="N756" s="35" t="e">
        <f t="shared" si="2045"/>
        <v>#DIV/0!</v>
      </c>
      <c r="O756" s="6" t="e">
        <f t="shared" ref="O756:Q756" si="2100">O744</f>
        <v>#DIV/0!</v>
      </c>
      <c r="P756" s="6" t="e">
        <f t="shared" si="2100"/>
        <v>#DIV/0!</v>
      </c>
      <c r="Q756" s="6" t="e">
        <f t="shared" si="2100"/>
        <v>#DIV/0!</v>
      </c>
      <c r="R756" s="69">
        <v>0</v>
      </c>
      <c r="S756" s="69">
        <v>0</v>
      </c>
      <c r="T756" s="6" t="e">
        <f t="shared" si="2047"/>
        <v>#DIV/0!</v>
      </c>
      <c r="U756" s="35" t="e">
        <f t="shared" si="2048"/>
        <v>#DIV/0!</v>
      </c>
      <c r="V756" s="6" t="e">
        <f t="shared" ref="V756:Z756" si="2101">V744</f>
        <v>#DIV/0!</v>
      </c>
      <c r="W756" s="6" t="e">
        <f t="shared" si="2101"/>
        <v>#DIV/0!</v>
      </c>
      <c r="X756" s="6" t="e">
        <f t="shared" si="2101"/>
        <v>#DIV/0!</v>
      </c>
      <c r="Y756" s="6" t="e">
        <f t="shared" si="2101"/>
        <v>#DIV/0!</v>
      </c>
      <c r="Z756" s="6" t="e">
        <f t="shared" si="2101"/>
        <v>#DIV/0!</v>
      </c>
    </row>
    <row r="757" spans="1:26" x14ac:dyDescent="0.2">
      <c r="A757" s="7" t="s">
        <v>313</v>
      </c>
      <c r="B757" s="6">
        <f t="shared" si="2083"/>
        <v>12</v>
      </c>
      <c r="C757" s="7" t="s">
        <v>162</v>
      </c>
      <c r="D757" s="68">
        <v>0</v>
      </c>
      <c r="E757" s="68">
        <v>0</v>
      </c>
      <c r="F757" s="65" t="e">
        <f t="shared" si="2042"/>
        <v>#DIV/0!</v>
      </c>
      <c r="G757" s="60" t="e">
        <f t="shared" si="2043"/>
        <v>#DIV/0!</v>
      </c>
      <c r="H757" s="65" t="e">
        <f t="shared" ref="H757:J757" si="2102">H745</f>
        <v>#DIV/0!</v>
      </c>
      <c r="I757" s="65" t="e">
        <f t="shared" si="2102"/>
        <v>#DIV/0!</v>
      </c>
      <c r="J757" s="65" t="e">
        <f t="shared" si="2102"/>
        <v>#DIV/0!</v>
      </c>
      <c r="K757" s="69">
        <v>0</v>
      </c>
      <c r="L757" s="69">
        <f>'Monitoramento Acumulado Geral'!Q757</f>
        <v>0</v>
      </c>
      <c r="M757" s="6" t="e">
        <f>(SUM(L746:L757))/K756</f>
        <v>#DIV/0!</v>
      </c>
      <c r="N757" s="35" t="e">
        <f t="shared" si="2045"/>
        <v>#DIV/0!</v>
      </c>
      <c r="O757" s="6" t="e">
        <f t="shared" ref="O757:Q757" si="2103">O745</f>
        <v>#DIV/0!</v>
      </c>
      <c r="P757" s="6" t="e">
        <f t="shared" si="2103"/>
        <v>#DIV/0!</v>
      </c>
      <c r="Q757" s="6" t="e">
        <f t="shared" si="2103"/>
        <v>#DIV/0!</v>
      </c>
      <c r="R757" s="69">
        <v>0</v>
      </c>
      <c r="S757" s="69">
        <v>0</v>
      </c>
      <c r="T757" s="6" t="e">
        <f t="shared" si="2047"/>
        <v>#DIV/0!</v>
      </c>
      <c r="U757" s="35" t="e">
        <f t="shared" si="2048"/>
        <v>#DIV/0!</v>
      </c>
      <c r="V757" s="6" t="e">
        <f t="shared" ref="V757:Z757" si="2104">V745</f>
        <v>#DIV/0!</v>
      </c>
      <c r="W757" s="6" t="e">
        <f t="shared" si="2104"/>
        <v>#DIV/0!</v>
      </c>
      <c r="X757" s="6" t="e">
        <f t="shared" si="2104"/>
        <v>#DIV/0!</v>
      </c>
      <c r="Y757" s="6" t="e">
        <f t="shared" si="2104"/>
        <v>#DIV/0!</v>
      </c>
      <c r="Z757" s="6" t="e">
        <f t="shared" si="2104"/>
        <v>#DIV/0!</v>
      </c>
    </row>
  </sheetData>
  <sheetProtection formatCells="0" formatColumns="0" formatRows="0" insertColumns="0" insertRows="0" insertHyperlinks="0" selectLockedCells="1"/>
  <phoneticPr fontId="6" type="noConversion"/>
  <pageMargins left="0.511811024" right="0.511811024" top="0.78740157499999996" bottom="0.78740157499999996" header="0.31496062000000002" footer="0.31496062000000002"/>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P13"/>
  <sheetViews>
    <sheetView showGridLines="0" workbookViewId="0">
      <pane xSplit="1" ySplit="1" topLeftCell="BF2" activePane="bottomRight" state="frozen"/>
      <selection pane="topRight" activeCell="B1" sqref="B1"/>
      <selection pane="bottomLeft" activeCell="A2" sqref="A2"/>
      <selection pane="bottomRight" activeCell="BM13" sqref="BM13"/>
    </sheetView>
  </sheetViews>
  <sheetFormatPr defaultColWidth="16.75" defaultRowHeight="14.25" x14ac:dyDescent="0.2"/>
  <cols>
    <col min="1" max="16384" width="16.75" style="3"/>
  </cols>
  <sheetData>
    <row r="1" spans="1:68" s="29" customFormat="1" ht="15" x14ac:dyDescent="0.2">
      <c r="A1" s="26" t="s">
        <v>165</v>
      </c>
      <c r="B1" s="26" t="s">
        <v>316</v>
      </c>
      <c r="C1" s="27" t="s">
        <v>83</v>
      </c>
      <c r="D1" s="27" t="s">
        <v>94</v>
      </c>
      <c r="E1" s="27" t="s">
        <v>55</v>
      </c>
      <c r="F1" s="27" t="s">
        <v>142</v>
      </c>
      <c r="G1" s="27" t="s">
        <v>65</v>
      </c>
      <c r="H1" s="27" t="s">
        <v>41</v>
      </c>
      <c r="I1" s="27" t="s">
        <v>62</v>
      </c>
      <c r="J1" s="27" t="s">
        <v>114</v>
      </c>
      <c r="K1" s="27" t="s">
        <v>47</v>
      </c>
      <c r="L1" s="27" t="s">
        <v>302</v>
      </c>
      <c r="M1" s="27" t="s">
        <v>89</v>
      </c>
      <c r="N1" s="27" t="s">
        <v>113</v>
      </c>
      <c r="O1" s="27" t="s">
        <v>117</v>
      </c>
      <c r="P1" s="27" t="s">
        <v>99</v>
      </c>
      <c r="Q1" s="27" t="s">
        <v>123</v>
      </c>
      <c r="R1" s="27" t="s">
        <v>92</v>
      </c>
      <c r="S1" s="27" t="s">
        <v>37</v>
      </c>
      <c r="T1" s="27" t="s">
        <v>91</v>
      </c>
      <c r="U1" s="27" t="s">
        <v>126</v>
      </c>
      <c r="V1" s="27" t="s">
        <v>73</v>
      </c>
      <c r="W1" s="27" t="s">
        <v>56</v>
      </c>
      <c r="X1" s="27" t="s">
        <v>299</v>
      </c>
      <c r="Y1" s="27" t="s">
        <v>90</v>
      </c>
      <c r="Z1" s="27" t="s">
        <v>54</v>
      </c>
      <c r="AA1" s="27" t="s">
        <v>300</v>
      </c>
      <c r="AB1" s="27" t="s">
        <v>147</v>
      </c>
      <c r="AC1" s="27" t="s">
        <v>71</v>
      </c>
      <c r="AD1" s="27" t="s">
        <v>75</v>
      </c>
      <c r="AE1" s="27" t="s">
        <v>46</v>
      </c>
      <c r="AF1" s="27" t="s">
        <v>36</v>
      </c>
      <c r="AG1" s="27" t="s">
        <v>82</v>
      </c>
      <c r="AH1" s="27" t="s">
        <v>64</v>
      </c>
      <c r="AI1" s="27" t="s">
        <v>135</v>
      </c>
      <c r="AJ1" s="27" t="s">
        <v>103</v>
      </c>
      <c r="AK1" s="27" t="s">
        <v>85</v>
      </c>
      <c r="AL1" s="27" t="s">
        <v>121</v>
      </c>
      <c r="AM1" s="27" t="s">
        <v>314</v>
      </c>
      <c r="AN1" s="27" t="s">
        <v>315</v>
      </c>
      <c r="AO1" s="27" t="s">
        <v>116</v>
      </c>
      <c r="AP1" s="27" t="s">
        <v>86</v>
      </c>
      <c r="AQ1" s="27" t="s">
        <v>102</v>
      </c>
      <c r="AR1" s="27" t="s">
        <v>106</v>
      </c>
      <c r="AS1" s="27" t="s">
        <v>31</v>
      </c>
      <c r="AT1" s="27" t="s">
        <v>143</v>
      </c>
      <c r="AU1" s="27" t="s">
        <v>70</v>
      </c>
      <c r="AV1" s="27" t="s">
        <v>80</v>
      </c>
      <c r="AW1" s="27" t="s">
        <v>77</v>
      </c>
      <c r="AX1" s="27" t="s">
        <v>52</v>
      </c>
      <c r="AY1" s="27" t="s">
        <v>105</v>
      </c>
      <c r="AZ1" s="27" t="s">
        <v>98</v>
      </c>
      <c r="BA1" s="27" t="s">
        <v>109</v>
      </c>
      <c r="BB1" s="27" t="s">
        <v>111</v>
      </c>
      <c r="BC1" s="27" t="s">
        <v>96</v>
      </c>
      <c r="BD1" s="27" t="s">
        <v>66</v>
      </c>
      <c r="BE1" s="27" t="s">
        <v>146</v>
      </c>
      <c r="BF1" s="27" t="s">
        <v>131</v>
      </c>
      <c r="BG1" s="27" t="s">
        <v>301</v>
      </c>
      <c r="BH1" s="27" t="s">
        <v>42</v>
      </c>
      <c r="BI1" s="27" t="s">
        <v>108</v>
      </c>
      <c r="BJ1" s="27" t="s">
        <v>129</v>
      </c>
      <c r="BK1" s="27" t="s">
        <v>125</v>
      </c>
      <c r="BL1" s="27" t="s">
        <v>313</v>
      </c>
      <c r="BM1" s="28" t="s">
        <v>171</v>
      </c>
      <c r="BN1" s="28" t="s">
        <v>169</v>
      </c>
      <c r="BO1" s="28" t="s">
        <v>170</v>
      </c>
      <c r="BP1" s="28" t="s">
        <v>163</v>
      </c>
    </row>
    <row r="2" spans="1:68" ht="15" x14ac:dyDescent="0.2">
      <c r="A2" s="20" t="s">
        <v>151</v>
      </c>
      <c r="B2" s="21" t="e">
        <f>Indicadores!$T2</f>
        <v>#DIV/0!</v>
      </c>
      <c r="C2" s="21">
        <f>Indicadores!T14</f>
        <v>0</v>
      </c>
      <c r="D2" s="21">
        <f>Indicadores!$T26</f>
        <v>0</v>
      </c>
      <c r="E2" s="21">
        <f>Indicadores!$T38</f>
        <v>0.13750000000000001</v>
      </c>
      <c r="F2" s="21">
        <f>Indicadores!$T50</f>
        <v>0.21249999999999999</v>
      </c>
      <c r="G2" s="21">
        <f>Indicadores!$T62</f>
        <v>0</v>
      </c>
      <c r="H2" s="21">
        <f>Indicadores!$T74</f>
        <v>0.1125</v>
      </c>
      <c r="I2" s="21">
        <f>Indicadores!$T86</f>
        <v>0</v>
      </c>
      <c r="J2" s="21">
        <f>Indicadores!T$98</f>
        <v>0</v>
      </c>
      <c r="K2" s="21">
        <f>Indicadores!$T110</f>
        <v>0.16250000000000001</v>
      </c>
      <c r="L2" s="21" t="e">
        <f>Indicadores!$T122</f>
        <v>#DIV/0!</v>
      </c>
      <c r="M2" s="21">
        <f>Indicadores!$T134</f>
        <v>0.33783783783783783</v>
      </c>
      <c r="N2" s="21">
        <f>Indicadores!$T146</f>
        <v>0</v>
      </c>
      <c r="O2" s="21">
        <f>Indicadores!$T158</f>
        <v>0</v>
      </c>
      <c r="P2" s="21">
        <f>Indicadores!$T170</f>
        <v>0</v>
      </c>
      <c r="Q2" s="21">
        <f>Indicadores!$T182</f>
        <v>0</v>
      </c>
      <c r="R2" s="21">
        <f>Indicadores!T194</f>
        <v>0</v>
      </c>
      <c r="S2" s="21">
        <f>Indicadores!T206</f>
        <v>0</v>
      </c>
      <c r="T2" s="21">
        <f>Indicadores!T218</f>
        <v>0.16883116883116883</v>
      </c>
      <c r="U2" s="21">
        <f>Indicadores!$T230</f>
        <v>0.2</v>
      </c>
      <c r="V2" s="21">
        <f>Indicadores!$T242</f>
        <v>0</v>
      </c>
      <c r="W2" s="21">
        <f>Indicadores!$T254</f>
        <v>0</v>
      </c>
      <c r="X2" s="21" t="e">
        <f>Indicadores!$T266</f>
        <v>#DIV/0!</v>
      </c>
      <c r="Y2" s="21">
        <f>Indicadores!$T278</f>
        <v>0.16250000000000001</v>
      </c>
      <c r="Z2" s="21">
        <f>Indicadores!$T290</f>
        <v>0</v>
      </c>
      <c r="AA2" s="21" t="e">
        <f>Indicadores!$T302</f>
        <v>#DIV/0!</v>
      </c>
      <c r="AB2" s="21">
        <f>Indicadores!$T314</f>
        <v>0</v>
      </c>
      <c r="AC2" s="21">
        <f>Indicadores!$T326</f>
        <v>0</v>
      </c>
      <c r="AD2" s="21">
        <f>Indicadores!$T338</f>
        <v>0</v>
      </c>
      <c r="AE2" s="21">
        <f>Indicadores!$T350</f>
        <v>0</v>
      </c>
      <c r="AF2" s="21">
        <f>Indicadores!$T362</f>
        <v>0</v>
      </c>
      <c r="AG2" s="21">
        <f>Indicadores!$T374</f>
        <v>0</v>
      </c>
      <c r="AH2" s="21">
        <f>Indicadores!$T386</f>
        <v>0.2558139534883721</v>
      </c>
      <c r="AI2" s="21">
        <f>Indicadores!$T398</f>
        <v>0</v>
      </c>
      <c r="AJ2" s="21">
        <f>Indicadores!$T410</f>
        <v>8.7499999999999994E-2</v>
      </c>
      <c r="AK2" s="21">
        <f>Indicadores!$T422</f>
        <v>0</v>
      </c>
      <c r="AL2" s="21">
        <f>Indicadores!$T434</f>
        <v>0</v>
      </c>
      <c r="AM2" s="21" t="e">
        <f>Indicadores!$T446</f>
        <v>#DIV/0!</v>
      </c>
      <c r="AN2" s="21" t="e">
        <f>Indicadores!$T458</f>
        <v>#DIV/0!</v>
      </c>
      <c r="AO2" s="21">
        <f>Indicadores!$T470</f>
        <v>0</v>
      </c>
      <c r="AP2" s="21">
        <f>Indicadores!$T482</f>
        <v>0</v>
      </c>
      <c r="AQ2" s="21">
        <f>Indicadores!$T494</f>
        <v>0</v>
      </c>
      <c r="AR2" s="21">
        <f>Indicadores!$T506</f>
        <v>0.33750000000000002</v>
      </c>
      <c r="AS2" s="21">
        <f>Indicadores!$T518</f>
        <v>0</v>
      </c>
      <c r="AT2" s="21">
        <f>Indicadores!$T530</f>
        <v>0</v>
      </c>
      <c r="AU2" s="21">
        <f>Indicadores!$T542</f>
        <v>0</v>
      </c>
      <c r="AV2" s="21">
        <f>Indicadores!$T554</f>
        <v>0</v>
      </c>
      <c r="AW2" s="21">
        <f>Indicadores!$T566</f>
        <v>0.35714285714285715</v>
      </c>
      <c r="AX2" s="21">
        <f>Indicadores!$T578</f>
        <v>0</v>
      </c>
      <c r="AY2" s="21">
        <f>Indicadores!$T590</f>
        <v>0</v>
      </c>
      <c r="AZ2" s="21">
        <f>Indicadores!$T602</f>
        <v>0.23749999999999999</v>
      </c>
      <c r="BA2" s="21">
        <f>Indicadores!$T614</f>
        <v>0</v>
      </c>
      <c r="BB2" s="21" t="e">
        <f>Indicadores!$T626</f>
        <v>#DIV/0!</v>
      </c>
      <c r="BC2" s="21">
        <f>Indicadores!$T638</f>
        <v>0</v>
      </c>
      <c r="BD2" s="21">
        <f>Indicadores!$T650</f>
        <v>0</v>
      </c>
      <c r="BE2" s="21">
        <f>Indicadores!$T662</f>
        <v>0</v>
      </c>
      <c r="BF2" s="21">
        <f>Indicadores!$T674</f>
        <v>0</v>
      </c>
      <c r="BG2" s="21" t="e">
        <f>Indicadores!$T686</f>
        <v>#DIV/0!</v>
      </c>
      <c r="BH2" s="21">
        <f>Indicadores!$T698</f>
        <v>0</v>
      </c>
      <c r="BI2" s="21">
        <f>Indicadores!$T710</f>
        <v>0</v>
      </c>
      <c r="BJ2" s="21">
        <f>Indicadores!$T722</f>
        <v>0</v>
      </c>
      <c r="BK2" s="21">
        <f>Indicadores!$T734</f>
        <v>0</v>
      </c>
      <c r="BL2" s="21" t="e">
        <f>Indicadores!$T746</f>
        <v>#DIV/0!</v>
      </c>
      <c r="BM2" s="4" t="e">
        <f t="shared" ref="BM2:BM13" si="0">AVERAGE(B2:BL2)</f>
        <v>#DIV/0!</v>
      </c>
      <c r="BN2" s="4" t="e">
        <f>BM2+BP2</f>
        <v>#DIV/0!</v>
      </c>
      <c r="BO2" s="4" t="e">
        <f t="shared" ref="BO2:BO13" si="1">BM2-BP2</f>
        <v>#DIV/0!</v>
      </c>
      <c r="BP2" s="3" t="e">
        <f t="shared" ref="BP2:BP13" si="2">STDEV(B2:BL2)</f>
        <v>#DIV/0!</v>
      </c>
    </row>
    <row r="3" spans="1:68" ht="15" x14ac:dyDescent="0.2">
      <c r="A3" s="20" t="s">
        <v>152</v>
      </c>
      <c r="B3" s="21" t="e">
        <f>Indicadores!$T3</f>
        <v>#DIV/0!</v>
      </c>
      <c r="C3" s="21">
        <f>Indicadores!T15</f>
        <v>0</v>
      </c>
      <c r="D3" s="21">
        <f>Indicadores!$T27</f>
        <v>0</v>
      </c>
      <c r="E3" s="21">
        <f>Indicadores!$T39</f>
        <v>0.13750000000000001</v>
      </c>
      <c r="F3" s="21">
        <f>Indicadores!$T51</f>
        <v>0.21249999999999999</v>
      </c>
      <c r="G3" s="21">
        <f>Indicadores!$T63</f>
        <v>0</v>
      </c>
      <c r="H3" s="21">
        <f>Indicadores!$T75</f>
        <v>0.1125</v>
      </c>
      <c r="I3" s="21">
        <f>Indicadores!$T87</f>
        <v>0</v>
      </c>
      <c r="J3" s="21">
        <f>Indicadores!T$98</f>
        <v>0</v>
      </c>
      <c r="K3" s="21">
        <f>Indicadores!$T111</f>
        <v>0.16250000000000001</v>
      </c>
      <c r="L3" s="21" t="e">
        <f>Indicadores!$T123</f>
        <v>#DIV/0!</v>
      </c>
      <c r="M3" s="21">
        <f>Indicadores!$T135</f>
        <v>0.33783783783783783</v>
      </c>
      <c r="N3" s="21">
        <f>Indicadores!$T147</f>
        <v>0</v>
      </c>
      <c r="O3" s="21">
        <f>Indicadores!$T159</f>
        <v>0</v>
      </c>
      <c r="P3" s="21">
        <f>Indicadores!$T171</f>
        <v>0</v>
      </c>
      <c r="Q3" s="21">
        <f>Indicadores!$T183</f>
        <v>0</v>
      </c>
      <c r="R3" s="21">
        <f>Indicadores!T195</f>
        <v>0</v>
      </c>
      <c r="S3" s="21">
        <f>Indicadores!T207</f>
        <v>0</v>
      </c>
      <c r="T3" s="21">
        <f>Indicadores!T219</f>
        <v>0.16883116883116883</v>
      </c>
      <c r="U3" s="21">
        <f>Indicadores!$T231</f>
        <v>0.2</v>
      </c>
      <c r="V3" s="21">
        <f>Indicadores!$T243</f>
        <v>0</v>
      </c>
      <c r="W3" s="21">
        <f>Indicadores!$T255</f>
        <v>0</v>
      </c>
      <c r="X3" s="21" t="e">
        <f>Indicadores!$T267</f>
        <v>#DIV/0!</v>
      </c>
      <c r="Y3" s="21">
        <f>Indicadores!$T279</f>
        <v>0.16250000000000001</v>
      </c>
      <c r="Z3" s="21">
        <f>Indicadores!$T291</f>
        <v>0</v>
      </c>
      <c r="AA3" s="21" t="e">
        <f>Indicadores!$T303</f>
        <v>#DIV/0!</v>
      </c>
      <c r="AB3" s="21">
        <f>Indicadores!$T315</f>
        <v>0</v>
      </c>
      <c r="AC3" s="21">
        <f>Indicadores!$T327</f>
        <v>0</v>
      </c>
      <c r="AD3" s="21">
        <f>Indicadores!$T339</f>
        <v>0</v>
      </c>
      <c r="AE3" s="21">
        <f>Indicadores!$T351</f>
        <v>0</v>
      </c>
      <c r="AF3" s="21">
        <f>Indicadores!$T363</f>
        <v>0</v>
      </c>
      <c r="AG3" s="21">
        <f>Indicadores!$T375</f>
        <v>0</v>
      </c>
      <c r="AH3" s="21">
        <f>Indicadores!$T387</f>
        <v>0.2558139534883721</v>
      </c>
      <c r="AI3" s="21">
        <f>Indicadores!$T399</f>
        <v>0</v>
      </c>
      <c r="AJ3" s="21">
        <f>Indicadores!$T411</f>
        <v>8.7499999999999994E-2</v>
      </c>
      <c r="AK3" s="21">
        <f>Indicadores!$T423</f>
        <v>0</v>
      </c>
      <c r="AL3" s="21">
        <f>Indicadores!$T435</f>
        <v>0</v>
      </c>
      <c r="AM3" s="21" t="e">
        <f>Indicadores!$T447</f>
        <v>#DIV/0!</v>
      </c>
      <c r="AN3" s="21" t="e">
        <f>Indicadores!$T459</f>
        <v>#DIV/0!</v>
      </c>
      <c r="AO3" s="21">
        <f>Indicadores!$T471</f>
        <v>0</v>
      </c>
      <c r="AP3" s="21">
        <f>Indicadores!$T483</f>
        <v>0</v>
      </c>
      <c r="AQ3" s="21">
        <f>Indicadores!$T495</f>
        <v>0</v>
      </c>
      <c r="AR3" s="21">
        <f>Indicadores!$T507</f>
        <v>0.33750000000000002</v>
      </c>
      <c r="AS3" s="21">
        <f>Indicadores!$T519</f>
        <v>0</v>
      </c>
      <c r="AT3" s="21">
        <f>Indicadores!$T531</f>
        <v>0</v>
      </c>
      <c r="AU3" s="21">
        <f>Indicadores!$T543</f>
        <v>0</v>
      </c>
      <c r="AV3" s="21">
        <f>Indicadores!$T555</f>
        <v>0</v>
      </c>
      <c r="AW3" s="21">
        <f>Indicadores!$T567</f>
        <v>0.35714285714285715</v>
      </c>
      <c r="AX3" s="21">
        <f>Indicadores!$T579</f>
        <v>0</v>
      </c>
      <c r="AY3" s="21">
        <f>Indicadores!$T591</f>
        <v>0</v>
      </c>
      <c r="AZ3" s="21">
        <f>Indicadores!$T603</f>
        <v>0.23749999999999999</v>
      </c>
      <c r="BA3" s="21">
        <f>Indicadores!$T615</f>
        <v>0</v>
      </c>
      <c r="BB3" s="21" t="e">
        <f>Indicadores!$T627</f>
        <v>#DIV/0!</v>
      </c>
      <c r="BC3" s="21">
        <f>Indicadores!$T639</f>
        <v>0</v>
      </c>
      <c r="BD3" s="21">
        <f>Indicadores!$T651</f>
        <v>0</v>
      </c>
      <c r="BE3" s="21">
        <f>Indicadores!$T663</f>
        <v>0</v>
      </c>
      <c r="BF3" s="21">
        <f>Indicadores!$T675</f>
        <v>0</v>
      </c>
      <c r="BG3" s="21" t="e">
        <f>Indicadores!$T687</f>
        <v>#DIV/0!</v>
      </c>
      <c r="BH3" s="21">
        <f>Indicadores!$T699</f>
        <v>0</v>
      </c>
      <c r="BI3" s="21">
        <f>Indicadores!$T711</f>
        <v>0</v>
      </c>
      <c r="BJ3" s="21">
        <f>Indicadores!$T723</f>
        <v>0</v>
      </c>
      <c r="BK3" s="21">
        <f>Indicadores!$T735</f>
        <v>0</v>
      </c>
      <c r="BL3" s="21" t="e">
        <f>Indicadores!$T747</f>
        <v>#DIV/0!</v>
      </c>
      <c r="BM3" s="4" t="e">
        <f t="shared" si="0"/>
        <v>#DIV/0!</v>
      </c>
      <c r="BN3" s="4" t="e">
        <f t="shared" ref="BN3:BN13" si="3">BM3+BP3</f>
        <v>#DIV/0!</v>
      </c>
      <c r="BO3" s="4" t="e">
        <f t="shared" si="1"/>
        <v>#DIV/0!</v>
      </c>
      <c r="BP3" s="3" t="e">
        <f t="shared" si="2"/>
        <v>#DIV/0!</v>
      </c>
    </row>
    <row r="4" spans="1:68" ht="15" x14ac:dyDescent="0.2">
      <c r="A4" s="20" t="s">
        <v>153</v>
      </c>
      <c r="B4" s="21" t="e">
        <f>Indicadores!$T4</f>
        <v>#DIV/0!</v>
      </c>
      <c r="C4" s="21">
        <f>Indicadores!T16</f>
        <v>0</v>
      </c>
      <c r="D4" s="21">
        <f>Indicadores!$T28</f>
        <v>0</v>
      </c>
      <c r="E4" s="21">
        <f>Indicadores!$T40</f>
        <v>0.13750000000000001</v>
      </c>
      <c r="F4" s="21">
        <f>Indicadores!$T52</f>
        <v>0.21249999999999999</v>
      </c>
      <c r="G4" s="21">
        <f>Indicadores!$T64</f>
        <v>0</v>
      </c>
      <c r="H4" s="21">
        <f>Indicadores!$T76</f>
        <v>0.1125</v>
      </c>
      <c r="I4" s="21">
        <f>Indicadores!$T88</f>
        <v>0</v>
      </c>
      <c r="J4" s="21">
        <f>Indicadores!T$98</f>
        <v>0</v>
      </c>
      <c r="K4" s="21">
        <f>Indicadores!$T112</f>
        <v>0.16250000000000001</v>
      </c>
      <c r="L4" s="21" t="e">
        <f>Indicadores!$T124</f>
        <v>#DIV/0!</v>
      </c>
      <c r="M4" s="21">
        <f>Indicadores!$T136</f>
        <v>0.33783783783783783</v>
      </c>
      <c r="N4" s="21">
        <f>Indicadores!$T148</f>
        <v>0</v>
      </c>
      <c r="O4" s="21">
        <f>Indicadores!$T160</f>
        <v>0</v>
      </c>
      <c r="P4" s="21">
        <f>Indicadores!$T172</f>
        <v>0</v>
      </c>
      <c r="Q4" s="21">
        <f>Indicadores!$T184</f>
        <v>0</v>
      </c>
      <c r="R4" s="21">
        <f>Indicadores!T196</f>
        <v>0</v>
      </c>
      <c r="S4" s="21">
        <f>Indicadores!T208</f>
        <v>0</v>
      </c>
      <c r="T4" s="21">
        <f>Indicadores!T220</f>
        <v>0.16883116883116883</v>
      </c>
      <c r="U4" s="21">
        <f>Indicadores!$T232</f>
        <v>0.2</v>
      </c>
      <c r="V4" s="21">
        <f>Indicadores!$T244</f>
        <v>0</v>
      </c>
      <c r="W4" s="21">
        <f>Indicadores!$T256</f>
        <v>0</v>
      </c>
      <c r="X4" s="21" t="e">
        <f>Indicadores!$T268</f>
        <v>#DIV/0!</v>
      </c>
      <c r="Y4" s="21">
        <f>Indicadores!$T280</f>
        <v>0.16250000000000001</v>
      </c>
      <c r="Z4" s="21">
        <f>Indicadores!$T292</f>
        <v>0</v>
      </c>
      <c r="AA4" s="21" t="e">
        <f>Indicadores!$T304</f>
        <v>#DIV/0!</v>
      </c>
      <c r="AB4" s="21">
        <f>Indicadores!$T316</f>
        <v>0</v>
      </c>
      <c r="AC4" s="21">
        <f>Indicadores!$T328</f>
        <v>0</v>
      </c>
      <c r="AD4" s="21">
        <f>Indicadores!$T340</f>
        <v>0</v>
      </c>
      <c r="AE4" s="21">
        <f>Indicadores!$T352</f>
        <v>0</v>
      </c>
      <c r="AF4" s="21">
        <f>Indicadores!$T364</f>
        <v>0</v>
      </c>
      <c r="AG4" s="21">
        <f>Indicadores!$T376</f>
        <v>0</v>
      </c>
      <c r="AH4" s="21">
        <f>Indicadores!$T388</f>
        <v>0.2558139534883721</v>
      </c>
      <c r="AI4" s="21">
        <f>Indicadores!$T400</f>
        <v>0</v>
      </c>
      <c r="AJ4" s="21">
        <f>Indicadores!$T412</f>
        <v>8.7499999999999994E-2</v>
      </c>
      <c r="AK4" s="21">
        <f>Indicadores!$T424</f>
        <v>0</v>
      </c>
      <c r="AL4" s="21">
        <f>Indicadores!$T436</f>
        <v>0</v>
      </c>
      <c r="AM4" s="21" t="e">
        <f>Indicadores!$T448</f>
        <v>#DIV/0!</v>
      </c>
      <c r="AN4" s="21" t="e">
        <f>Indicadores!$T460</f>
        <v>#DIV/0!</v>
      </c>
      <c r="AO4" s="21">
        <f>Indicadores!$T472</f>
        <v>0</v>
      </c>
      <c r="AP4" s="21">
        <f>Indicadores!$T484</f>
        <v>0</v>
      </c>
      <c r="AQ4" s="21">
        <f>Indicadores!$T496</f>
        <v>0</v>
      </c>
      <c r="AR4" s="21">
        <f>Indicadores!$T508</f>
        <v>0.33750000000000002</v>
      </c>
      <c r="AS4" s="21">
        <f>Indicadores!$T520</f>
        <v>0</v>
      </c>
      <c r="AT4" s="21">
        <f>Indicadores!$T532</f>
        <v>0</v>
      </c>
      <c r="AU4" s="21">
        <f>Indicadores!$T544</f>
        <v>0</v>
      </c>
      <c r="AV4" s="21">
        <f>Indicadores!$T556</f>
        <v>0</v>
      </c>
      <c r="AW4" s="21">
        <f>Indicadores!$T568</f>
        <v>0.35714285714285715</v>
      </c>
      <c r="AX4" s="21">
        <f>Indicadores!$T580</f>
        <v>0</v>
      </c>
      <c r="AY4" s="21">
        <f>Indicadores!$T592</f>
        <v>0</v>
      </c>
      <c r="AZ4" s="21">
        <f>Indicadores!$T604</f>
        <v>0.23749999999999999</v>
      </c>
      <c r="BA4" s="21">
        <f>Indicadores!$T616</f>
        <v>0</v>
      </c>
      <c r="BB4" s="21" t="e">
        <f>Indicadores!$T628</f>
        <v>#DIV/0!</v>
      </c>
      <c r="BC4" s="21">
        <f>Indicadores!$T640</f>
        <v>0</v>
      </c>
      <c r="BD4" s="21">
        <f>Indicadores!$T652</f>
        <v>0</v>
      </c>
      <c r="BE4" s="21">
        <f>Indicadores!$T664</f>
        <v>0</v>
      </c>
      <c r="BF4" s="21">
        <f>Indicadores!$T676</f>
        <v>0</v>
      </c>
      <c r="BG4" s="21" t="e">
        <f>Indicadores!$T688</f>
        <v>#DIV/0!</v>
      </c>
      <c r="BH4" s="21">
        <f>Indicadores!$T700</f>
        <v>0</v>
      </c>
      <c r="BI4" s="21">
        <f>Indicadores!$T712</f>
        <v>0</v>
      </c>
      <c r="BJ4" s="21">
        <f>Indicadores!$T724</f>
        <v>0</v>
      </c>
      <c r="BK4" s="21">
        <f>Indicadores!$T736</f>
        <v>0</v>
      </c>
      <c r="BL4" s="21" t="e">
        <f>Indicadores!$T748</f>
        <v>#DIV/0!</v>
      </c>
      <c r="BM4" s="4" t="e">
        <f t="shared" si="0"/>
        <v>#DIV/0!</v>
      </c>
      <c r="BN4" s="4" t="e">
        <f>BM4+BP4</f>
        <v>#DIV/0!</v>
      </c>
      <c r="BO4" s="4" t="e">
        <f>BM4-BP4</f>
        <v>#DIV/0!</v>
      </c>
      <c r="BP4" s="3" t="e">
        <f t="shared" si="2"/>
        <v>#DIV/0!</v>
      </c>
    </row>
    <row r="5" spans="1:68" ht="15" x14ac:dyDescent="0.2">
      <c r="A5" s="20" t="s">
        <v>154</v>
      </c>
      <c r="B5" s="21" t="e">
        <f>Indicadores!$T5</f>
        <v>#DIV/0!</v>
      </c>
      <c r="C5" s="21">
        <f>Indicadores!T17</f>
        <v>0</v>
      </c>
      <c r="D5" s="21">
        <f>Indicadores!$T29</f>
        <v>0</v>
      </c>
      <c r="E5" s="21">
        <f>Indicadores!$T41</f>
        <v>0.13750000000000001</v>
      </c>
      <c r="F5" s="21">
        <f>Indicadores!$T53</f>
        <v>0.21249999999999999</v>
      </c>
      <c r="G5" s="21">
        <f>Indicadores!$T65</f>
        <v>0</v>
      </c>
      <c r="H5" s="21">
        <f>Indicadores!$T77</f>
        <v>0.1125</v>
      </c>
      <c r="I5" s="21">
        <f>Indicadores!$T89</f>
        <v>0</v>
      </c>
      <c r="J5" s="21">
        <f>Indicadores!T$98</f>
        <v>0</v>
      </c>
      <c r="K5" s="21">
        <f>Indicadores!$T113</f>
        <v>0.16250000000000001</v>
      </c>
      <c r="L5" s="21" t="e">
        <f>Indicadores!$T125</f>
        <v>#DIV/0!</v>
      </c>
      <c r="M5" s="21">
        <f>Indicadores!$T137</f>
        <v>0.33783783783783783</v>
      </c>
      <c r="N5" s="21">
        <f>Indicadores!$T149</f>
        <v>0</v>
      </c>
      <c r="O5" s="21">
        <f>Indicadores!$T161</f>
        <v>0</v>
      </c>
      <c r="P5" s="21">
        <f>Indicadores!$T173</f>
        <v>0</v>
      </c>
      <c r="Q5" s="21">
        <f>Indicadores!$T185</f>
        <v>0</v>
      </c>
      <c r="R5" s="21">
        <f>Indicadores!T197</f>
        <v>0</v>
      </c>
      <c r="S5" s="21">
        <f>Indicadores!T209</f>
        <v>0</v>
      </c>
      <c r="T5" s="21">
        <f>Indicadores!T221</f>
        <v>0.16883116883116883</v>
      </c>
      <c r="U5" s="21">
        <f>Indicadores!$T233</f>
        <v>0.2</v>
      </c>
      <c r="V5" s="21">
        <f>Indicadores!$T245</f>
        <v>0</v>
      </c>
      <c r="W5" s="21">
        <f>Indicadores!$T257</f>
        <v>0</v>
      </c>
      <c r="X5" s="21" t="e">
        <f>Indicadores!$T269</f>
        <v>#DIV/0!</v>
      </c>
      <c r="Y5" s="21">
        <f>Indicadores!$T281</f>
        <v>0.16250000000000001</v>
      </c>
      <c r="Z5" s="21">
        <f>Indicadores!$T293</f>
        <v>0</v>
      </c>
      <c r="AA5" s="21" t="e">
        <f>Indicadores!$T305</f>
        <v>#DIV/0!</v>
      </c>
      <c r="AB5" s="21">
        <f>Indicadores!$T317</f>
        <v>0</v>
      </c>
      <c r="AC5" s="21">
        <f>Indicadores!$T329</f>
        <v>0</v>
      </c>
      <c r="AD5" s="21">
        <f>Indicadores!$T341</f>
        <v>0</v>
      </c>
      <c r="AE5" s="21">
        <f>Indicadores!$T353</f>
        <v>0</v>
      </c>
      <c r="AF5" s="21">
        <f>Indicadores!$T365</f>
        <v>0</v>
      </c>
      <c r="AG5" s="21">
        <f>Indicadores!$T377</f>
        <v>0</v>
      </c>
      <c r="AH5" s="21">
        <f>Indicadores!$T389</f>
        <v>0.2558139534883721</v>
      </c>
      <c r="AI5" s="21">
        <f>Indicadores!$T401</f>
        <v>0</v>
      </c>
      <c r="AJ5" s="21">
        <f>Indicadores!$T413</f>
        <v>8.7499999999999994E-2</v>
      </c>
      <c r="AK5" s="21">
        <f>Indicadores!$T425</f>
        <v>0</v>
      </c>
      <c r="AL5" s="21">
        <f>Indicadores!$T437</f>
        <v>0</v>
      </c>
      <c r="AM5" s="21" t="e">
        <f>Indicadores!$T449</f>
        <v>#DIV/0!</v>
      </c>
      <c r="AN5" s="21" t="e">
        <f>Indicadores!$T461</f>
        <v>#DIV/0!</v>
      </c>
      <c r="AO5" s="21">
        <f>Indicadores!$T473</f>
        <v>0</v>
      </c>
      <c r="AP5" s="21">
        <f>Indicadores!$T485</f>
        <v>0</v>
      </c>
      <c r="AQ5" s="21">
        <f>Indicadores!$T497</f>
        <v>0</v>
      </c>
      <c r="AR5" s="21">
        <f>Indicadores!$T509</f>
        <v>0.33750000000000002</v>
      </c>
      <c r="AS5" s="21">
        <f>Indicadores!$T521</f>
        <v>0</v>
      </c>
      <c r="AT5" s="21">
        <f>Indicadores!$T533</f>
        <v>0</v>
      </c>
      <c r="AU5" s="21">
        <f>Indicadores!$T545</f>
        <v>0</v>
      </c>
      <c r="AV5" s="21">
        <f>Indicadores!$T557</f>
        <v>0</v>
      </c>
      <c r="AW5" s="21">
        <f>Indicadores!$T569</f>
        <v>0.35714285714285715</v>
      </c>
      <c r="AX5" s="21">
        <f>Indicadores!$T581</f>
        <v>0</v>
      </c>
      <c r="AY5" s="21">
        <f>Indicadores!$T593</f>
        <v>0</v>
      </c>
      <c r="AZ5" s="21">
        <f>Indicadores!$T605</f>
        <v>0.23749999999999999</v>
      </c>
      <c r="BA5" s="21">
        <f>Indicadores!$T617</f>
        <v>0</v>
      </c>
      <c r="BB5" s="21" t="e">
        <f>Indicadores!$T629</f>
        <v>#DIV/0!</v>
      </c>
      <c r="BC5" s="21">
        <f>Indicadores!$T641</f>
        <v>0</v>
      </c>
      <c r="BD5" s="21">
        <f>Indicadores!$T653</f>
        <v>0</v>
      </c>
      <c r="BE5" s="21">
        <f>Indicadores!$T665</f>
        <v>0</v>
      </c>
      <c r="BF5" s="21">
        <f>Indicadores!$T677</f>
        <v>0</v>
      </c>
      <c r="BG5" s="21" t="e">
        <f>Indicadores!$T689</f>
        <v>#DIV/0!</v>
      </c>
      <c r="BH5" s="21">
        <f>Indicadores!$T701</f>
        <v>0</v>
      </c>
      <c r="BI5" s="21">
        <f>Indicadores!$T713</f>
        <v>0</v>
      </c>
      <c r="BJ5" s="21">
        <f>Indicadores!$T725</f>
        <v>0</v>
      </c>
      <c r="BK5" s="21">
        <f>Indicadores!$T737</f>
        <v>0</v>
      </c>
      <c r="BL5" s="21" t="e">
        <f>Indicadores!$T749</f>
        <v>#DIV/0!</v>
      </c>
      <c r="BM5" s="4" t="e">
        <f t="shared" si="0"/>
        <v>#DIV/0!</v>
      </c>
      <c r="BN5" s="4" t="e">
        <f t="shared" si="3"/>
        <v>#DIV/0!</v>
      </c>
      <c r="BO5" s="4" t="e">
        <f t="shared" si="1"/>
        <v>#DIV/0!</v>
      </c>
      <c r="BP5" s="3" t="e">
        <f t="shared" si="2"/>
        <v>#DIV/0!</v>
      </c>
    </row>
    <row r="6" spans="1:68" ht="15" x14ac:dyDescent="0.2">
      <c r="A6" s="20" t="s">
        <v>155</v>
      </c>
      <c r="B6" s="21" t="e">
        <f>Indicadores!$T6</f>
        <v>#DIV/0!</v>
      </c>
      <c r="C6" s="21">
        <f>Indicadores!T18</f>
        <v>1.25</v>
      </c>
      <c r="D6" s="21">
        <f>Indicadores!$T30</f>
        <v>0.6</v>
      </c>
      <c r="E6" s="21">
        <f>Indicadores!$T42</f>
        <v>0.66249999999999998</v>
      </c>
      <c r="F6" s="21">
        <f>Indicadores!$T54</f>
        <v>1.2124999999999999</v>
      </c>
      <c r="G6" s="21">
        <f>Indicadores!$T66</f>
        <v>0</v>
      </c>
      <c r="H6" s="21">
        <f>Indicadores!$T78</f>
        <v>0.4375</v>
      </c>
      <c r="I6" s="21">
        <f>Indicadores!$T90</f>
        <v>1.5142857142857142</v>
      </c>
      <c r="J6" s="21">
        <f>Indicadores!T$98</f>
        <v>0</v>
      </c>
      <c r="K6" s="21">
        <f>Indicadores!$T114</f>
        <v>0.32500000000000001</v>
      </c>
      <c r="L6" s="21" t="e">
        <f>Indicadores!$T126</f>
        <v>#DIV/0!</v>
      </c>
      <c r="M6" s="21">
        <f>Indicadores!$T138</f>
        <v>0.81081081081081086</v>
      </c>
      <c r="N6" s="21">
        <f>Indicadores!$T150</f>
        <v>1.42</v>
      </c>
      <c r="O6" s="21">
        <f>Indicadores!$T162</f>
        <v>0.7</v>
      </c>
      <c r="P6" s="21">
        <f>Indicadores!$T174</f>
        <v>0.56000000000000005</v>
      </c>
      <c r="Q6" s="21">
        <f>Indicadores!$T186</f>
        <v>0.4</v>
      </c>
      <c r="R6" s="21">
        <f>Indicadores!T198</f>
        <v>0</v>
      </c>
      <c r="S6" s="21">
        <f>Indicadores!T210</f>
        <v>0.70370370370370372</v>
      </c>
      <c r="T6" s="21">
        <f>Indicadores!T222</f>
        <v>0.53246753246753242</v>
      </c>
      <c r="U6" s="21">
        <f>Indicadores!$T234</f>
        <v>0.71250000000000002</v>
      </c>
      <c r="V6" s="21">
        <f>Indicadores!$T246</f>
        <v>0</v>
      </c>
      <c r="W6" s="21">
        <f>Indicadores!$T258</f>
        <v>0</v>
      </c>
      <c r="X6" s="21" t="e">
        <f>Indicadores!$T270</f>
        <v>#DIV/0!</v>
      </c>
      <c r="Y6" s="21">
        <f>Indicadores!$T282</f>
        <v>0.83750000000000002</v>
      </c>
      <c r="Z6" s="21">
        <f>Indicadores!$T294</f>
        <v>3.7499999999999999E-2</v>
      </c>
      <c r="AA6" s="21" t="e">
        <f>Indicadores!$T306</f>
        <v>#DIV/0!</v>
      </c>
      <c r="AB6" s="21">
        <f>Indicadores!$T318</f>
        <v>1.7714285714285714</v>
      </c>
      <c r="AC6" s="21">
        <f>Indicadores!$T330</f>
        <v>1.4925373134328359</v>
      </c>
      <c r="AD6" s="21">
        <f>Indicadores!$T342</f>
        <v>0.21518987341772153</v>
      </c>
      <c r="AE6" s="21">
        <f>Indicadores!$T354</f>
        <v>0.29411764705882354</v>
      </c>
      <c r="AF6" s="21">
        <f>Indicadores!$T366</f>
        <v>8.5714285714285715E-2</v>
      </c>
      <c r="AG6" s="21">
        <f>Indicadores!$T378</f>
        <v>0</v>
      </c>
      <c r="AH6" s="21">
        <f>Indicadores!$T390</f>
        <v>0.76744186046511631</v>
      </c>
      <c r="AI6" s="21">
        <f>Indicadores!$T402</f>
        <v>1</v>
      </c>
      <c r="AJ6" s="21">
        <f>Indicadores!$T414</f>
        <v>0.3</v>
      </c>
      <c r="AK6" s="21">
        <f>Indicadores!$T426</f>
        <v>0.14285714285714285</v>
      </c>
      <c r="AL6" s="21">
        <f>Indicadores!$T438</f>
        <v>0.29333333333333333</v>
      </c>
      <c r="AM6" s="21" t="e">
        <f>Indicadores!$T450</f>
        <v>#DIV/0!</v>
      </c>
      <c r="AN6" s="21" t="e">
        <f>Indicadores!$T462</f>
        <v>#DIV/0!</v>
      </c>
      <c r="AO6" s="21">
        <f>Indicadores!$T474</f>
        <v>0</v>
      </c>
      <c r="AP6" s="21">
        <f>Indicadores!$T486</f>
        <v>0</v>
      </c>
      <c r="AQ6" s="21">
        <f>Indicadores!$T498</f>
        <v>1.1714285714285715</v>
      </c>
      <c r="AR6" s="21">
        <f>Indicadores!$T510</f>
        <v>0.73750000000000004</v>
      </c>
      <c r="AS6" s="21">
        <f>Indicadores!$T522</f>
        <v>1.3166666666666667</v>
      </c>
      <c r="AT6" s="21">
        <f>Indicadores!$T534</f>
        <v>0.49367088607594939</v>
      </c>
      <c r="AU6" s="21">
        <f>Indicadores!$T546</f>
        <v>0</v>
      </c>
      <c r="AV6" s="21">
        <f>Indicadores!$T558</f>
        <v>1.0526315789473684</v>
      </c>
      <c r="AW6" s="21">
        <f>Indicadores!$T570</f>
        <v>0.35714285714285715</v>
      </c>
      <c r="AX6" s="21">
        <f>Indicadores!$T582</f>
        <v>0</v>
      </c>
      <c r="AY6" s="21">
        <f>Indicadores!$T594</f>
        <v>0.625</v>
      </c>
      <c r="AZ6" s="21">
        <f>Indicadores!$T606</f>
        <v>0.48749999999999999</v>
      </c>
      <c r="BA6" s="21">
        <f>Indicadores!$T618</f>
        <v>0.39534883720930231</v>
      </c>
      <c r="BB6" s="21" t="e">
        <f>Indicadores!$T630</f>
        <v>#DIV/0!</v>
      </c>
      <c r="BC6" s="21">
        <f>Indicadores!$T642</f>
        <v>0.53749999999999998</v>
      </c>
      <c r="BD6" s="21">
        <f>Indicadores!$T654</f>
        <v>0.8</v>
      </c>
      <c r="BE6" s="21">
        <f>Indicadores!$T666</f>
        <v>0</v>
      </c>
      <c r="BF6" s="21">
        <f>Indicadores!$T678</f>
        <v>9.0909090909090912E-2</v>
      </c>
      <c r="BG6" s="21" t="e">
        <f>Indicadores!$T690</f>
        <v>#DIV/0!</v>
      </c>
      <c r="BH6" s="21">
        <f>Indicadores!$T702</f>
        <v>1</v>
      </c>
      <c r="BI6" s="21">
        <f>Indicadores!$T714</f>
        <v>0.25</v>
      </c>
      <c r="BJ6" s="21">
        <f>Indicadores!$T726</f>
        <v>0</v>
      </c>
      <c r="BK6" s="21">
        <f>Indicadores!$T738</f>
        <v>0.22500000000000001</v>
      </c>
      <c r="BL6" s="21" t="e">
        <f>Indicadores!$T750</f>
        <v>#DIV/0!</v>
      </c>
      <c r="BM6" s="4" t="e">
        <f t="shared" si="0"/>
        <v>#DIV/0!</v>
      </c>
      <c r="BN6" s="4" t="e">
        <f t="shared" si="3"/>
        <v>#DIV/0!</v>
      </c>
      <c r="BO6" s="4" t="e">
        <f t="shared" si="1"/>
        <v>#DIV/0!</v>
      </c>
      <c r="BP6" s="3" t="e">
        <f t="shared" si="2"/>
        <v>#DIV/0!</v>
      </c>
    </row>
    <row r="7" spans="1:68" ht="15" x14ac:dyDescent="0.2">
      <c r="A7" s="20" t="s">
        <v>156</v>
      </c>
      <c r="B7" s="21" t="e">
        <f>Indicadores!$T7</f>
        <v>#DIV/0!</v>
      </c>
      <c r="C7" s="21">
        <f>Indicadores!T19</f>
        <v>1.25</v>
      </c>
      <c r="D7" s="21">
        <f>Indicadores!$T31</f>
        <v>0.6</v>
      </c>
      <c r="E7" s="21">
        <f>Indicadores!$T43</f>
        <v>0.66249999999999998</v>
      </c>
      <c r="F7" s="21">
        <f>Indicadores!$T55</f>
        <v>1.2124999999999999</v>
      </c>
      <c r="G7" s="21">
        <f>Indicadores!$T67</f>
        <v>0</v>
      </c>
      <c r="H7" s="21">
        <f>Indicadores!$T79</f>
        <v>0.4375</v>
      </c>
      <c r="I7" s="21">
        <f>Indicadores!$T91</f>
        <v>1.5142857142857142</v>
      </c>
      <c r="J7" s="21">
        <f>Indicadores!T$98</f>
        <v>0</v>
      </c>
      <c r="K7" s="21">
        <f>Indicadores!$T115</f>
        <v>0.32500000000000001</v>
      </c>
      <c r="L7" s="21" t="e">
        <f>Indicadores!$T127</f>
        <v>#DIV/0!</v>
      </c>
      <c r="M7" s="21">
        <f>Indicadores!$T139</f>
        <v>0.81081081081081086</v>
      </c>
      <c r="N7" s="21">
        <f>Indicadores!$T151</f>
        <v>1.42</v>
      </c>
      <c r="O7" s="21">
        <f>Indicadores!$T163</f>
        <v>0.7</v>
      </c>
      <c r="P7" s="21">
        <f>Indicadores!$T175</f>
        <v>0.56000000000000005</v>
      </c>
      <c r="Q7" s="21">
        <f>Indicadores!$T187</f>
        <v>0.4</v>
      </c>
      <c r="R7" s="21">
        <f>Indicadores!T199</f>
        <v>0</v>
      </c>
      <c r="S7" s="21">
        <f>Indicadores!T211</f>
        <v>0.70370370370370372</v>
      </c>
      <c r="T7" s="21">
        <f>Indicadores!T223</f>
        <v>0.53246753246753242</v>
      </c>
      <c r="U7" s="21">
        <f>Indicadores!$T235</f>
        <v>0.71250000000000002</v>
      </c>
      <c r="V7" s="21">
        <f>Indicadores!$T247</f>
        <v>0</v>
      </c>
      <c r="W7" s="21">
        <f>Indicadores!$T259</f>
        <v>0</v>
      </c>
      <c r="X7" s="21" t="e">
        <f>Indicadores!$T271</f>
        <v>#DIV/0!</v>
      </c>
      <c r="Y7" s="21">
        <f>Indicadores!$T283</f>
        <v>0.83750000000000002</v>
      </c>
      <c r="Z7" s="21">
        <f>Indicadores!$T295</f>
        <v>3.7499999999999999E-2</v>
      </c>
      <c r="AA7" s="21" t="e">
        <f>Indicadores!$T307</f>
        <v>#DIV/0!</v>
      </c>
      <c r="AB7" s="21">
        <f>Indicadores!$T319</f>
        <v>1.7714285714285714</v>
      </c>
      <c r="AC7" s="21">
        <f>Indicadores!$T331</f>
        <v>1.4925373134328359</v>
      </c>
      <c r="AD7" s="21">
        <f>Indicadores!$T343</f>
        <v>0.21518987341772153</v>
      </c>
      <c r="AE7" s="21">
        <f>Indicadores!$T355</f>
        <v>0.29411764705882354</v>
      </c>
      <c r="AF7" s="21">
        <f>Indicadores!$T367</f>
        <v>8.5714285714285715E-2</v>
      </c>
      <c r="AG7" s="21">
        <f>Indicadores!$T379</f>
        <v>0</v>
      </c>
      <c r="AH7" s="21">
        <f>Indicadores!$T391</f>
        <v>0.76744186046511631</v>
      </c>
      <c r="AI7" s="21">
        <f>Indicadores!$T403</f>
        <v>1</v>
      </c>
      <c r="AJ7" s="21">
        <f>Indicadores!$T415</f>
        <v>0.3</v>
      </c>
      <c r="AK7" s="21">
        <f>Indicadores!$T427</f>
        <v>0.14285714285714285</v>
      </c>
      <c r="AL7" s="21">
        <f>Indicadores!$T439</f>
        <v>0.29333333333333333</v>
      </c>
      <c r="AM7" s="21" t="e">
        <f>Indicadores!$T451</f>
        <v>#DIV/0!</v>
      </c>
      <c r="AN7" s="21" t="e">
        <f>Indicadores!$T463</f>
        <v>#DIV/0!</v>
      </c>
      <c r="AO7" s="21">
        <f>Indicadores!$T475</f>
        <v>0</v>
      </c>
      <c r="AP7" s="21">
        <f>Indicadores!$T487</f>
        <v>0</v>
      </c>
      <c r="AQ7" s="21">
        <f>Indicadores!$T499</f>
        <v>1.1714285714285715</v>
      </c>
      <c r="AR7" s="21">
        <f>Indicadores!$T511</f>
        <v>0.73750000000000004</v>
      </c>
      <c r="AS7" s="21">
        <f>Indicadores!$T523</f>
        <v>1.3166666666666667</v>
      </c>
      <c r="AT7" s="21">
        <f>Indicadores!$T535</f>
        <v>0.49367088607594939</v>
      </c>
      <c r="AU7" s="21">
        <f>Indicadores!$T547</f>
        <v>0</v>
      </c>
      <c r="AV7" s="21">
        <f>Indicadores!$T559</f>
        <v>1.0526315789473684</v>
      </c>
      <c r="AW7" s="21">
        <f>Indicadores!$T571</f>
        <v>0.35714285714285715</v>
      </c>
      <c r="AX7" s="21">
        <f>Indicadores!$T583</f>
        <v>0</v>
      </c>
      <c r="AY7" s="21">
        <f>Indicadores!$T595</f>
        <v>0.625</v>
      </c>
      <c r="AZ7" s="21">
        <f>Indicadores!$T607</f>
        <v>0.48749999999999999</v>
      </c>
      <c r="BA7" s="21">
        <f>Indicadores!$T619</f>
        <v>0.39534883720930231</v>
      </c>
      <c r="BB7" s="21" t="e">
        <f>Indicadores!$T631</f>
        <v>#DIV/0!</v>
      </c>
      <c r="BC7" s="21">
        <f>Indicadores!$T643</f>
        <v>0.53749999999999998</v>
      </c>
      <c r="BD7" s="21">
        <f>Indicadores!$T655</f>
        <v>0.8</v>
      </c>
      <c r="BE7" s="21">
        <f>Indicadores!$T667</f>
        <v>0</v>
      </c>
      <c r="BF7" s="21">
        <f>Indicadores!$T679</f>
        <v>9.0909090909090912E-2</v>
      </c>
      <c r="BG7" s="21" t="e">
        <f>Indicadores!$T691</f>
        <v>#DIV/0!</v>
      </c>
      <c r="BH7" s="21">
        <f>Indicadores!$T703</f>
        <v>1</v>
      </c>
      <c r="BI7" s="21">
        <f>Indicadores!$T715</f>
        <v>0.25</v>
      </c>
      <c r="BJ7" s="21">
        <f>Indicadores!$T727</f>
        <v>0</v>
      </c>
      <c r="BK7" s="21">
        <f>Indicadores!$T739</f>
        <v>0.22500000000000001</v>
      </c>
      <c r="BL7" s="21" t="e">
        <f>Indicadores!$T751</f>
        <v>#DIV/0!</v>
      </c>
      <c r="BM7" s="4" t="e">
        <f t="shared" si="0"/>
        <v>#DIV/0!</v>
      </c>
      <c r="BN7" s="4" t="e">
        <f t="shared" si="3"/>
        <v>#DIV/0!</v>
      </c>
      <c r="BO7" s="4" t="e">
        <f t="shared" si="1"/>
        <v>#DIV/0!</v>
      </c>
      <c r="BP7" s="3" t="e">
        <f t="shared" si="2"/>
        <v>#DIV/0!</v>
      </c>
    </row>
    <row r="8" spans="1:68" ht="15" x14ac:dyDescent="0.2">
      <c r="A8" s="20" t="s">
        <v>157</v>
      </c>
      <c r="B8" s="21" t="e">
        <f>Indicadores!$T8</f>
        <v>#DIV/0!</v>
      </c>
      <c r="C8" s="21">
        <f>Indicadores!T20</f>
        <v>1.25</v>
      </c>
      <c r="D8" s="21">
        <f>Indicadores!$T32</f>
        <v>0.6</v>
      </c>
      <c r="E8" s="21">
        <f>Indicadores!$T44</f>
        <v>0.66249999999999998</v>
      </c>
      <c r="F8" s="21">
        <f>Indicadores!$T56</f>
        <v>1.2124999999999999</v>
      </c>
      <c r="G8" s="21">
        <f>Indicadores!$T68</f>
        <v>0</v>
      </c>
      <c r="H8" s="21">
        <f>Indicadores!$T80</f>
        <v>0.4375</v>
      </c>
      <c r="I8" s="21">
        <f>Indicadores!$T92</f>
        <v>1.5142857142857142</v>
      </c>
      <c r="J8" s="21">
        <f>Indicadores!T$98</f>
        <v>0</v>
      </c>
      <c r="K8" s="21">
        <f>Indicadores!$T116</f>
        <v>0.32500000000000001</v>
      </c>
      <c r="L8" s="21" t="e">
        <f>Indicadores!$T128</f>
        <v>#DIV/0!</v>
      </c>
      <c r="M8" s="21">
        <f>Indicadores!$T140</f>
        <v>0.81081081081081086</v>
      </c>
      <c r="N8" s="21">
        <f>Indicadores!$T152</f>
        <v>1.42</v>
      </c>
      <c r="O8" s="21">
        <f>Indicadores!$T164</f>
        <v>0.7</v>
      </c>
      <c r="P8" s="21">
        <f>Indicadores!$T176</f>
        <v>0.56000000000000005</v>
      </c>
      <c r="Q8" s="21">
        <f>Indicadores!$T188</f>
        <v>0.4</v>
      </c>
      <c r="R8" s="21">
        <f>Indicadores!T200</f>
        <v>0</v>
      </c>
      <c r="S8" s="21">
        <f>Indicadores!T212</f>
        <v>0.70370370370370372</v>
      </c>
      <c r="T8" s="21">
        <f>Indicadores!T224</f>
        <v>0.53246753246753242</v>
      </c>
      <c r="U8" s="21">
        <f>Indicadores!$T236</f>
        <v>0.71250000000000002</v>
      </c>
      <c r="V8" s="21">
        <f>Indicadores!$T248</f>
        <v>0</v>
      </c>
      <c r="W8" s="21">
        <f>Indicadores!$T260</f>
        <v>0</v>
      </c>
      <c r="X8" s="21" t="e">
        <f>Indicadores!$T272</f>
        <v>#DIV/0!</v>
      </c>
      <c r="Y8" s="21">
        <f>Indicadores!$T284</f>
        <v>0.83750000000000002</v>
      </c>
      <c r="Z8" s="21">
        <f>Indicadores!$T296</f>
        <v>3.7499999999999999E-2</v>
      </c>
      <c r="AA8" s="21" t="e">
        <f>Indicadores!$T308</f>
        <v>#DIV/0!</v>
      </c>
      <c r="AB8" s="21">
        <f>Indicadores!$T320</f>
        <v>1.7714285714285714</v>
      </c>
      <c r="AC8" s="21">
        <f>Indicadores!$T332</f>
        <v>1.4925373134328359</v>
      </c>
      <c r="AD8" s="21">
        <f>Indicadores!$T344</f>
        <v>0.21518987341772153</v>
      </c>
      <c r="AE8" s="21">
        <f>Indicadores!$T356</f>
        <v>0.29411764705882354</v>
      </c>
      <c r="AF8" s="21">
        <f>Indicadores!$T368</f>
        <v>8.5714285714285715E-2</v>
      </c>
      <c r="AG8" s="21">
        <f>Indicadores!$T380</f>
        <v>0</v>
      </c>
      <c r="AH8" s="21">
        <f>Indicadores!$T392</f>
        <v>0.76744186046511631</v>
      </c>
      <c r="AI8" s="21">
        <f>Indicadores!$T404</f>
        <v>1</v>
      </c>
      <c r="AJ8" s="21">
        <f>Indicadores!$T416</f>
        <v>0.3</v>
      </c>
      <c r="AK8" s="21">
        <f>Indicadores!$T428</f>
        <v>0.14285714285714285</v>
      </c>
      <c r="AL8" s="21">
        <f>Indicadores!$T440</f>
        <v>0.29333333333333333</v>
      </c>
      <c r="AM8" s="21" t="e">
        <f>Indicadores!$T452</f>
        <v>#DIV/0!</v>
      </c>
      <c r="AN8" s="21" t="e">
        <f>Indicadores!$T464</f>
        <v>#DIV/0!</v>
      </c>
      <c r="AO8" s="21">
        <f>Indicadores!$T476</f>
        <v>0</v>
      </c>
      <c r="AP8" s="21">
        <f>Indicadores!$T488</f>
        <v>0</v>
      </c>
      <c r="AQ8" s="21">
        <f>Indicadores!$T500</f>
        <v>1.1714285714285715</v>
      </c>
      <c r="AR8" s="21">
        <f>Indicadores!$T512</f>
        <v>0.73750000000000004</v>
      </c>
      <c r="AS8" s="21">
        <f>Indicadores!$T524</f>
        <v>1.3166666666666667</v>
      </c>
      <c r="AT8" s="21">
        <f>Indicadores!$T536</f>
        <v>0.49367088607594939</v>
      </c>
      <c r="AU8" s="21">
        <f>Indicadores!$T548</f>
        <v>0</v>
      </c>
      <c r="AV8" s="21">
        <f>Indicadores!$T560</f>
        <v>1.0526315789473684</v>
      </c>
      <c r="AW8" s="21">
        <f>Indicadores!$T572</f>
        <v>0.35714285714285715</v>
      </c>
      <c r="AX8" s="21">
        <f>Indicadores!$T584</f>
        <v>0</v>
      </c>
      <c r="AY8" s="21">
        <f>Indicadores!$T596</f>
        <v>0.625</v>
      </c>
      <c r="AZ8" s="21">
        <f>Indicadores!$T608</f>
        <v>0.48749999999999999</v>
      </c>
      <c r="BA8" s="21">
        <f>Indicadores!$T620</f>
        <v>0.39534883720930231</v>
      </c>
      <c r="BB8" s="21" t="e">
        <f>Indicadores!$T632</f>
        <v>#DIV/0!</v>
      </c>
      <c r="BC8" s="21">
        <f>Indicadores!$T644</f>
        <v>0.53749999999999998</v>
      </c>
      <c r="BD8" s="21">
        <f>Indicadores!$T656</f>
        <v>0.8</v>
      </c>
      <c r="BE8" s="21">
        <f>Indicadores!$T668</f>
        <v>0</v>
      </c>
      <c r="BF8" s="21">
        <f>Indicadores!$T680</f>
        <v>9.0909090909090912E-2</v>
      </c>
      <c r="BG8" s="21" t="e">
        <f>Indicadores!$T692</f>
        <v>#DIV/0!</v>
      </c>
      <c r="BH8" s="21">
        <f>Indicadores!$T704</f>
        <v>1</v>
      </c>
      <c r="BI8" s="21">
        <f>Indicadores!$T716</f>
        <v>0.25</v>
      </c>
      <c r="BJ8" s="21">
        <f>Indicadores!$T728</f>
        <v>0</v>
      </c>
      <c r="BK8" s="21">
        <f>Indicadores!$T740</f>
        <v>0.22500000000000001</v>
      </c>
      <c r="BL8" s="21" t="e">
        <f>Indicadores!$T752</f>
        <v>#DIV/0!</v>
      </c>
      <c r="BM8" s="4" t="e">
        <f t="shared" si="0"/>
        <v>#DIV/0!</v>
      </c>
      <c r="BN8" s="4" t="e">
        <f t="shared" si="3"/>
        <v>#DIV/0!</v>
      </c>
      <c r="BO8" s="4" t="e">
        <f t="shared" si="1"/>
        <v>#DIV/0!</v>
      </c>
      <c r="BP8" s="3" t="e">
        <f t="shared" si="2"/>
        <v>#DIV/0!</v>
      </c>
    </row>
    <row r="9" spans="1:68" ht="15" x14ac:dyDescent="0.2">
      <c r="A9" s="20" t="s">
        <v>158</v>
      </c>
      <c r="B9" s="21" t="e">
        <f>Indicadores!$T9</f>
        <v>#DIV/0!</v>
      </c>
      <c r="C9" s="21">
        <f>Indicadores!T21</f>
        <v>1.25</v>
      </c>
      <c r="D9" s="21">
        <f>Indicadores!$T33</f>
        <v>0.6</v>
      </c>
      <c r="E9" s="21">
        <f>Indicadores!$T45</f>
        <v>0.66249999999999998</v>
      </c>
      <c r="F9" s="21">
        <f>Indicadores!$T57</f>
        <v>1.2124999999999999</v>
      </c>
      <c r="G9" s="21">
        <f>Indicadores!$T69</f>
        <v>0</v>
      </c>
      <c r="H9" s="21">
        <f>Indicadores!$T81</f>
        <v>0.4375</v>
      </c>
      <c r="I9" s="21">
        <f>Indicadores!$T93</f>
        <v>1.5142857142857142</v>
      </c>
      <c r="J9" s="21">
        <f>Indicadores!T$98</f>
        <v>0</v>
      </c>
      <c r="K9" s="21">
        <f>Indicadores!$T117</f>
        <v>0.32500000000000001</v>
      </c>
      <c r="L9" s="21" t="e">
        <f>Indicadores!$T129</f>
        <v>#DIV/0!</v>
      </c>
      <c r="M9" s="21">
        <f>Indicadores!$T141</f>
        <v>0.81081081081081086</v>
      </c>
      <c r="N9" s="21">
        <f>Indicadores!$T153</f>
        <v>1.42</v>
      </c>
      <c r="O9" s="21">
        <f>Indicadores!$T165</f>
        <v>0.7</v>
      </c>
      <c r="P9" s="21">
        <f>Indicadores!$T177</f>
        <v>0.56000000000000005</v>
      </c>
      <c r="Q9" s="21">
        <f>Indicadores!$T189</f>
        <v>0.4</v>
      </c>
      <c r="R9" s="21">
        <f>Indicadores!T201</f>
        <v>0</v>
      </c>
      <c r="S9" s="21">
        <f>Indicadores!T213</f>
        <v>0.70370370370370372</v>
      </c>
      <c r="T9" s="21">
        <f>Indicadores!T225</f>
        <v>0.53246753246753242</v>
      </c>
      <c r="U9" s="21">
        <f>Indicadores!$T237</f>
        <v>0.71250000000000002</v>
      </c>
      <c r="V9" s="21">
        <f>Indicadores!$T249</f>
        <v>0</v>
      </c>
      <c r="W9" s="21">
        <f>Indicadores!$T261</f>
        <v>0</v>
      </c>
      <c r="X9" s="21" t="e">
        <f>Indicadores!$T273</f>
        <v>#DIV/0!</v>
      </c>
      <c r="Y9" s="21">
        <f>Indicadores!$T285</f>
        <v>0.83750000000000002</v>
      </c>
      <c r="Z9" s="21">
        <f>Indicadores!$T297</f>
        <v>3.7499999999999999E-2</v>
      </c>
      <c r="AA9" s="21" t="e">
        <f>Indicadores!$T309</f>
        <v>#DIV/0!</v>
      </c>
      <c r="AB9" s="21">
        <f>Indicadores!$T321</f>
        <v>1.7714285714285714</v>
      </c>
      <c r="AC9" s="21">
        <f>Indicadores!$T333</f>
        <v>1.4925373134328359</v>
      </c>
      <c r="AD9" s="21">
        <f>Indicadores!$T345</f>
        <v>0.21518987341772153</v>
      </c>
      <c r="AE9" s="21">
        <f>Indicadores!$T357</f>
        <v>0.29411764705882354</v>
      </c>
      <c r="AF9" s="21">
        <f>Indicadores!$T369</f>
        <v>8.5714285714285715E-2</v>
      </c>
      <c r="AG9" s="21">
        <f>Indicadores!$T381</f>
        <v>0</v>
      </c>
      <c r="AH9" s="21">
        <f>Indicadores!$T393</f>
        <v>0.76744186046511631</v>
      </c>
      <c r="AI9" s="21">
        <f>Indicadores!$T405</f>
        <v>1</v>
      </c>
      <c r="AJ9" s="21">
        <f>Indicadores!$T417</f>
        <v>0.3</v>
      </c>
      <c r="AK9" s="21">
        <f>Indicadores!$T429</f>
        <v>0.14285714285714285</v>
      </c>
      <c r="AL9" s="21">
        <f>Indicadores!$T441</f>
        <v>0.29333333333333333</v>
      </c>
      <c r="AM9" s="21" t="e">
        <f>Indicadores!$T453</f>
        <v>#DIV/0!</v>
      </c>
      <c r="AN9" s="21" t="e">
        <f>Indicadores!$T465</f>
        <v>#DIV/0!</v>
      </c>
      <c r="AO9" s="21">
        <f>Indicadores!$T477</f>
        <v>0</v>
      </c>
      <c r="AP9" s="21">
        <f>Indicadores!$T489</f>
        <v>0</v>
      </c>
      <c r="AQ9" s="21">
        <f>Indicadores!$T501</f>
        <v>1.1714285714285715</v>
      </c>
      <c r="AR9" s="21">
        <f>Indicadores!$T513</f>
        <v>0.73750000000000004</v>
      </c>
      <c r="AS9" s="21">
        <f>Indicadores!$T525</f>
        <v>1.3166666666666667</v>
      </c>
      <c r="AT9" s="21">
        <f>Indicadores!$T537</f>
        <v>0.49367088607594939</v>
      </c>
      <c r="AU9" s="21">
        <f>Indicadores!$T549</f>
        <v>0</v>
      </c>
      <c r="AV9" s="21">
        <f>Indicadores!$T561</f>
        <v>1.0526315789473684</v>
      </c>
      <c r="AW9" s="21">
        <f>Indicadores!$T573</f>
        <v>0.35714285714285715</v>
      </c>
      <c r="AX9" s="21">
        <f>Indicadores!$T585</f>
        <v>0</v>
      </c>
      <c r="AY9" s="21">
        <f>Indicadores!$T597</f>
        <v>0.625</v>
      </c>
      <c r="AZ9" s="21">
        <f>Indicadores!$T609</f>
        <v>0.48749999999999999</v>
      </c>
      <c r="BA9" s="21">
        <f>Indicadores!$T621</f>
        <v>0.39534883720930231</v>
      </c>
      <c r="BB9" s="21" t="e">
        <f>Indicadores!$T633</f>
        <v>#DIV/0!</v>
      </c>
      <c r="BC9" s="21">
        <f>Indicadores!$T645</f>
        <v>0.53749999999999998</v>
      </c>
      <c r="BD9" s="21">
        <f>Indicadores!$T657</f>
        <v>0.8</v>
      </c>
      <c r="BE9" s="21">
        <f>Indicadores!$T669</f>
        <v>0</v>
      </c>
      <c r="BF9" s="21">
        <f>Indicadores!$T681</f>
        <v>9.0909090909090912E-2</v>
      </c>
      <c r="BG9" s="21" t="e">
        <f>Indicadores!$T693</f>
        <v>#DIV/0!</v>
      </c>
      <c r="BH9" s="21">
        <f>Indicadores!$T705</f>
        <v>1</v>
      </c>
      <c r="BI9" s="21">
        <f>Indicadores!$T717</f>
        <v>0.25</v>
      </c>
      <c r="BJ9" s="21">
        <f>Indicadores!$T729</f>
        <v>0</v>
      </c>
      <c r="BK9" s="21">
        <f>Indicadores!$T741</f>
        <v>0.22500000000000001</v>
      </c>
      <c r="BL9" s="21" t="e">
        <f>Indicadores!$T753</f>
        <v>#DIV/0!</v>
      </c>
      <c r="BM9" s="4" t="e">
        <f t="shared" si="0"/>
        <v>#DIV/0!</v>
      </c>
      <c r="BN9" s="4" t="e">
        <f t="shared" si="3"/>
        <v>#DIV/0!</v>
      </c>
      <c r="BO9" s="4" t="e">
        <f t="shared" si="1"/>
        <v>#DIV/0!</v>
      </c>
      <c r="BP9" s="3" t="e">
        <f t="shared" si="2"/>
        <v>#DIV/0!</v>
      </c>
    </row>
    <row r="10" spans="1:68" ht="15" x14ac:dyDescent="0.2">
      <c r="A10" s="20" t="s">
        <v>159</v>
      </c>
      <c r="B10" s="21" t="e">
        <f>Indicadores!$T10</f>
        <v>#DIV/0!</v>
      </c>
      <c r="C10" s="21">
        <f>Indicadores!T22</f>
        <v>1.25</v>
      </c>
      <c r="D10" s="21">
        <f>Indicadores!$T34</f>
        <v>0.6</v>
      </c>
      <c r="E10" s="21">
        <f>Indicadores!$T46</f>
        <v>0.66249999999999998</v>
      </c>
      <c r="F10" s="21">
        <f>Indicadores!$T58</f>
        <v>1.2124999999999999</v>
      </c>
      <c r="G10" s="21">
        <f>Indicadores!$T70</f>
        <v>1.0597014925373134</v>
      </c>
      <c r="H10" s="21">
        <f>Indicadores!$T82</f>
        <v>0.4375</v>
      </c>
      <c r="I10" s="21">
        <f>Indicadores!$T94</f>
        <v>1.6285714285714286</v>
      </c>
      <c r="J10" s="21">
        <f>Indicadores!T$98</f>
        <v>0</v>
      </c>
      <c r="K10" s="21">
        <f>Indicadores!$T118</f>
        <v>0.32500000000000001</v>
      </c>
      <c r="L10" s="21" t="e">
        <f>Indicadores!$T130</f>
        <v>#DIV/0!</v>
      </c>
      <c r="M10" s="21">
        <f>Indicadores!$T142</f>
        <v>0.81081081081081086</v>
      </c>
      <c r="N10" s="21">
        <f>Indicadores!$T154</f>
        <v>1.42</v>
      </c>
      <c r="O10" s="21">
        <f>Indicadores!$T166</f>
        <v>0.7</v>
      </c>
      <c r="P10" s="21">
        <f>Indicadores!$T178</f>
        <v>0.56000000000000005</v>
      </c>
      <c r="Q10" s="21">
        <f>Indicadores!$T190</f>
        <v>0.4</v>
      </c>
      <c r="R10" s="21">
        <f>Indicadores!T202</f>
        <v>0</v>
      </c>
      <c r="S10" s="21">
        <f>Indicadores!T214</f>
        <v>0.70370370370370372</v>
      </c>
      <c r="T10" s="21">
        <f>Indicadores!T226</f>
        <v>0.53246753246753242</v>
      </c>
      <c r="U10" s="21">
        <f>Indicadores!$T238</f>
        <v>0.71250000000000002</v>
      </c>
      <c r="V10" s="21">
        <f>Indicadores!$T250</f>
        <v>0</v>
      </c>
      <c r="W10" s="21">
        <f>Indicadores!$T262</f>
        <v>0</v>
      </c>
      <c r="X10" s="21" t="e">
        <f>Indicadores!$T274</f>
        <v>#DIV/0!</v>
      </c>
      <c r="Y10" s="21">
        <f>Indicadores!$T286</f>
        <v>0.83750000000000002</v>
      </c>
      <c r="Z10" s="21">
        <f>Indicadores!$T298</f>
        <v>3.7499999999999999E-2</v>
      </c>
      <c r="AA10" s="21" t="e">
        <f>Indicadores!$T310</f>
        <v>#DIV/0!</v>
      </c>
      <c r="AB10" s="21">
        <f>Indicadores!$T322</f>
        <v>1.7714285714285714</v>
      </c>
      <c r="AC10" s="21">
        <f>Indicadores!$T334</f>
        <v>1.4925373134328359</v>
      </c>
      <c r="AD10" s="21">
        <f>Indicadores!$T346</f>
        <v>0.21518987341772153</v>
      </c>
      <c r="AE10" s="21">
        <f>Indicadores!$T358</f>
        <v>0.29411764705882354</v>
      </c>
      <c r="AF10" s="21">
        <f>Indicadores!$T370</f>
        <v>8.5714285714285715E-2</v>
      </c>
      <c r="AG10" s="21">
        <f>Indicadores!$T382</f>
        <v>0</v>
      </c>
      <c r="AH10" s="21">
        <f>Indicadores!$T394</f>
        <v>0.76744186046511631</v>
      </c>
      <c r="AI10" s="21">
        <f>Indicadores!$T406</f>
        <v>1</v>
      </c>
      <c r="AJ10" s="21">
        <f>Indicadores!$T418</f>
        <v>0.3</v>
      </c>
      <c r="AK10" s="21">
        <f>Indicadores!$T430</f>
        <v>1.1428571428571428</v>
      </c>
      <c r="AL10" s="21">
        <f>Indicadores!$T442</f>
        <v>0.29333333333333333</v>
      </c>
      <c r="AM10" s="21" t="e">
        <f>Indicadores!$T454</f>
        <v>#DIV/0!</v>
      </c>
      <c r="AN10" s="21" t="e">
        <f>Indicadores!$T466</f>
        <v>#DIV/0!</v>
      </c>
      <c r="AO10" s="21">
        <f>Indicadores!$T478</f>
        <v>0</v>
      </c>
      <c r="AP10" s="21">
        <f>Indicadores!$T490</f>
        <v>0</v>
      </c>
      <c r="AQ10" s="21">
        <f>Indicadores!$T502</f>
        <v>1.1714285714285715</v>
      </c>
      <c r="AR10" s="21">
        <f>Indicadores!$T514</f>
        <v>0.73750000000000004</v>
      </c>
      <c r="AS10" s="21">
        <f>Indicadores!$T526</f>
        <v>1.3166666666666667</v>
      </c>
      <c r="AT10" s="21">
        <f>Indicadores!$T538</f>
        <v>0.49367088607594939</v>
      </c>
      <c r="AU10" s="21">
        <f>Indicadores!$T550</f>
        <v>0.66</v>
      </c>
      <c r="AV10" s="21">
        <f>Indicadores!$T562</f>
        <v>1.0526315789473684</v>
      </c>
      <c r="AW10" s="21">
        <f>Indicadores!$T574</f>
        <v>1.4285714285714286</v>
      </c>
      <c r="AX10" s="21">
        <f>Indicadores!$T586</f>
        <v>0</v>
      </c>
      <c r="AY10" s="21">
        <f>Indicadores!$T598</f>
        <v>0.625</v>
      </c>
      <c r="AZ10" s="21">
        <f>Indicadores!$T610</f>
        <v>0.48749999999999999</v>
      </c>
      <c r="BA10" s="21">
        <f>Indicadores!$T622</f>
        <v>0.39534883720930231</v>
      </c>
      <c r="BB10" s="21" t="e">
        <f>Indicadores!$T634</f>
        <v>#DIV/0!</v>
      </c>
      <c r="BC10" s="21">
        <f>Indicadores!$T646</f>
        <v>0.53749999999999998</v>
      </c>
      <c r="BD10" s="21">
        <f>Indicadores!$T658</f>
        <v>0.8</v>
      </c>
      <c r="BE10" s="21">
        <f>Indicadores!$T670</f>
        <v>0</v>
      </c>
      <c r="BF10" s="21">
        <f>Indicadores!$T682</f>
        <v>9.0909090909090912E-2</v>
      </c>
      <c r="BG10" s="21" t="e">
        <f>Indicadores!$T694</f>
        <v>#DIV/0!</v>
      </c>
      <c r="BH10" s="21">
        <f>Indicadores!$T706</f>
        <v>1</v>
      </c>
      <c r="BI10" s="21">
        <f>Indicadores!$T718</f>
        <v>0.25</v>
      </c>
      <c r="BJ10" s="21">
        <f>Indicadores!$T730</f>
        <v>0</v>
      </c>
      <c r="BK10" s="21">
        <f>Indicadores!$T742</f>
        <v>0.22500000000000001</v>
      </c>
      <c r="BL10" s="21" t="e">
        <f>Indicadores!$T754</f>
        <v>#DIV/0!</v>
      </c>
      <c r="BM10" s="4" t="e">
        <f t="shared" si="0"/>
        <v>#DIV/0!</v>
      </c>
      <c r="BN10" s="4" t="e">
        <f t="shared" si="3"/>
        <v>#DIV/0!</v>
      </c>
      <c r="BO10" s="4" t="e">
        <f t="shared" si="1"/>
        <v>#DIV/0!</v>
      </c>
      <c r="BP10" s="3" t="e">
        <f t="shared" si="2"/>
        <v>#DIV/0!</v>
      </c>
    </row>
    <row r="11" spans="1:68" ht="15" x14ac:dyDescent="0.2">
      <c r="A11" s="20" t="s">
        <v>160</v>
      </c>
      <c r="B11" s="21" t="e">
        <f>Indicadores!$T11</f>
        <v>#DIV/0!</v>
      </c>
      <c r="C11" s="21">
        <f>Indicadores!T23</f>
        <v>1.25</v>
      </c>
      <c r="D11" s="21">
        <f>Indicadores!$T35</f>
        <v>0.6</v>
      </c>
      <c r="E11" s="21">
        <f>Indicadores!$T47</f>
        <v>0.66249999999999998</v>
      </c>
      <c r="F11" s="21">
        <f>Indicadores!$T59</f>
        <v>1.2124999999999999</v>
      </c>
      <c r="G11" s="21">
        <f>Indicadores!$T71</f>
        <v>1.0597014925373134</v>
      </c>
      <c r="H11" s="21">
        <f>Indicadores!$T83</f>
        <v>0.4375</v>
      </c>
      <c r="I11" s="21">
        <f>Indicadores!$T95</f>
        <v>1.6285714285714286</v>
      </c>
      <c r="J11" s="21">
        <f>Indicadores!T$98</f>
        <v>0</v>
      </c>
      <c r="K11" s="21">
        <f>Indicadores!$T119</f>
        <v>0.32500000000000001</v>
      </c>
      <c r="L11" s="21" t="e">
        <f>Indicadores!$T131</f>
        <v>#DIV/0!</v>
      </c>
      <c r="M11" s="21">
        <f>Indicadores!$T143</f>
        <v>0.81081081081081086</v>
      </c>
      <c r="N11" s="21">
        <f>Indicadores!$T155</f>
        <v>1.42</v>
      </c>
      <c r="O11" s="21">
        <f>Indicadores!$T167</f>
        <v>0.7</v>
      </c>
      <c r="P11" s="21">
        <f>Indicadores!$T179</f>
        <v>0.56000000000000005</v>
      </c>
      <c r="Q11" s="21">
        <f>Indicadores!$T191</f>
        <v>0.4</v>
      </c>
      <c r="R11" s="21">
        <f>Indicadores!T203</f>
        <v>0</v>
      </c>
      <c r="S11" s="21">
        <f>Indicadores!T215</f>
        <v>0.70370370370370372</v>
      </c>
      <c r="T11" s="21">
        <f>Indicadores!T227</f>
        <v>0.53246753246753242</v>
      </c>
      <c r="U11" s="21">
        <f>Indicadores!$T239</f>
        <v>0.71250000000000002</v>
      </c>
      <c r="V11" s="21">
        <f>Indicadores!$T251</f>
        <v>0</v>
      </c>
      <c r="W11" s="21">
        <f>Indicadores!$T263</f>
        <v>0</v>
      </c>
      <c r="X11" s="21" t="e">
        <f>Indicadores!$T275</f>
        <v>#DIV/0!</v>
      </c>
      <c r="Y11" s="21">
        <f>Indicadores!$T287</f>
        <v>0.83750000000000002</v>
      </c>
      <c r="Z11" s="21">
        <f>Indicadores!$T299</f>
        <v>3.7499999999999999E-2</v>
      </c>
      <c r="AA11" s="21" t="e">
        <f>Indicadores!$T311</f>
        <v>#DIV/0!</v>
      </c>
      <c r="AB11" s="21">
        <f>Indicadores!$T323</f>
        <v>1.7714285714285714</v>
      </c>
      <c r="AC11" s="21">
        <f>Indicadores!$T335</f>
        <v>1.4925373134328359</v>
      </c>
      <c r="AD11" s="21">
        <f>Indicadores!$T347</f>
        <v>0.21518987341772153</v>
      </c>
      <c r="AE11" s="21">
        <f>Indicadores!$T359</f>
        <v>0.29411764705882354</v>
      </c>
      <c r="AF11" s="21">
        <f>Indicadores!$T371</f>
        <v>8.5714285714285715E-2</v>
      </c>
      <c r="AG11" s="21">
        <f>Indicadores!$T383</f>
        <v>0</v>
      </c>
      <c r="AH11" s="21">
        <f>Indicadores!$T395</f>
        <v>0.76744186046511631</v>
      </c>
      <c r="AI11" s="21">
        <f>Indicadores!$T407</f>
        <v>1</v>
      </c>
      <c r="AJ11" s="21">
        <f>Indicadores!$T419</f>
        <v>0.3</v>
      </c>
      <c r="AK11" s="21">
        <f>Indicadores!$T431</f>
        <v>1.1428571428571428</v>
      </c>
      <c r="AL11" s="21">
        <f>Indicadores!$T443</f>
        <v>0.29333333333333333</v>
      </c>
      <c r="AM11" s="21" t="e">
        <f>Indicadores!$T455</f>
        <v>#DIV/0!</v>
      </c>
      <c r="AN11" s="21" t="e">
        <f>Indicadores!$T467</f>
        <v>#DIV/0!</v>
      </c>
      <c r="AO11" s="21">
        <f>Indicadores!$T479</f>
        <v>0</v>
      </c>
      <c r="AP11" s="21">
        <f>Indicadores!$T491</f>
        <v>0</v>
      </c>
      <c r="AQ11" s="21">
        <f>Indicadores!$T503</f>
        <v>1.1714285714285715</v>
      </c>
      <c r="AR11" s="21">
        <f>Indicadores!$T515</f>
        <v>0.73750000000000004</v>
      </c>
      <c r="AS11" s="21">
        <f>Indicadores!$T527</f>
        <v>1.3166666666666667</v>
      </c>
      <c r="AT11" s="21">
        <f>Indicadores!$T539</f>
        <v>0.49367088607594939</v>
      </c>
      <c r="AU11" s="21">
        <f>Indicadores!$T551</f>
        <v>0.66</v>
      </c>
      <c r="AV11" s="21">
        <f>Indicadores!$T563</f>
        <v>1.0526315789473684</v>
      </c>
      <c r="AW11" s="21">
        <f>Indicadores!$T575</f>
        <v>1.4285714285714286</v>
      </c>
      <c r="AX11" s="21">
        <f>Indicadores!$T587</f>
        <v>0</v>
      </c>
      <c r="AY11" s="21">
        <f>Indicadores!$T599</f>
        <v>0.625</v>
      </c>
      <c r="AZ11" s="21">
        <f>Indicadores!$T611</f>
        <v>0.48749999999999999</v>
      </c>
      <c r="BA11" s="21">
        <f>Indicadores!$T623</f>
        <v>0.39534883720930231</v>
      </c>
      <c r="BB11" s="21" t="e">
        <f>Indicadores!$T635</f>
        <v>#DIV/0!</v>
      </c>
      <c r="BC11" s="21">
        <f>Indicadores!$T647</f>
        <v>0.53749999999999998</v>
      </c>
      <c r="BD11" s="21">
        <f>Indicadores!$T659</f>
        <v>0.8</v>
      </c>
      <c r="BE11" s="21">
        <f>Indicadores!$T671</f>
        <v>0</v>
      </c>
      <c r="BF11" s="21">
        <f>Indicadores!$T683</f>
        <v>9.0909090909090912E-2</v>
      </c>
      <c r="BG11" s="21" t="e">
        <f>Indicadores!$T695</f>
        <v>#DIV/0!</v>
      </c>
      <c r="BH11" s="21">
        <f>Indicadores!$T707</f>
        <v>1</v>
      </c>
      <c r="BI11" s="21">
        <f>Indicadores!$T719</f>
        <v>0.25</v>
      </c>
      <c r="BJ11" s="21">
        <f>Indicadores!$T731</f>
        <v>0</v>
      </c>
      <c r="BK11" s="21">
        <f>Indicadores!$T743</f>
        <v>0.22500000000000001</v>
      </c>
      <c r="BL11" s="21" t="e">
        <f>Indicadores!$T755</f>
        <v>#DIV/0!</v>
      </c>
      <c r="BM11" s="4" t="e">
        <f t="shared" si="0"/>
        <v>#DIV/0!</v>
      </c>
      <c r="BN11" s="4" t="e">
        <f t="shared" si="3"/>
        <v>#DIV/0!</v>
      </c>
      <c r="BO11" s="4" t="e">
        <f t="shared" si="1"/>
        <v>#DIV/0!</v>
      </c>
      <c r="BP11" s="3" t="e">
        <f t="shared" si="2"/>
        <v>#DIV/0!</v>
      </c>
    </row>
    <row r="12" spans="1:68" ht="15" x14ac:dyDescent="0.2">
      <c r="A12" s="20" t="s">
        <v>161</v>
      </c>
      <c r="B12" s="21" t="e">
        <f>Indicadores!$T12</f>
        <v>#DIV/0!</v>
      </c>
      <c r="C12" s="21">
        <f>Indicadores!T24</f>
        <v>0</v>
      </c>
      <c r="D12" s="21">
        <f>Indicadores!$T36</f>
        <v>0</v>
      </c>
      <c r="E12" s="21">
        <f>Indicadores!$T48</f>
        <v>0</v>
      </c>
      <c r="F12" s="21">
        <f>Indicadores!$T60</f>
        <v>0</v>
      </c>
      <c r="G12" s="21">
        <f>Indicadores!$T72</f>
        <v>0</v>
      </c>
      <c r="H12" s="21">
        <f>Indicadores!$T84</f>
        <v>0</v>
      </c>
      <c r="I12" s="21">
        <f>Indicadores!$T96</f>
        <v>0</v>
      </c>
      <c r="J12" s="21">
        <f>Indicadores!T$98</f>
        <v>0</v>
      </c>
      <c r="K12" s="21">
        <f>Indicadores!$T120</f>
        <v>0</v>
      </c>
      <c r="L12" s="21" t="e">
        <f>Indicadores!$T132</f>
        <v>#DIV/0!</v>
      </c>
      <c r="M12" s="21">
        <f>Indicadores!$T144</f>
        <v>0</v>
      </c>
      <c r="N12" s="21">
        <f>Indicadores!$T156</f>
        <v>0</v>
      </c>
      <c r="O12" s="21">
        <f>Indicadores!$T168</f>
        <v>0</v>
      </c>
      <c r="P12" s="21">
        <f>Indicadores!$T180</f>
        <v>0</v>
      </c>
      <c r="Q12" s="21">
        <f>Indicadores!$T192</f>
        <v>0</v>
      </c>
      <c r="R12" s="21">
        <f>Indicadores!T204</f>
        <v>0</v>
      </c>
      <c r="S12" s="21">
        <f>Indicadores!T216</f>
        <v>0</v>
      </c>
      <c r="T12" s="21">
        <f>Indicadores!T228</f>
        <v>0</v>
      </c>
      <c r="U12" s="21">
        <f>Indicadores!$T240</f>
        <v>0</v>
      </c>
      <c r="V12" s="21">
        <f>Indicadores!$T252</f>
        <v>0</v>
      </c>
      <c r="W12" s="21">
        <f>Indicadores!$T264</f>
        <v>0</v>
      </c>
      <c r="X12" s="21" t="e">
        <f>Indicadores!$T276</f>
        <v>#DIV/0!</v>
      </c>
      <c r="Y12" s="21">
        <f>Indicadores!$T288</f>
        <v>0</v>
      </c>
      <c r="Z12" s="21">
        <f>Indicadores!$T300</f>
        <v>0</v>
      </c>
      <c r="AA12" s="21" t="e">
        <f>Indicadores!$T312</f>
        <v>#DIV/0!</v>
      </c>
      <c r="AB12" s="21">
        <f>Indicadores!$T324</f>
        <v>0</v>
      </c>
      <c r="AC12" s="21">
        <f>Indicadores!$T336</f>
        <v>0</v>
      </c>
      <c r="AD12" s="21">
        <f>Indicadores!$T348</f>
        <v>0</v>
      </c>
      <c r="AE12" s="21">
        <f>Indicadores!$T360</f>
        <v>0</v>
      </c>
      <c r="AF12" s="21">
        <f>Indicadores!$T372</f>
        <v>0</v>
      </c>
      <c r="AG12" s="21">
        <f>Indicadores!$T384</f>
        <v>0</v>
      </c>
      <c r="AH12" s="21">
        <f>Indicadores!$T396</f>
        <v>0</v>
      </c>
      <c r="AI12" s="21">
        <f>Indicadores!$T408</f>
        <v>0</v>
      </c>
      <c r="AJ12" s="21">
        <f>Indicadores!$T420</f>
        <v>0</v>
      </c>
      <c r="AK12" s="21">
        <f>Indicadores!$T432</f>
        <v>0</v>
      </c>
      <c r="AL12" s="21">
        <f>Indicadores!$T444</f>
        <v>0</v>
      </c>
      <c r="AM12" s="21" t="e">
        <f>Indicadores!$T456</f>
        <v>#DIV/0!</v>
      </c>
      <c r="AN12" s="21" t="e">
        <f>Indicadores!$T468</f>
        <v>#DIV/0!</v>
      </c>
      <c r="AO12" s="21">
        <f>Indicadores!$T480</f>
        <v>0</v>
      </c>
      <c r="AP12" s="21">
        <f>Indicadores!$T492</f>
        <v>0</v>
      </c>
      <c r="AQ12" s="21">
        <f>Indicadores!$T504</f>
        <v>0</v>
      </c>
      <c r="AR12" s="21">
        <f>Indicadores!$T516</f>
        <v>0</v>
      </c>
      <c r="AS12" s="21">
        <f>Indicadores!$T528</f>
        <v>0</v>
      </c>
      <c r="AT12" s="21">
        <f>Indicadores!$T540</f>
        <v>0</v>
      </c>
      <c r="AU12" s="21">
        <f>Indicadores!$T552</f>
        <v>0</v>
      </c>
      <c r="AV12" s="21">
        <f>Indicadores!$T564</f>
        <v>0</v>
      </c>
      <c r="AW12" s="21">
        <f>Indicadores!$T576</f>
        <v>0</v>
      </c>
      <c r="AX12" s="21">
        <f>Indicadores!$T588</f>
        <v>0</v>
      </c>
      <c r="AY12" s="21">
        <f>Indicadores!$T600</f>
        <v>0</v>
      </c>
      <c r="AZ12" s="21">
        <f>Indicadores!$T612</f>
        <v>0</v>
      </c>
      <c r="BA12" s="21">
        <f>Indicadores!$T624</f>
        <v>0</v>
      </c>
      <c r="BB12" s="21" t="e">
        <f>Indicadores!$T636</f>
        <v>#DIV/0!</v>
      </c>
      <c r="BC12" s="21">
        <f>Indicadores!$T648</f>
        <v>0</v>
      </c>
      <c r="BD12" s="21">
        <f>Indicadores!$T660</f>
        <v>0</v>
      </c>
      <c r="BE12" s="21">
        <f>Indicadores!$T672</f>
        <v>0</v>
      </c>
      <c r="BF12" s="21">
        <f>Indicadores!$T684</f>
        <v>0</v>
      </c>
      <c r="BG12" s="21" t="e">
        <f>Indicadores!$T696</f>
        <v>#DIV/0!</v>
      </c>
      <c r="BH12" s="21">
        <f>Indicadores!$T708</f>
        <v>0</v>
      </c>
      <c r="BI12" s="21">
        <f>Indicadores!$T720</f>
        <v>0</v>
      </c>
      <c r="BJ12" s="21">
        <f>Indicadores!$T732</f>
        <v>0</v>
      </c>
      <c r="BK12" s="21">
        <f>Indicadores!$T744</f>
        <v>0</v>
      </c>
      <c r="BL12" s="21" t="e">
        <f>Indicadores!$T756</f>
        <v>#DIV/0!</v>
      </c>
      <c r="BM12" s="4" t="e">
        <f t="shared" si="0"/>
        <v>#DIV/0!</v>
      </c>
      <c r="BN12" s="4" t="e">
        <f t="shared" si="3"/>
        <v>#DIV/0!</v>
      </c>
      <c r="BO12" s="4" t="e">
        <f t="shared" si="1"/>
        <v>#DIV/0!</v>
      </c>
      <c r="BP12" s="3" t="e">
        <f t="shared" si="2"/>
        <v>#DIV/0!</v>
      </c>
    </row>
    <row r="13" spans="1:68" ht="15" x14ac:dyDescent="0.2">
      <c r="A13" s="20" t="s">
        <v>162</v>
      </c>
      <c r="B13" s="21" t="e">
        <f>Indicadores!$T13</f>
        <v>#DIV/0!</v>
      </c>
      <c r="C13" s="21">
        <f>Indicadores!T25</f>
        <v>0</v>
      </c>
      <c r="D13" s="21">
        <f>Indicadores!$T37</f>
        <v>0</v>
      </c>
      <c r="E13" s="21">
        <f>Indicadores!$T49</f>
        <v>0</v>
      </c>
      <c r="F13" s="21">
        <f>Indicadores!$T61</f>
        <v>0</v>
      </c>
      <c r="G13" s="21">
        <f>Indicadores!$T73</f>
        <v>0</v>
      </c>
      <c r="H13" s="21">
        <f>Indicadores!$T85</f>
        <v>0</v>
      </c>
      <c r="I13" s="21">
        <f>Indicadores!$T97</f>
        <v>0</v>
      </c>
      <c r="J13" s="21">
        <f>Indicadores!T$98</f>
        <v>0</v>
      </c>
      <c r="K13" s="21">
        <f>Indicadores!$T121</f>
        <v>0</v>
      </c>
      <c r="L13" s="21" t="e">
        <f>Indicadores!$T133</f>
        <v>#DIV/0!</v>
      </c>
      <c r="M13" s="21">
        <f>Indicadores!$T145</f>
        <v>0</v>
      </c>
      <c r="N13" s="21">
        <f>Indicadores!$T157</f>
        <v>0</v>
      </c>
      <c r="O13" s="21">
        <f>Indicadores!$T169</f>
        <v>0</v>
      </c>
      <c r="P13" s="21">
        <f>Indicadores!$T181</f>
        <v>0</v>
      </c>
      <c r="Q13" s="21">
        <f>Indicadores!$T193</f>
        <v>0</v>
      </c>
      <c r="R13" s="21">
        <f>Indicadores!T205</f>
        <v>0</v>
      </c>
      <c r="S13" s="21">
        <f>Indicadores!T217</f>
        <v>0</v>
      </c>
      <c r="T13" s="21">
        <f>Indicadores!T229</f>
        <v>0</v>
      </c>
      <c r="U13" s="21">
        <f>Indicadores!$T241</f>
        <v>0</v>
      </c>
      <c r="V13" s="21">
        <f>Indicadores!$T253</f>
        <v>0</v>
      </c>
      <c r="W13" s="21">
        <f>Indicadores!$T265</f>
        <v>0</v>
      </c>
      <c r="X13" s="21" t="e">
        <f>Indicadores!$T277</f>
        <v>#DIV/0!</v>
      </c>
      <c r="Y13" s="21">
        <f>Indicadores!$T289</f>
        <v>0</v>
      </c>
      <c r="Z13" s="21">
        <f>Indicadores!$T301</f>
        <v>0</v>
      </c>
      <c r="AA13" s="21" t="e">
        <f>Indicadores!$T313</f>
        <v>#DIV/0!</v>
      </c>
      <c r="AB13" s="21">
        <f>Indicadores!$T325</f>
        <v>0</v>
      </c>
      <c r="AC13" s="21">
        <f>Indicadores!$T337</f>
        <v>0</v>
      </c>
      <c r="AD13" s="21">
        <f>Indicadores!$T349</f>
        <v>0</v>
      </c>
      <c r="AE13" s="21">
        <f>Indicadores!$T361</f>
        <v>0</v>
      </c>
      <c r="AF13" s="21">
        <f>Indicadores!$T373</f>
        <v>0</v>
      </c>
      <c r="AG13" s="21">
        <f>Indicadores!$T385</f>
        <v>0</v>
      </c>
      <c r="AH13" s="21">
        <f>Indicadores!$T397</f>
        <v>0</v>
      </c>
      <c r="AI13" s="21">
        <f>Indicadores!$T409</f>
        <v>0</v>
      </c>
      <c r="AJ13" s="21">
        <f>Indicadores!$T421</f>
        <v>0</v>
      </c>
      <c r="AK13" s="21">
        <f>Indicadores!$T433</f>
        <v>0</v>
      </c>
      <c r="AL13" s="21">
        <f>Indicadores!$T445</f>
        <v>0</v>
      </c>
      <c r="AM13" s="21" t="e">
        <f>Indicadores!$T457</f>
        <v>#DIV/0!</v>
      </c>
      <c r="AN13" s="21" t="e">
        <f>Indicadores!$T469</f>
        <v>#DIV/0!</v>
      </c>
      <c r="AO13" s="21">
        <f>Indicadores!$T481</f>
        <v>0</v>
      </c>
      <c r="AP13" s="21">
        <f>Indicadores!$T493</f>
        <v>0</v>
      </c>
      <c r="AQ13" s="21">
        <f>Indicadores!$T505</f>
        <v>0</v>
      </c>
      <c r="AR13" s="21">
        <f>Indicadores!$T517</f>
        <v>0</v>
      </c>
      <c r="AS13" s="21">
        <f>Indicadores!$T529</f>
        <v>0</v>
      </c>
      <c r="AT13" s="21">
        <f>Indicadores!$T541</f>
        <v>0</v>
      </c>
      <c r="AU13" s="21">
        <f>Indicadores!$T553</f>
        <v>0</v>
      </c>
      <c r="AV13" s="21">
        <f>Indicadores!$T565</f>
        <v>0</v>
      </c>
      <c r="AW13" s="21">
        <f>Indicadores!$T577</f>
        <v>0</v>
      </c>
      <c r="AX13" s="21">
        <f>Indicadores!$T589</f>
        <v>0</v>
      </c>
      <c r="AY13" s="21">
        <f>Indicadores!$T601</f>
        <v>0</v>
      </c>
      <c r="AZ13" s="21">
        <f>Indicadores!$T613</f>
        <v>0</v>
      </c>
      <c r="BA13" s="21">
        <f>Indicadores!$T625</f>
        <v>0</v>
      </c>
      <c r="BB13" s="21" t="e">
        <f>Indicadores!$T637</f>
        <v>#DIV/0!</v>
      </c>
      <c r="BC13" s="21">
        <f>Indicadores!$T649</f>
        <v>0</v>
      </c>
      <c r="BD13" s="21">
        <f>Indicadores!$T661</f>
        <v>0</v>
      </c>
      <c r="BE13" s="21">
        <f>Indicadores!$T673</f>
        <v>0</v>
      </c>
      <c r="BF13" s="21">
        <f>Indicadores!$T685</f>
        <v>0</v>
      </c>
      <c r="BG13" s="21" t="e">
        <f>Indicadores!$T697</f>
        <v>#DIV/0!</v>
      </c>
      <c r="BH13" s="21">
        <f>Indicadores!$T709</f>
        <v>0</v>
      </c>
      <c r="BI13" s="21">
        <f>Indicadores!$T721</f>
        <v>0</v>
      </c>
      <c r="BJ13" s="21">
        <f>Indicadores!$T733</f>
        <v>0</v>
      </c>
      <c r="BK13" s="21">
        <f>Indicadores!$T745</f>
        <v>0</v>
      </c>
      <c r="BL13" s="21" t="e">
        <f>Indicadores!$T757</f>
        <v>#DIV/0!</v>
      </c>
      <c r="BM13" s="4" t="e">
        <f t="shared" si="0"/>
        <v>#DIV/0!</v>
      </c>
      <c r="BN13" s="4" t="e">
        <f t="shared" si="3"/>
        <v>#DIV/0!</v>
      </c>
      <c r="BO13" s="4" t="e">
        <f t="shared" si="1"/>
        <v>#DIV/0!</v>
      </c>
      <c r="BP13" s="3" t="e">
        <f t="shared" si="2"/>
        <v>#DIV/0!</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P74"/>
  <sheetViews>
    <sheetView showGridLines="0" workbookViewId="0">
      <pane xSplit="1" ySplit="1" topLeftCell="BK2" activePane="bottomRight" state="frozen"/>
      <selection pane="topRight" activeCell="B1" sqref="B1"/>
      <selection pane="bottomLeft" activeCell="A2" sqref="A2"/>
      <selection pane="bottomRight" activeCell="BP3" sqref="BP3"/>
    </sheetView>
  </sheetViews>
  <sheetFormatPr defaultColWidth="17.5" defaultRowHeight="14.25" x14ac:dyDescent="0.2"/>
  <cols>
    <col min="1" max="16384" width="17.5" style="3"/>
  </cols>
  <sheetData>
    <row r="1" spans="1:68" s="33" customFormat="1" ht="15" x14ac:dyDescent="0.2">
      <c r="A1" s="30" t="s">
        <v>165</v>
      </c>
      <c r="B1" s="30" t="s">
        <v>316</v>
      </c>
      <c r="C1" s="31" t="s">
        <v>83</v>
      </c>
      <c r="D1" s="31" t="s">
        <v>94</v>
      </c>
      <c r="E1" s="31" t="s">
        <v>55</v>
      </c>
      <c r="F1" s="31" t="s">
        <v>142</v>
      </c>
      <c r="G1" s="31" t="s">
        <v>65</v>
      </c>
      <c r="H1" s="31" t="s">
        <v>41</v>
      </c>
      <c r="I1" s="31" t="s">
        <v>62</v>
      </c>
      <c r="J1" s="31" t="s">
        <v>114</v>
      </c>
      <c r="K1" s="31" t="s">
        <v>47</v>
      </c>
      <c r="L1" s="31" t="s">
        <v>302</v>
      </c>
      <c r="M1" s="31" t="s">
        <v>89</v>
      </c>
      <c r="N1" s="31" t="s">
        <v>113</v>
      </c>
      <c r="O1" s="31" t="s">
        <v>117</v>
      </c>
      <c r="P1" s="31" t="s">
        <v>99</v>
      </c>
      <c r="Q1" s="31" t="s">
        <v>123</v>
      </c>
      <c r="R1" s="31" t="s">
        <v>92</v>
      </c>
      <c r="S1" s="31" t="s">
        <v>37</v>
      </c>
      <c r="T1" s="31" t="s">
        <v>91</v>
      </c>
      <c r="U1" s="31" t="s">
        <v>126</v>
      </c>
      <c r="V1" s="31" t="s">
        <v>73</v>
      </c>
      <c r="W1" s="31" t="s">
        <v>56</v>
      </c>
      <c r="X1" s="31" t="s">
        <v>299</v>
      </c>
      <c r="Y1" s="31" t="s">
        <v>90</v>
      </c>
      <c r="Z1" s="31" t="s">
        <v>54</v>
      </c>
      <c r="AA1" s="31" t="s">
        <v>300</v>
      </c>
      <c r="AB1" s="31" t="s">
        <v>147</v>
      </c>
      <c r="AC1" s="31" t="s">
        <v>71</v>
      </c>
      <c r="AD1" s="31" t="s">
        <v>75</v>
      </c>
      <c r="AE1" s="31" t="s">
        <v>46</v>
      </c>
      <c r="AF1" s="31" t="s">
        <v>36</v>
      </c>
      <c r="AG1" s="31" t="s">
        <v>82</v>
      </c>
      <c r="AH1" s="31" t="s">
        <v>64</v>
      </c>
      <c r="AI1" s="31" t="s">
        <v>135</v>
      </c>
      <c r="AJ1" s="31" t="s">
        <v>103</v>
      </c>
      <c r="AK1" s="31" t="s">
        <v>85</v>
      </c>
      <c r="AL1" s="31" t="s">
        <v>121</v>
      </c>
      <c r="AM1" s="31" t="s">
        <v>314</v>
      </c>
      <c r="AN1" s="31" t="s">
        <v>315</v>
      </c>
      <c r="AO1" s="31" t="s">
        <v>116</v>
      </c>
      <c r="AP1" s="31" t="s">
        <v>86</v>
      </c>
      <c r="AQ1" s="31" t="s">
        <v>102</v>
      </c>
      <c r="AR1" s="31" t="s">
        <v>106</v>
      </c>
      <c r="AS1" s="31" t="s">
        <v>31</v>
      </c>
      <c r="AT1" s="31" t="s">
        <v>143</v>
      </c>
      <c r="AU1" s="31" t="s">
        <v>70</v>
      </c>
      <c r="AV1" s="31" t="s">
        <v>80</v>
      </c>
      <c r="AW1" s="31" t="s">
        <v>77</v>
      </c>
      <c r="AX1" s="31" t="s">
        <v>52</v>
      </c>
      <c r="AY1" s="31" t="s">
        <v>105</v>
      </c>
      <c r="AZ1" s="31" t="s">
        <v>98</v>
      </c>
      <c r="BA1" s="31" t="s">
        <v>109</v>
      </c>
      <c r="BB1" s="31" t="s">
        <v>111</v>
      </c>
      <c r="BC1" s="31" t="s">
        <v>96</v>
      </c>
      <c r="BD1" s="31" t="s">
        <v>66</v>
      </c>
      <c r="BE1" s="31" t="s">
        <v>146</v>
      </c>
      <c r="BF1" s="31" t="s">
        <v>131</v>
      </c>
      <c r="BG1" s="31" t="s">
        <v>301</v>
      </c>
      <c r="BH1" s="31" t="s">
        <v>42</v>
      </c>
      <c r="BI1" s="31" t="s">
        <v>108</v>
      </c>
      <c r="BJ1" s="31" t="s">
        <v>129</v>
      </c>
      <c r="BK1" s="31" t="s">
        <v>125</v>
      </c>
      <c r="BL1" s="31" t="s">
        <v>313</v>
      </c>
      <c r="BM1" s="32" t="s">
        <v>171</v>
      </c>
      <c r="BN1" s="32" t="s">
        <v>169</v>
      </c>
      <c r="BO1" s="32" t="s">
        <v>170</v>
      </c>
      <c r="BP1" s="32" t="s">
        <v>163</v>
      </c>
    </row>
    <row r="2" spans="1:68" ht="15" x14ac:dyDescent="0.2">
      <c r="A2" s="20" t="s">
        <v>151</v>
      </c>
      <c r="B2" s="81" t="e">
        <f>Indicadores!$M2</f>
        <v>#DIV/0!</v>
      </c>
      <c r="C2" s="81">
        <f>Indicadores!$M14</f>
        <v>0.1132934131736527</v>
      </c>
      <c r="D2" s="81">
        <f>Indicadores!$M26</f>
        <v>0.122</v>
      </c>
      <c r="E2" s="81">
        <f>Indicadores!$M38</f>
        <v>0</v>
      </c>
      <c r="F2" s="81">
        <f>Indicadores!$M50</f>
        <v>2.6100000000000002E-2</v>
      </c>
      <c r="G2" s="81">
        <f>Indicadores!$M62</f>
        <v>0.375</v>
      </c>
      <c r="H2" s="81">
        <f>Indicadores!$M74</f>
        <v>0.1386923076923077</v>
      </c>
      <c r="I2" s="81">
        <f>Indicadores!$M86</f>
        <v>0</v>
      </c>
      <c r="J2" s="81">
        <f>Indicadores!$M98</f>
        <v>0</v>
      </c>
      <c r="K2" s="81">
        <f>Indicadores!$M110</f>
        <v>0.10547480141072547</v>
      </c>
      <c r="L2" s="81">
        <f>Indicadores!$M122</f>
        <v>0</v>
      </c>
      <c r="M2" s="81">
        <f>Indicadores!$M134</f>
        <v>3.880597014925373E-2</v>
      </c>
      <c r="N2" s="81">
        <f>Indicadores!$M146</f>
        <v>0</v>
      </c>
      <c r="O2" s="81">
        <f>Indicadores!$M158</f>
        <v>0</v>
      </c>
      <c r="P2" s="81">
        <f>Indicadores!$M170</f>
        <v>8.3333333333333332E-3</v>
      </c>
      <c r="Q2" s="81">
        <f>Indicadores!$M182</f>
        <v>4.0935672514619881E-2</v>
      </c>
      <c r="R2" s="81">
        <f>Indicadores!$M194</f>
        <v>0</v>
      </c>
      <c r="S2" s="81">
        <f>Indicadores!$M206</f>
        <v>0</v>
      </c>
      <c r="T2" s="81">
        <f>Indicadores!$M218</f>
        <v>0.16228000000000001</v>
      </c>
      <c r="U2" s="81">
        <f>Indicadores!$M230</f>
        <v>9.2083333333333336E-2</v>
      </c>
      <c r="V2" s="81">
        <f>Indicadores!$M242</f>
        <v>0</v>
      </c>
      <c r="W2" s="81">
        <f>Indicadores!$M254</f>
        <v>0</v>
      </c>
      <c r="X2" s="81">
        <f>Indicadores!$M266</f>
        <v>0.36645137323557986</v>
      </c>
      <c r="Y2" s="81">
        <f>Indicadores!$M278</f>
        <v>5.2382544366851025E-2</v>
      </c>
      <c r="Z2" s="81">
        <f>Indicadores!$M290</f>
        <v>1.0565971549008411E-3</v>
      </c>
      <c r="AA2" s="81">
        <f>Indicadores!$M302</f>
        <v>0</v>
      </c>
      <c r="AB2" s="81">
        <f>Indicadores!$M314</f>
        <v>0</v>
      </c>
      <c r="AC2" s="81">
        <f>Indicadores!$M326</f>
        <v>0</v>
      </c>
      <c r="AD2" s="81">
        <f>Indicadores!$M338</f>
        <v>1.5027777777777777E-2</v>
      </c>
      <c r="AE2" s="81">
        <f>Indicadores!$M350</f>
        <v>0</v>
      </c>
      <c r="AF2" s="81">
        <f>Indicadores!$M362</f>
        <v>0</v>
      </c>
      <c r="AG2" s="81">
        <f>Indicadores!$M374</f>
        <v>0</v>
      </c>
      <c r="AH2" s="81">
        <f>Indicadores!$M386</f>
        <v>0</v>
      </c>
      <c r="AI2" s="81">
        <f>Indicadores!$M398</f>
        <v>0</v>
      </c>
      <c r="AJ2" s="81">
        <f>Indicadores!$M410</f>
        <v>0</v>
      </c>
      <c r="AK2" s="81">
        <f>Indicadores!$M422</f>
        <v>0</v>
      </c>
      <c r="AL2" s="81">
        <f>Indicadores!$M434</f>
        <v>7.1801254128572106E-2</v>
      </c>
      <c r="AM2" s="81" t="e">
        <f>Indicadores!$M446</f>
        <v>#DIV/0!</v>
      </c>
      <c r="AN2" s="81" t="e">
        <f>Indicadores!$M458</f>
        <v>#DIV/0!</v>
      </c>
      <c r="AO2" s="81">
        <f>Indicadores!$M470</f>
        <v>5.6577470398667484E-4</v>
      </c>
      <c r="AP2" s="81">
        <f>Indicadores!$M482</f>
        <v>0</v>
      </c>
      <c r="AQ2" s="81">
        <f>Indicadores!$M494</f>
        <v>0</v>
      </c>
      <c r="AR2" s="81">
        <f>Indicadores!$M506</f>
        <v>8.2431796801505169E-2</v>
      </c>
      <c r="AS2" s="81">
        <f>Indicadores!$M518</f>
        <v>0</v>
      </c>
      <c r="AT2" s="81">
        <f>Indicadores!$M530</f>
        <v>0.03</v>
      </c>
      <c r="AU2" s="81">
        <f>Indicadores!$M542</f>
        <v>0.23333333333333334</v>
      </c>
      <c r="AV2" s="81">
        <f>Indicadores!$M554</f>
        <v>0</v>
      </c>
      <c r="AW2" s="81">
        <f>Indicadores!$M566</f>
        <v>7.407407407407407E-2</v>
      </c>
      <c r="AX2" s="81">
        <f>Indicadores!$M578</f>
        <v>0</v>
      </c>
      <c r="AY2" s="81">
        <f>Indicadores!$M590</f>
        <v>0</v>
      </c>
      <c r="AZ2" s="81">
        <f>Indicadores!$M602</f>
        <v>0.13853222222222222</v>
      </c>
      <c r="BA2" s="81">
        <f>Indicadores!$M614</f>
        <v>0</v>
      </c>
      <c r="BB2" s="81">
        <f>Indicadores!$M626</f>
        <v>0</v>
      </c>
      <c r="BC2" s="81">
        <f>Indicadores!$M638</f>
        <v>0</v>
      </c>
      <c r="BD2" s="81">
        <f>Indicadores!$M650</f>
        <v>0</v>
      </c>
      <c r="BE2" s="81">
        <f>Indicadores!$M662</f>
        <v>0</v>
      </c>
      <c r="BF2" s="81">
        <f>Indicadores!$M674</f>
        <v>0.1</v>
      </c>
      <c r="BG2" s="81">
        <f>Indicadores!$M686</f>
        <v>0</v>
      </c>
      <c r="BH2" s="81">
        <f>Indicadores!$M698</f>
        <v>0</v>
      </c>
      <c r="BI2" s="81">
        <f>Indicadores!$M710</f>
        <v>0</v>
      </c>
      <c r="BJ2" s="81">
        <f>Indicadores!$M722</f>
        <v>0</v>
      </c>
      <c r="BK2" s="81">
        <f>Indicadores!$M734</f>
        <v>0</v>
      </c>
      <c r="BL2" s="81" t="e">
        <f>Indicadores!$M746</f>
        <v>#DIV/0!</v>
      </c>
      <c r="BM2" s="82" t="e">
        <f t="shared" ref="BM2:BM13" si="0">AVERAGE(B2:BL2)</f>
        <v>#DIV/0!</v>
      </c>
      <c r="BN2" s="82" t="e">
        <f>BM2+BP2</f>
        <v>#DIV/0!</v>
      </c>
      <c r="BO2" s="82" t="e">
        <f t="shared" ref="BO2:BO13" si="1">BM2-BP2</f>
        <v>#DIV/0!</v>
      </c>
      <c r="BP2" s="83" t="e">
        <f>STDEV(B3:BL3)</f>
        <v>#DIV/0!</v>
      </c>
    </row>
    <row r="3" spans="1:68" ht="15" x14ac:dyDescent="0.2">
      <c r="A3" s="20" t="s">
        <v>152</v>
      </c>
      <c r="B3" s="81" t="e">
        <f>Indicadores!$M3</f>
        <v>#DIV/0!</v>
      </c>
      <c r="C3" s="81">
        <f>Indicadores!$M15</f>
        <v>0.44892215568862276</v>
      </c>
      <c r="D3" s="81">
        <f>Indicadores!$M27</f>
        <v>0.122</v>
      </c>
      <c r="E3" s="81">
        <f>Indicadores!$M39</f>
        <v>4.5414979374030204E-2</v>
      </c>
      <c r="F3" s="81">
        <f>Indicadores!$M51</f>
        <v>0.153476</v>
      </c>
      <c r="G3" s="81">
        <f>Indicadores!$M63</f>
        <v>0.375</v>
      </c>
      <c r="H3" s="81">
        <f>Indicadores!$M75</f>
        <v>0.29776923076923079</v>
      </c>
      <c r="I3" s="81">
        <f>Indicadores!$M87</f>
        <v>6.6666666666666666E-2</v>
      </c>
      <c r="J3" s="81">
        <f>Indicadores!$M99</f>
        <v>4.7500000000000001E-2</v>
      </c>
      <c r="K3" s="81">
        <f>Indicadores!$M111</f>
        <v>0.21794463305389836</v>
      </c>
      <c r="L3" s="81" t="e">
        <f>Indicadores!$M123</f>
        <v>#DIV/0!</v>
      </c>
      <c r="M3" s="81">
        <f>Indicadores!$M135</f>
        <v>3.880597014925373E-2</v>
      </c>
      <c r="N3" s="81">
        <f>Indicadores!$M147</f>
        <v>0</v>
      </c>
      <c r="O3" s="81">
        <f>Indicadores!$M159</f>
        <v>2.6992192508316971E-3</v>
      </c>
      <c r="P3" s="81">
        <f>Indicadores!$M171</f>
        <v>8.3333333333333332E-3</v>
      </c>
      <c r="Q3" s="81">
        <f>Indicadores!$M183</f>
        <v>4.0935672514619881E-2</v>
      </c>
      <c r="R3" s="81">
        <f>Indicadores!$M195</f>
        <v>0</v>
      </c>
      <c r="S3" s="81">
        <f>Indicadores!$M207</f>
        <v>0</v>
      </c>
      <c r="T3" s="81">
        <f>Indicadores!$M219</f>
        <v>0.16228000000000001</v>
      </c>
      <c r="U3" s="81">
        <f>Indicadores!$M231</f>
        <v>0.15458333333333332</v>
      </c>
      <c r="V3" s="81">
        <f>Indicadores!$M243</f>
        <v>0</v>
      </c>
      <c r="W3" s="81">
        <f>Indicadores!$M255</f>
        <v>9.5706975017998228E-2</v>
      </c>
      <c r="X3" s="81" t="e">
        <f>Indicadores!$M267</f>
        <v>#DIV/0!</v>
      </c>
      <c r="Y3" s="81">
        <f>Indicadores!$M279</f>
        <v>0.3586535808086499</v>
      </c>
      <c r="Z3" s="81">
        <f>Indicadores!$M291</f>
        <v>1.0565971549008411E-3</v>
      </c>
      <c r="AA3" s="81">
        <f>Indicadores!$M303</f>
        <v>0</v>
      </c>
      <c r="AB3" s="81">
        <f>Indicadores!$M315</f>
        <v>0</v>
      </c>
      <c r="AC3" s="81">
        <f>Indicadores!$M327</f>
        <v>0</v>
      </c>
      <c r="AD3" s="81">
        <f>Indicadores!$M339</f>
        <v>0.11224444444444445</v>
      </c>
      <c r="AE3" s="81">
        <f>Indicadores!$M351</f>
        <v>0</v>
      </c>
      <c r="AF3" s="81">
        <f>Indicadores!$M363</f>
        <v>0</v>
      </c>
      <c r="AG3" s="81">
        <f>Indicadores!$M375</f>
        <v>0</v>
      </c>
      <c r="AH3" s="81">
        <f>Indicadores!$M387</f>
        <v>0</v>
      </c>
      <c r="AI3" s="81">
        <f>Indicadores!$M399</f>
        <v>0</v>
      </c>
      <c r="AJ3" s="81">
        <f>Indicadores!$M411</f>
        <v>3.8235294117647062E-2</v>
      </c>
      <c r="AK3" s="81">
        <f>Indicadores!$M423</f>
        <v>0</v>
      </c>
      <c r="AL3" s="81">
        <f>Indicadores!$M435</f>
        <v>0.10849967290539786</v>
      </c>
      <c r="AM3" s="81" t="e">
        <f>Indicadores!$M447</f>
        <v>#DIV/0!</v>
      </c>
      <c r="AN3" s="81" t="e">
        <f>Indicadores!$M459</f>
        <v>#DIV/0!</v>
      </c>
      <c r="AO3" s="81">
        <f>Indicadores!$M471</f>
        <v>5.6577470398667484E-4</v>
      </c>
      <c r="AP3" s="81">
        <f>Indicadores!$M483</f>
        <v>0</v>
      </c>
      <c r="AQ3" s="81">
        <f>Indicadores!$M495</f>
        <v>0</v>
      </c>
      <c r="AR3" s="81">
        <f>Indicadores!$M507</f>
        <v>8.2431796801505169E-2</v>
      </c>
      <c r="AS3" s="81">
        <f>Indicadores!$M519</f>
        <v>0</v>
      </c>
      <c r="AT3" s="81">
        <f>Indicadores!$M531</f>
        <v>0.16833333333333333</v>
      </c>
      <c r="AU3" s="81">
        <f>Indicadores!$M543</f>
        <v>0.23333333333333334</v>
      </c>
      <c r="AV3" s="81">
        <f>Indicadores!$M555</f>
        <v>0</v>
      </c>
      <c r="AW3" s="81">
        <f>Indicadores!$M567</f>
        <v>7.407407407407407E-2</v>
      </c>
      <c r="AX3" s="81">
        <f>Indicadores!$M579</f>
        <v>0</v>
      </c>
      <c r="AY3" s="81">
        <f>Indicadores!$M591</f>
        <v>0</v>
      </c>
      <c r="AZ3" s="81">
        <f>Indicadores!$M603</f>
        <v>0.22554066666666664</v>
      </c>
      <c r="BA3" s="81">
        <f>Indicadores!$M615</f>
        <v>0</v>
      </c>
      <c r="BB3" s="81" t="e">
        <f>Indicadores!$M627</f>
        <v>#DIV/0!</v>
      </c>
      <c r="BC3" s="81">
        <f>Indicadores!$M639</f>
        <v>0</v>
      </c>
      <c r="BD3" s="81">
        <f>Indicadores!$M651</f>
        <v>0.48857142857142855</v>
      </c>
      <c r="BE3" s="81">
        <f>Indicadores!$M663</f>
        <v>0</v>
      </c>
      <c r="BF3" s="81">
        <f>Indicadores!$M675</f>
        <v>0.26250000000000001</v>
      </c>
      <c r="BG3" s="81" t="e">
        <f>Indicadores!$M687</f>
        <v>#DIV/0!</v>
      </c>
      <c r="BH3" s="81">
        <f>Indicadores!$M699</f>
        <v>5.5917622159035313E-2</v>
      </c>
      <c r="BI3" s="81">
        <f>Indicadores!$M711</f>
        <v>0</v>
      </c>
      <c r="BJ3" s="81">
        <f>Indicadores!$M723</f>
        <v>0</v>
      </c>
      <c r="BK3" s="81">
        <f>Indicadores!$M735</f>
        <v>0</v>
      </c>
      <c r="BL3" s="81" t="e">
        <f>Indicadores!$M747</f>
        <v>#DIV/0!</v>
      </c>
      <c r="BM3" s="82" t="e">
        <f t="shared" si="0"/>
        <v>#DIV/0!</v>
      </c>
      <c r="BN3" s="82" t="e">
        <f>BM3+BP3</f>
        <v>#DIV/0!</v>
      </c>
      <c r="BO3" s="82" t="e">
        <f>BM3-BP3</f>
        <v>#DIV/0!</v>
      </c>
      <c r="BP3" s="83">
        <f>STDEV(C3,D3,E3,F3,G3,H3,I3,J3,K3,M3,N3,O3,P3,Q3,R3,S3,T3,U3,V3,W3,Y3,Z3,AA3,AB3,AC3,AD3,AE3,AF3,AG3,AH3,AI3,AJ3,AK3,AL3,AO3,AP3,AQ3,AR3,AS3,AT3,AU3,AV3,AW3,AX3,AY3,AZ3,BA3,BC3,BD3,BE3,BF3,BH3,BI3,BJ3,BK3)</f>
        <v>0.12420759251112917</v>
      </c>
    </row>
    <row r="4" spans="1:68" ht="15" x14ac:dyDescent="0.2">
      <c r="A4" s="20" t="s">
        <v>153</v>
      </c>
      <c r="B4" s="81" t="e">
        <f>Indicadores!$M4</f>
        <v>#DIV/0!</v>
      </c>
      <c r="C4" s="81">
        <f>Indicadores!$M16</f>
        <v>0.44892215568862276</v>
      </c>
      <c r="D4" s="81">
        <f>Indicadores!$M28</f>
        <v>0.122</v>
      </c>
      <c r="E4" s="81">
        <f>Indicadores!$M40</f>
        <v>0.22021622576290859</v>
      </c>
      <c r="F4" s="81">
        <f>Indicadores!$M52</f>
        <v>0.22347599999999998</v>
      </c>
      <c r="G4" s="81">
        <f>Indicadores!$M64</f>
        <v>0.43333333333333335</v>
      </c>
      <c r="H4" s="81">
        <f>Indicadores!$M76</f>
        <v>0.33776923076923077</v>
      </c>
      <c r="I4" s="81">
        <f>Indicadores!$M88</f>
        <v>6.6666666666666666E-2</v>
      </c>
      <c r="J4" s="81">
        <f>Indicadores!$M100</f>
        <v>4.7500000000000001E-2</v>
      </c>
      <c r="K4" s="81">
        <f>Indicadores!$M112</f>
        <v>0.22673419983812548</v>
      </c>
      <c r="L4" s="81" t="e">
        <f>Indicadores!$M124</f>
        <v>#DIV/0!</v>
      </c>
      <c r="M4" s="81">
        <f>Indicadores!$M136</f>
        <v>3.880597014925373E-2</v>
      </c>
      <c r="N4" s="81">
        <f>Indicadores!$M148</f>
        <v>0</v>
      </c>
      <c r="O4" s="81">
        <f>Indicadores!$M160</f>
        <v>4.1186846704590697E-2</v>
      </c>
      <c r="P4" s="81">
        <f>Indicadores!$M172</f>
        <v>8.3333333333333332E-3</v>
      </c>
      <c r="Q4" s="81">
        <f>Indicadores!$M184</f>
        <v>4.0935672514619881E-2</v>
      </c>
      <c r="R4" s="81">
        <f>Indicadores!$M196</f>
        <v>5.0294117647058822E-2</v>
      </c>
      <c r="S4" s="81">
        <f>Indicadores!$M208</f>
        <v>0.27272727272727271</v>
      </c>
      <c r="T4" s="81">
        <f>Indicadores!$M220</f>
        <v>0.23227999999999999</v>
      </c>
      <c r="U4" s="81">
        <f>Indicadores!$M232</f>
        <v>0.30541666666666667</v>
      </c>
      <c r="V4" s="81">
        <f>Indicadores!$M244</f>
        <v>0</v>
      </c>
      <c r="W4" s="81">
        <f>Indicadores!$M256</f>
        <v>9.5706975017998228E-2</v>
      </c>
      <c r="X4" s="81" t="e">
        <f>Indicadores!$M268</f>
        <v>#DIV/0!</v>
      </c>
      <c r="Y4" s="81">
        <f>Indicadores!$M280</f>
        <v>0.52200951546379271</v>
      </c>
      <c r="Z4" s="81">
        <f>Indicadores!$M292</f>
        <v>2.0075345943115979E-2</v>
      </c>
      <c r="AA4" s="81">
        <f>Indicadores!$M304</f>
        <v>0</v>
      </c>
      <c r="AB4" s="81">
        <f>Indicadores!$M316</f>
        <v>0</v>
      </c>
      <c r="AC4" s="81">
        <f>Indicadores!$M328</f>
        <v>0.1855</v>
      </c>
      <c r="AD4" s="81">
        <f>Indicadores!$M340</f>
        <v>0.18846666666666667</v>
      </c>
      <c r="AE4" s="81">
        <f>Indicadores!$M352</f>
        <v>0</v>
      </c>
      <c r="AF4" s="81">
        <f>Indicadores!$M364</f>
        <v>0</v>
      </c>
      <c r="AG4" s="81">
        <f>Indicadores!$M376</f>
        <v>8.5714285714285715E-2</v>
      </c>
      <c r="AH4" s="81">
        <f>Indicadores!$M388</f>
        <v>0</v>
      </c>
      <c r="AI4" s="81">
        <f>Indicadores!$M400</f>
        <v>0</v>
      </c>
      <c r="AJ4" s="81">
        <f>Indicadores!$M412</f>
        <v>0.11666666666666667</v>
      </c>
      <c r="AK4" s="81">
        <f>Indicadores!$M424</f>
        <v>0</v>
      </c>
      <c r="AL4" s="81">
        <f>Indicadores!$M436</f>
        <v>0.26710066535828825</v>
      </c>
      <c r="AM4" s="81" t="e">
        <f>Indicadores!$M448</f>
        <v>#DIV/0!</v>
      </c>
      <c r="AN4" s="81" t="e">
        <f>Indicadores!$M460</f>
        <v>#DIV/0!</v>
      </c>
      <c r="AO4" s="81">
        <f>Indicadores!$M472</f>
        <v>5.6577470398667484E-4</v>
      </c>
      <c r="AP4" s="81">
        <f>Indicadores!$M484</f>
        <v>0</v>
      </c>
      <c r="AQ4" s="81">
        <f>Indicadores!$M496</f>
        <v>0</v>
      </c>
      <c r="AR4" s="81">
        <f>Indicadores!$M508</f>
        <v>0.12797899027908435</v>
      </c>
      <c r="AS4" s="81">
        <f>Indicadores!$M520</f>
        <v>0</v>
      </c>
      <c r="AT4" s="81">
        <f>Indicadores!$M532</f>
        <v>0.28083333333333332</v>
      </c>
      <c r="AU4" s="81">
        <f>Indicadores!$M544</f>
        <v>0.23333333333333334</v>
      </c>
      <c r="AV4" s="81">
        <f>Indicadores!$M556</f>
        <v>0</v>
      </c>
      <c r="AW4" s="81">
        <f>Indicadores!$M568</f>
        <v>7.407407407407407E-2</v>
      </c>
      <c r="AX4" s="81">
        <f>Indicadores!$M580</f>
        <v>0.65151515151515149</v>
      </c>
      <c r="AY4" s="81">
        <f>Indicadores!$M592</f>
        <v>0</v>
      </c>
      <c r="AZ4" s="81">
        <f>Indicadores!$M604</f>
        <v>0.30228485185185189</v>
      </c>
      <c r="BA4" s="81">
        <f>Indicadores!$M616</f>
        <v>0</v>
      </c>
      <c r="BB4" s="81" t="e">
        <f>Indicadores!$M628</f>
        <v>#DIV/0!</v>
      </c>
      <c r="BC4" s="81">
        <f>Indicadores!$M640</f>
        <v>0</v>
      </c>
      <c r="BD4" s="81">
        <f>Indicadores!$M652</f>
        <v>0.48857142857142855</v>
      </c>
      <c r="BE4" s="81">
        <f>Indicadores!$M664</f>
        <v>0</v>
      </c>
      <c r="BF4" s="81">
        <f>Indicadores!$M676</f>
        <v>0.35625000000000001</v>
      </c>
      <c r="BG4" s="81" t="e">
        <f>Indicadores!$M688</f>
        <v>#DIV/0!</v>
      </c>
      <c r="BH4" s="81">
        <f>Indicadores!$M700</f>
        <v>5.5917622159035313E-2</v>
      </c>
      <c r="BI4" s="81">
        <f>Indicadores!$M712</f>
        <v>0</v>
      </c>
      <c r="BJ4" s="81">
        <f>Indicadores!$M724</f>
        <v>0</v>
      </c>
      <c r="BK4" s="81">
        <f>Indicadores!$M736</f>
        <v>0.21674734484502564</v>
      </c>
      <c r="BL4" s="81" t="e">
        <f>Indicadores!$M748</f>
        <v>#DIV/0!</v>
      </c>
      <c r="BM4" s="82" t="e">
        <f t="shared" si="0"/>
        <v>#DIV/0!</v>
      </c>
      <c r="BN4" s="82" t="e">
        <f>BM4+BP4</f>
        <v>#DIV/0!</v>
      </c>
      <c r="BO4" s="82" t="e">
        <f>BM4-BP4</f>
        <v>#DIV/0!</v>
      </c>
      <c r="BP4" s="83" t="e">
        <f>STDEV(B5:BL5)</f>
        <v>#DIV/0!</v>
      </c>
    </row>
    <row r="5" spans="1:68" ht="15" x14ac:dyDescent="0.2">
      <c r="A5" s="20" t="s">
        <v>154</v>
      </c>
      <c r="B5" s="81" t="e">
        <f>Indicadores!$M5</f>
        <v>#DIV/0!</v>
      </c>
      <c r="C5" s="81">
        <f>Indicadores!$M17</f>
        <v>0.44892215568862276</v>
      </c>
      <c r="D5" s="81">
        <f>Indicadores!$M29</f>
        <v>0.183</v>
      </c>
      <c r="E5" s="81">
        <f>Indicadores!$M41</f>
        <v>0.29358664799606404</v>
      </c>
      <c r="F5" s="81">
        <f>Indicadores!$M53</f>
        <v>0.22347599999999998</v>
      </c>
      <c r="G5" s="81">
        <f>Indicadores!$M65</f>
        <v>0.43333333333333335</v>
      </c>
      <c r="H5" s="81">
        <f>Indicadores!$M77</f>
        <v>0.40300000000000002</v>
      </c>
      <c r="I5" s="81">
        <f>Indicadores!$M89</f>
        <v>6.6666666666666666E-2</v>
      </c>
      <c r="J5" s="81">
        <f>Indicadores!$M101</f>
        <v>4.7500000000000001E-2</v>
      </c>
      <c r="K5" s="81">
        <f>Indicadores!$M113</f>
        <v>0.27892225261947401</v>
      </c>
      <c r="L5" s="81" t="e">
        <f>Indicadores!$M125</f>
        <v>#DIV/0!</v>
      </c>
      <c r="M5" s="81">
        <f>Indicadores!$M137</f>
        <v>3.880597014925373E-2</v>
      </c>
      <c r="N5" s="81">
        <f>Indicadores!$M149</f>
        <v>0</v>
      </c>
      <c r="O5" s="81">
        <f>Indicadores!$M161</f>
        <v>4.423696445803052E-2</v>
      </c>
      <c r="P5" s="81">
        <f>Indicadores!$M173</f>
        <v>4.2361111111111113E-2</v>
      </c>
      <c r="Q5" s="81">
        <f>Indicadores!$M185</f>
        <v>4.0935672514619881E-2</v>
      </c>
      <c r="R5" s="81">
        <f>Indicadores!$M197</f>
        <v>5.0294117647058822E-2</v>
      </c>
      <c r="S5" s="81">
        <f>Indicadores!$M209</f>
        <v>0.27272727272727271</v>
      </c>
      <c r="T5" s="81">
        <f>Indicadores!$M221</f>
        <v>0.23227999999999999</v>
      </c>
      <c r="U5" s="81">
        <f>Indicadores!$M233</f>
        <v>0.30541666666666667</v>
      </c>
      <c r="V5" s="81">
        <f>Indicadores!$M245</f>
        <v>0</v>
      </c>
      <c r="W5" s="81">
        <f>Indicadores!$M257</f>
        <v>9.5706975017998228E-2</v>
      </c>
      <c r="X5" s="81" t="e">
        <f>Indicadores!$M269</f>
        <v>#DIV/0!</v>
      </c>
      <c r="Y5" s="81">
        <f>Indicadores!$M281</f>
        <v>0.52200951546379271</v>
      </c>
      <c r="Z5" s="81">
        <f>Indicadores!$M293</f>
        <v>2.0075345943115979E-2</v>
      </c>
      <c r="AA5" s="81">
        <f>Indicadores!$M305</f>
        <v>0</v>
      </c>
      <c r="AB5" s="81">
        <f>Indicadores!$M317</f>
        <v>0</v>
      </c>
      <c r="AC5" s="81">
        <f>Indicadores!$M329</f>
        <v>0.45100000000000001</v>
      </c>
      <c r="AD5" s="81">
        <f>Indicadores!$M341</f>
        <v>0.32027222222222218</v>
      </c>
      <c r="AE5" s="81">
        <f>Indicadores!$M353</f>
        <v>0</v>
      </c>
      <c r="AF5" s="81">
        <f>Indicadores!$M365</f>
        <v>0</v>
      </c>
      <c r="AG5" s="81">
        <f>Indicadores!$M377</f>
        <v>8.5714285714285715E-2</v>
      </c>
      <c r="AH5" s="81">
        <f>Indicadores!$M389</f>
        <v>0</v>
      </c>
      <c r="AI5" s="81">
        <f>Indicadores!$M401</f>
        <v>0</v>
      </c>
      <c r="AJ5" s="81">
        <f>Indicadores!$M413</f>
        <v>0.11666666666666667</v>
      </c>
      <c r="AK5" s="81">
        <f>Indicadores!$M425</f>
        <v>0</v>
      </c>
      <c r="AL5" s="81">
        <f>Indicadores!$M437</f>
        <v>0.36985623793340033</v>
      </c>
      <c r="AM5" s="81" t="e">
        <f>Indicadores!$M449</f>
        <v>#DIV/0!</v>
      </c>
      <c r="AN5" s="81" t="e">
        <f>Indicadores!$M461</f>
        <v>#DIV/0!</v>
      </c>
      <c r="AO5" s="81">
        <f>Indicadores!$M473</f>
        <v>5.6577470398667484E-4</v>
      </c>
      <c r="AP5" s="81">
        <f>Indicadores!$M485</f>
        <v>0</v>
      </c>
      <c r="AQ5" s="81">
        <f>Indicadores!$M497</f>
        <v>0</v>
      </c>
      <c r="AR5" s="81">
        <f>Indicadores!$M509</f>
        <v>0.17031201003449356</v>
      </c>
      <c r="AS5" s="81">
        <f>Indicadores!$M521</f>
        <v>0</v>
      </c>
      <c r="AT5" s="81">
        <f>Indicadores!$M533</f>
        <v>0.31666666666666665</v>
      </c>
      <c r="AU5" s="81">
        <f>Indicadores!$M545</f>
        <v>0.23333333333333334</v>
      </c>
      <c r="AV5" s="81">
        <f>Indicadores!$M557</f>
        <v>0</v>
      </c>
      <c r="AW5" s="81">
        <f>Indicadores!$M569</f>
        <v>0.1111111111111111</v>
      </c>
      <c r="AX5" s="81">
        <f>Indicadores!$M581</f>
        <v>0.65151515151515149</v>
      </c>
      <c r="AY5" s="81">
        <f>Indicadores!$M593</f>
        <v>0</v>
      </c>
      <c r="AZ5" s="81">
        <f>Indicadores!$M605</f>
        <v>0.30306262962962965</v>
      </c>
      <c r="BA5" s="81">
        <f>Indicadores!$M617</f>
        <v>0</v>
      </c>
      <c r="BB5" s="81" t="e">
        <f>Indicadores!$M629</f>
        <v>#DIV/0!</v>
      </c>
      <c r="BC5" s="81">
        <f>Indicadores!$M641</f>
        <v>0</v>
      </c>
      <c r="BD5" s="81">
        <f>Indicadores!$M653</f>
        <v>0.48857142857142855</v>
      </c>
      <c r="BE5" s="81">
        <f>Indicadores!$M665</f>
        <v>0.18474583333333333</v>
      </c>
      <c r="BF5" s="81">
        <f>Indicadores!$M677</f>
        <v>0.35625000000000001</v>
      </c>
      <c r="BG5" s="81" t="e">
        <f>Indicadores!$M689</f>
        <v>#DIV/0!</v>
      </c>
      <c r="BH5" s="81">
        <f>Indicadores!$M701</f>
        <v>5.5917622159035313E-2</v>
      </c>
      <c r="BI5" s="81">
        <f>Indicadores!$M713</f>
        <v>0</v>
      </c>
      <c r="BJ5" s="81">
        <f>Indicadores!$M725</f>
        <v>0</v>
      </c>
      <c r="BK5" s="81">
        <f>Indicadores!$M737</f>
        <v>0.21674734484502564</v>
      </c>
      <c r="BL5" s="81" t="e">
        <f>Indicadores!$M749</f>
        <v>#DIV/0!</v>
      </c>
      <c r="BM5" s="82" t="e">
        <f t="shared" si="0"/>
        <v>#DIV/0!</v>
      </c>
      <c r="BN5" s="82" t="e">
        <f t="shared" ref="BN5:BN13" si="2">BM5+BP5</f>
        <v>#DIV/0!</v>
      </c>
      <c r="BO5" s="82" t="e">
        <f t="shared" si="1"/>
        <v>#DIV/0!</v>
      </c>
      <c r="BP5" s="83">
        <f>STDEV(C5,D5,E5,F5,G5,H5,I5,J5,K5,M5,N5,O5,P5,Q5,R5,S5,T5,U5,V5,W5,Y5,Z5,AA5,AB5,AC5,AD5,AE5,AF5,AG5,AH5,AI5,AJ5,AK5,AL5,AO5,AP5,AQ5,AR5,AS5,AT5,AU5,AV5,AW5,AX5,AY5,AZ5,BA5,BC5,BD5,BE5,BF5,BH5,BI5,BJ5,BK5)</f>
        <v>0.17420994680051272</v>
      </c>
    </row>
    <row r="6" spans="1:68" ht="15" x14ac:dyDescent="0.2">
      <c r="A6" s="20" t="s">
        <v>155</v>
      </c>
      <c r="B6" s="81" t="e">
        <f>Indicadores!$M6</f>
        <v>#DIV/0!</v>
      </c>
      <c r="C6" s="81">
        <f>Indicadores!$M18</f>
        <v>0.44892215568862276</v>
      </c>
      <c r="D6" s="81">
        <f>Indicadores!$M30</f>
        <v>0.183</v>
      </c>
      <c r="E6" s="81">
        <f>Indicadores!$M42</f>
        <v>0.29358664799606404</v>
      </c>
      <c r="F6" s="81">
        <f>Indicadores!$M54</f>
        <v>0.36147599999999996</v>
      </c>
      <c r="G6" s="81">
        <f>Indicadores!$M66</f>
        <v>0.43333333333333335</v>
      </c>
      <c r="H6" s="81">
        <f>Indicadores!$M78</f>
        <v>0.48776923076923079</v>
      </c>
      <c r="I6" s="81">
        <f>Indicadores!$M90</f>
        <v>6.6666666666666666E-2</v>
      </c>
      <c r="J6" s="81">
        <f>Indicadores!$M102</f>
        <v>0.19056909999999999</v>
      </c>
      <c r="K6" s="81">
        <f>Indicadores!$M114</f>
        <v>0.37663293670413223</v>
      </c>
      <c r="L6" s="81" t="e">
        <f>Indicadores!$M126</f>
        <v>#DIV/0!</v>
      </c>
      <c r="M6" s="81">
        <f>Indicadores!$M138</f>
        <v>0.19179104477611941</v>
      </c>
      <c r="N6" s="81">
        <f>Indicadores!$M150</f>
        <v>0</v>
      </c>
      <c r="O6" s="81">
        <f>Indicadores!$M162</f>
        <v>8.3240682632548538E-2</v>
      </c>
      <c r="P6" s="81">
        <f>Indicadores!$M174</f>
        <v>0.12256944444444444</v>
      </c>
      <c r="Q6" s="81">
        <f>Indicadores!$M186</f>
        <v>4.0935672514619881E-2</v>
      </c>
      <c r="R6" s="81">
        <f>Indicadores!$M198</f>
        <v>0.12794117647058822</v>
      </c>
      <c r="S6" s="81">
        <f>Indicadores!$M210</f>
        <v>0.27272727272727271</v>
      </c>
      <c r="T6" s="81">
        <f>Indicadores!$M222</f>
        <v>0.31228</v>
      </c>
      <c r="U6" s="81">
        <f>Indicadores!$M234</f>
        <v>0.42841666666666667</v>
      </c>
      <c r="V6" s="81">
        <f>Indicadores!$M246</f>
        <v>0</v>
      </c>
      <c r="W6" s="81">
        <f>Indicadores!$M258</f>
        <v>9.5706975017998228E-2</v>
      </c>
      <c r="X6" s="81" t="e">
        <f>Indicadores!$M270</f>
        <v>#DIV/0!</v>
      </c>
      <c r="Y6" s="81">
        <f>Indicadores!$M282</f>
        <v>0.68396520650518255</v>
      </c>
      <c r="Z6" s="81">
        <f>Indicadores!$M294</f>
        <v>2.0075345943115979E-2</v>
      </c>
      <c r="AA6" s="81">
        <f>Indicadores!$M306</f>
        <v>0</v>
      </c>
      <c r="AB6" s="81">
        <f>Indicadores!$M318</f>
        <v>0</v>
      </c>
      <c r="AC6" s="81">
        <f>Indicadores!$M330</f>
        <v>0.4511</v>
      </c>
      <c r="AD6" s="81">
        <f>Indicadores!$M342</f>
        <v>0.43835555555555555</v>
      </c>
      <c r="AE6" s="81">
        <f>Indicadores!$M354</f>
        <v>0</v>
      </c>
      <c r="AF6" s="81">
        <f>Indicadores!$M366</f>
        <v>0</v>
      </c>
      <c r="AG6" s="81">
        <f>Indicadores!$M378</f>
        <v>8.5714285714285715E-2</v>
      </c>
      <c r="AH6" s="81">
        <f>Indicadores!$M390</f>
        <v>0</v>
      </c>
      <c r="AI6" s="81">
        <f>Indicadores!$M402</f>
        <v>0.2</v>
      </c>
      <c r="AJ6" s="81">
        <f>Indicadores!$M414</f>
        <v>0.11666666666666667</v>
      </c>
      <c r="AK6" s="81">
        <f>Indicadores!$M426</f>
        <v>3.7037037037037035E-2</v>
      </c>
      <c r="AL6" s="81">
        <f>Indicadores!$M438</f>
        <v>0.36985623793340033</v>
      </c>
      <c r="AM6" s="81" t="e">
        <f>Indicadores!$M450</f>
        <v>#DIV/0!</v>
      </c>
      <c r="AN6" s="81" t="e">
        <f>Indicadores!$M462</f>
        <v>#DIV/0!</v>
      </c>
      <c r="AO6" s="81">
        <f>Indicadores!$M474</f>
        <v>8.7129304413947929E-3</v>
      </c>
      <c r="AP6" s="81">
        <f>Indicadores!$M486</f>
        <v>0</v>
      </c>
      <c r="AQ6" s="81">
        <f>Indicadores!$M498</f>
        <v>0</v>
      </c>
      <c r="AR6" s="81">
        <f>Indicadores!$M510</f>
        <v>0.17031201003449356</v>
      </c>
      <c r="AS6" s="81">
        <f>Indicadores!$M522</f>
        <v>0</v>
      </c>
      <c r="AT6" s="81">
        <f>Indicadores!$M534</f>
        <v>0.44</v>
      </c>
      <c r="AU6" s="81">
        <f>Indicadores!$M546</f>
        <v>0.95</v>
      </c>
      <c r="AV6" s="81">
        <f>Indicadores!$M558</f>
        <v>0</v>
      </c>
      <c r="AW6" s="81">
        <f>Indicadores!$M570</f>
        <v>0.1111111111111111</v>
      </c>
      <c r="AX6" s="81">
        <f>Indicadores!$M582</f>
        <v>0.65151515151515149</v>
      </c>
      <c r="AY6" s="81">
        <f>Indicadores!$M594</f>
        <v>0</v>
      </c>
      <c r="AZ6" s="81">
        <f>Indicadores!$M606</f>
        <v>0.47872611111111113</v>
      </c>
      <c r="BA6" s="81">
        <f>Indicadores!$M618</f>
        <v>0</v>
      </c>
      <c r="BB6" s="81" t="e">
        <f>Indicadores!$M630</f>
        <v>#DIV/0!</v>
      </c>
      <c r="BC6" s="81">
        <f>Indicadores!$M642</f>
        <v>0.188</v>
      </c>
      <c r="BD6" s="81">
        <f>Indicadores!$M654</f>
        <v>0.48857142857142855</v>
      </c>
      <c r="BE6" s="81">
        <f>Indicadores!$M666</f>
        <v>0.26807916666666665</v>
      </c>
      <c r="BF6" s="81">
        <f>Indicadores!$M678</f>
        <v>0.7</v>
      </c>
      <c r="BG6" s="81" t="e">
        <f>Indicadores!$M690</f>
        <v>#DIV/0!</v>
      </c>
      <c r="BH6" s="81">
        <f>Indicadores!$M702</f>
        <v>8.2338698629179488E-2</v>
      </c>
      <c r="BI6" s="81">
        <f>Indicadores!$M714</f>
        <v>0</v>
      </c>
      <c r="BJ6" s="81">
        <f>Indicadores!$M726</f>
        <v>0</v>
      </c>
      <c r="BK6" s="81">
        <f>Indicadores!$M738</f>
        <v>0.21674734484502564</v>
      </c>
      <c r="BL6" s="81" t="e">
        <f>Indicadores!$M750</f>
        <v>#DIV/0!</v>
      </c>
      <c r="BM6" s="82" t="e">
        <f t="shared" si="0"/>
        <v>#DIV/0!</v>
      </c>
      <c r="BN6" s="82" t="e">
        <f t="shared" si="2"/>
        <v>#DIV/0!</v>
      </c>
      <c r="BO6" s="82" t="e">
        <f t="shared" si="1"/>
        <v>#DIV/0!</v>
      </c>
      <c r="BP6" s="83" t="e">
        <f>STDEV(B7:BL7)</f>
        <v>#DIV/0!</v>
      </c>
    </row>
    <row r="7" spans="1:68" ht="15" x14ac:dyDescent="0.2">
      <c r="A7" s="20" t="s">
        <v>156</v>
      </c>
      <c r="B7" s="81" t="e">
        <f>Indicadores!$M7</f>
        <v>#DIV/0!</v>
      </c>
      <c r="C7" s="81">
        <f>Indicadores!$M19</f>
        <v>0.58185628742514972</v>
      </c>
      <c r="D7" s="81">
        <f>Indicadores!$M31</f>
        <v>0.1835</v>
      </c>
      <c r="E7" s="81">
        <f>Indicadores!$M43</f>
        <v>0.3087249744540741</v>
      </c>
      <c r="F7" s="81">
        <f>Indicadores!$M55</f>
        <v>0.405476</v>
      </c>
      <c r="G7" s="81">
        <f>Indicadores!$M67</f>
        <v>0.53200000000000003</v>
      </c>
      <c r="H7" s="81">
        <f>Indicadores!$M79</f>
        <v>0.56507692307692303</v>
      </c>
      <c r="I7" s="81">
        <f>Indicadores!$M91</f>
        <v>6.6666666666666666E-2</v>
      </c>
      <c r="J7" s="81">
        <f>Indicadores!$M103</f>
        <v>0.56354229999999994</v>
      </c>
      <c r="K7" s="81">
        <f>Indicadores!$M115</f>
        <v>0.44416610816294394</v>
      </c>
      <c r="L7" s="81" t="e">
        <f>Indicadores!$M127</f>
        <v>#DIV/0!</v>
      </c>
      <c r="M7" s="81">
        <f>Indicadores!$M139</f>
        <v>0.19179104477611941</v>
      </c>
      <c r="N7" s="81">
        <f>Indicadores!$M151</f>
        <v>0</v>
      </c>
      <c r="O7" s="81">
        <f>Indicadores!$M163</f>
        <v>0.13409397331821771</v>
      </c>
      <c r="P7" s="81">
        <f>Indicadores!$M175</f>
        <v>0.17118055555555556</v>
      </c>
      <c r="Q7" s="81">
        <f>Indicadores!$M187</f>
        <v>4.0935672514619881E-2</v>
      </c>
      <c r="R7" s="81">
        <f>Indicadores!$M199</f>
        <v>0.12794117647058822</v>
      </c>
      <c r="S7" s="81">
        <f>Indicadores!$M211</f>
        <v>0.45151515151515154</v>
      </c>
      <c r="T7" s="81">
        <f>Indicadores!$M223</f>
        <v>0.51807999999999998</v>
      </c>
      <c r="U7" s="81">
        <f>Indicadores!$M235</f>
        <v>0.60099999999999998</v>
      </c>
      <c r="V7" s="81">
        <f>Indicadores!$M247</f>
        <v>0</v>
      </c>
      <c r="W7" s="81">
        <f>Indicadores!$M259</f>
        <v>9.5706975017998228E-2</v>
      </c>
      <c r="X7" s="81" t="e">
        <f>Indicadores!$M271</f>
        <v>#DIV/0!</v>
      </c>
      <c r="Y7" s="81">
        <f>Indicadores!$M283</f>
        <v>0.80599057641907024</v>
      </c>
      <c r="Z7" s="81">
        <f>Indicadores!$M295</f>
        <v>0.57361946336487102</v>
      </c>
      <c r="AA7" s="81">
        <f>Indicadores!$M307</f>
        <v>0</v>
      </c>
      <c r="AB7" s="81">
        <f>Indicadores!$M319</f>
        <v>0</v>
      </c>
      <c r="AC7" s="81">
        <f>Indicadores!$M331</f>
        <v>0.4511</v>
      </c>
      <c r="AD7" s="81">
        <f>Indicadores!$M343</f>
        <v>0.48004999999999998</v>
      </c>
      <c r="AE7" s="81">
        <f>Indicadores!$M355</f>
        <v>0</v>
      </c>
      <c r="AF7" s="81">
        <f>Indicadores!$M367</f>
        <v>0</v>
      </c>
      <c r="AG7" s="81">
        <f>Indicadores!$M379</f>
        <v>0.33904761904761904</v>
      </c>
      <c r="AH7" s="81">
        <f>Indicadores!$M391</f>
        <v>0</v>
      </c>
      <c r="AI7" s="81">
        <f>Indicadores!$M403</f>
        <v>0.4</v>
      </c>
      <c r="AJ7" s="81">
        <f>Indicadores!$M415</f>
        <v>0.11666666666666667</v>
      </c>
      <c r="AK7" s="81">
        <f>Indicadores!$M427</f>
        <v>0.10493827160493827</v>
      </c>
      <c r="AL7" s="81">
        <f>Indicadores!$M439</f>
        <v>0.37222089256936802</v>
      </c>
      <c r="AM7" s="81" t="e">
        <f>Indicadores!$M451</f>
        <v>#DIV/0!</v>
      </c>
      <c r="AN7" s="81" t="e">
        <f>Indicadores!$M463</f>
        <v>#DIV/0!</v>
      </c>
      <c r="AO7" s="81">
        <f>Indicadores!$M475</f>
        <v>1.2107578665314842E-2</v>
      </c>
      <c r="AP7" s="81">
        <f>Indicadores!$M487</f>
        <v>0</v>
      </c>
      <c r="AQ7" s="81">
        <f>Indicadores!$M499</f>
        <v>0</v>
      </c>
      <c r="AR7" s="81">
        <f>Indicadores!$M511</f>
        <v>0.19853402320476637</v>
      </c>
      <c r="AS7" s="81">
        <f>Indicadores!$M523</f>
        <v>0.13913167259786477</v>
      </c>
      <c r="AT7" s="81">
        <f>Indicadores!$M535</f>
        <v>0.4995</v>
      </c>
      <c r="AU7" s="81">
        <f>Indicadores!$M547</f>
        <v>0.95</v>
      </c>
      <c r="AV7" s="81">
        <f>Indicadores!$M559</f>
        <v>0</v>
      </c>
      <c r="AW7" s="81">
        <f>Indicadores!$M571</f>
        <v>0.1111111111111111</v>
      </c>
      <c r="AX7" s="81">
        <f>Indicadores!$M583</f>
        <v>0.65151515151515149</v>
      </c>
      <c r="AY7" s="81">
        <f>Indicadores!$M595</f>
        <v>0</v>
      </c>
      <c r="AZ7" s="81">
        <f>Indicadores!$M607</f>
        <v>0.59780374074074083</v>
      </c>
      <c r="BA7" s="81">
        <f>Indicadores!$M619</f>
        <v>0</v>
      </c>
      <c r="BB7" s="81" t="e">
        <f>Indicadores!$M631</f>
        <v>#DIV/0!</v>
      </c>
      <c r="BC7" s="81">
        <f>Indicadores!$M643</f>
        <v>0.188</v>
      </c>
      <c r="BD7" s="81">
        <f>Indicadores!$M655</f>
        <v>0.7628571428571429</v>
      </c>
      <c r="BE7" s="81">
        <f>Indicadores!$M667</f>
        <v>0.48057916666666667</v>
      </c>
      <c r="BF7" s="81">
        <f>Indicadores!$M679</f>
        <v>0.7</v>
      </c>
      <c r="BG7" s="81" t="e">
        <f>Indicadores!$M691</f>
        <v>#DIV/0!</v>
      </c>
      <c r="BH7" s="81">
        <f>Indicadores!$M703</f>
        <v>8.2338698629179488E-2</v>
      </c>
      <c r="BI7" s="81">
        <f>Indicadores!$M715</f>
        <v>0</v>
      </c>
      <c r="BJ7" s="81">
        <f>Indicadores!$M727</f>
        <v>0</v>
      </c>
      <c r="BK7" s="81">
        <f>Indicadores!$M739</f>
        <v>0.21674734484502564</v>
      </c>
      <c r="BL7" s="81" t="e">
        <f>Indicadores!$M751</f>
        <v>#DIV/0!</v>
      </c>
      <c r="BM7" s="82" t="e">
        <f t="shared" si="0"/>
        <v>#DIV/0!</v>
      </c>
      <c r="BN7" s="82" t="e">
        <f t="shared" si="2"/>
        <v>#DIV/0!</v>
      </c>
      <c r="BO7" s="82" t="e">
        <f t="shared" si="1"/>
        <v>#DIV/0!</v>
      </c>
      <c r="BP7" s="83">
        <f>STDEV(C7,D7,E7,F7,G7,H7,I7,J7,K7,M7,N7,O7,P7,Q7,R7,S7,T7,U7,V7,W7,Y7,Z7,AA7,AB7,AC7,AD7,AE7,AF7,AG7,AH7,AI7,AJ7,AK7,AL7,AO7,AP7,AQ7,AR7,AS7,AT7,AU7,AV7,AW7,AX7,AY7,AZ7,BA7,BC7,BD7,BE7,BF7,BH7,BI7,BJ7,BK7)</f>
        <v>0.26303045920175727</v>
      </c>
    </row>
    <row r="8" spans="1:68" ht="15" x14ac:dyDescent="0.2">
      <c r="A8" s="20" t="s">
        <v>157</v>
      </c>
      <c r="B8" s="81" t="e">
        <f>Indicadores!$M8</f>
        <v>#DIV/0!</v>
      </c>
      <c r="C8" s="81">
        <f>Indicadores!$M20</f>
        <v>0.68964071856287423</v>
      </c>
      <c r="D8" s="81">
        <f>Indicadores!$M32</f>
        <v>0.1835</v>
      </c>
      <c r="E8" s="81">
        <f>Indicadores!$M44</f>
        <v>1.0222447615082819</v>
      </c>
      <c r="F8" s="81">
        <f>Indicadores!$M56</f>
        <v>0.405476</v>
      </c>
      <c r="G8" s="81">
        <f>Indicadores!$M68</f>
        <v>0.64015833333333327</v>
      </c>
      <c r="H8" s="81">
        <f>Indicadores!$M80</f>
        <v>0.71666769230769234</v>
      </c>
      <c r="I8" s="81">
        <f>Indicadores!$M92</f>
        <v>6.6666666666666666E-2</v>
      </c>
      <c r="J8" s="81">
        <f>Indicadores!$M104</f>
        <v>0.70954229999999996</v>
      </c>
      <c r="K8" s="81">
        <f>Indicadores!$M116</f>
        <v>0.59319321298951488</v>
      </c>
      <c r="L8" s="81" t="e">
        <f>Indicadores!$M128</f>
        <v>#DIV/0!</v>
      </c>
      <c r="M8" s="81">
        <f>Indicadores!$M140</f>
        <v>0.66840858208955223</v>
      </c>
      <c r="N8" s="81">
        <f>Indicadores!$M152</f>
        <v>0</v>
      </c>
      <c r="O8" s="81">
        <f>Indicadores!$M164</f>
        <v>0.29267310430457993</v>
      </c>
      <c r="P8" s="81">
        <f>Indicadores!$M176</f>
        <v>0.36562499999999998</v>
      </c>
      <c r="Q8" s="81">
        <f>Indicadores!$M188</f>
        <v>0.40497076023391815</v>
      </c>
      <c r="R8" s="81">
        <f>Indicadores!$M200</f>
        <v>0.16029411764705884</v>
      </c>
      <c r="S8" s="81">
        <f>Indicadores!$M212</f>
        <v>1.5060606060606061</v>
      </c>
      <c r="T8" s="81">
        <f>Indicadores!$M224</f>
        <v>0.72287199999999996</v>
      </c>
      <c r="U8" s="81">
        <f>Indicadores!$M236</f>
        <v>0.61224999999999996</v>
      </c>
      <c r="V8" s="81">
        <f>Indicadores!$M248</f>
        <v>8.6574074074074067E-2</v>
      </c>
      <c r="W8" s="81">
        <f>Indicadores!$M260</f>
        <v>9.5706975017998228E-2</v>
      </c>
      <c r="X8" s="81" t="e">
        <f>Indicadores!$M272</f>
        <v>#DIV/0!</v>
      </c>
      <c r="Y8" s="81">
        <f>Indicadores!$M284</f>
        <v>0.92810010762090744</v>
      </c>
      <c r="Z8" s="81">
        <f>Indicadores!$M296</f>
        <v>0.65709063860203742</v>
      </c>
      <c r="AA8" s="81">
        <f>Indicadores!$M308</f>
        <v>0.09</v>
      </c>
      <c r="AB8" s="81">
        <f>Indicadores!$M320</f>
        <v>0</v>
      </c>
      <c r="AC8" s="81">
        <f>Indicadores!$M332</f>
        <v>0.4511</v>
      </c>
      <c r="AD8" s="81">
        <f>Indicadores!$M344</f>
        <v>0.73573888888888883</v>
      </c>
      <c r="AE8" s="81">
        <f>Indicadores!$M356</f>
        <v>0</v>
      </c>
      <c r="AF8" s="81">
        <f>Indicadores!$M368</f>
        <v>0</v>
      </c>
      <c r="AG8" s="81">
        <f>Indicadores!$M380</f>
        <v>1.9875347619047621</v>
      </c>
      <c r="AH8" s="81">
        <f>Indicadores!$M392</f>
        <v>0</v>
      </c>
      <c r="AI8" s="81">
        <f>Indicadores!$M404</f>
        <v>0.5714285714285714</v>
      </c>
      <c r="AJ8" s="81">
        <f>Indicadores!$M416</f>
        <v>0.11666666666666667</v>
      </c>
      <c r="AK8" s="81">
        <f>Indicadores!$M428</f>
        <v>0.48765432098765432</v>
      </c>
      <c r="AL8" s="81">
        <f>Indicadores!$M440</f>
        <v>0.64840226253729683</v>
      </c>
      <c r="AM8" s="81" t="e">
        <f>Indicadores!$M452</f>
        <v>#DIV/0!</v>
      </c>
      <c r="AN8" s="81" t="e">
        <f>Indicadores!$M464</f>
        <v>#DIV/0!</v>
      </c>
      <c r="AO8" s="81">
        <f>Indicadores!$M476</f>
        <v>1.2107578665314842E-2</v>
      </c>
      <c r="AP8" s="81">
        <f>Indicadores!$M488</f>
        <v>0</v>
      </c>
      <c r="AQ8" s="81">
        <f>Indicadores!$M500</f>
        <v>0</v>
      </c>
      <c r="AR8" s="81">
        <f>Indicadores!$M512</f>
        <v>0.26551426779554721</v>
      </c>
      <c r="AS8" s="81">
        <f>Indicadores!$M524</f>
        <v>0.20869750889679714</v>
      </c>
      <c r="AT8" s="81">
        <f>Indicadores!$M536</f>
        <v>0.71583333333333332</v>
      </c>
      <c r="AU8" s="81">
        <f>Indicadores!$M548</f>
        <v>1.2</v>
      </c>
      <c r="AV8" s="81">
        <f>Indicadores!$M560</f>
        <v>0.13210445468509985</v>
      </c>
      <c r="AW8" s="81">
        <f>Indicadores!$M572</f>
        <v>0.1111111111111111</v>
      </c>
      <c r="AX8" s="81">
        <f>Indicadores!$M584</f>
        <v>0.65151515151515149</v>
      </c>
      <c r="AY8" s="81">
        <f>Indicadores!$M596</f>
        <v>6.4882400648824001E-2</v>
      </c>
      <c r="AZ8" s="81">
        <f>Indicadores!$M608</f>
        <v>0.74927607407407415</v>
      </c>
      <c r="BA8" s="81">
        <f>Indicadores!$M620</f>
        <v>0</v>
      </c>
      <c r="BB8" s="81" t="e">
        <f>Indicadores!$M632</f>
        <v>#DIV/0!</v>
      </c>
      <c r="BC8" s="81">
        <f>Indicadores!$M644</f>
        <v>0.188</v>
      </c>
      <c r="BD8" s="81">
        <f>Indicadores!$M656</f>
        <v>0.7628571428571429</v>
      </c>
      <c r="BE8" s="81">
        <f>Indicadores!$M668</f>
        <v>0.48057916666666667</v>
      </c>
      <c r="BF8" s="81">
        <f>Indicadores!$M680</f>
        <v>0.77375000000000005</v>
      </c>
      <c r="BG8" s="81" t="e">
        <f>Indicadores!$M692</f>
        <v>#DIV/0!</v>
      </c>
      <c r="BH8" s="81">
        <f>Indicadores!$M704</f>
        <v>9.6318104168938323E-2</v>
      </c>
      <c r="BI8" s="81">
        <f>Indicadores!$M716</f>
        <v>0</v>
      </c>
      <c r="BJ8" s="81">
        <f>Indicadores!$M728</f>
        <v>0</v>
      </c>
      <c r="BK8" s="81">
        <f>Indicadores!$M740</f>
        <v>0.66505310309948706</v>
      </c>
      <c r="BL8" s="81" t="e">
        <f>Indicadores!$M752</f>
        <v>#DIV/0!</v>
      </c>
      <c r="BM8" s="82" t="e">
        <f t="shared" si="0"/>
        <v>#DIV/0!</v>
      </c>
      <c r="BN8" s="82" t="e">
        <f t="shared" si="2"/>
        <v>#DIV/0!</v>
      </c>
      <c r="BO8" s="82" t="e">
        <f t="shared" si="1"/>
        <v>#DIV/0!</v>
      </c>
      <c r="BP8" s="83" t="e">
        <f>STDEV(B9:BL9)</f>
        <v>#DIV/0!</v>
      </c>
    </row>
    <row r="9" spans="1:68" ht="15" x14ac:dyDescent="0.2">
      <c r="A9" s="20" t="s">
        <v>158</v>
      </c>
      <c r="B9" s="81" t="e">
        <f>Indicadores!$M9</f>
        <v>#DIV/0!</v>
      </c>
      <c r="C9" s="81">
        <f>Indicadores!$M21</f>
        <v>0.68964071856287423</v>
      </c>
      <c r="D9" s="81">
        <f>Indicadores!$M33</f>
        <v>0.1835</v>
      </c>
      <c r="E9" s="81">
        <f>Indicadores!$M45</f>
        <v>1.0222447615082819</v>
      </c>
      <c r="F9" s="81">
        <f>Indicadores!$M57</f>
        <v>0.82102600000000003</v>
      </c>
      <c r="G9" s="81">
        <f>Indicadores!$M69</f>
        <v>0.66498333333333326</v>
      </c>
      <c r="H9" s="81">
        <f>Indicadores!$M81</f>
        <v>0.77362153846153847</v>
      </c>
      <c r="I9" s="81">
        <f>Indicadores!$M93</f>
        <v>6.6666666666666666E-2</v>
      </c>
      <c r="J9" s="81">
        <f>Indicadores!$M105</f>
        <v>0.85154229999999997</v>
      </c>
      <c r="K9" s="81">
        <f>Indicadores!$M117</f>
        <v>0.77411179596485646</v>
      </c>
      <c r="L9" s="81" t="e">
        <f>Indicadores!$M129</f>
        <v>#DIV/0!</v>
      </c>
      <c r="M9" s="81">
        <f>Indicadores!$M141</f>
        <v>0.74837126865671633</v>
      </c>
      <c r="N9" s="81">
        <f>Indicadores!$M153</f>
        <v>0</v>
      </c>
      <c r="O9" s="81">
        <f>Indicadores!$M165</f>
        <v>0.39051980214722892</v>
      </c>
      <c r="P9" s="81">
        <f>Indicadores!$M177</f>
        <v>0.36562499999999998</v>
      </c>
      <c r="Q9" s="81">
        <f>Indicadores!$M189</f>
        <v>0.46783625730994149</v>
      </c>
      <c r="R9" s="81">
        <f>Indicadores!$M201</f>
        <v>0.26617647058823529</v>
      </c>
      <c r="S9" s="81">
        <f>Indicadores!$M213</f>
        <v>1.5060606060606061</v>
      </c>
      <c r="T9" s="81">
        <f>Indicadores!$M225</f>
        <v>0.75439199999999995</v>
      </c>
      <c r="U9" s="81">
        <f>Indicadores!$M237</f>
        <v>0.69558333333333333</v>
      </c>
      <c r="V9" s="81">
        <f>Indicadores!$M249</f>
        <v>0.27175925925925926</v>
      </c>
      <c r="W9" s="81">
        <f>Indicadores!$M261</f>
        <v>0.26523699351071262</v>
      </c>
      <c r="X9" s="81" t="e">
        <f>Indicadores!$M273</f>
        <v>#DIV/0!</v>
      </c>
      <c r="Y9" s="81">
        <f>Indicadores!$M285</f>
        <v>0.94672501228467665</v>
      </c>
      <c r="Z9" s="81">
        <f>Indicadores!$M297</f>
        <v>0.65709063860203742</v>
      </c>
      <c r="AA9" s="81">
        <f>Indicadores!$M309</f>
        <v>0.09</v>
      </c>
      <c r="AB9" s="81">
        <f>Indicadores!$M321</f>
        <v>0</v>
      </c>
      <c r="AC9" s="81">
        <f>Indicadores!$M333</f>
        <v>0.4511</v>
      </c>
      <c r="AD9" s="81">
        <f>Indicadores!$M345</f>
        <v>0.8566555555555555</v>
      </c>
      <c r="AE9" s="81">
        <f>Indicadores!$M357</f>
        <v>0</v>
      </c>
      <c r="AF9" s="81">
        <f>Indicadores!$M369</f>
        <v>0</v>
      </c>
      <c r="AG9" s="81">
        <f>Indicadores!$M381</f>
        <v>1.9875347619047621</v>
      </c>
      <c r="AH9" s="81">
        <f>Indicadores!$M393</f>
        <v>0</v>
      </c>
      <c r="AI9" s="81">
        <f>Indicadores!$M405</f>
        <v>0.7857142857142857</v>
      </c>
      <c r="AJ9" s="81">
        <f>Indicadores!$M417</f>
        <v>0.34004411764705883</v>
      </c>
      <c r="AK9" s="81">
        <f>Indicadores!$M429</f>
        <v>0.71604938271604934</v>
      </c>
      <c r="AL9" s="81">
        <f>Indicadores!$M441</f>
        <v>0.65666419351235783</v>
      </c>
      <c r="AM9" s="81" t="e">
        <f>Indicadores!$M453</f>
        <v>#DIV/0!</v>
      </c>
      <c r="AN9" s="81" t="e">
        <f>Indicadores!$M465</f>
        <v>#DIV/0!</v>
      </c>
      <c r="AO9" s="81">
        <f>Indicadores!$M477</f>
        <v>1.2107578665314842E-2</v>
      </c>
      <c r="AP9" s="81">
        <f>Indicadores!$M489</f>
        <v>0.111</v>
      </c>
      <c r="AQ9" s="81">
        <f>Indicadores!$M501</f>
        <v>0.21189189189189189</v>
      </c>
      <c r="AR9" s="81">
        <f>Indicadores!$M513</f>
        <v>0.33857792411414234</v>
      </c>
      <c r="AS9" s="81">
        <f>Indicadores!$M525</f>
        <v>0.59083274021352317</v>
      </c>
      <c r="AT9" s="81">
        <f>Indicadores!$M537</f>
        <v>0.71916666666666662</v>
      </c>
      <c r="AU9" s="81">
        <f>Indicadores!$M549</f>
        <v>1.2</v>
      </c>
      <c r="AV9" s="81">
        <f>Indicadores!$M561</f>
        <v>0.13210445468509985</v>
      </c>
      <c r="AW9" s="81">
        <f>Indicadores!$M573</f>
        <v>0.1111111111111111</v>
      </c>
      <c r="AX9" s="81">
        <f>Indicadores!$M585</f>
        <v>0.65151515151515149</v>
      </c>
      <c r="AY9" s="81">
        <f>Indicadores!$M597</f>
        <v>8.5158150851581502E-2</v>
      </c>
      <c r="AZ9" s="81">
        <f>Indicadores!$M609</f>
        <v>0.74927607407407415</v>
      </c>
      <c r="BA9" s="81">
        <f>Indicadores!$M621</f>
        <v>2.3181818181818182E-2</v>
      </c>
      <c r="BB9" s="81" t="e">
        <f>Indicadores!$M633</f>
        <v>#DIV/0!</v>
      </c>
      <c r="BC9" s="81">
        <f>Indicadores!$M645</f>
        <v>0.22133333333333333</v>
      </c>
      <c r="BD9" s="81">
        <f>Indicadores!$M657</f>
        <v>0.97714285714285709</v>
      </c>
      <c r="BE9" s="81">
        <f>Indicadores!$M669</f>
        <v>0.48057916666666667</v>
      </c>
      <c r="BF9" s="81">
        <f>Indicadores!$M681</f>
        <v>0.79874999999999996</v>
      </c>
      <c r="BG9" s="81" t="e">
        <f>Indicadores!$M693</f>
        <v>#DIV/0!</v>
      </c>
      <c r="BH9" s="81">
        <f>Indicadores!$M705</f>
        <v>0.10563770786211088</v>
      </c>
      <c r="BI9" s="81">
        <f>Indicadores!$M717</f>
        <v>0</v>
      </c>
      <c r="BJ9" s="81">
        <f>Indicadores!$M729</f>
        <v>0</v>
      </c>
      <c r="BK9" s="81">
        <f>Indicadores!$M741</f>
        <v>0.66505310309948706</v>
      </c>
      <c r="BL9" s="81" t="e">
        <f>Indicadores!$M753</f>
        <v>#DIV/0!</v>
      </c>
      <c r="BM9" s="82" t="e">
        <f t="shared" si="0"/>
        <v>#DIV/0!</v>
      </c>
      <c r="BN9" s="82" t="e">
        <f t="shared" si="2"/>
        <v>#DIV/0!</v>
      </c>
      <c r="BO9" s="82" t="e">
        <f t="shared" si="1"/>
        <v>#DIV/0!</v>
      </c>
      <c r="BP9" s="83">
        <f>STDEV(C9,D9,E9,F9,G9,H9,I9,J9,K9,M9,N9,O9,P9,Q9,R9,S9,T9,U9,V9,W9,Y9,Z9,AA9,AB9,AC9,AD9,AE9,AF9,AG9,AH9,AI9,AJ9,AK9,AL9,AO9,AP9,AQ9,AR9,AS9,AT9,AU9,AV9,AW9,AX9,AY9,AZ9,BA9,BC9,BD9,BE9,BF9,BH9,BI9,BJ9,BK9)</f>
        <v>0.41779501889456777</v>
      </c>
    </row>
    <row r="10" spans="1:68" ht="15" x14ac:dyDescent="0.2">
      <c r="A10" s="20" t="s">
        <v>159</v>
      </c>
      <c r="B10" s="81" t="e">
        <f>Indicadores!$M10</f>
        <v>#DIV/0!</v>
      </c>
      <c r="C10" s="81">
        <f>Indicadores!$M22</f>
        <v>0.68964071856287423</v>
      </c>
      <c r="D10" s="81">
        <f>Indicadores!$M34</f>
        <v>2.1335000000000002</v>
      </c>
      <c r="E10" s="81">
        <f>Indicadores!$M46</f>
        <v>1.0474753056049655</v>
      </c>
      <c r="F10" s="81">
        <f>Indicadores!$M58</f>
        <v>1.041026</v>
      </c>
      <c r="G10" s="81">
        <f>Indicadores!$M70</f>
        <v>1.0462333333333333</v>
      </c>
      <c r="H10" s="81">
        <f>Indicadores!$M82</f>
        <v>0.83396000000000003</v>
      </c>
      <c r="I10" s="81">
        <f>Indicadores!$M94</f>
        <v>6.6666666666666666E-2</v>
      </c>
      <c r="J10" s="81">
        <f>Indicadores!$M106</f>
        <v>1.1865422999999999</v>
      </c>
      <c r="K10" s="81">
        <f>Indicadores!$M118</f>
        <v>1.0738360233070012</v>
      </c>
      <c r="L10" s="81" t="e">
        <f>Indicadores!$M130</f>
        <v>#DIV/0!</v>
      </c>
      <c r="M10" s="81">
        <f>Indicadores!$M142</f>
        <v>0.76516231343283581</v>
      </c>
      <c r="N10" s="81">
        <f>Indicadores!$M154</f>
        <v>6.8953333333333333</v>
      </c>
      <c r="O10" s="81">
        <f>Indicadores!$M166</f>
        <v>0.77936527859316707</v>
      </c>
      <c r="P10" s="81">
        <f>Indicadores!$M178</f>
        <v>0.36562499999999998</v>
      </c>
      <c r="Q10" s="81">
        <f>Indicadores!$M190</f>
        <v>0.46783625730994149</v>
      </c>
      <c r="R10" s="81">
        <f>Indicadores!$M202</f>
        <v>0.50911764705882356</v>
      </c>
      <c r="S10" s="81">
        <f>Indicadores!$M214</f>
        <v>2.0060606060606059</v>
      </c>
      <c r="T10" s="81">
        <f>Indicadores!$M226</f>
        <v>0.94687199999999994</v>
      </c>
      <c r="U10" s="81">
        <f>Indicadores!$M238</f>
        <v>0.84183333333333332</v>
      </c>
      <c r="V10" s="81">
        <f>Indicadores!$M250</f>
        <v>0.41759259259259257</v>
      </c>
      <c r="W10" s="81">
        <f>Indicadores!$M262</f>
        <v>0.63168836674629258</v>
      </c>
      <c r="X10" s="81" t="e">
        <f>Indicadores!$M274</f>
        <v>#DIV/0!</v>
      </c>
      <c r="Y10" s="81">
        <f>Indicadores!$M286</f>
        <v>1.0223886874812393</v>
      </c>
      <c r="Z10" s="81">
        <f>Indicadores!$M298</f>
        <v>0.65716988338865501</v>
      </c>
      <c r="AA10" s="81">
        <f>Indicadores!$M310</f>
        <v>0.54714285714285715</v>
      </c>
      <c r="AB10" s="81">
        <f>Indicadores!$M322</f>
        <v>0</v>
      </c>
      <c r="AC10" s="81">
        <f>Indicadores!$M334</f>
        <v>0.4511</v>
      </c>
      <c r="AD10" s="81">
        <f>Indicadores!$M346</f>
        <v>1.3372111111111111</v>
      </c>
      <c r="AE10" s="81">
        <f>Indicadores!$M358</f>
        <v>0</v>
      </c>
      <c r="AF10" s="81">
        <f>Indicadores!$M370</f>
        <v>0</v>
      </c>
      <c r="AG10" s="81">
        <f>Indicadores!$M382</f>
        <v>1.9875347619047621</v>
      </c>
      <c r="AH10" s="81">
        <f>Indicadores!$M394</f>
        <v>0</v>
      </c>
      <c r="AI10" s="81">
        <f>Indicadores!$M406</f>
        <v>0.79285714285714282</v>
      </c>
      <c r="AJ10" s="81">
        <f>Indicadores!$M418</f>
        <v>0.34004411764705883</v>
      </c>
      <c r="AK10" s="81">
        <f>Indicadores!$M430</f>
        <v>0.82592592592592595</v>
      </c>
      <c r="AL10" s="81">
        <f>Indicadores!$M442</f>
        <v>0.65902884814832552</v>
      </c>
      <c r="AM10" s="81" t="e">
        <f>Indicadores!$M454</f>
        <v>#DIV/0!</v>
      </c>
      <c r="AN10" s="81" t="e">
        <f>Indicadores!$M466</f>
        <v>#DIV/0!</v>
      </c>
      <c r="AO10" s="81">
        <f>Indicadores!$M478</f>
        <v>1.2107578665314842E-2</v>
      </c>
      <c r="AP10" s="81">
        <f>Indicadores!$M490</f>
        <v>2.4049999999999998</v>
      </c>
      <c r="AQ10" s="81">
        <f>Indicadores!$M502</f>
        <v>0.32690690690690688</v>
      </c>
      <c r="AR10" s="81">
        <f>Indicadores!$M514</f>
        <v>0.39149419880840391</v>
      </c>
      <c r="AS10" s="81">
        <f>Indicadores!$M526</f>
        <v>0.59083274021352317</v>
      </c>
      <c r="AT10" s="81">
        <f>Indicadores!$M538</f>
        <v>0.94666666666666666</v>
      </c>
      <c r="AU10" s="81">
        <f>Indicadores!$M550</f>
        <v>1.2</v>
      </c>
      <c r="AV10" s="81">
        <f>Indicadores!$M562</f>
        <v>0.83256528417818743</v>
      </c>
      <c r="AW10" s="81">
        <f>Indicadores!$M574</f>
        <v>0.1111111111111111</v>
      </c>
      <c r="AX10" s="81">
        <f>Indicadores!$M586</f>
        <v>0.65151515151515149</v>
      </c>
      <c r="AY10" s="81">
        <f>Indicadores!$M598</f>
        <v>8.5158150851581502E-2</v>
      </c>
      <c r="AZ10" s="81">
        <f>Indicadores!$M610</f>
        <v>0.82505385185185187</v>
      </c>
      <c r="BA10" s="81">
        <f>Indicadores!$M622</f>
        <v>2.3181818181818182E-2</v>
      </c>
      <c r="BB10" s="81" t="e">
        <f>Indicadores!$M634</f>
        <v>#DIV/0!</v>
      </c>
      <c r="BC10" s="81">
        <f>Indicadores!$M646</f>
        <v>0.22133333333333333</v>
      </c>
      <c r="BD10" s="81">
        <f>Indicadores!$M658</f>
        <v>0.97714285714285709</v>
      </c>
      <c r="BE10" s="81">
        <f>Indicadores!$M670</f>
        <v>0.48057916666666667</v>
      </c>
      <c r="BF10" s="81">
        <f>Indicadores!$M682</f>
        <v>0.82374999999999998</v>
      </c>
      <c r="BG10" s="81" t="e">
        <f>Indicadores!$M694</f>
        <v>#DIV/0!</v>
      </c>
      <c r="BH10" s="81">
        <f>Indicadores!$M706</f>
        <v>0.12101505395584558</v>
      </c>
      <c r="BI10" s="81">
        <f>Indicadores!$M718</f>
        <v>0</v>
      </c>
      <c r="BJ10" s="81">
        <f>Indicadores!$M730</f>
        <v>0</v>
      </c>
      <c r="BK10" s="81">
        <f>Indicadores!$M742</f>
        <v>0.7494155046600679</v>
      </c>
      <c r="BL10" s="81" t="e">
        <f>Indicadores!$M754</f>
        <v>#DIV/0!</v>
      </c>
      <c r="BM10" s="82" t="e">
        <f t="shared" si="0"/>
        <v>#DIV/0!</v>
      </c>
      <c r="BN10" s="82" t="e">
        <f t="shared" si="2"/>
        <v>#DIV/0!</v>
      </c>
      <c r="BO10" s="82" t="e">
        <f t="shared" si="1"/>
        <v>#DIV/0!</v>
      </c>
      <c r="BP10" s="83" t="e">
        <f>STDEV(B11:BL11)</f>
        <v>#DIV/0!</v>
      </c>
    </row>
    <row r="11" spans="1:68" ht="15" x14ac:dyDescent="0.2">
      <c r="A11" s="20" t="s">
        <v>160</v>
      </c>
      <c r="B11" s="81" t="e">
        <f>Indicadores!$M11</f>
        <v>#DIV/0!</v>
      </c>
      <c r="C11" s="81">
        <f>Indicadores!$M23</f>
        <v>0.68964071856287423</v>
      </c>
      <c r="D11" s="81">
        <f>Indicadores!$M35</f>
        <v>2.1335000000000002</v>
      </c>
      <c r="E11" s="81">
        <f>Indicadores!$M47</f>
        <v>1.0474753056049655</v>
      </c>
      <c r="F11" s="81">
        <f>Indicadores!$M59</f>
        <v>1.041026</v>
      </c>
      <c r="G11" s="81">
        <f>Indicadores!$M71</f>
        <v>1.0462333333333333</v>
      </c>
      <c r="H11" s="81">
        <f>Indicadores!$M83</f>
        <v>0.83396000000000003</v>
      </c>
      <c r="I11" s="81">
        <f>Indicadores!$M95</f>
        <v>6.6666666666666666E-2</v>
      </c>
      <c r="J11" s="81">
        <f>Indicadores!$M107</f>
        <v>1.1865422999999999</v>
      </c>
      <c r="K11" s="81">
        <f>Indicadores!$M119</f>
        <v>1.0738360233070012</v>
      </c>
      <c r="L11" s="81" t="e">
        <f>Indicadores!$M131</f>
        <v>#DIV/0!</v>
      </c>
      <c r="M11" s="81">
        <f>Indicadores!$M143</f>
        <v>0.76516231343283581</v>
      </c>
      <c r="N11" s="81">
        <f>Indicadores!$M155</f>
        <v>6.8953333333333333</v>
      </c>
      <c r="O11" s="81">
        <f>Indicadores!$M167</f>
        <v>0.77936527859316707</v>
      </c>
      <c r="P11" s="81">
        <f>Indicadores!$M179</f>
        <v>0.36562499999999998</v>
      </c>
      <c r="Q11" s="81">
        <f>Indicadores!$M191</f>
        <v>0.46783625730994149</v>
      </c>
      <c r="R11" s="81">
        <f>Indicadores!$M203</f>
        <v>0.50911764705882356</v>
      </c>
      <c r="S11" s="81">
        <f>Indicadores!$M215</f>
        <v>2.0060606060606059</v>
      </c>
      <c r="T11" s="81">
        <f>Indicadores!$M227</f>
        <v>0.94687199999999994</v>
      </c>
      <c r="U11" s="81">
        <f>Indicadores!$M239</f>
        <v>0.84183333333333332</v>
      </c>
      <c r="V11" s="81">
        <f>Indicadores!$M251</f>
        <v>0.41759259259259257</v>
      </c>
      <c r="W11" s="81">
        <f>Indicadores!$M263</f>
        <v>0.63168836674629258</v>
      </c>
      <c r="X11" s="81" t="e">
        <f>Indicadores!$M275</f>
        <v>#DIV/0!</v>
      </c>
      <c r="Y11" s="81">
        <f>Indicadores!$M287</f>
        <v>1.0223886874812393</v>
      </c>
      <c r="Z11" s="81">
        <f>Indicadores!$M299</f>
        <v>0.65716988338865501</v>
      </c>
      <c r="AA11" s="81">
        <f>Indicadores!$M311</f>
        <v>0.54714285714285715</v>
      </c>
      <c r="AB11" s="81">
        <f>Indicadores!$M323</f>
        <v>0</v>
      </c>
      <c r="AC11" s="81">
        <f>Indicadores!$M335</f>
        <v>0.4511</v>
      </c>
      <c r="AD11" s="81">
        <f>Indicadores!$M347</f>
        <v>1.3372111111111111</v>
      </c>
      <c r="AE11" s="81">
        <f>Indicadores!$M359</f>
        <v>0</v>
      </c>
      <c r="AF11" s="81">
        <f>Indicadores!$M371</f>
        <v>0</v>
      </c>
      <c r="AG11" s="81">
        <f>Indicadores!$M383</f>
        <v>1.9875347619047621</v>
      </c>
      <c r="AH11" s="81">
        <f>Indicadores!$M395</f>
        <v>0</v>
      </c>
      <c r="AI11" s="81">
        <f>Indicadores!$M407</f>
        <v>0.79285714285714282</v>
      </c>
      <c r="AJ11" s="81">
        <f>Indicadores!$M419</f>
        <v>0.34004411764705883</v>
      </c>
      <c r="AK11" s="81">
        <f>Indicadores!$M431</f>
        <v>0.82592592592592595</v>
      </c>
      <c r="AL11" s="81">
        <f>Indicadores!$M443</f>
        <v>0.65902884814832552</v>
      </c>
      <c r="AM11" s="81" t="e">
        <f>Indicadores!$M455</f>
        <v>#DIV/0!</v>
      </c>
      <c r="AN11" s="81" t="e">
        <f>Indicadores!$M467</f>
        <v>#DIV/0!</v>
      </c>
      <c r="AO11" s="81">
        <f>Indicadores!$M479</f>
        <v>1.2107578665314842E-2</v>
      </c>
      <c r="AP11" s="81">
        <f>Indicadores!$M491</f>
        <v>2.4049999999999998</v>
      </c>
      <c r="AQ11" s="81">
        <f>Indicadores!$M503</f>
        <v>0.32690690690690688</v>
      </c>
      <c r="AR11" s="81">
        <f>Indicadores!$M515</f>
        <v>0.39149419880840391</v>
      </c>
      <c r="AS11" s="81">
        <f>Indicadores!$M527</f>
        <v>0.59083274021352317</v>
      </c>
      <c r="AT11" s="81">
        <f>Indicadores!$M539</f>
        <v>0.94666666666666666</v>
      </c>
      <c r="AU11" s="81">
        <f>Indicadores!$M551</f>
        <v>1.2</v>
      </c>
      <c r="AV11" s="81">
        <f>Indicadores!$M563</f>
        <v>0.83256528417818743</v>
      </c>
      <c r="AW11" s="81">
        <f>Indicadores!$M575</f>
        <v>0.1111111111111111</v>
      </c>
      <c r="AX11" s="81">
        <f>Indicadores!$M587</f>
        <v>0.65151515151515149</v>
      </c>
      <c r="AY11" s="81">
        <f>Indicadores!$M599</f>
        <v>8.5158150851581502E-2</v>
      </c>
      <c r="AZ11" s="81">
        <f>Indicadores!$M611</f>
        <v>0.82505385185185187</v>
      </c>
      <c r="BA11" s="81">
        <f>Indicadores!$M623</f>
        <v>2.3181818181818182E-2</v>
      </c>
      <c r="BB11" s="81" t="e">
        <f>Indicadores!$M635</f>
        <v>#DIV/0!</v>
      </c>
      <c r="BC11" s="81">
        <f>Indicadores!$M647</f>
        <v>0.22133333333333333</v>
      </c>
      <c r="BD11" s="81">
        <f>Indicadores!$M659</f>
        <v>0.97714285714285709</v>
      </c>
      <c r="BE11" s="81">
        <f>Indicadores!$M671</f>
        <v>0.48057916666666667</v>
      </c>
      <c r="BF11" s="81">
        <f>Indicadores!$M683</f>
        <v>0.82374999999999998</v>
      </c>
      <c r="BG11" s="81" t="e">
        <f>Indicadores!$M695</f>
        <v>#DIV/0!</v>
      </c>
      <c r="BH11" s="81">
        <f>Indicadores!$M707</f>
        <v>0.12101505395584558</v>
      </c>
      <c r="BI11" s="81">
        <f>Indicadores!$M719</f>
        <v>0</v>
      </c>
      <c r="BJ11" s="81">
        <f>Indicadores!$M731</f>
        <v>0</v>
      </c>
      <c r="BK11" s="81">
        <f>Indicadores!$M743</f>
        <v>0.7494155046600679</v>
      </c>
      <c r="BL11" s="81" t="e">
        <f>Indicadores!$M755</f>
        <v>#DIV/0!</v>
      </c>
      <c r="BM11" s="82" t="e">
        <f t="shared" si="0"/>
        <v>#DIV/0!</v>
      </c>
      <c r="BN11" s="82" t="e">
        <f t="shared" si="2"/>
        <v>#DIV/0!</v>
      </c>
      <c r="BO11" s="82" t="e">
        <f t="shared" si="1"/>
        <v>#DIV/0!</v>
      </c>
      <c r="BP11" s="83">
        <f>STDEV(C11,D11,E11,F11,G11,H11,I11,J11,K11,M11,N11,O11,P11,Q11,R11,S11,T11,U11,V11,W11,Y11,Z11,AA11,AB11,AC11,AD11,AE11,AF11,AG11,AH11,AI11,AJ11,AK11,AL11,AO11,AP11,AQ11,AR11,AS11,AT11,AU11,AV11,AW11,AX11,AY11,AZ11,BA11,BC11,BD11,BE11,BF11,BH11,BI11,BJ11,BK11)</f>
        <v>1.0028532718282579</v>
      </c>
    </row>
    <row r="12" spans="1:68" ht="15" x14ac:dyDescent="0.2">
      <c r="A12" s="20" t="s">
        <v>161</v>
      </c>
      <c r="B12" s="81" t="e">
        <f>Indicadores!$M12</f>
        <v>#DIV/0!</v>
      </c>
      <c r="C12" s="81">
        <f>Indicadores!$M24</f>
        <v>0.68964071856287423</v>
      </c>
      <c r="D12" s="81">
        <f>Indicadores!$M36</f>
        <v>2.1335000000000002</v>
      </c>
      <c r="E12" s="81">
        <f>Indicadores!$M48</f>
        <v>1.0474753056049655</v>
      </c>
      <c r="F12" s="81">
        <f>Indicadores!$M60</f>
        <v>1.041026</v>
      </c>
      <c r="G12" s="81">
        <f>Indicadores!$M72</f>
        <v>1.0462333333333333</v>
      </c>
      <c r="H12" s="81">
        <f>Indicadores!$M84</f>
        <v>0.83396000000000003</v>
      </c>
      <c r="I12" s="81">
        <f>Indicadores!$M96</f>
        <v>6.6666666666666666E-2</v>
      </c>
      <c r="J12" s="81">
        <f>Indicadores!$M108</f>
        <v>1.1865422999999999</v>
      </c>
      <c r="K12" s="81">
        <f>Indicadores!$M120</f>
        <v>1.0738360233070012</v>
      </c>
      <c r="L12" s="81" t="e">
        <f>Indicadores!$M132</f>
        <v>#DIV/0!</v>
      </c>
      <c r="M12" s="81">
        <f>Indicadores!$M144</f>
        <v>0.76516231343283581</v>
      </c>
      <c r="N12" s="81">
        <f>Indicadores!$M156</f>
        <v>6.8953333333333333</v>
      </c>
      <c r="O12" s="81">
        <f>Indicadores!$M168</f>
        <v>0.77936527859316707</v>
      </c>
      <c r="P12" s="81">
        <f>Indicadores!$M180</f>
        <v>0.36562499999999998</v>
      </c>
      <c r="Q12" s="81">
        <f>Indicadores!$M192</f>
        <v>0.46783625730994149</v>
      </c>
      <c r="R12" s="81">
        <f>Indicadores!$M204</f>
        <v>0.50911764705882356</v>
      </c>
      <c r="S12" s="81">
        <f>Indicadores!$M216</f>
        <v>2.0060606060606059</v>
      </c>
      <c r="T12" s="81">
        <f>Indicadores!$M228</f>
        <v>0.94687199999999994</v>
      </c>
      <c r="U12" s="81">
        <f>Indicadores!$M240</f>
        <v>0.84183333333333332</v>
      </c>
      <c r="V12" s="81">
        <f>Indicadores!$M252</f>
        <v>0.41759259259259257</v>
      </c>
      <c r="W12" s="81">
        <f>Indicadores!$M264</f>
        <v>0.63168836674629258</v>
      </c>
      <c r="X12" s="81" t="e">
        <f>Indicadores!$M276</f>
        <v>#DIV/0!</v>
      </c>
      <c r="Y12" s="81">
        <f>Indicadores!$M288</f>
        <v>1.0223886874812393</v>
      </c>
      <c r="Z12" s="81">
        <f>Indicadores!$M300</f>
        <v>0.65716988338865501</v>
      </c>
      <c r="AA12" s="81">
        <f>Indicadores!$M312</f>
        <v>0.54714285714285715</v>
      </c>
      <c r="AB12" s="81">
        <f>Indicadores!$M324</f>
        <v>0</v>
      </c>
      <c r="AC12" s="81">
        <f>Indicadores!$M336</f>
        <v>0.4511</v>
      </c>
      <c r="AD12" s="81">
        <f>Indicadores!$M348</f>
        <v>1.3372111111111111</v>
      </c>
      <c r="AE12" s="81">
        <f>Indicadores!$M360</f>
        <v>0</v>
      </c>
      <c r="AF12" s="81">
        <f>Indicadores!$M372</f>
        <v>0</v>
      </c>
      <c r="AG12" s="81">
        <f>Indicadores!$M384</f>
        <v>1.9875347619047621</v>
      </c>
      <c r="AH12" s="81">
        <f>Indicadores!$M396</f>
        <v>0</v>
      </c>
      <c r="AI12" s="81">
        <f>Indicadores!$M408</f>
        <v>0.79285714285714282</v>
      </c>
      <c r="AJ12" s="81">
        <f>Indicadores!$M420</f>
        <v>0.34004411764705883</v>
      </c>
      <c r="AK12" s="81">
        <f>Indicadores!$M432</f>
        <v>0.82592592592592595</v>
      </c>
      <c r="AL12" s="81">
        <f>Indicadores!$M444</f>
        <v>0.65902884814832552</v>
      </c>
      <c r="AM12" s="81" t="e">
        <f>Indicadores!$M456</f>
        <v>#DIV/0!</v>
      </c>
      <c r="AN12" s="81" t="e">
        <f>Indicadores!$M468</f>
        <v>#DIV/0!</v>
      </c>
      <c r="AO12" s="81">
        <f>Indicadores!$M480</f>
        <v>1.2107578665314842E-2</v>
      </c>
      <c r="AP12" s="81">
        <f>Indicadores!$M492</f>
        <v>2.4049999999999998</v>
      </c>
      <c r="AQ12" s="81">
        <f>Indicadores!$M504</f>
        <v>0.32690690690690688</v>
      </c>
      <c r="AR12" s="81">
        <f>Indicadores!$M516</f>
        <v>0.39149419880840391</v>
      </c>
      <c r="AS12" s="81">
        <f>Indicadores!$M528</f>
        <v>0.59083274021352317</v>
      </c>
      <c r="AT12" s="81">
        <f>Indicadores!$M540</f>
        <v>0.94666666666666666</v>
      </c>
      <c r="AU12" s="81">
        <f>Indicadores!$M552</f>
        <v>1.2</v>
      </c>
      <c r="AV12" s="81">
        <f>Indicadores!$M564</f>
        <v>0.83256528417818743</v>
      </c>
      <c r="AW12" s="81">
        <f>Indicadores!$M576</f>
        <v>0.1111111111111111</v>
      </c>
      <c r="AX12" s="81">
        <f>Indicadores!$M588</f>
        <v>0.65151515151515149</v>
      </c>
      <c r="AY12" s="81">
        <f>Indicadores!$M600</f>
        <v>8.5158150851581502E-2</v>
      </c>
      <c r="AZ12" s="81">
        <f>Indicadores!$M612</f>
        <v>0.82505385185185187</v>
      </c>
      <c r="BA12" s="81">
        <f>Indicadores!$M624</f>
        <v>2.3181818181818182E-2</v>
      </c>
      <c r="BB12" s="81" t="e">
        <f>Indicadores!$M636</f>
        <v>#DIV/0!</v>
      </c>
      <c r="BC12" s="81">
        <f>Indicadores!$M648</f>
        <v>0.22133333333333333</v>
      </c>
      <c r="BD12" s="81">
        <f>Indicadores!$M660</f>
        <v>0.97714285714285709</v>
      </c>
      <c r="BE12" s="81">
        <f>Indicadores!$M672</f>
        <v>0.48057916666666667</v>
      </c>
      <c r="BF12" s="81">
        <f>Indicadores!$M684</f>
        <v>0.82374999999999998</v>
      </c>
      <c r="BG12" s="81" t="e">
        <f>Indicadores!$M696</f>
        <v>#DIV/0!</v>
      </c>
      <c r="BH12" s="81">
        <f>Indicadores!$M708</f>
        <v>0.12101505395584558</v>
      </c>
      <c r="BI12" s="81">
        <f>Indicadores!$M720</f>
        <v>0</v>
      </c>
      <c r="BJ12" s="81">
        <f>Indicadores!$M732</f>
        <v>0</v>
      </c>
      <c r="BK12" s="81">
        <f>Indicadores!$M744</f>
        <v>0.7494155046600679</v>
      </c>
      <c r="BL12" s="81" t="e">
        <f>Indicadores!$M756</f>
        <v>#DIV/0!</v>
      </c>
      <c r="BM12" s="82" t="e">
        <f t="shared" si="0"/>
        <v>#DIV/0!</v>
      </c>
      <c r="BN12" s="82" t="e">
        <f t="shared" si="2"/>
        <v>#DIV/0!</v>
      </c>
      <c r="BO12" s="82" t="e">
        <f t="shared" si="1"/>
        <v>#DIV/0!</v>
      </c>
      <c r="BP12" s="83" t="e">
        <f>STDEV(B13:BL13)</f>
        <v>#DIV/0!</v>
      </c>
    </row>
    <row r="13" spans="1:68" ht="15" x14ac:dyDescent="0.2">
      <c r="A13" s="20" t="s">
        <v>162</v>
      </c>
      <c r="B13" s="81" t="e">
        <f>Indicadores!$M13</f>
        <v>#DIV/0!</v>
      </c>
      <c r="C13" s="81">
        <f>Indicadores!$M25</f>
        <v>0.68964071856287423</v>
      </c>
      <c r="D13" s="81">
        <f>Indicadores!$M37</f>
        <v>2.0114999999999998</v>
      </c>
      <c r="E13" s="81">
        <f>Indicadores!$M49</f>
        <v>1.0474753056049655</v>
      </c>
      <c r="F13" s="81">
        <f>Indicadores!$M61</f>
        <v>1.041026</v>
      </c>
      <c r="G13" s="81">
        <f>Indicadores!$M73</f>
        <v>1.0462333333333333</v>
      </c>
      <c r="H13" s="81">
        <f>Indicadores!$M85</f>
        <v>0.83396000000000003</v>
      </c>
      <c r="I13" s="81">
        <f>Indicadores!$M97</f>
        <v>6.6666666666666666E-2</v>
      </c>
      <c r="J13" s="81">
        <f>Indicadores!$M109</f>
        <v>1.1865422999999999</v>
      </c>
      <c r="K13" s="81">
        <f>Indicadores!$M121</f>
        <v>1.0738360233070012</v>
      </c>
      <c r="L13" s="81" t="e">
        <f>Indicadores!$M133</f>
        <v>#DIV/0!</v>
      </c>
      <c r="M13" s="81">
        <f>Indicadores!$M145</f>
        <v>0.76516231343283581</v>
      </c>
      <c r="N13" s="81">
        <f>Indicadores!$M157</f>
        <v>6.8953333333333333</v>
      </c>
      <c r="O13" s="81">
        <f>Indicadores!$M169</f>
        <v>0.77936527859316707</v>
      </c>
      <c r="P13" s="81">
        <f>Indicadores!$M181</f>
        <v>0.36562499999999998</v>
      </c>
      <c r="Q13" s="81">
        <f>Indicadores!$M193</f>
        <v>0.46783625730994149</v>
      </c>
      <c r="R13" s="81">
        <f>Indicadores!$M205</f>
        <v>0.50911764705882356</v>
      </c>
      <c r="S13" s="81">
        <f>Indicadores!$M217</f>
        <v>2.0060606060606059</v>
      </c>
      <c r="T13" s="81">
        <f>Indicadores!$M229</f>
        <v>0.94687199999999994</v>
      </c>
      <c r="U13" s="81">
        <f>Indicadores!$M241</f>
        <v>0.84183333333333332</v>
      </c>
      <c r="V13" s="81">
        <f>Indicadores!$M253</f>
        <v>0.41759259259259257</v>
      </c>
      <c r="W13" s="81">
        <f>Indicadores!$M265</f>
        <v>0.63168836674629258</v>
      </c>
      <c r="X13" s="81" t="e">
        <f>Indicadores!$M277</f>
        <v>#DIV/0!</v>
      </c>
      <c r="Y13" s="81">
        <f>Indicadores!$M289</f>
        <v>1.0223886874812393</v>
      </c>
      <c r="Z13" s="81">
        <f>Indicadores!$M301</f>
        <v>0.65716988338865501</v>
      </c>
      <c r="AA13" s="81">
        <f>Indicadores!$M313</f>
        <v>0.54714285714285715</v>
      </c>
      <c r="AB13" s="81">
        <f>Indicadores!$M325</f>
        <v>0</v>
      </c>
      <c r="AC13" s="81">
        <f>Indicadores!$M337</f>
        <v>0.4511</v>
      </c>
      <c r="AD13" s="81">
        <f>Indicadores!$M349</f>
        <v>1.3372111111111111</v>
      </c>
      <c r="AE13" s="81">
        <f>Indicadores!$M361</f>
        <v>0</v>
      </c>
      <c r="AF13" s="81">
        <f>Indicadores!$M373</f>
        <v>0</v>
      </c>
      <c r="AG13" s="81">
        <f>Indicadores!$M385</f>
        <v>1.9875347619047621</v>
      </c>
      <c r="AH13" s="81">
        <f>Indicadores!$M397</f>
        <v>0</v>
      </c>
      <c r="AI13" s="81">
        <f>Indicadores!$M409</f>
        <v>0.79285714285714282</v>
      </c>
      <c r="AJ13" s="81">
        <f>Indicadores!$M421</f>
        <v>0.34004411764705883</v>
      </c>
      <c r="AK13" s="81">
        <f>Indicadores!$M433</f>
        <v>0.82592592592592595</v>
      </c>
      <c r="AL13" s="81">
        <f>Indicadores!$M445</f>
        <v>0.65902884814832552</v>
      </c>
      <c r="AM13" s="81" t="e">
        <f>Indicadores!$M457</f>
        <v>#DIV/0!</v>
      </c>
      <c r="AN13" s="81" t="e">
        <f>Indicadores!$M469</f>
        <v>#DIV/0!</v>
      </c>
      <c r="AO13" s="81">
        <f>Indicadores!$M481</f>
        <v>1.2107578665314842E-2</v>
      </c>
      <c r="AP13" s="81">
        <f>Indicadores!$M493</f>
        <v>2.4049999999999998</v>
      </c>
      <c r="AQ13" s="81">
        <f>Indicadores!$M505</f>
        <v>0.32690690690690688</v>
      </c>
      <c r="AR13" s="81">
        <f>Indicadores!$M517</f>
        <v>0.39149419880840391</v>
      </c>
      <c r="AS13" s="81">
        <f>Indicadores!$M529</f>
        <v>0.59083274021352317</v>
      </c>
      <c r="AT13" s="81">
        <f>Indicadores!$M541</f>
        <v>0.94666666666666666</v>
      </c>
      <c r="AU13" s="81">
        <f>Indicadores!$M553</f>
        <v>1.2</v>
      </c>
      <c r="AV13" s="81">
        <f>Indicadores!$M565</f>
        <v>0.83256528417818743</v>
      </c>
      <c r="AW13" s="81">
        <f>Indicadores!$M577</f>
        <v>0.1111111111111111</v>
      </c>
      <c r="AX13" s="81">
        <f>Indicadores!$M589</f>
        <v>0.65151515151515149</v>
      </c>
      <c r="AY13" s="81">
        <f>Indicadores!$M601</f>
        <v>8.5158150851581502E-2</v>
      </c>
      <c r="AZ13" s="81">
        <f>Indicadores!$M613</f>
        <v>0.82505385185185187</v>
      </c>
      <c r="BA13" s="81">
        <f>Indicadores!$M625</f>
        <v>2.3181818181818182E-2</v>
      </c>
      <c r="BB13" s="81" t="e">
        <f>Indicadores!$M637</f>
        <v>#DIV/0!</v>
      </c>
      <c r="BC13" s="81">
        <f>Indicadores!$M649</f>
        <v>0.22133333333333333</v>
      </c>
      <c r="BD13" s="81">
        <f>Indicadores!$M661</f>
        <v>0.97714285714285709</v>
      </c>
      <c r="BE13" s="81">
        <f>Indicadores!$M673</f>
        <v>0.48057916666666667</v>
      </c>
      <c r="BF13" s="81">
        <f>Indicadores!$M685</f>
        <v>0.82374999999999998</v>
      </c>
      <c r="BG13" s="81" t="e">
        <f>Indicadores!$M697</f>
        <v>#DIV/0!</v>
      </c>
      <c r="BH13" s="81">
        <f>Indicadores!$M709</f>
        <v>0.12101505395584558</v>
      </c>
      <c r="BI13" s="81">
        <f>Indicadores!$M721</f>
        <v>0</v>
      </c>
      <c r="BJ13" s="81">
        <f>Indicadores!$M733</f>
        <v>0</v>
      </c>
      <c r="BK13" s="81">
        <f>Indicadores!$M745</f>
        <v>0.7494155046600679</v>
      </c>
      <c r="BL13" s="81" t="e">
        <f>Indicadores!$M757</f>
        <v>#DIV/0!</v>
      </c>
      <c r="BM13" s="82" t="e">
        <f t="shared" si="0"/>
        <v>#DIV/0!</v>
      </c>
      <c r="BN13" s="82" t="e">
        <f t="shared" si="2"/>
        <v>#DIV/0!</v>
      </c>
      <c r="BO13" s="82" t="e">
        <f t="shared" si="1"/>
        <v>#DIV/0!</v>
      </c>
      <c r="BP13" s="83">
        <f>STDEV(C13,D13,E13,F13,G13,H13,I13,J13,K13,M13,N13,O13,P13,Q13,R13,S13,T13,U13,V13,W13,Y13,Z13,AA13,AB13,AC13,AD13,AE13,AF13,AG13,AH13,AI13,AJ13,AK13,AL13,AO13,AP13,AQ13,AR13,AS13,AT13,AU13,AV13,AW13,AX13,AY13,AZ13,BA13,BC13,BD13,BE13,BF13,BH13,BI13,BJ13,BK13)</f>
        <v>0.99998570465426451</v>
      </c>
    </row>
    <row r="25" spans="42:42" x14ac:dyDescent="0.2">
      <c r="AP25" s="6"/>
    </row>
    <row r="26" spans="42:42" x14ac:dyDescent="0.2">
      <c r="AP26" s="6"/>
    </row>
    <row r="27" spans="42:42" x14ac:dyDescent="0.2">
      <c r="AP27" s="6"/>
    </row>
    <row r="28" spans="42:42" x14ac:dyDescent="0.2">
      <c r="AP28" s="6"/>
    </row>
    <row r="29" spans="42:42" x14ac:dyDescent="0.2">
      <c r="AP29" s="6"/>
    </row>
    <row r="30" spans="42:42" x14ac:dyDescent="0.2">
      <c r="AP30" s="6"/>
    </row>
    <row r="31" spans="42:42" x14ac:dyDescent="0.2">
      <c r="AP31" s="6"/>
    </row>
    <row r="32" spans="42:42" x14ac:dyDescent="0.2">
      <c r="AP32" s="6"/>
    </row>
    <row r="33" spans="42:42" x14ac:dyDescent="0.2">
      <c r="AP33" s="6"/>
    </row>
    <row r="34" spans="42:42" x14ac:dyDescent="0.2">
      <c r="AP34" s="6"/>
    </row>
    <row r="35" spans="42:42" x14ac:dyDescent="0.2">
      <c r="AP35" s="6"/>
    </row>
    <row r="36" spans="42:42" x14ac:dyDescent="0.2">
      <c r="AP36" s="6"/>
    </row>
    <row r="37" spans="42:42" x14ac:dyDescent="0.2">
      <c r="AP37" s="6"/>
    </row>
    <row r="38" spans="42:42" x14ac:dyDescent="0.2">
      <c r="AP38" s="6"/>
    </row>
    <row r="39" spans="42:42" x14ac:dyDescent="0.2">
      <c r="AP39" s="6"/>
    </row>
    <row r="40" spans="42:42" x14ac:dyDescent="0.2">
      <c r="AP40" s="6"/>
    </row>
    <row r="41" spans="42:42" x14ac:dyDescent="0.2">
      <c r="AP41" s="6"/>
    </row>
    <row r="42" spans="42:42" x14ac:dyDescent="0.2">
      <c r="AP42" s="6"/>
    </row>
    <row r="43" spans="42:42" x14ac:dyDescent="0.2">
      <c r="AP43" s="6"/>
    </row>
    <row r="44" spans="42:42" x14ac:dyDescent="0.2">
      <c r="AP44" s="6"/>
    </row>
    <row r="45" spans="42:42" x14ac:dyDescent="0.2">
      <c r="AP45" s="6"/>
    </row>
    <row r="46" spans="42:42" x14ac:dyDescent="0.2">
      <c r="AP46" s="6"/>
    </row>
    <row r="47" spans="42:42" x14ac:dyDescent="0.2">
      <c r="AP47" s="6"/>
    </row>
    <row r="48" spans="42:42" x14ac:dyDescent="0.2">
      <c r="AP48" s="6"/>
    </row>
    <row r="49" spans="42:42" x14ac:dyDescent="0.2">
      <c r="AP49" s="6"/>
    </row>
    <row r="50" spans="42:42" x14ac:dyDescent="0.2">
      <c r="AP50" s="6"/>
    </row>
    <row r="51" spans="42:42" x14ac:dyDescent="0.2">
      <c r="AP51" s="6"/>
    </row>
    <row r="52" spans="42:42" x14ac:dyDescent="0.2">
      <c r="AP52" s="6"/>
    </row>
    <row r="53" spans="42:42" x14ac:dyDescent="0.2">
      <c r="AP53" s="6"/>
    </row>
    <row r="54" spans="42:42" x14ac:dyDescent="0.2">
      <c r="AP54" s="6"/>
    </row>
    <row r="55" spans="42:42" x14ac:dyDescent="0.2">
      <c r="AP55" s="6"/>
    </row>
    <row r="56" spans="42:42" x14ac:dyDescent="0.2">
      <c r="AP56" s="6"/>
    </row>
    <row r="57" spans="42:42" x14ac:dyDescent="0.2">
      <c r="AP57" s="6"/>
    </row>
    <row r="58" spans="42:42" x14ac:dyDescent="0.2">
      <c r="AP58" s="6"/>
    </row>
    <row r="59" spans="42:42" x14ac:dyDescent="0.2">
      <c r="AP59" s="6"/>
    </row>
    <row r="60" spans="42:42" x14ac:dyDescent="0.2">
      <c r="AP60" s="6"/>
    </row>
    <row r="61" spans="42:42" x14ac:dyDescent="0.2">
      <c r="AP61" s="6"/>
    </row>
    <row r="62" spans="42:42" x14ac:dyDescent="0.2">
      <c r="AP62" s="6"/>
    </row>
    <row r="63" spans="42:42" x14ac:dyDescent="0.2">
      <c r="AP63" s="6"/>
    </row>
    <row r="64" spans="42:42" x14ac:dyDescent="0.2">
      <c r="AP64" s="6"/>
    </row>
    <row r="65" spans="42:42" x14ac:dyDescent="0.2">
      <c r="AP65" s="6"/>
    </row>
    <row r="66" spans="42:42" x14ac:dyDescent="0.2">
      <c r="AP66" s="6"/>
    </row>
    <row r="67" spans="42:42" x14ac:dyDescent="0.2">
      <c r="AP67" s="6"/>
    </row>
    <row r="68" spans="42:42" x14ac:dyDescent="0.2">
      <c r="AP68" s="6"/>
    </row>
    <row r="69" spans="42:42" x14ac:dyDescent="0.2">
      <c r="AP69" s="6"/>
    </row>
    <row r="70" spans="42:42" x14ac:dyDescent="0.2">
      <c r="AP70" s="6"/>
    </row>
    <row r="71" spans="42:42" x14ac:dyDescent="0.2">
      <c r="AP71" s="6"/>
    </row>
    <row r="72" spans="42:42" x14ac:dyDescent="0.2">
      <c r="AP72" s="6"/>
    </row>
    <row r="73" spans="42:42" x14ac:dyDescent="0.2">
      <c r="AP73" s="5"/>
    </row>
    <row r="74" spans="42:42" x14ac:dyDescent="0.2">
      <c r="AP74" s="5"/>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P13"/>
  <sheetViews>
    <sheetView showGridLines="0" workbookViewId="0">
      <pane xSplit="1" ySplit="1" topLeftCell="BK2" activePane="bottomRight" state="frozen"/>
      <selection pane="topRight" activeCell="B1" sqref="B1"/>
      <selection pane="bottomLeft" activeCell="A2" sqref="A2"/>
      <selection pane="bottomRight" activeCell="BL13" sqref="BL13"/>
    </sheetView>
  </sheetViews>
  <sheetFormatPr defaultColWidth="17.75" defaultRowHeight="14.25" x14ac:dyDescent="0.2"/>
  <cols>
    <col min="1" max="16384" width="17.75" style="3"/>
  </cols>
  <sheetData>
    <row r="1" spans="1:68" s="25" customFormat="1" ht="15" x14ac:dyDescent="0.2">
      <c r="A1" s="22" t="s">
        <v>165</v>
      </c>
      <c r="B1" s="22" t="s">
        <v>316</v>
      </c>
      <c r="C1" s="23" t="s">
        <v>83</v>
      </c>
      <c r="D1" s="23" t="s">
        <v>94</v>
      </c>
      <c r="E1" s="23" t="s">
        <v>55</v>
      </c>
      <c r="F1" s="23" t="s">
        <v>142</v>
      </c>
      <c r="G1" s="23" t="s">
        <v>65</v>
      </c>
      <c r="H1" s="23" t="s">
        <v>41</v>
      </c>
      <c r="I1" s="23" t="s">
        <v>62</v>
      </c>
      <c r="J1" s="23" t="s">
        <v>114</v>
      </c>
      <c r="K1" s="23" t="s">
        <v>47</v>
      </c>
      <c r="L1" s="23" t="s">
        <v>302</v>
      </c>
      <c r="M1" s="23" t="s">
        <v>89</v>
      </c>
      <c r="N1" s="23" t="s">
        <v>113</v>
      </c>
      <c r="O1" s="23" t="s">
        <v>117</v>
      </c>
      <c r="P1" s="23" t="s">
        <v>99</v>
      </c>
      <c r="Q1" s="23" t="s">
        <v>123</v>
      </c>
      <c r="R1" s="23" t="s">
        <v>92</v>
      </c>
      <c r="S1" s="23" t="s">
        <v>37</v>
      </c>
      <c r="T1" s="23" t="s">
        <v>91</v>
      </c>
      <c r="U1" s="23" t="s">
        <v>126</v>
      </c>
      <c r="V1" s="23" t="s">
        <v>73</v>
      </c>
      <c r="W1" s="23" t="s">
        <v>56</v>
      </c>
      <c r="X1" s="23" t="s">
        <v>299</v>
      </c>
      <c r="Y1" s="23" t="s">
        <v>90</v>
      </c>
      <c r="Z1" s="23" t="s">
        <v>54</v>
      </c>
      <c r="AA1" s="23" t="s">
        <v>300</v>
      </c>
      <c r="AB1" s="23" t="s">
        <v>147</v>
      </c>
      <c r="AC1" s="23" t="s">
        <v>71</v>
      </c>
      <c r="AD1" s="23" t="s">
        <v>75</v>
      </c>
      <c r="AE1" s="23" t="s">
        <v>46</v>
      </c>
      <c r="AF1" s="23" t="s">
        <v>36</v>
      </c>
      <c r="AG1" s="23" t="s">
        <v>82</v>
      </c>
      <c r="AH1" s="23" t="s">
        <v>64</v>
      </c>
      <c r="AI1" s="23" t="s">
        <v>135</v>
      </c>
      <c r="AJ1" s="23" t="s">
        <v>103</v>
      </c>
      <c r="AK1" s="23" t="s">
        <v>85</v>
      </c>
      <c r="AL1" s="23" t="s">
        <v>121</v>
      </c>
      <c r="AM1" s="23" t="s">
        <v>314</v>
      </c>
      <c r="AN1" s="23" t="s">
        <v>315</v>
      </c>
      <c r="AO1" s="23" t="s">
        <v>116</v>
      </c>
      <c r="AP1" s="23" t="s">
        <v>86</v>
      </c>
      <c r="AQ1" s="23" t="s">
        <v>102</v>
      </c>
      <c r="AR1" s="23" t="s">
        <v>106</v>
      </c>
      <c r="AS1" s="23" t="s">
        <v>31</v>
      </c>
      <c r="AT1" s="23" t="s">
        <v>143</v>
      </c>
      <c r="AU1" s="23" t="s">
        <v>70</v>
      </c>
      <c r="AV1" s="23" t="s">
        <v>80</v>
      </c>
      <c r="AW1" s="23" t="s">
        <v>77</v>
      </c>
      <c r="AX1" s="23" t="s">
        <v>52</v>
      </c>
      <c r="AY1" s="23" t="s">
        <v>105</v>
      </c>
      <c r="AZ1" s="23" t="s">
        <v>98</v>
      </c>
      <c r="BA1" s="23" t="s">
        <v>109</v>
      </c>
      <c r="BB1" s="23" t="s">
        <v>111</v>
      </c>
      <c r="BC1" s="23" t="s">
        <v>96</v>
      </c>
      <c r="BD1" s="23" t="s">
        <v>66</v>
      </c>
      <c r="BE1" s="23" t="s">
        <v>146</v>
      </c>
      <c r="BF1" s="23" t="s">
        <v>131</v>
      </c>
      <c r="BG1" s="23" t="s">
        <v>301</v>
      </c>
      <c r="BH1" s="23" t="s">
        <v>42</v>
      </c>
      <c r="BI1" s="23" t="s">
        <v>108</v>
      </c>
      <c r="BJ1" s="23" t="s">
        <v>129</v>
      </c>
      <c r="BK1" s="23" t="s">
        <v>125</v>
      </c>
      <c r="BL1" s="23" t="s">
        <v>313</v>
      </c>
      <c r="BM1" s="24" t="s">
        <v>171</v>
      </c>
      <c r="BN1" s="24" t="s">
        <v>169</v>
      </c>
      <c r="BO1" s="24" t="s">
        <v>170</v>
      </c>
      <c r="BP1" s="24" t="s">
        <v>163</v>
      </c>
    </row>
    <row r="2" spans="1:68" ht="15" x14ac:dyDescent="0.2">
      <c r="A2" s="20" t="s">
        <v>151</v>
      </c>
      <c r="B2" s="21" t="e">
        <f>Indicadores!F2</f>
        <v>#DIV/0!</v>
      </c>
      <c r="C2" s="21">
        <f>Indicadores!F14</f>
        <v>0.66666666666666663</v>
      </c>
      <c r="D2" s="21">
        <f>Indicadores!F26</f>
        <v>0.25454545454545452</v>
      </c>
      <c r="E2" s="21">
        <f>Indicadores!F38</f>
        <v>0</v>
      </c>
      <c r="F2" s="21">
        <f>Indicadores!F50</f>
        <v>0.04</v>
      </c>
      <c r="G2" s="21">
        <f>Indicadores!F62</f>
        <v>0.37333333333333335</v>
      </c>
      <c r="H2" s="21">
        <f>Indicadores!F74</f>
        <v>0.17333333333333334</v>
      </c>
      <c r="I2" s="21">
        <f>Indicadores!F86</f>
        <v>0</v>
      </c>
      <c r="J2" s="21">
        <f>Indicadores!F98</f>
        <v>0</v>
      </c>
      <c r="K2" s="21">
        <f>Indicadores!F110</f>
        <v>0.17333333333333334</v>
      </c>
      <c r="L2" s="21" t="e">
        <f>Indicadores!F122</f>
        <v>#DIV/0!</v>
      </c>
      <c r="M2" s="21">
        <f>Indicadores!F134</f>
        <v>0.2</v>
      </c>
      <c r="N2" s="21">
        <f>Indicadores!F146</f>
        <v>0</v>
      </c>
      <c r="O2" s="21">
        <f>Indicadores!F158</f>
        <v>0</v>
      </c>
      <c r="P2" s="21">
        <f>Indicadores!F170</f>
        <v>0.26865671641791045</v>
      </c>
      <c r="Q2" s="21">
        <f>Indicadores!F182</f>
        <v>0.28000000000000003</v>
      </c>
      <c r="R2" s="21">
        <f>Indicadores!F194</f>
        <v>0</v>
      </c>
      <c r="S2" s="21">
        <f>Indicadores!F206</f>
        <v>0</v>
      </c>
      <c r="T2" s="21">
        <f>Indicadores!F218</f>
        <v>0.37333333333333335</v>
      </c>
      <c r="U2" s="21">
        <f>Indicadores!F230</f>
        <v>0.34666666666666668</v>
      </c>
      <c r="V2" s="21">
        <f>Indicadores!F242</f>
        <v>0</v>
      </c>
      <c r="W2" s="21">
        <f>Indicadores!F254</f>
        <v>0</v>
      </c>
      <c r="X2" s="21" t="e">
        <f>Indicadores!F266</f>
        <v>#DIV/0!</v>
      </c>
      <c r="Y2" s="21">
        <f>Indicadores!F278</f>
        <v>0.10666666666666667</v>
      </c>
      <c r="Z2" s="21">
        <f>Indicadores!F290</f>
        <v>0.04</v>
      </c>
      <c r="AA2" s="21" t="e">
        <f>Indicadores!F302</f>
        <v>#DIV/0!</v>
      </c>
      <c r="AB2" s="21">
        <f>Indicadores!F314</f>
        <v>0</v>
      </c>
      <c r="AC2" s="21">
        <f>Indicadores!F326</f>
        <v>0</v>
      </c>
      <c r="AD2" s="21">
        <f>Indicadores!F338</f>
        <v>0.10666666666666667</v>
      </c>
      <c r="AE2" s="21">
        <f>Indicadores!F350</f>
        <v>0</v>
      </c>
      <c r="AF2" s="21">
        <f>Indicadores!F362</f>
        <v>0</v>
      </c>
      <c r="AG2" s="21">
        <f>Indicadores!F374</f>
        <v>0</v>
      </c>
      <c r="AH2" s="21">
        <f>Indicadores!F386</f>
        <v>0</v>
      </c>
      <c r="AI2" s="21">
        <f>Indicadores!F398</f>
        <v>0</v>
      </c>
      <c r="AJ2" s="21">
        <f>Indicadores!F410</f>
        <v>0</v>
      </c>
      <c r="AK2" s="21">
        <f>Indicadores!F422</f>
        <v>0</v>
      </c>
      <c r="AL2" s="21">
        <f>Indicadores!F434</f>
        <v>0.2</v>
      </c>
      <c r="AM2" s="21" t="e">
        <f>Indicadores!F446</f>
        <v>#DIV/0!</v>
      </c>
      <c r="AN2" s="21" t="e">
        <f>Indicadores!F458</f>
        <v>#DIV/0!</v>
      </c>
      <c r="AO2" s="21">
        <f>Indicadores!F470</f>
        <v>0.04</v>
      </c>
      <c r="AP2" s="21">
        <f>Indicadores!F482</f>
        <v>0</v>
      </c>
      <c r="AQ2" s="21">
        <f>Indicadores!F494</f>
        <v>0</v>
      </c>
      <c r="AR2" s="21">
        <f>Indicadores!F506</f>
        <v>0.18666666666666668</v>
      </c>
      <c r="AS2" s="21">
        <f>Indicadores!F518</f>
        <v>0</v>
      </c>
      <c r="AT2" s="21">
        <f>Indicadores!F530</f>
        <v>0.05</v>
      </c>
      <c r="AU2" s="21">
        <f>Indicadores!F542</f>
        <v>0.67142857142857137</v>
      </c>
      <c r="AV2" s="21">
        <f>Indicadores!F554</f>
        <v>0</v>
      </c>
      <c r="AW2" s="21">
        <f>Indicadores!F566</f>
        <v>0.75757575757575757</v>
      </c>
      <c r="AX2" s="21">
        <f>Indicadores!F578</f>
        <v>0</v>
      </c>
      <c r="AY2" s="21">
        <f>Indicadores!F590</f>
        <v>0</v>
      </c>
      <c r="AZ2" s="21">
        <f>Indicadores!F602</f>
        <v>0.52</v>
      </c>
      <c r="BA2" s="21">
        <f>Indicadores!F614</f>
        <v>0</v>
      </c>
      <c r="BB2" s="21" t="e">
        <f>Indicadores!F626</f>
        <v>#DIV/0!</v>
      </c>
      <c r="BC2" s="20">
        <f>Indicadores!F638</f>
        <v>0</v>
      </c>
      <c r="BD2" s="20">
        <f>Indicadores!F650</f>
        <v>0</v>
      </c>
      <c r="BE2" s="20">
        <f>Indicadores!F662</f>
        <v>0</v>
      </c>
      <c r="BF2" s="20">
        <f>Indicadores!F674</f>
        <v>0.2153846153846154</v>
      </c>
      <c r="BG2" s="20" t="e">
        <f>Indicadores!F686</f>
        <v>#DIV/0!</v>
      </c>
      <c r="BH2" s="20">
        <f>Indicadores!F698</f>
        <v>0</v>
      </c>
      <c r="BI2" s="20">
        <f>Indicadores!F710</f>
        <v>0</v>
      </c>
      <c r="BJ2" s="20">
        <f>Indicadores!F722</f>
        <v>0</v>
      </c>
      <c r="BK2" s="20">
        <f>Indicadores!F734</f>
        <v>0</v>
      </c>
      <c r="BL2" s="20" t="e">
        <f>Indicadores!F746</f>
        <v>#DIV/0!</v>
      </c>
      <c r="BM2" s="4" t="e">
        <f t="shared" ref="BM2:BM13" si="0">AVERAGE($B2:$BL2)</f>
        <v>#DIV/0!</v>
      </c>
      <c r="BN2" s="4" t="e">
        <f>BM2+BP2</f>
        <v>#DIV/0!</v>
      </c>
      <c r="BO2" s="4" t="e">
        <f t="shared" ref="BO2:BO13" si="1">BM2-BP2</f>
        <v>#DIV/0!</v>
      </c>
      <c r="BP2" s="3" t="e">
        <f t="shared" ref="BP2:BP13" si="2">STDEV(B2:BL2)</f>
        <v>#DIV/0!</v>
      </c>
    </row>
    <row r="3" spans="1:68" ht="15" x14ac:dyDescent="0.2">
      <c r="A3" s="20" t="s">
        <v>152</v>
      </c>
      <c r="B3" s="21" t="e">
        <f>Indicadores!F3</f>
        <v>#DIV/0!</v>
      </c>
      <c r="C3" s="21">
        <f>Indicadores!F15</f>
        <v>1.3333333333333333</v>
      </c>
      <c r="D3" s="20">
        <f>Indicadores!F27</f>
        <v>0.25454545454545452</v>
      </c>
      <c r="E3" s="21">
        <f>Indicadores!F39</f>
        <v>0.14666666666666667</v>
      </c>
      <c r="F3" s="21">
        <f>Indicadores!F51</f>
        <v>0.18666666666666668</v>
      </c>
      <c r="G3" s="21">
        <f>Indicadores!F63</f>
        <v>0.37333333333333335</v>
      </c>
      <c r="H3" s="21">
        <f>Indicadores!F75</f>
        <v>0.17333333333333334</v>
      </c>
      <c r="I3" s="21">
        <f>Indicadores!F87</f>
        <v>0.14666666666666667</v>
      </c>
      <c r="J3" s="21">
        <f>Indicadores!F99</f>
        <v>0.12</v>
      </c>
      <c r="K3" s="21">
        <f>Indicadores!F111</f>
        <v>0.66666666666666663</v>
      </c>
      <c r="L3" s="21" t="e">
        <f>Indicadores!F123</f>
        <v>#DIV/0!</v>
      </c>
      <c r="M3" s="21">
        <f>Indicadores!F135</f>
        <v>0.2</v>
      </c>
      <c r="N3" s="21">
        <f>Indicadores!F147</f>
        <v>0</v>
      </c>
      <c r="O3" s="21">
        <f>Indicadores!F159</f>
        <v>0.10666666666666667</v>
      </c>
      <c r="P3" s="21">
        <f>Indicadores!F171</f>
        <v>0.26865671641791045</v>
      </c>
      <c r="Q3" s="21">
        <f>Indicadores!F183</f>
        <v>0.28000000000000003</v>
      </c>
      <c r="R3" s="21">
        <f>Indicadores!F195</f>
        <v>0</v>
      </c>
      <c r="S3" s="21">
        <f>Indicadores!F207</f>
        <v>0</v>
      </c>
      <c r="T3" s="21">
        <f>Indicadores!F219</f>
        <v>0.37333333333333335</v>
      </c>
      <c r="U3" s="21">
        <f>Indicadores!F231</f>
        <v>0.56000000000000005</v>
      </c>
      <c r="V3" s="21">
        <f>Indicadores!F243</f>
        <v>0</v>
      </c>
      <c r="W3" s="21">
        <f>Indicadores!F255</f>
        <v>0.30666666666666664</v>
      </c>
      <c r="X3" s="21" t="e">
        <f>Indicadores!F267</f>
        <v>#DIV/0!</v>
      </c>
      <c r="Y3" s="21">
        <f>Indicadores!F279</f>
        <v>0.44</v>
      </c>
      <c r="Z3" s="21">
        <f>Indicadores!F291</f>
        <v>0.04</v>
      </c>
      <c r="AA3" s="21" t="e">
        <f>Indicadores!F303</f>
        <v>#DIV/0!</v>
      </c>
      <c r="AB3" s="21">
        <f>Indicadores!F315</f>
        <v>0</v>
      </c>
      <c r="AC3" s="21">
        <f>Indicadores!F327</f>
        <v>0</v>
      </c>
      <c r="AD3" s="21">
        <f>Indicadores!F339</f>
        <v>0.18666666666666668</v>
      </c>
      <c r="AE3" s="21">
        <f>Indicadores!F351</f>
        <v>0</v>
      </c>
      <c r="AF3" s="21">
        <f>Indicadores!F363</f>
        <v>0</v>
      </c>
      <c r="AG3" s="21">
        <f>Indicadores!F375</f>
        <v>0</v>
      </c>
      <c r="AH3" s="21">
        <f>Indicadores!F387</f>
        <v>0</v>
      </c>
      <c r="AI3" s="21">
        <f>Indicadores!F399</f>
        <v>0</v>
      </c>
      <c r="AJ3" s="21">
        <f>Indicadores!F411</f>
        <v>9.3333333333333338E-2</v>
      </c>
      <c r="AK3" s="21">
        <f>Indicadores!F423</f>
        <v>0</v>
      </c>
      <c r="AL3" s="21">
        <f>Indicadores!F435</f>
        <v>0.4</v>
      </c>
      <c r="AM3" s="21" t="e">
        <f>Indicadores!F447</f>
        <v>#DIV/0!</v>
      </c>
      <c r="AN3" s="21" t="e">
        <f>Indicadores!F459</f>
        <v>#DIV/0!</v>
      </c>
      <c r="AO3" s="21">
        <f>Indicadores!F471</f>
        <v>0.04</v>
      </c>
      <c r="AP3" s="21">
        <f>Indicadores!F483</f>
        <v>0</v>
      </c>
      <c r="AQ3" s="21">
        <f>Indicadores!F495</f>
        <v>0</v>
      </c>
      <c r="AR3" s="21">
        <f>Indicadores!F507</f>
        <v>0.18666666666666668</v>
      </c>
      <c r="AS3" s="21">
        <f>Indicadores!F519</f>
        <v>0</v>
      </c>
      <c r="AT3" s="21">
        <f>Indicadores!F531</f>
        <v>0.31666666666666665</v>
      </c>
      <c r="AU3" s="21">
        <f>Indicadores!F543</f>
        <v>0.67142857142857137</v>
      </c>
      <c r="AV3" s="21">
        <f>Indicadores!F555</f>
        <v>0</v>
      </c>
      <c r="AW3" s="21">
        <f>Indicadores!F567</f>
        <v>0.75757575757575757</v>
      </c>
      <c r="AX3" s="21">
        <f>Indicadores!F579</f>
        <v>0</v>
      </c>
      <c r="AY3" s="21">
        <f>Indicadores!F591</f>
        <v>0</v>
      </c>
      <c r="AZ3" s="21">
        <f>Indicadores!F603</f>
        <v>0.62666666666666671</v>
      </c>
      <c r="BA3" s="21">
        <f>Indicadores!F615</f>
        <v>0</v>
      </c>
      <c r="BB3" s="21" t="e">
        <f>Indicadores!F627</f>
        <v>#DIV/0!</v>
      </c>
      <c r="BC3" s="20">
        <f>Indicadores!F639</f>
        <v>0</v>
      </c>
      <c r="BD3" s="20">
        <f>Indicadores!F651</f>
        <v>0.48</v>
      </c>
      <c r="BE3" s="20">
        <f>Indicadores!F663</f>
        <v>0</v>
      </c>
      <c r="BF3" s="20">
        <f>Indicadores!F675</f>
        <v>0.38461538461538464</v>
      </c>
      <c r="BG3" s="20" t="e">
        <f>Indicadores!F687</f>
        <v>#DIV/0!</v>
      </c>
      <c r="BH3" s="20">
        <f>Indicadores!F699</f>
        <v>0.48</v>
      </c>
      <c r="BI3" s="20">
        <f>Indicadores!F711</f>
        <v>0</v>
      </c>
      <c r="BJ3" s="20">
        <f>Indicadores!F723</f>
        <v>0</v>
      </c>
      <c r="BK3" s="20">
        <f>Indicadores!F735</f>
        <v>0</v>
      </c>
      <c r="BL3" s="20" t="e">
        <f>Indicadores!F747</f>
        <v>#DIV/0!</v>
      </c>
      <c r="BM3" s="4" t="e">
        <f t="shared" si="0"/>
        <v>#DIV/0!</v>
      </c>
      <c r="BN3" s="4" t="e">
        <f t="shared" ref="BN3:BN13" si="3">BM3+BP3</f>
        <v>#DIV/0!</v>
      </c>
      <c r="BO3" s="4" t="e">
        <f t="shared" si="1"/>
        <v>#DIV/0!</v>
      </c>
      <c r="BP3" s="3" t="e">
        <f t="shared" si="2"/>
        <v>#DIV/0!</v>
      </c>
    </row>
    <row r="4" spans="1:68" ht="15" x14ac:dyDescent="0.2">
      <c r="A4" s="20" t="s">
        <v>153</v>
      </c>
      <c r="B4" s="21" t="e">
        <f>Indicadores!F4</f>
        <v>#DIV/0!</v>
      </c>
      <c r="C4" s="21">
        <f>Indicadores!F16</f>
        <v>1.3333333333333333</v>
      </c>
      <c r="D4" s="20">
        <f>Indicadores!F28</f>
        <v>0.25454545454545452</v>
      </c>
      <c r="E4" s="21">
        <f>Indicadores!F40</f>
        <v>0.34666666666666668</v>
      </c>
      <c r="F4" s="21">
        <f>Indicadores!F52</f>
        <v>0.22666666666666666</v>
      </c>
      <c r="G4" s="21">
        <f>Indicadores!F64</f>
        <v>0.44</v>
      </c>
      <c r="H4" s="21">
        <f>Indicadores!F76</f>
        <v>0.17333333333333334</v>
      </c>
      <c r="I4" s="21">
        <f>Indicadores!F88</f>
        <v>0.14666666666666667</v>
      </c>
      <c r="J4" s="21">
        <f>Indicadores!F100</f>
        <v>0.12</v>
      </c>
      <c r="K4" s="21">
        <f>Indicadores!F112</f>
        <v>0.66666666666666663</v>
      </c>
      <c r="L4" s="21" t="e">
        <f>Indicadores!F124</f>
        <v>#DIV/0!</v>
      </c>
      <c r="M4" s="21">
        <f>Indicadores!F136</f>
        <v>0.2</v>
      </c>
      <c r="N4" s="21">
        <f>Indicadores!F148</f>
        <v>0</v>
      </c>
      <c r="O4" s="21">
        <f>Indicadores!F160</f>
        <v>0.32</v>
      </c>
      <c r="P4" s="21">
        <f>Indicadores!F172</f>
        <v>0.26865671641791045</v>
      </c>
      <c r="Q4" s="21">
        <f>Indicadores!F184</f>
        <v>0.28000000000000003</v>
      </c>
      <c r="R4" s="21">
        <f>Indicadores!F196</f>
        <v>0.10666666666666667</v>
      </c>
      <c r="S4" s="21">
        <f>Indicadores!F208</f>
        <v>0.5</v>
      </c>
      <c r="T4" s="21">
        <f>Indicadores!F220</f>
        <v>0.41333333333333333</v>
      </c>
      <c r="U4" s="21">
        <f>Indicadores!F232</f>
        <v>0.98666666666666669</v>
      </c>
      <c r="V4" s="21">
        <f>Indicadores!F244</f>
        <v>0</v>
      </c>
      <c r="W4" s="21">
        <f>Indicadores!F256</f>
        <v>0.30666666666666664</v>
      </c>
      <c r="X4" s="21" t="e">
        <f>Indicadores!F268</f>
        <v>#DIV/0!</v>
      </c>
      <c r="Y4" s="21">
        <f>Indicadores!F280</f>
        <v>0.65333333333333332</v>
      </c>
      <c r="Z4" s="21">
        <f>Indicadores!F292</f>
        <v>0.22666666666666666</v>
      </c>
      <c r="AA4" s="21" t="e">
        <f>Indicadores!F304</f>
        <v>#DIV/0!</v>
      </c>
      <c r="AB4" s="21">
        <f>Indicadores!F316</f>
        <v>0</v>
      </c>
      <c r="AC4" s="21">
        <f>Indicadores!F328</f>
        <v>0.4</v>
      </c>
      <c r="AD4" s="21">
        <f>Indicadores!F340</f>
        <v>0.25333333333333335</v>
      </c>
      <c r="AE4" s="21">
        <f>Indicadores!F352</f>
        <v>0</v>
      </c>
      <c r="AF4" s="21">
        <f>Indicadores!F364</f>
        <v>0</v>
      </c>
      <c r="AG4" s="21">
        <f>Indicadores!F376</f>
        <v>0.76</v>
      </c>
      <c r="AH4" s="21">
        <f>Indicadores!F388</f>
        <v>0</v>
      </c>
      <c r="AI4" s="21">
        <f>Indicadores!F400</f>
        <v>0</v>
      </c>
      <c r="AJ4" s="21">
        <f>Indicadores!F412</f>
        <v>0.22666666666666666</v>
      </c>
      <c r="AK4" s="21">
        <f>Indicadores!F424</f>
        <v>0</v>
      </c>
      <c r="AL4" s="21">
        <f>Indicadores!F436</f>
        <v>0.54666666666666663</v>
      </c>
      <c r="AM4" s="21" t="e">
        <f>Indicadores!F448</f>
        <v>#DIV/0!</v>
      </c>
      <c r="AN4" s="21" t="e">
        <f>Indicadores!F460</f>
        <v>#DIV/0!</v>
      </c>
      <c r="AO4" s="21">
        <f>Indicadores!F472</f>
        <v>0.04</v>
      </c>
      <c r="AP4" s="21">
        <f>Indicadores!F484</f>
        <v>0</v>
      </c>
      <c r="AQ4" s="21">
        <f>Indicadores!F496</f>
        <v>0</v>
      </c>
      <c r="AR4" s="21">
        <f>Indicadores!F508</f>
        <v>0.24</v>
      </c>
      <c r="AS4" s="21">
        <f>Indicadores!F520</f>
        <v>0</v>
      </c>
      <c r="AT4" s="21">
        <f>Indicadores!F532</f>
        <v>0.46666666666666667</v>
      </c>
      <c r="AU4" s="21">
        <f>Indicadores!F544</f>
        <v>0.67142857142857137</v>
      </c>
      <c r="AV4" s="21">
        <f>Indicadores!F556</f>
        <v>0</v>
      </c>
      <c r="AW4" s="21">
        <f>Indicadores!F568</f>
        <v>0.75757575757575757</v>
      </c>
      <c r="AX4" s="21">
        <f>Indicadores!F580</f>
        <v>1.4285714285714286</v>
      </c>
      <c r="AY4" s="21">
        <f>Indicadores!F592</f>
        <v>0</v>
      </c>
      <c r="AZ4" s="21">
        <f>Indicadores!F604</f>
        <v>0.81333333333333335</v>
      </c>
      <c r="BA4" s="21">
        <f>Indicadores!F616</f>
        <v>0</v>
      </c>
      <c r="BB4" s="21" t="e">
        <f>Indicadores!F628</f>
        <v>#DIV/0!</v>
      </c>
      <c r="BC4" s="20">
        <f>Indicadores!F640</f>
        <v>0</v>
      </c>
      <c r="BD4" s="20">
        <f>Indicadores!F652</f>
        <v>0.48</v>
      </c>
      <c r="BE4" s="20">
        <f>Indicadores!F664</f>
        <v>0</v>
      </c>
      <c r="BF4" s="20">
        <f>Indicadores!F676</f>
        <v>0.55384615384615388</v>
      </c>
      <c r="BG4" s="20" t="e">
        <f>Indicadores!F688</f>
        <v>#DIV/0!</v>
      </c>
      <c r="BH4" s="20">
        <f>Indicadores!F700</f>
        <v>0.48</v>
      </c>
      <c r="BI4" s="20">
        <f>Indicadores!F712</f>
        <v>0</v>
      </c>
      <c r="BJ4" s="20">
        <f>Indicadores!F724</f>
        <v>0</v>
      </c>
      <c r="BK4" s="20">
        <f>Indicadores!F736</f>
        <v>0.36</v>
      </c>
      <c r="BL4" s="20" t="e">
        <f>Indicadores!F748</f>
        <v>#DIV/0!</v>
      </c>
      <c r="BM4" s="4" t="e">
        <f t="shared" si="0"/>
        <v>#DIV/0!</v>
      </c>
      <c r="BN4" s="4" t="e">
        <f t="shared" si="3"/>
        <v>#DIV/0!</v>
      </c>
      <c r="BO4" s="4" t="e">
        <f t="shared" si="1"/>
        <v>#DIV/0!</v>
      </c>
      <c r="BP4" s="3" t="e">
        <f t="shared" si="2"/>
        <v>#DIV/0!</v>
      </c>
    </row>
    <row r="5" spans="1:68" ht="15" x14ac:dyDescent="0.2">
      <c r="A5" s="20" t="s">
        <v>154</v>
      </c>
      <c r="B5" s="21" t="e">
        <f>Indicadores!F5</f>
        <v>#DIV/0!</v>
      </c>
      <c r="C5" s="21">
        <f>Indicadores!F17</f>
        <v>1.3333333333333333</v>
      </c>
      <c r="D5" s="20">
        <f>Indicadores!F29</f>
        <v>0.50909090909090904</v>
      </c>
      <c r="E5" s="21">
        <f>Indicadores!F41</f>
        <v>0.49333333333333335</v>
      </c>
      <c r="F5" s="21">
        <f>Indicadores!F53</f>
        <v>0.22666666666666666</v>
      </c>
      <c r="G5" s="21">
        <f>Indicadores!F65</f>
        <v>0.44</v>
      </c>
      <c r="H5" s="21">
        <f>Indicadores!F77</f>
        <v>0.29333333333333333</v>
      </c>
      <c r="I5" s="21">
        <f>Indicadores!F89</f>
        <v>0.14666666666666667</v>
      </c>
      <c r="J5" s="21">
        <f>Indicadores!F101</f>
        <v>0.12</v>
      </c>
      <c r="K5" s="21">
        <f>Indicadores!F113</f>
        <v>0.66666666666666663</v>
      </c>
      <c r="L5" s="21" t="e">
        <f>Indicadores!F125</f>
        <v>#DIV/0!</v>
      </c>
      <c r="M5" s="21">
        <f>Indicadores!F137</f>
        <v>0.2</v>
      </c>
      <c r="N5" s="21">
        <f>Indicadores!F149</f>
        <v>0</v>
      </c>
      <c r="O5" s="21">
        <f>Indicadores!F161</f>
        <v>0.37333333333333335</v>
      </c>
      <c r="P5" s="21">
        <f>Indicadores!F173</f>
        <v>0.70149253731343286</v>
      </c>
      <c r="Q5" s="21">
        <f>Indicadores!F185</f>
        <v>0.28000000000000003</v>
      </c>
      <c r="R5" s="21">
        <f>Indicadores!F197</f>
        <v>0.10666666666666667</v>
      </c>
      <c r="S5" s="21">
        <f>Indicadores!F209</f>
        <v>0.5</v>
      </c>
      <c r="T5" s="21">
        <f>Indicadores!F221</f>
        <v>0.41333333333333333</v>
      </c>
      <c r="U5" s="21">
        <f>Indicadores!F233</f>
        <v>0.98666666666666669</v>
      </c>
      <c r="V5" s="21">
        <f>Indicadores!F245</f>
        <v>0</v>
      </c>
      <c r="W5" s="21">
        <f>Indicadores!F257</f>
        <v>0.30666666666666664</v>
      </c>
      <c r="X5" s="21" t="e">
        <f>Indicadores!F269</f>
        <v>#DIV/0!</v>
      </c>
      <c r="Y5" s="21">
        <f>Indicadores!F281</f>
        <v>0.65333333333333332</v>
      </c>
      <c r="Z5" s="21">
        <f>Indicadores!F293</f>
        <v>0.22666666666666666</v>
      </c>
      <c r="AA5" s="21" t="e">
        <f>Indicadores!F305</f>
        <v>#DIV/0!</v>
      </c>
      <c r="AB5" s="21">
        <f>Indicadores!F317</f>
        <v>0</v>
      </c>
      <c r="AC5" s="21">
        <f>Indicadores!F329</f>
        <v>0.55000000000000004</v>
      </c>
      <c r="AD5" s="21">
        <f>Indicadores!F341</f>
        <v>0.41333333333333333</v>
      </c>
      <c r="AE5" s="21">
        <f>Indicadores!F353</f>
        <v>0</v>
      </c>
      <c r="AF5" s="21">
        <f>Indicadores!F365</f>
        <v>0</v>
      </c>
      <c r="AG5" s="21">
        <f>Indicadores!F377</f>
        <v>0.76</v>
      </c>
      <c r="AH5" s="21">
        <f>Indicadores!F389</f>
        <v>0</v>
      </c>
      <c r="AI5" s="21">
        <f>Indicadores!F401</f>
        <v>0</v>
      </c>
      <c r="AJ5" s="21">
        <f>Indicadores!F413</f>
        <v>0.22666666666666666</v>
      </c>
      <c r="AK5" s="21">
        <f>Indicadores!F425</f>
        <v>0</v>
      </c>
      <c r="AL5" s="21">
        <f>Indicadores!F437</f>
        <v>0.54666666666666663</v>
      </c>
      <c r="AM5" s="21" t="e">
        <f>Indicadores!F449</f>
        <v>#DIV/0!</v>
      </c>
      <c r="AN5" s="21" t="e">
        <f>Indicadores!F461</f>
        <v>#DIV/0!</v>
      </c>
      <c r="AO5" s="21">
        <f>Indicadores!F473</f>
        <v>0.04</v>
      </c>
      <c r="AP5" s="21">
        <f>Indicadores!F485</f>
        <v>0</v>
      </c>
      <c r="AQ5" s="21">
        <f>Indicadores!F497</f>
        <v>0</v>
      </c>
      <c r="AR5" s="21">
        <f>Indicadores!F509</f>
        <v>0.36</v>
      </c>
      <c r="AS5" s="21">
        <f>Indicadores!F521</f>
        <v>0</v>
      </c>
      <c r="AT5" s="21">
        <f>Indicadores!F533</f>
        <v>0.58333333333333337</v>
      </c>
      <c r="AU5" s="21">
        <f>Indicadores!F545</f>
        <v>0.67142857142857137</v>
      </c>
      <c r="AV5" s="21">
        <f>Indicadores!F557</f>
        <v>0</v>
      </c>
      <c r="AW5" s="21">
        <f>Indicadores!F569</f>
        <v>1.1363636363636365</v>
      </c>
      <c r="AX5" s="21">
        <f>Indicadores!F581</f>
        <v>1.4285714285714286</v>
      </c>
      <c r="AY5" s="21">
        <f>Indicadores!F593</f>
        <v>0</v>
      </c>
      <c r="AZ5" s="21">
        <f>Indicadores!F605</f>
        <v>0.85333333333333339</v>
      </c>
      <c r="BA5" s="21">
        <f>Indicadores!F617</f>
        <v>0</v>
      </c>
      <c r="BB5" s="21" t="e">
        <f>Indicadores!F629</f>
        <v>#DIV/0!</v>
      </c>
      <c r="BC5" s="20">
        <f>Indicadores!F641</f>
        <v>0</v>
      </c>
      <c r="BD5" s="20">
        <f>Indicadores!F653</f>
        <v>0.48</v>
      </c>
      <c r="BE5" s="20">
        <f>Indicadores!F665</f>
        <v>0.6166666666666667</v>
      </c>
      <c r="BF5" s="20">
        <f>Indicadores!F677</f>
        <v>0.55384615384615388</v>
      </c>
      <c r="BG5" s="20" t="e">
        <f>Indicadores!F689</f>
        <v>#DIV/0!</v>
      </c>
      <c r="BH5" s="20">
        <f>Indicadores!F701</f>
        <v>0.48</v>
      </c>
      <c r="BI5" s="20">
        <f>Indicadores!F713</f>
        <v>0</v>
      </c>
      <c r="BJ5" s="20">
        <f>Indicadores!F725</f>
        <v>0</v>
      </c>
      <c r="BK5" s="20">
        <f>Indicadores!F737</f>
        <v>0.36</v>
      </c>
      <c r="BL5" s="20" t="e">
        <f>Indicadores!F749</f>
        <v>#DIV/0!</v>
      </c>
      <c r="BM5" s="4" t="e">
        <f t="shared" si="0"/>
        <v>#DIV/0!</v>
      </c>
      <c r="BN5" s="4" t="e">
        <f t="shared" si="3"/>
        <v>#DIV/0!</v>
      </c>
      <c r="BO5" s="4" t="e">
        <f t="shared" si="1"/>
        <v>#DIV/0!</v>
      </c>
      <c r="BP5" s="3" t="e">
        <f t="shared" si="2"/>
        <v>#DIV/0!</v>
      </c>
    </row>
    <row r="6" spans="1:68" ht="15" x14ac:dyDescent="0.2">
      <c r="A6" s="20" t="s">
        <v>155</v>
      </c>
      <c r="B6" s="21" t="e">
        <f>Indicadores!F6</f>
        <v>#DIV/0!</v>
      </c>
      <c r="C6" s="21">
        <f>Indicadores!F18</f>
        <v>1.3333333333333333</v>
      </c>
      <c r="D6" s="20">
        <f>Indicadores!F30</f>
        <v>0.50909090909090904</v>
      </c>
      <c r="E6" s="21">
        <f>Indicadores!F42</f>
        <v>0.49333333333333335</v>
      </c>
      <c r="F6" s="21">
        <f>Indicadores!F54</f>
        <v>0.37333333333333335</v>
      </c>
      <c r="G6" s="21">
        <f>Indicadores!F66</f>
        <v>0.44</v>
      </c>
      <c r="H6" s="21">
        <f>Indicadores!F78</f>
        <v>0.57333333333333336</v>
      </c>
      <c r="I6" s="21">
        <f>Indicadores!F90</f>
        <v>0.14666666666666667</v>
      </c>
      <c r="J6" s="21">
        <f>Indicadores!F102</f>
        <v>0.50666666666666671</v>
      </c>
      <c r="K6" s="21">
        <f>Indicadores!F114</f>
        <v>0.73333333333333328</v>
      </c>
      <c r="L6" s="21" t="e">
        <f>Indicadores!F126</f>
        <v>#DIV/0!</v>
      </c>
      <c r="M6" s="21">
        <f>Indicadores!F138</f>
        <v>0.46666666666666667</v>
      </c>
      <c r="N6" s="21">
        <f>Indicadores!F150</f>
        <v>0</v>
      </c>
      <c r="O6" s="21">
        <f>Indicadores!F162</f>
        <v>0.58666666666666667</v>
      </c>
      <c r="P6" s="21">
        <f>Indicadores!F174</f>
        <v>0.79104477611940294</v>
      </c>
      <c r="Q6" s="21">
        <f>Indicadores!F186</f>
        <v>0.28000000000000003</v>
      </c>
      <c r="R6" s="21">
        <f>Indicadores!F198</f>
        <v>0.24</v>
      </c>
      <c r="S6" s="21">
        <f>Indicadores!F210</f>
        <v>0.5</v>
      </c>
      <c r="T6" s="21">
        <f>Indicadores!F222</f>
        <v>0.45333333333333331</v>
      </c>
      <c r="U6" s="21">
        <f>Indicadores!F234</f>
        <v>0.98666666666666669</v>
      </c>
      <c r="V6" s="21">
        <f>Indicadores!F246</f>
        <v>0</v>
      </c>
      <c r="W6" s="21">
        <f>Indicadores!F258</f>
        <v>0.30666666666666664</v>
      </c>
      <c r="X6" s="21" t="e">
        <f>Indicadores!F270</f>
        <v>#DIV/0!</v>
      </c>
      <c r="Y6" s="21">
        <f>Indicadores!F282</f>
        <v>0.72</v>
      </c>
      <c r="Z6" s="21">
        <f>Indicadores!F294</f>
        <v>0.22666666666666666</v>
      </c>
      <c r="AA6" s="21" t="e">
        <f>Indicadores!F306</f>
        <v>#DIV/0!</v>
      </c>
      <c r="AB6" s="21">
        <f>Indicadores!F318</f>
        <v>0</v>
      </c>
      <c r="AC6" s="21">
        <f>Indicadores!F330</f>
        <v>0.8</v>
      </c>
      <c r="AD6" s="21">
        <f>Indicadores!F342</f>
        <v>0.66666666666666663</v>
      </c>
      <c r="AE6" s="21">
        <f>Indicadores!F354</f>
        <v>0</v>
      </c>
      <c r="AF6" s="21">
        <f>Indicadores!F366</f>
        <v>0</v>
      </c>
      <c r="AG6" s="21">
        <f>Indicadores!F378</f>
        <v>0.76</v>
      </c>
      <c r="AH6" s="21">
        <f>Indicadores!F390</f>
        <v>0</v>
      </c>
      <c r="AI6" s="21">
        <f>Indicadores!F402</f>
        <v>2.2432432432432434</v>
      </c>
      <c r="AJ6" s="21">
        <f>Indicadores!F414</f>
        <v>0.22666666666666666</v>
      </c>
      <c r="AK6" s="21">
        <f>Indicadores!F426</f>
        <v>1.3333333333333333</v>
      </c>
      <c r="AL6" s="21">
        <f>Indicadores!F438</f>
        <v>0.54666666666666663</v>
      </c>
      <c r="AM6" s="21" t="e">
        <f>Indicadores!F450</f>
        <v>#DIV/0!</v>
      </c>
      <c r="AN6" s="21" t="e">
        <f>Indicadores!F462</f>
        <v>#DIV/0!</v>
      </c>
      <c r="AO6" s="21">
        <f>Indicadores!F474</f>
        <v>9.3333333333333338E-2</v>
      </c>
      <c r="AP6" s="21">
        <f>Indicadores!F486</f>
        <v>0</v>
      </c>
      <c r="AQ6" s="21">
        <f>Indicadores!F498</f>
        <v>0</v>
      </c>
      <c r="AR6" s="21">
        <f>Indicadores!F510</f>
        <v>0.36</v>
      </c>
      <c r="AS6" s="21">
        <f>Indicadores!F522</f>
        <v>0</v>
      </c>
      <c r="AT6" s="21">
        <f>Indicadores!F534</f>
        <v>0.7</v>
      </c>
      <c r="AU6" s="21">
        <f>Indicadores!F546</f>
        <v>1.1428571428571428</v>
      </c>
      <c r="AV6" s="21">
        <f>Indicadores!F558</f>
        <v>1.2</v>
      </c>
      <c r="AW6" s="21">
        <f>Indicadores!F570</f>
        <v>1.1363636363636365</v>
      </c>
      <c r="AX6" s="21">
        <f>Indicadores!F582</f>
        <v>1.4285714285714286</v>
      </c>
      <c r="AY6" s="21">
        <f>Indicadores!F594</f>
        <v>0</v>
      </c>
      <c r="AZ6" s="21">
        <f>Indicadores!F606</f>
        <v>0.89333333333333331</v>
      </c>
      <c r="BA6" s="21">
        <f>Indicadores!F618</f>
        <v>0</v>
      </c>
      <c r="BB6" s="21" t="e">
        <f>Indicadores!F630</f>
        <v>#DIV/0!</v>
      </c>
      <c r="BC6" s="20">
        <f>Indicadores!F642</f>
        <v>0.25333333333333335</v>
      </c>
      <c r="BD6" s="20">
        <f>Indicadores!F654</f>
        <v>0.48</v>
      </c>
      <c r="BE6" s="20">
        <f>Indicadores!F666</f>
        <v>0.7</v>
      </c>
      <c r="BF6" s="20">
        <f>Indicadores!F678</f>
        <v>0.83076923076923082</v>
      </c>
      <c r="BG6" s="20" t="e">
        <f>Indicadores!F690</f>
        <v>#DIV/0!</v>
      </c>
      <c r="BH6" s="20">
        <f>Indicadores!F702</f>
        <v>0.66666666666666663</v>
      </c>
      <c r="BI6" s="20">
        <f>Indicadores!F714</f>
        <v>0</v>
      </c>
      <c r="BJ6" s="20">
        <f>Indicadores!F726</f>
        <v>0</v>
      </c>
      <c r="BK6" s="20">
        <f>Indicadores!F738</f>
        <v>0.36</v>
      </c>
      <c r="BL6" s="20" t="e">
        <f>Indicadores!F750</f>
        <v>#DIV/0!</v>
      </c>
      <c r="BM6" s="4" t="e">
        <f t="shared" si="0"/>
        <v>#DIV/0!</v>
      </c>
      <c r="BN6" s="4" t="e">
        <f t="shared" si="3"/>
        <v>#DIV/0!</v>
      </c>
      <c r="BO6" s="4" t="e">
        <f t="shared" si="1"/>
        <v>#DIV/0!</v>
      </c>
      <c r="BP6" s="3" t="e">
        <f t="shared" si="2"/>
        <v>#DIV/0!</v>
      </c>
    </row>
    <row r="7" spans="1:68" ht="15" x14ac:dyDescent="0.2">
      <c r="A7" s="20" t="s">
        <v>156</v>
      </c>
      <c r="B7" s="21" t="e">
        <f>Indicadores!F7</f>
        <v>#DIV/0!</v>
      </c>
      <c r="C7" s="21">
        <f>Indicadores!F19</f>
        <v>1.3333333333333333</v>
      </c>
      <c r="D7" s="20">
        <f>Indicadores!F31</f>
        <v>0.78181818181818186</v>
      </c>
      <c r="E7" s="21">
        <f>Indicadores!F43</f>
        <v>0.49333333333333335</v>
      </c>
      <c r="F7" s="21">
        <f>Indicadores!F55</f>
        <v>0.45333333333333331</v>
      </c>
      <c r="G7" s="21">
        <f>Indicadores!F67</f>
        <v>0.64</v>
      </c>
      <c r="H7" s="21">
        <f>Indicadores!F79</f>
        <v>0.64</v>
      </c>
      <c r="I7" s="21">
        <f>Indicadores!F91</f>
        <v>0.14666666666666667</v>
      </c>
      <c r="J7" s="21">
        <f>Indicadores!F103</f>
        <v>0.82666666666666666</v>
      </c>
      <c r="K7" s="21">
        <f>Indicadores!F115</f>
        <v>0.81333333333333335</v>
      </c>
      <c r="L7" s="21" t="e">
        <f>Indicadores!F127</f>
        <v>#DIV/0!</v>
      </c>
      <c r="M7" s="21">
        <f>Indicadores!F139</f>
        <v>0.46666666666666667</v>
      </c>
      <c r="N7" s="21">
        <f>Indicadores!F151</f>
        <v>0</v>
      </c>
      <c r="O7" s="21">
        <f>Indicadores!F163</f>
        <v>0.69333333333333336</v>
      </c>
      <c r="P7" s="21">
        <f>Indicadores!F175</f>
        <v>0.79104477611940294</v>
      </c>
      <c r="Q7" s="21">
        <f>Indicadores!F187</f>
        <v>0.28000000000000003</v>
      </c>
      <c r="R7" s="21">
        <f>Indicadores!F199</f>
        <v>0.24</v>
      </c>
      <c r="S7" s="21">
        <f>Indicadores!F211</f>
        <v>0.61290322580645162</v>
      </c>
      <c r="T7" s="21">
        <f>Indicadores!F223</f>
        <v>0.58666666666666667</v>
      </c>
      <c r="U7" s="21">
        <f>Indicadores!F235</f>
        <v>1.2666666666666666</v>
      </c>
      <c r="V7" s="21">
        <f>Indicadores!F247</f>
        <v>0</v>
      </c>
      <c r="W7" s="21">
        <f>Indicadores!F259</f>
        <v>0.30666666666666664</v>
      </c>
      <c r="X7" s="21" t="e">
        <f>Indicadores!F271</f>
        <v>#DIV/0!</v>
      </c>
      <c r="Y7" s="21">
        <f>Indicadores!F283</f>
        <v>0.85333333333333339</v>
      </c>
      <c r="Z7" s="21">
        <f>Indicadores!F295</f>
        <v>0.82666666666666666</v>
      </c>
      <c r="AA7" s="21" t="e">
        <f>Indicadores!F307</f>
        <v>#DIV/0!</v>
      </c>
      <c r="AB7" s="21">
        <f>Indicadores!F319</f>
        <v>0</v>
      </c>
      <c r="AC7" s="21">
        <f>Indicadores!F331</f>
        <v>0.8</v>
      </c>
      <c r="AD7" s="21">
        <f>Indicadores!F343</f>
        <v>0.7466666666666667</v>
      </c>
      <c r="AE7" s="21">
        <f>Indicadores!F355</f>
        <v>0</v>
      </c>
      <c r="AF7" s="21">
        <f>Indicadores!F367</f>
        <v>0</v>
      </c>
      <c r="AG7" s="21">
        <f>Indicadores!F379</f>
        <v>1</v>
      </c>
      <c r="AH7" s="21">
        <f>Indicadores!F391</f>
        <v>0</v>
      </c>
      <c r="AI7" s="21">
        <f>Indicadores!F403</f>
        <v>2.7027027027027026</v>
      </c>
      <c r="AJ7" s="21">
        <f>Indicadores!F415</f>
        <v>0.22666666666666666</v>
      </c>
      <c r="AK7" s="21">
        <f>Indicadores!F427</f>
        <v>1.3333333333333333</v>
      </c>
      <c r="AL7" s="21">
        <f>Indicadores!F439</f>
        <v>0.54666666666666663</v>
      </c>
      <c r="AM7" s="21" t="e">
        <f>Indicadores!F451</f>
        <v>#DIV/0!</v>
      </c>
      <c r="AN7" s="21" t="e">
        <f>Indicadores!F463</f>
        <v>#DIV/0!</v>
      </c>
      <c r="AO7" s="21">
        <f>Indicadores!F475</f>
        <v>9.3333333333333338E-2</v>
      </c>
      <c r="AP7" s="21">
        <f>Indicadores!F487</f>
        <v>0</v>
      </c>
      <c r="AQ7" s="21">
        <f>Indicadores!F499</f>
        <v>0</v>
      </c>
      <c r="AR7" s="21">
        <f>Indicadores!F511</f>
        <v>0.42666666666666669</v>
      </c>
      <c r="AS7" s="21">
        <f>Indicadores!F523</f>
        <v>0.28000000000000003</v>
      </c>
      <c r="AT7" s="21">
        <f>Indicadores!F535</f>
        <v>0.8</v>
      </c>
      <c r="AU7" s="21">
        <f>Indicadores!F547</f>
        <v>1.1428571428571428</v>
      </c>
      <c r="AV7" s="21">
        <f>Indicadores!F559</f>
        <v>1.2</v>
      </c>
      <c r="AW7" s="21">
        <f>Indicadores!F571</f>
        <v>1.1363636363636365</v>
      </c>
      <c r="AX7" s="21">
        <f>Indicadores!F583</f>
        <v>1.4285714285714286</v>
      </c>
      <c r="AY7" s="21">
        <f>Indicadores!F595</f>
        <v>0</v>
      </c>
      <c r="AZ7" s="21">
        <f>Indicadores!F607</f>
        <v>0.89333333333333331</v>
      </c>
      <c r="BA7" s="21">
        <f>Indicadores!F619</f>
        <v>0</v>
      </c>
      <c r="BB7" s="21" t="e">
        <f>Indicadores!F631</f>
        <v>#DIV/0!</v>
      </c>
      <c r="BC7" s="20">
        <f>Indicadores!F643</f>
        <v>0.25333333333333335</v>
      </c>
      <c r="BD7" s="20">
        <f>Indicadores!F655</f>
        <v>0.94666666666666666</v>
      </c>
      <c r="BE7" s="20">
        <f>Indicadores!F667</f>
        <v>0.7</v>
      </c>
      <c r="BF7" s="20">
        <f>Indicadores!F679</f>
        <v>0.83076923076923082</v>
      </c>
      <c r="BG7" s="20" t="e">
        <f>Indicadores!F691</f>
        <v>#DIV/0!</v>
      </c>
      <c r="BH7" s="20">
        <f>Indicadores!F703</f>
        <v>0.66666666666666663</v>
      </c>
      <c r="BI7" s="20">
        <f>Indicadores!F715</f>
        <v>0</v>
      </c>
      <c r="BJ7" s="20">
        <f>Indicadores!F727</f>
        <v>0</v>
      </c>
      <c r="BK7" s="20">
        <f>Indicadores!F739</f>
        <v>0.36</v>
      </c>
      <c r="BL7" s="20" t="e">
        <f>Indicadores!F751</f>
        <v>#DIV/0!</v>
      </c>
      <c r="BM7" s="4" t="e">
        <f t="shared" si="0"/>
        <v>#DIV/0!</v>
      </c>
      <c r="BN7" s="4" t="e">
        <f t="shared" si="3"/>
        <v>#DIV/0!</v>
      </c>
      <c r="BO7" s="4" t="e">
        <f t="shared" si="1"/>
        <v>#DIV/0!</v>
      </c>
      <c r="BP7" s="3" t="e">
        <f t="shared" si="2"/>
        <v>#DIV/0!</v>
      </c>
    </row>
    <row r="8" spans="1:68" ht="15" x14ac:dyDescent="0.2">
      <c r="A8" s="20" t="s">
        <v>157</v>
      </c>
      <c r="B8" s="21" t="e">
        <f>Indicadores!F8</f>
        <v>#DIV/0!</v>
      </c>
      <c r="C8" s="21">
        <f>Indicadores!F20</f>
        <v>1.3333333333333333</v>
      </c>
      <c r="D8" s="20">
        <f>Indicadores!F32</f>
        <v>0.78181818181818186</v>
      </c>
      <c r="E8" s="21">
        <f>Indicadores!F44</f>
        <v>0.62666666666666671</v>
      </c>
      <c r="F8" s="21">
        <f>Indicadores!F56</f>
        <v>0.45333333333333331</v>
      </c>
      <c r="G8" s="21">
        <f>Indicadores!F68</f>
        <v>0.7466666666666667</v>
      </c>
      <c r="H8" s="21">
        <f>Indicadores!F80</f>
        <v>0.7466666666666667</v>
      </c>
      <c r="I8" s="21">
        <f>Indicadores!F92</f>
        <v>0.14666666666666667</v>
      </c>
      <c r="J8" s="21">
        <f>Indicadores!F104</f>
        <v>0.8666666666666667</v>
      </c>
      <c r="K8" s="21">
        <f>Indicadores!F116</f>
        <v>0.81333333333333335</v>
      </c>
      <c r="L8" s="21" t="e">
        <f>Indicadores!F128</f>
        <v>#DIV/0!</v>
      </c>
      <c r="M8" s="21">
        <f>Indicadores!F140</f>
        <v>0.8666666666666667</v>
      </c>
      <c r="N8" s="21">
        <f>Indicadores!F152</f>
        <v>0</v>
      </c>
      <c r="O8" s="21">
        <f>Indicadores!F164</f>
        <v>1.1200000000000001</v>
      </c>
      <c r="P8" s="21">
        <f>Indicadores!F176</f>
        <v>0.97014925373134331</v>
      </c>
      <c r="Q8" s="21">
        <f>Indicadores!F188</f>
        <v>0.49333333333333335</v>
      </c>
      <c r="R8" s="21">
        <f>Indicadores!F200</f>
        <v>0.28000000000000003</v>
      </c>
      <c r="S8" s="21">
        <f>Indicadores!F212</f>
        <v>0.61290322580645162</v>
      </c>
      <c r="T8" s="21">
        <f>Indicadores!F224</f>
        <v>0.66666666666666663</v>
      </c>
      <c r="U8" s="21">
        <f>Indicadores!F236</f>
        <v>1.2666666666666666</v>
      </c>
      <c r="V8" s="21">
        <f>Indicadores!F248</f>
        <v>0.78333333333333333</v>
      </c>
      <c r="W8" s="21">
        <f>Indicadores!F260</f>
        <v>0.30666666666666664</v>
      </c>
      <c r="X8" s="21" t="e">
        <f>Indicadores!F272</f>
        <v>#DIV/0!</v>
      </c>
      <c r="Y8" s="21">
        <f>Indicadores!F284</f>
        <v>1.0266666666666666</v>
      </c>
      <c r="Z8" s="21">
        <f>Indicadores!F296</f>
        <v>0.82666666666666666</v>
      </c>
      <c r="AA8" s="21" t="e">
        <f>Indicadores!F308</f>
        <v>#DIV/0!</v>
      </c>
      <c r="AB8" s="21">
        <f>Indicadores!F320</f>
        <v>0</v>
      </c>
      <c r="AC8" s="21">
        <f>Indicadores!F332</f>
        <v>0.8</v>
      </c>
      <c r="AD8" s="21">
        <f>Indicadores!F344</f>
        <v>0.76</v>
      </c>
      <c r="AE8" s="21">
        <f>Indicadores!F356</f>
        <v>0</v>
      </c>
      <c r="AF8" s="21">
        <f>Indicadores!F368</f>
        <v>0</v>
      </c>
      <c r="AG8" s="21">
        <f>Indicadores!F380</f>
        <v>1.2266666666666666</v>
      </c>
      <c r="AH8" s="21">
        <f>Indicadores!F392</f>
        <v>0</v>
      </c>
      <c r="AI8" s="21">
        <f>Indicadores!F404</f>
        <v>2.7027027027027026</v>
      </c>
      <c r="AJ8" s="21">
        <f>Indicadores!F416</f>
        <v>0.22666666666666666</v>
      </c>
      <c r="AK8" s="21">
        <f>Indicadores!F428</f>
        <v>1.3333333333333333</v>
      </c>
      <c r="AL8" s="21">
        <f>Indicadores!F440</f>
        <v>0.7466666666666667</v>
      </c>
      <c r="AM8" s="21" t="e">
        <f>Indicadores!F452</f>
        <v>#DIV/0!</v>
      </c>
      <c r="AN8" s="21" t="e">
        <f>Indicadores!F464</f>
        <v>#DIV/0!</v>
      </c>
      <c r="AO8" s="21">
        <f>Indicadores!F476</f>
        <v>9.3333333333333338E-2</v>
      </c>
      <c r="AP8" s="21">
        <f>Indicadores!F488</f>
        <v>0</v>
      </c>
      <c r="AQ8" s="21">
        <f>Indicadores!F500</f>
        <v>0</v>
      </c>
      <c r="AR8" s="21">
        <f>Indicadores!F512</f>
        <v>0.54666666666666663</v>
      </c>
      <c r="AS8" s="21">
        <f>Indicadores!F524</f>
        <v>0.57333333333333336</v>
      </c>
      <c r="AT8" s="21">
        <f>Indicadores!F536</f>
        <v>0.91666666666666663</v>
      </c>
      <c r="AU8" s="21">
        <f>Indicadores!F548</f>
        <v>1.2428571428571429</v>
      </c>
      <c r="AV8" s="21">
        <f>Indicadores!F560</f>
        <v>1.2</v>
      </c>
      <c r="AW8" s="21">
        <f>Indicadores!F572</f>
        <v>1.1363636363636365</v>
      </c>
      <c r="AX8" s="21">
        <f>Indicadores!F584</f>
        <v>1.4285714285714286</v>
      </c>
      <c r="AY8" s="21">
        <f>Indicadores!F596</f>
        <v>0.22666666666666666</v>
      </c>
      <c r="AZ8" s="21">
        <f>Indicadores!F608</f>
        <v>0.89333333333333331</v>
      </c>
      <c r="BA8" s="21">
        <f>Indicadores!F620</f>
        <v>0</v>
      </c>
      <c r="BB8" s="21" t="e">
        <f>Indicadores!F632</f>
        <v>#DIV/0!</v>
      </c>
      <c r="BC8" s="20">
        <f>Indicadores!F644</f>
        <v>0.25333333333333335</v>
      </c>
      <c r="BD8" s="20">
        <f>Indicadores!F656</f>
        <v>0.94666666666666666</v>
      </c>
      <c r="BE8" s="20">
        <f>Indicadores!F668</f>
        <v>0.7</v>
      </c>
      <c r="BF8" s="20">
        <f>Indicadores!F680</f>
        <v>0.93846153846153846</v>
      </c>
      <c r="BG8" s="20" t="e">
        <f>Indicadores!F692</f>
        <v>#DIV/0!</v>
      </c>
      <c r="BH8" s="20">
        <f>Indicadores!F704</f>
        <v>0.7466666666666667</v>
      </c>
      <c r="BI8" s="20">
        <f>Indicadores!F716</f>
        <v>0</v>
      </c>
      <c r="BJ8" s="20">
        <f>Indicadores!F728</f>
        <v>0</v>
      </c>
      <c r="BK8" s="20">
        <f>Indicadores!F740</f>
        <v>1.0933333333333333</v>
      </c>
      <c r="BL8" s="20" t="e">
        <f>Indicadores!F752</f>
        <v>#DIV/0!</v>
      </c>
      <c r="BM8" s="4" t="e">
        <f t="shared" si="0"/>
        <v>#DIV/0!</v>
      </c>
      <c r="BN8" s="4" t="e">
        <f t="shared" si="3"/>
        <v>#DIV/0!</v>
      </c>
      <c r="BO8" s="4" t="e">
        <f t="shared" si="1"/>
        <v>#DIV/0!</v>
      </c>
      <c r="BP8" s="3" t="e">
        <f t="shared" si="2"/>
        <v>#DIV/0!</v>
      </c>
    </row>
    <row r="9" spans="1:68" ht="15" x14ac:dyDescent="0.2">
      <c r="A9" s="20" t="s">
        <v>158</v>
      </c>
      <c r="B9" s="21" t="e">
        <f>Indicadores!F9</f>
        <v>#DIV/0!</v>
      </c>
      <c r="C9" s="21">
        <f>Indicadores!F21</f>
        <v>1.3333333333333333</v>
      </c>
      <c r="D9" s="20">
        <f>Indicadores!F33</f>
        <v>0.78181818181818186</v>
      </c>
      <c r="E9" s="21">
        <f>Indicadores!F45</f>
        <v>0.62666666666666671</v>
      </c>
      <c r="F9" s="21">
        <f>Indicadores!F57</f>
        <v>0.96</v>
      </c>
      <c r="G9" s="21">
        <f>Indicadores!F69</f>
        <v>0.82666666666666666</v>
      </c>
      <c r="H9" s="21">
        <f>Indicadores!F81</f>
        <v>0.7466666666666667</v>
      </c>
      <c r="I9" s="21">
        <f>Indicadores!F93</f>
        <v>0.14666666666666667</v>
      </c>
      <c r="J9" s="21">
        <f>Indicadores!F105</f>
        <v>1.0533333333333332</v>
      </c>
      <c r="K9" s="21">
        <f>Indicadores!F117</f>
        <v>1.1866666666666668</v>
      </c>
      <c r="L9" s="21" t="e">
        <f>Indicadores!F129</f>
        <v>#DIV/0!</v>
      </c>
      <c r="M9" s="21">
        <f>Indicadores!F141</f>
        <v>1.0666666666666667</v>
      </c>
      <c r="N9" s="21">
        <f>Indicadores!F153</f>
        <v>0</v>
      </c>
      <c r="O9" s="21">
        <f>Indicadores!F165</f>
        <v>1.1733333333333333</v>
      </c>
      <c r="P9" s="21">
        <f>Indicadores!F177</f>
        <v>0.97014925373134331</v>
      </c>
      <c r="Q9" s="21">
        <f>Indicadores!F189</f>
        <v>0.70666666666666667</v>
      </c>
      <c r="R9" s="21">
        <f>Indicadores!F201</f>
        <v>0.49333333333333335</v>
      </c>
      <c r="S9" s="21">
        <f>Indicadores!F213</f>
        <v>0.61290322580645162</v>
      </c>
      <c r="T9" s="21">
        <f>Indicadores!F225</f>
        <v>0.78666666666666663</v>
      </c>
      <c r="U9" s="21">
        <f>Indicadores!F237</f>
        <v>1.2666666666666666</v>
      </c>
      <c r="V9" s="21">
        <f>Indicadores!F249</f>
        <v>0.98333333333333328</v>
      </c>
      <c r="W9" s="21">
        <f>Indicadores!F261</f>
        <v>0.82666666666666666</v>
      </c>
      <c r="X9" s="21" t="e">
        <f>Indicadores!F273</f>
        <v>#DIV/0!</v>
      </c>
      <c r="Y9" s="21">
        <f>Indicadores!F285</f>
        <v>1.0266666666666666</v>
      </c>
      <c r="Z9" s="21">
        <f>Indicadores!F297</f>
        <v>0.82666666666666666</v>
      </c>
      <c r="AA9" s="21" t="e">
        <f>Indicadores!F309</f>
        <v>#DIV/0!</v>
      </c>
      <c r="AB9" s="21">
        <f>Indicadores!F321</f>
        <v>0</v>
      </c>
      <c r="AC9" s="21">
        <f>Indicadores!F333</f>
        <v>0.8</v>
      </c>
      <c r="AD9" s="21">
        <f>Indicadores!F345</f>
        <v>0.81333333333333335</v>
      </c>
      <c r="AE9" s="21">
        <f>Indicadores!F357</f>
        <v>0</v>
      </c>
      <c r="AF9" s="21">
        <f>Indicadores!F369</f>
        <v>0</v>
      </c>
      <c r="AG9" s="21">
        <f>Indicadores!F381</f>
        <v>1.2266666666666666</v>
      </c>
      <c r="AH9" s="21">
        <f>Indicadores!F393</f>
        <v>0</v>
      </c>
      <c r="AI9" s="21">
        <f>Indicadores!F405</f>
        <v>2.7027027027027026</v>
      </c>
      <c r="AJ9" s="21">
        <f>Indicadores!F417</f>
        <v>0.54666666666666663</v>
      </c>
      <c r="AK9" s="21">
        <f>Indicadores!F429</f>
        <v>1.3333333333333333</v>
      </c>
      <c r="AL9" s="21">
        <f>Indicadores!F441</f>
        <v>0.98666666666666669</v>
      </c>
      <c r="AM9" s="21" t="e">
        <f>Indicadores!F453</f>
        <v>#DIV/0!</v>
      </c>
      <c r="AN9" s="21" t="e">
        <f>Indicadores!F465</f>
        <v>#DIV/0!</v>
      </c>
      <c r="AO9" s="21">
        <f>Indicadores!F477</f>
        <v>9.3333333333333338E-2</v>
      </c>
      <c r="AP9" s="21">
        <f>Indicadores!F489</f>
        <v>0.31944444444444442</v>
      </c>
      <c r="AQ9" s="21">
        <f>Indicadores!F501</f>
        <v>0.78666666666666663</v>
      </c>
      <c r="AR9" s="21">
        <f>Indicadores!F513</f>
        <v>0.78666666666666663</v>
      </c>
      <c r="AS9" s="21">
        <f>Indicadores!F525</f>
        <v>0.94666666666666666</v>
      </c>
      <c r="AT9" s="21">
        <f>Indicadores!F537</f>
        <v>0.95</v>
      </c>
      <c r="AU9" s="21">
        <f>Indicadores!F549</f>
        <v>1.2428571428571429</v>
      </c>
      <c r="AV9" s="21">
        <f>Indicadores!F561</f>
        <v>1.2</v>
      </c>
      <c r="AW9" s="21">
        <f>Indicadores!F573</f>
        <v>1.1363636363636365</v>
      </c>
      <c r="AX9" s="21">
        <f>Indicadores!F585</f>
        <v>0</v>
      </c>
      <c r="AY9" s="21">
        <f>Indicadores!F597</f>
        <v>0.44</v>
      </c>
      <c r="AZ9" s="21">
        <f>Indicadores!F609</f>
        <v>0.89333333333333331</v>
      </c>
      <c r="BA9" s="21">
        <f>Indicadores!F621</f>
        <v>0.47142857142857142</v>
      </c>
      <c r="BB9" s="21" t="e">
        <f>Indicadores!F633</f>
        <v>#DIV/0!</v>
      </c>
      <c r="BC9" s="20">
        <f>Indicadores!F645</f>
        <v>0.37333333333333335</v>
      </c>
      <c r="BD9" s="20">
        <f>Indicadores!F657</f>
        <v>0.94666666666666666</v>
      </c>
      <c r="BE9" s="20">
        <f>Indicadores!F669</f>
        <v>0.7</v>
      </c>
      <c r="BF9" s="20">
        <f>Indicadores!F681</f>
        <v>0.98461538461538467</v>
      </c>
      <c r="BG9" s="20" t="e">
        <f>Indicadores!F693</f>
        <v>#DIV/0!</v>
      </c>
      <c r="BH9" s="20">
        <f>Indicadores!F705</f>
        <v>0.85333333333333339</v>
      </c>
      <c r="BI9" s="20">
        <f>Indicadores!F717</f>
        <v>0</v>
      </c>
      <c r="BJ9" s="20">
        <f>Indicadores!F729</f>
        <v>0</v>
      </c>
      <c r="BK9" s="20">
        <f>Indicadores!F741</f>
        <v>1.0933333333333333</v>
      </c>
      <c r="BL9" s="20" t="e">
        <f>Indicadores!F753</f>
        <v>#DIV/0!</v>
      </c>
      <c r="BM9" s="4" t="e">
        <f t="shared" si="0"/>
        <v>#DIV/0!</v>
      </c>
      <c r="BN9" s="4" t="e">
        <f t="shared" si="3"/>
        <v>#DIV/0!</v>
      </c>
      <c r="BO9" s="4" t="e">
        <f t="shared" si="1"/>
        <v>#DIV/0!</v>
      </c>
      <c r="BP9" s="3" t="e">
        <f t="shared" si="2"/>
        <v>#DIV/0!</v>
      </c>
    </row>
    <row r="10" spans="1:68" ht="15" x14ac:dyDescent="0.2">
      <c r="A10" s="20" t="s">
        <v>159</v>
      </c>
      <c r="B10" s="21" t="e">
        <f>Indicadores!F10</f>
        <v>#DIV/0!</v>
      </c>
      <c r="C10" s="21">
        <f>Indicadores!F22</f>
        <v>1.3333333333333333</v>
      </c>
      <c r="D10" s="20">
        <f>Indicadores!F34</f>
        <v>1.0181818181818181</v>
      </c>
      <c r="E10" s="21">
        <f>Indicadores!F46</f>
        <v>0.62666666666666671</v>
      </c>
      <c r="F10" s="21">
        <f>Indicadores!F58</f>
        <v>1.1466666666666667</v>
      </c>
      <c r="G10" s="21">
        <f>Indicadores!F70</f>
        <v>1.1466666666666667</v>
      </c>
      <c r="H10" s="21">
        <f>Indicadores!F82</f>
        <v>0.98666666666666669</v>
      </c>
      <c r="I10" s="21">
        <f>Indicadores!F94</f>
        <v>0.14666666666666667</v>
      </c>
      <c r="J10" s="21">
        <f>Indicadores!F106</f>
        <v>1.0533333333333332</v>
      </c>
      <c r="K10" s="21">
        <f>Indicadores!F118</f>
        <v>1.3333333333333333</v>
      </c>
      <c r="L10" s="21" t="e">
        <f>Indicadores!F130</f>
        <v>#DIV/0!</v>
      </c>
      <c r="M10" s="21">
        <f>Indicadores!F142</f>
        <v>1.0666666666666667</v>
      </c>
      <c r="N10" s="21">
        <f>Indicadores!F154</f>
        <v>1.4827586206896552</v>
      </c>
      <c r="O10" s="21">
        <f>Indicadores!F166</f>
        <v>1.1733333333333333</v>
      </c>
      <c r="P10" s="21">
        <f>Indicadores!F178</f>
        <v>0.97014925373134331</v>
      </c>
      <c r="Q10" s="21">
        <f>Indicadores!F190</f>
        <v>0.70666666666666667</v>
      </c>
      <c r="R10" s="21">
        <f>Indicadores!F202</f>
        <v>0.70666666666666667</v>
      </c>
      <c r="S10" s="21">
        <f>Indicadores!F214</f>
        <v>1.3709677419354838</v>
      </c>
      <c r="T10" s="21">
        <f>Indicadores!F226</f>
        <v>1.04</v>
      </c>
      <c r="U10" s="21">
        <f>Indicadores!F238</f>
        <v>1.2666666666666666</v>
      </c>
      <c r="V10" s="21">
        <f>Indicadores!F250</f>
        <v>0.98333333333333328</v>
      </c>
      <c r="W10" s="21">
        <f>Indicadores!F262</f>
        <v>0.92</v>
      </c>
      <c r="X10" s="21" t="e">
        <f>Indicadores!F274</f>
        <v>#DIV/0!</v>
      </c>
      <c r="Y10" s="21">
        <f>Indicadores!F286</f>
        <v>1.0266666666666666</v>
      </c>
      <c r="Z10" s="21">
        <f>Indicadores!F298</f>
        <v>1.1466666666666667</v>
      </c>
      <c r="AA10" s="21" t="e">
        <f>Indicadores!F310</f>
        <v>#DIV/0!</v>
      </c>
      <c r="AB10" s="21">
        <f>Indicadores!F322</f>
        <v>0</v>
      </c>
      <c r="AC10" s="21">
        <f>Indicadores!F334</f>
        <v>0.8</v>
      </c>
      <c r="AD10" s="21">
        <f>Indicadores!F346</f>
        <v>1.04</v>
      </c>
      <c r="AE10" s="21">
        <f>Indicadores!F358</f>
        <v>0</v>
      </c>
      <c r="AF10" s="21">
        <f>Indicadores!F370</f>
        <v>0</v>
      </c>
      <c r="AG10" s="21">
        <f>Indicadores!F382</f>
        <v>1.2266666666666666</v>
      </c>
      <c r="AH10" s="21">
        <f>Indicadores!F394</f>
        <v>0</v>
      </c>
      <c r="AI10" s="21">
        <f>Indicadores!F406</f>
        <v>2.7027027027027026</v>
      </c>
      <c r="AJ10" s="21">
        <f>Indicadores!F418</f>
        <v>0.54666666666666663</v>
      </c>
      <c r="AK10" s="21">
        <f>Indicadores!F430</f>
        <v>1.3333333333333333</v>
      </c>
      <c r="AL10" s="21">
        <f>Indicadores!F442</f>
        <v>1.08</v>
      </c>
      <c r="AM10" s="21" t="e">
        <f>Indicadores!F454</f>
        <v>#DIV/0!</v>
      </c>
      <c r="AN10" s="21" t="e">
        <f>Indicadores!F466</f>
        <v>#DIV/0!</v>
      </c>
      <c r="AO10" s="21">
        <f>Indicadores!F478</f>
        <v>9.3333333333333338E-2</v>
      </c>
      <c r="AP10" s="21">
        <f>Indicadores!F490</f>
        <v>0.95833333333333337</v>
      </c>
      <c r="AQ10" s="21">
        <f>Indicadores!F502</f>
        <v>1.0133333333333334</v>
      </c>
      <c r="AR10" s="21">
        <f>Indicadores!F514</f>
        <v>0.90666666666666662</v>
      </c>
      <c r="AS10" s="21">
        <f>Indicadores!F526</f>
        <v>0.94666666666666666</v>
      </c>
      <c r="AT10" s="21">
        <f>Indicadores!F538</f>
        <v>1.1333333333333333</v>
      </c>
      <c r="AU10" s="21">
        <f>Indicadores!F550</f>
        <v>1.2428571428571429</v>
      </c>
      <c r="AV10" s="21">
        <f>Indicadores!F562</f>
        <v>0</v>
      </c>
      <c r="AW10" s="21">
        <f>Indicadores!F574</f>
        <v>1.1363636363636365</v>
      </c>
      <c r="AX10" s="21">
        <f>Indicadores!F586</f>
        <v>0</v>
      </c>
      <c r="AY10" s="21">
        <f>Indicadores!F598</f>
        <v>0.44</v>
      </c>
      <c r="AZ10" s="21">
        <f>Indicadores!F610</f>
        <v>0.89333333333333331</v>
      </c>
      <c r="BA10" s="21">
        <f>Indicadores!F622</f>
        <v>0.47142857142857142</v>
      </c>
      <c r="BB10" s="21" t="e">
        <f>Indicadores!F634</f>
        <v>#DIV/0!</v>
      </c>
      <c r="BC10" s="20">
        <f>Indicadores!F646</f>
        <v>0.37333333333333335</v>
      </c>
      <c r="BD10" s="20">
        <f>Indicadores!F658</f>
        <v>0.94666666666666666</v>
      </c>
      <c r="BE10" s="20">
        <f>Indicadores!F670</f>
        <v>0.7</v>
      </c>
      <c r="BF10" s="20">
        <f>Indicadores!F682</f>
        <v>0.98461538461538467</v>
      </c>
      <c r="BG10" s="20" t="e">
        <f>Indicadores!F694</f>
        <v>#DIV/0!</v>
      </c>
      <c r="BH10" s="20">
        <f>Indicadores!F706</f>
        <v>0.94666666666666666</v>
      </c>
      <c r="BI10" s="20">
        <f>Indicadores!F718</f>
        <v>0</v>
      </c>
      <c r="BJ10" s="20">
        <f>Indicadores!F730</f>
        <v>0</v>
      </c>
      <c r="BK10" s="20">
        <f>Indicadores!F742</f>
        <v>1.0933333333333333</v>
      </c>
      <c r="BL10" s="20" t="e">
        <f>Indicadores!F754</f>
        <v>#DIV/0!</v>
      </c>
      <c r="BM10" s="4" t="e">
        <f t="shared" si="0"/>
        <v>#DIV/0!</v>
      </c>
      <c r="BN10" s="4" t="e">
        <f t="shared" si="3"/>
        <v>#DIV/0!</v>
      </c>
      <c r="BO10" s="4" t="e">
        <f t="shared" si="1"/>
        <v>#DIV/0!</v>
      </c>
      <c r="BP10" s="3" t="e">
        <f t="shared" si="2"/>
        <v>#DIV/0!</v>
      </c>
    </row>
    <row r="11" spans="1:68" ht="15" x14ac:dyDescent="0.2">
      <c r="A11" s="20" t="s">
        <v>160</v>
      </c>
      <c r="B11" s="21" t="e">
        <f>Indicadores!F11</f>
        <v>#DIV/0!</v>
      </c>
      <c r="C11" s="21">
        <f>Indicadores!F23</f>
        <v>1.3333333333333333</v>
      </c>
      <c r="D11" s="20">
        <f>Indicadores!F35</f>
        <v>1.0181818181818181</v>
      </c>
      <c r="E11" s="21">
        <f>Indicadores!F47</f>
        <v>0.62666666666666671</v>
      </c>
      <c r="F11" s="21">
        <f>Indicadores!F59</f>
        <v>1.1466666666666667</v>
      </c>
      <c r="G11" s="21">
        <f>Indicadores!F71</f>
        <v>1.1466666666666667</v>
      </c>
      <c r="H11" s="21">
        <f>Indicadores!F83</f>
        <v>0.98666666666666669</v>
      </c>
      <c r="I11" s="21">
        <f>Indicadores!F95</f>
        <v>0.14666666666666667</v>
      </c>
      <c r="J11" s="21">
        <f>Indicadores!F107</f>
        <v>1.0533333333333332</v>
      </c>
      <c r="K11" s="21">
        <f>Indicadores!F119</f>
        <v>1.3333333333333333</v>
      </c>
      <c r="L11" s="21" t="e">
        <f>Indicadores!F131</f>
        <v>#DIV/0!</v>
      </c>
      <c r="M11" s="21">
        <f>Indicadores!F143</f>
        <v>1.0666666666666667</v>
      </c>
      <c r="N11" s="21">
        <f>Indicadores!F155</f>
        <v>1.4827586206896552</v>
      </c>
      <c r="O11" s="21">
        <f>Indicadores!F167</f>
        <v>1.1733333333333333</v>
      </c>
      <c r="P11" s="21">
        <f>Indicadores!F179</f>
        <v>0.97014925373134331</v>
      </c>
      <c r="Q11" s="21">
        <f>Indicadores!F191</f>
        <v>0.70666666666666667</v>
      </c>
      <c r="R11" s="21">
        <f>Indicadores!F203</f>
        <v>0.70666666666666667</v>
      </c>
      <c r="S11" s="21">
        <f>Indicadores!F215</f>
        <v>1.3709677419354838</v>
      </c>
      <c r="T11" s="21">
        <f>Indicadores!F227</f>
        <v>1.04</v>
      </c>
      <c r="U11" s="21">
        <f>Indicadores!F239</f>
        <v>1.2666666666666666</v>
      </c>
      <c r="V11" s="21">
        <f>Indicadores!F251</f>
        <v>0.98333333333333328</v>
      </c>
      <c r="W11" s="21">
        <f>Indicadores!F263</f>
        <v>0.92</v>
      </c>
      <c r="X11" s="21" t="e">
        <f>Indicadores!F275</f>
        <v>#DIV/0!</v>
      </c>
      <c r="Y11" s="21">
        <f>Indicadores!F287</f>
        <v>1.0266666666666666</v>
      </c>
      <c r="Z11" s="21">
        <f>Indicadores!F299</f>
        <v>1.1466666666666667</v>
      </c>
      <c r="AA11" s="21" t="e">
        <f>Indicadores!F311</f>
        <v>#DIV/0!</v>
      </c>
      <c r="AB11" s="21">
        <f>Indicadores!F323</f>
        <v>0</v>
      </c>
      <c r="AC11" s="21">
        <f>Indicadores!F335</f>
        <v>0.8</v>
      </c>
      <c r="AD11" s="21">
        <f>Indicadores!F347</f>
        <v>1.04</v>
      </c>
      <c r="AE11" s="21">
        <f>Indicadores!F359</f>
        <v>0</v>
      </c>
      <c r="AF11" s="21">
        <f>Indicadores!F371</f>
        <v>0</v>
      </c>
      <c r="AG11" s="21">
        <f>Indicadores!F383</f>
        <v>1.2266666666666666</v>
      </c>
      <c r="AH11" s="21">
        <f>Indicadores!F395</f>
        <v>0</v>
      </c>
      <c r="AI11" s="21">
        <f>Indicadores!F407</f>
        <v>2.7027027027027026</v>
      </c>
      <c r="AJ11" s="21">
        <f>Indicadores!F419</f>
        <v>0.54666666666666663</v>
      </c>
      <c r="AK11" s="21">
        <f>Indicadores!F431</f>
        <v>1.3333333333333333</v>
      </c>
      <c r="AL11" s="21">
        <f>Indicadores!F443</f>
        <v>1.08</v>
      </c>
      <c r="AM11" s="21" t="e">
        <f>Indicadores!F455</f>
        <v>#DIV/0!</v>
      </c>
      <c r="AN11" s="21" t="e">
        <f>Indicadores!F467</f>
        <v>#DIV/0!</v>
      </c>
      <c r="AO11" s="21">
        <f>Indicadores!F479</f>
        <v>9.3333333333333338E-2</v>
      </c>
      <c r="AP11" s="21">
        <f>Indicadores!F491</f>
        <v>0.95833333333333337</v>
      </c>
      <c r="AQ11" s="21">
        <f>Indicadores!F503</f>
        <v>1.0133333333333334</v>
      </c>
      <c r="AR11" s="21">
        <f>Indicadores!F515</f>
        <v>0.90666666666666662</v>
      </c>
      <c r="AS11" s="21">
        <f>Indicadores!F527</f>
        <v>0.94666666666666666</v>
      </c>
      <c r="AT11" s="21">
        <f>Indicadores!F539</f>
        <v>1.1333333333333333</v>
      </c>
      <c r="AU11" s="21">
        <f>Indicadores!F551</f>
        <v>1.2428571428571429</v>
      </c>
      <c r="AV11" s="21">
        <f>Indicadores!F563</f>
        <v>0</v>
      </c>
      <c r="AW11" s="21">
        <f>Indicadores!F575</f>
        <v>1.1363636363636365</v>
      </c>
      <c r="AX11" s="21">
        <f>Indicadores!F587</f>
        <v>0</v>
      </c>
      <c r="AY11" s="21">
        <f>Indicadores!F599</f>
        <v>0.44</v>
      </c>
      <c r="AZ11" s="21">
        <f>Indicadores!F611</f>
        <v>0.89333333333333331</v>
      </c>
      <c r="BA11" s="21">
        <f>Indicadores!F623</f>
        <v>0.47142857142857142</v>
      </c>
      <c r="BB11" s="21" t="e">
        <f>Indicadores!F635</f>
        <v>#DIV/0!</v>
      </c>
      <c r="BC11" s="20">
        <f>Indicadores!F647</f>
        <v>0.37333333333333335</v>
      </c>
      <c r="BD11" s="20">
        <f>Indicadores!F659</f>
        <v>0.94666666666666666</v>
      </c>
      <c r="BE11" s="20">
        <f>Indicadores!F671</f>
        <v>0.7</v>
      </c>
      <c r="BF11" s="20">
        <f>Indicadores!F683</f>
        <v>0.98461538461538467</v>
      </c>
      <c r="BG11" s="20" t="e">
        <f>Indicadores!F695</f>
        <v>#DIV/0!</v>
      </c>
      <c r="BH11" s="20">
        <f>Indicadores!F707</f>
        <v>0.94666666666666666</v>
      </c>
      <c r="BI11" s="20">
        <f>Indicadores!F719</f>
        <v>0</v>
      </c>
      <c r="BJ11" s="20">
        <f>Indicadores!F731</f>
        <v>0</v>
      </c>
      <c r="BK11" s="20">
        <f>Indicadores!F743</f>
        <v>1.0933333333333333</v>
      </c>
      <c r="BL11" s="20" t="e">
        <f>Indicadores!F755</f>
        <v>#DIV/0!</v>
      </c>
      <c r="BM11" s="4" t="e">
        <f t="shared" si="0"/>
        <v>#DIV/0!</v>
      </c>
      <c r="BN11" s="4" t="e">
        <f t="shared" si="3"/>
        <v>#DIV/0!</v>
      </c>
      <c r="BO11" s="4" t="e">
        <f t="shared" si="1"/>
        <v>#DIV/0!</v>
      </c>
      <c r="BP11" s="3" t="e">
        <f t="shared" si="2"/>
        <v>#DIV/0!</v>
      </c>
    </row>
    <row r="12" spans="1:68" ht="15" x14ac:dyDescent="0.2">
      <c r="A12" s="20" t="s">
        <v>161</v>
      </c>
      <c r="B12" s="21" t="e">
        <f>Indicadores!F12</f>
        <v>#DIV/0!</v>
      </c>
      <c r="C12" s="21">
        <f>Indicadores!F24</f>
        <v>0</v>
      </c>
      <c r="D12" s="20">
        <f>Indicadores!F36</f>
        <v>0</v>
      </c>
      <c r="E12" s="21">
        <f>Indicadores!F48</f>
        <v>0</v>
      </c>
      <c r="F12" s="21">
        <f>Indicadores!F60</f>
        <v>0</v>
      </c>
      <c r="G12" s="21">
        <f>Indicadores!F72</f>
        <v>0</v>
      </c>
      <c r="H12" s="21">
        <f>Indicadores!F84</f>
        <v>0</v>
      </c>
      <c r="I12" s="21">
        <f>Indicadores!F96</f>
        <v>0</v>
      </c>
      <c r="J12" s="21">
        <f>Indicadores!F108</f>
        <v>0</v>
      </c>
      <c r="K12" s="21">
        <f>Indicadores!F120</f>
        <v>0</v>
      </c>
      <c r="L12" s="21" t="e">
        <f>Indicadores!F132</f>
        <v>#DIV/0!</v>
      </c>
      <c r="M12" s="21">
        <f>Indicadores!F144</f>
        <v>0</v>
      </c>
      <c r="N12" s="21">
        <f>Indicadores!F156</f>
        <v>0</v>
      </c>
      <c r="O12" s="21">
        <f>Indicadores!F168</f>
        <v>0</v>
      </c>
      <c r="P12" s="21">
        <f>Indicadores!F180</f>
        <v>0</v>
      </c>
      <c r="Q12" s="21">
        <f>Indicadores!F192</f>
        <v>0</v>
      </c>
      <c r="R12" s="21">
        <f>Indicadores!F204</f>
        <v>0</v>
      </c>
      <c r="S12" s="21">
        <f>Indicadores!F216</f>
        <v>0</v>
      </c>
      <c r="T12" s="21">
        <f>Indicadores!F228</f>
        <v>0</v>
      </c>
      <c r="U12" s="21">
        <f>Indicadores!F240</f>
        <v>0</v>
      </c>
      <c r="V12" s="21">
        <f>Indicadores!F252</f>
        <v>0</v>
      </c>
      <c r="W12" s="21">
        <f>Indicadores!F264</f>
        <v>0</v>
      </c>
      <c r="X12" s="21" t="e">
        <f>Indicadores!F276</f>
        <v>#DIV/0!</v>
      </c>
      <c r="Y12" s="21">
        <f>Indicadores!F288</f>
        <v>0</v>
      </c>
      <c r="Z12" s="21">
        <f>Indicadores!F300</f>
        <v>0</v>
      </c>
      <c r="AA12" s="21" t="e">
        <f>Indicadores!F312</f>
        <v>#DIV/0!</v>
      </c>
      <c r="AB12" s="21">
        <f>Indicadores!F324</f>
        <v>0</v>
      </c>
      <c r="AC12" s="21">
        <f>Indicadores!F336</f>
        <v>0</v>
      </c>
      <c r="AD12" s="21">
        <f>Indicadores!F348</f>
        <v>0</v>
      </c>
      <c r="AE12" s="21">
        <f>Indicadores!F360</f>
        <v>0</v>
      </c>
      <c r="AF12" s="21">
        <f>Indicadores!F372</f>
        <v>0</v>
      </c>
      <c r="AG12" s="21">
        <f>Indicadores!F384</f>
        <v>0</v>
      </c>
      <c r="AH12" s="21">
        <f>Indicadores!F396</f>
        <v>0</v>
      </c>
      <c r="AI12" s="21">
        <f>Indicadores!F408</f>
        <v>0</v>
      </c>
      <c r="AJ12" s="21">
        <f>Indicadores!F420</f>
        <v>0</v>
      </c>
      <c r="AK12" s="21">
        <f>Indicadores!F432</f>
        <v>0</v>
      </c>
      <c r="AL12" s="21">
        <f>Indicadores!F444</f>
        <v>0</v>
      </c>
      <c r="AM12" s="21" t="e">
        <f>Indicadores!F456</f>
        <v>#DIV/0!</v>
      </c>
      <c r="AN12" s="21" t="e">
        <f>Indicadores!F468</f>
        <v>#DIV/0!</v>
      </c>
      <c r="AO12" s="21">
        <f>Indicadores!F480</f>
        <v>0</v>
      </c>
      <c r="AP12" s="21">
        <f>Indicadores!F492</f>
        <v>0</v>
      </c>
      <c r="AQ12" s="21">
        <f>Indicadores!F504</f>
        <v>0</v>
      </c>
      <c r="AR12" s="21">
        <f>Indicadores!F516</f>
        <v>0</v>
      </c>
      <c r="AS12" s="21">
        <f>Indicadores!F528</f>
        <v>0</v>
      </c>
      <c r="AT12" s="21">
        <f>Indicadores!F540</f>
        <v>0</v>
      </c>
      <c r="AU12" s="21">
        <f>Indicadores!F552</f>
        <v>0</v>
      </c>
      <c r="AV12" s="21">
        <f>Indicadores!F564</f>
        <v>0</v>
      </c>
      <c r="AW12" s="21">
        <f>Indicadores!F576</f>
        <v>0</v>
      </c>
      <c r="AX12" s="21">
        <f>Indicadores!F588</f>
        <v>0</v>
      </c>
      <c r="AY12" s="21">
        <f>Indicadores!F600</f>
        <v>0</v>
      </c>
      <c r="AZ12" s="21">
        <f>Indicadores!F612</f>
        <v>0</v>
      </c>
      <c r="BA12" s="21">
        <f>Indicadores!F624</f>
        <v>0</v>
      </c>
      <c r="BB12" s="21" t="e">
        <f>Indicadores!F636</f>
        <v>#DIV/0!</v>
      </c>
      <c r="BC12" s="20">
        <f>Indicadores!F648</f>
        <v>0</v>
      </c>
      <c r="BD12" s="20">
        <f>Indicadores!F660</f>
        <v>0</v>
      </c>
      <c r="BE12" s="20">
        <f>Indicadores!F672</f>
        <v>0</v>
      </c>
      <c r="BF12" s="20">
        <f>Indicadores!F684</f>
        <v>0</v>
      </c>
      <c r="BG12" s="20" t="e">
        <f>Indicadores!F696</f>
        <v>#DIV/0!</v>
      </c>
      <c r="BH12" s="20">
        <f>Indicadores!F708</f>
        <v>0</v>
      </c>
      <c r="BI12" s="20">
        <f>Indicadores!F720</f>
        <v>0</v>
      </c>
      <c r="BJ12" s="20">
        <f>Indicadores!F732</f>
        <v>0</v>
      </c>
      <c r="BK12" s="20">
        <f>Indicadores!F744</f>
        <v>0</v>
      </c>
      <c r="BL12" s="20" t="e">
        <f>Indicadores!F756</f>
        <v>#DIV/0!</v>
      </c>
      <c r="BM12" s="4" t="e">
        <f t="shared" si="0"/>
        <v>#DIV/0!</v>
      </c>
      <c r="BN12" s="4" t="e">
        <f t="shared" si="3"/>
        <v>#DIV/0!</v>
      </c>
      <c r="BO12" s="4" t="e">
        <f t="shared" si="1"/>
        <v>#DIV/0!</v>
      </c>
      <c r="BP12" s="3" t="e">
        <f t="shared" si="2"/>
        <v>#DIV/0!</v>
      </c>
    </row>
    <row r="13" spans="1:68" ht="15" x14ac:dyDescent="0.2">
      <c r="A13" s="20" t="s">
        <v>162</v>
      </c>
      <c r="B13" s="21" t="e">
        <f>Indicadores!F13</f>
        <v>#DIV/0!</v>
      </c>
      <c r="C13" s="21">
        <f>Indicadores!F25</f>
        <v>0</v>
      </c>
      <c r="D13" s="20">
        <f>Indicadores!F37</f>
        <v>0</v>
      </c>
      <c r="E13" s="21">
        <f>Indicadores!F49</f>
        <v>0</v>
      </c>
      <c r="F13" s="21">
        <f>Indicadores!F61</f>
        <v>0</v>
      </c>
      <c r="G13" s="21">
        <f>Indicadores!F73</f>
        <v>0</v>
      </c>
      <c r="H13" s="21">
        <f>Indicadores!F85</f>
        <v>0</v>
      </c>
      <c r="I13" s="21">
        <f>Indicadores!F97</f>
        <v>0</v>
      </c>
      <c r="J13" s="21">
        <f>Indicadores!F109</f>
        <v>0</v>
      </c>
      <c r="K13" s="21">
        <f>Indicadores!F121</f>
        <v>0</v>
      </c>
      <c r="L13" s="21" t="e">
        <f>Indicadores!F133</f>
        <v>#DIV/0!</v>
      </c>
      <c r="M13" s="21">
        <f>Indicadores!F145</f>
        <v>0</v>
      </c>
      <c r="N13" s="21">
        <f>Indicadores!F157</f>
        <v>0</v>
      </c>
      <c r="O13" s="21">
        <f>Indicadores!F169</f>
        <v>0</v>
      </c>
      <c r="P13" s="21">
        <f>Indicadores!F181</f>
        <v>0</v>
      </c>
      <c r="Q13" s="21">
        <f>Indicadores!F193</f>
        <v>0</v>
      </c>
      <c r="R13" s="21">
        <f>Indicadores!F205</f>
        <v>0</v>
      </c>
      <c r="S13" s="21">
        <f>Indicadores!F217</f>
        <v>0</v>
      </c>
      <c r="T13" s="21">
        <f>Indicadores!F229</f>
        <v>0</v>
      </c>
      <c r="U13" s="21">
        <f>Indicadores!F241</f>
        <v>0</v>
      </c>
      <c r="V13" s="21">
        <f>Indicadores!F253</f>
        <v>0</v>
      </c>
      <c r="W13" s="21">
        <f>Indicadores!F265</f>
        <v>0</v>
      </c>
      <c r="X13" s="21" t="e">
        <f>Indicadores!F277</f>
        <v>#DIV/0!</v>
      </c>
      <c r="Y13" s="21">
        <f>Indicadores!F289</f>
        <v>0</v>
      </c>
      <c r="Z13" s="21">
        <f>Indicadores!F301</f>
        <v>0</v>
      </c>
      <c r="AA13" s="21" t="e">
        <f>Indicadores!F313</f>
        <v>#DIV/0!</v>
      </c>
      <c r="AB13" s="21">
        <f>Indicadores!F325</f>
        <v>0</v>
      </c>
      <c r="AC13" s="21">
        <f>Indicadores!F337</f>
        <v>0</v>
      </c>
      <c r="AD13" s="21">
        <f>Indicadores!F349</f>
        <v>0</v>
      </c>
      <c r="AE13" s="21">
        <f>Indicadores!F361</f>
        <v>0</v>
      </c>
      <c r="AF13" s="21">
        <f>Indicadores!F373</f>
        <v>0</v>
      </c>
      <c r="AG13" s="21">
        <f>Indicadores!F385</f>
        <v>0</v>
      </c>
      <c r="AH13" s="21">
        <f>Indicadores!F397</f>
        <v>0</v>
      </c>
      <c r="AI13" s="21">
        <f>Indicadores!F409</f>
        <v>0</v>
      </c>
      <c r="AJ13" s="21">
        <f>Indicadores!F421</f>
        <v>0</v>
      </c>
      <c r="AK13" s="21">
        <f>Indicadores!F433</f>
        <v>0</v>
      </c>
      <c r="AL13" s="21">
        <f>Indicadores!F445</f>
        <v>0</v>
      </c>
      <c r="AM13" s="21" t="e">
        <f>Indicadores!F457</f>
        <v>#DIV/0!</v>
      </c>
      <c r="AN13" s="21" t="e">
        <f>Indicadores!F469</f>
        <v>#DIV/0!</v>
      </c>
      <c r="AO13" s="21">
        <f>Indicadores!F481</f>
        <v>0</v>
      </c>
      <c r="AP13" s="21">
        <f>Indicadores!F493</f>
        <v>0</v>
      </c>
      <c r="AQ13" s="21">
        <f>Indicadores!F505</f>
        <v>0</v>
      </c>
      <c r="AR13" s="21">
        <f>Indicadores!F517</f>
        <v>0</v>
      </c>
      <c r="AS13" s="21">
        <f>Indicadores!F529</f>
        <v>0</v>
      </c>
      <c r="AT13" s="21">
        <f>Indicadores!F541</f>
        <v>0</v>
      </c>
      <c r="AU13" s="21">
        <f>Indicadores!F553</f>
        <v>0</v>
      </c>
      <c r="AV13" s="21">
        <f>Indicadores!F565</f>
        <v>0</v>
      </c>
      <c r="AW13" s="21">
        <f>Indicadores!F577</f>
        <v>0</v>
      </c>
      <c r="AX13" s="21">
        <f>Indicadores!F589</f>
        <v>0</v>
      </c>
      <c r="AY13" s="21">
        <f>Indicadores!F601</f>
        <v>0</v>
      </c>
      <c r="AZ13" s="21">
        <f>Indicadores!F613</f>
        <v>0</v>
      </c>
      <c r="BA13" s="21">
        <f>Indicadores!F625</f>
        <v>0</v>
      </c>
      <c r="BB13" s="21" t="e">
        <f>Indicadores!F637</f>
        <v>#DIV/0!</v>
      </c>
      <c r="BC13" s="20">
        <f>Indicadores!F649</f>
        <v>0</v>
      </c>
      <c r="BD13" s="20">
        <f>Indicadores!F661</f>
        <v>0</v>
      </c>
      <c r="BE13" s="20">
        <f>Indicadores!F673</f>
        <v>0</v>
      </c>
      <c r="BF13" s="20">
        <f>Indicadores!F685</f>
        <v>0</v>
      </c>
      <c r="BG13" s="20" t="e">
        <f>Indicadores!F697</f>
        <v>#DIV/0!</v>
      </c>
      <c r="BH13" s="20">
        <f>Indicadores!F709</f>
        <v>0</v>
      </c>
      <c r="BI13" s="20">
        <f>Indicadores!F721</f>
        <v>0</v>
      </c>
      <c r="BJ13" s="20">
        <f>Indicadores!F733</f>
        <v>0</v>
      </c>
      <c r="BK13" s="20">
        <f>Indicadores!F745</f>
        <v>0</v>
      </c>
      <c r="BL13" s="20" t="e">
        <f>Indicadores!F757</f>
        <v>#DIV/0!</v>
      </c>
      <c r="BM13" s="4" t="e">
        <f t="shared" si="0"/>
        <v>#DIV/0!</v>
      </c>
      <c r="BN13" s="4" t="e">
        <f t="shared" si="3"/>
        <v>#DIV/0!</v>
      </c>
      <c r="BO13" s="4" t="e">
        <f t="shared" si="1"/>
        <v>#DIV/0!</v>
      </c>
      <c r="BP13" s="3" t="e">
        <f t="shared" si="2"/>
        <v>#DIV/0!</v>
      </c>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57"/>
  <sheetViews>
    <sheetView topLeftCell="A458" zoomScale="80" zoomScaleNormal="80" workbookViewId="0">
      <pane xSplit="1" topLeftCell="D1" activePane="topRight" state="frozen"/>
      <selection pane="topRight" activeCell="J734" sqref="J734:J743"/>
    </sheetView>
  </sheetViews>
  <sheetFormatPr defaultColWidth="12.125" defaultRowHeight="14.25" x14ac:dyDescent="0.2"/>
  <cols>
    <col min="1" max="1" width="36.125" customWidth="1"/>
    <col min="2" max="2" width="12" style="3" customWidth="1"/>
    <col min="3" max="3" width="13.625" style="3" customWidth="1"/>
    <col min="4" max="4" width="57.625" style="3" bestFit="1" customWidth="1"/>
    <col min="5" max="5" width="57.125" style="3" bestFit="1" customWidth="1"/>
    <col min="6" max="6" width="33.25" style="3" bestFit="1" customWidth="1"/>
    <col min="7" max="7" width="47.125" style="3" bestFit="1" customWidth="1"/>
    <col min="8" max="8" width="54.5" style="3" bestFit="1" customWidth="1"/>
    <col min="9" max="9" width="35.5" style="3" bestFit="1" customWidth="1"/>
    <col min="10" max="10" width="18.625" style="3" bestFit="1" customWidth="1"/>
    <col min="11" max="16384" width="12.125" style="3"/>
  </cols>
  <sheetData>
    <row r="1" spans="1:11" ht="15.75" x14ac:dyDescent="0.2">
      <c r="A1" t="s">
        <v>0</v>
      </c>
      <c r="B1" s="34" t="s">
        <v>165</v>
      </c>
      <c r="C1" s="108" t="s">
        <v>240</v>
      </c>
      <c r="D1" s="34" t="s">
        <v>6</v>
      </c>
      <c r="E1" s="34" t="s">
        <v>7</v>
      </c>
      <c r="F1" s="34" t="s">
        <v>12</v>
      </c>
      <c r="G1" s="34" t="s">
        <v>13</v>
      </c>
      <c r="H1" s="34" t="s">
        <v>18</v>
      </c>
      <c r="I1" s="34" t="s">
        <v>19</v>
      </c>
      <c r="J1" s="34" t="s">
        <v>3</v>
      </c>
    </row>
    <row r="2" spans="1:11" ht="15" x14ac:dyDescent="0.2">
      <c r="A2" t="s">
        <v>316</v>
      </c>
      <c r="B2" s="99" t="s">
        <v>151</v>
      </c>
      <c r="C2" s="100">
        <f t="shared" ref="C2:C13" si="0">_xlfn.IFS(B2="Janeiro",1,B2="Fevereiro",2,B2="Março",3,B2="Abril",4,B2="Maio",5,B2="Junho",6,B2="Julho",7,B2="Agosto",8,B2="Setembro",9,B2="Outubro",10,B2="Novembro",11,B2="Dezembro",12,TRUE,0)</f>
        <v>1</v>
      </c>
      <c r="D2" s="101">
        <v>0</v>
      </c>
      <c r="E2" s="101">
        <v>0</v>
      </c>
      <c r="F2" s="101">
        <v>0</v>
      </c>
      <c r="G2" s="101">
        <v>0</v>
      </c>
      <c r="H2" s="101">
        <v>0</v>
      </c>
      <c r="I2" s="101">
        <v>0</v>
      </c>
      <c r="J2" s="101">
        <v>0</v>
      </c>
    </row>
    <row r="3" spans="1:11" ht="15" x14ac:dyDescent="0.2">
      <c r="A3" t="s">
        <v>316</v>
      </c>
      <c r="B3" s="102" t="s">
        <v>152</v>
      </c>
      <c r="C3" s="100">
        <f t="shared" si="0"/>
        <v>2</v>
      </c>
      <c r="D3" s="101">
        <v>0</v>
      </c>
      <c r="E3" s="101">
        <v>0</v>
      </c>
      <c r="F3" s="101">
        <v>0</v>
      </c>
      <c r="G3" s="101">
        <v>0</v>
      </c>
      <c r="H3" s="101">
        <v>0</v>
      </c>
      <c r="I3" s="101">
        <v>0</v>
      </c>
      <c r="J3" s="101">
        <v>0</v>
      </c>
    </row>
    <row r="4" spans="1:11" ht="15" x14ac:dyDescent="0.2">
      <c r="A4" t="s">
        <v>316</v>
      </c>
      <c r="B4" s="99" t="s">
        <v>153</v>
      </c>
      <c r="C4" s="100">
        <f t="shared" si="0"/>
        <v>3</v>
      </c>
      <c r="D4" s="101">
        <v>0</v>
      </c>
      <c r="E4" s="101">
        <v>0</v>
      </c>
      <c r="F4" s="101">
        <v>0</v>
      </c>
      <c r="G4" s="101">
        <v>0</v>
      </c>
      <c r="H4" s="101">
        <v>0</v>
      </c>
      <c r="I4" s="101">
        <v>0</v>
      </c>
      <c r="J4" s="101">
        <v>0</v>
      </c>
    </row>
    <row r="5" spans="1:11" ht="15" x14ac:dyDescent="0.2">
      <c r="A5" t="s">
        <v>316</v>
      </c>
      <c r="B5" s="102" t="s">
        <v>154</v>
      </c>
      <c r="C5" s="100">
        <f t="shared" si="0"/>
        <v>4</v>
      </c>
      <c r="D5" s="101">
        <v>0</v>
      </c>
      <c r="E5" s="101">
        <v>0</v>
      </c>
      <c r="F5" s="101">
        <v>0</v>
      </c>
      <c r="G5" s="101">
        <v>0</v>
      </c>
      <c r="H5" s="101">
        <v>0</v>
      </c>
      <c r="I5" s="101">
        <v>0</v>
      </c>
      <c r="J5" s="101">
        <v>0</v>
      </c>
    </row>
    <row r="6" spans="1:11" ht="15" x14ac:dyDescent="0.2">
      <c r="A6" t="s">
        <v>316</v>
      </c>
      <c r="B6" s="99" t="s">
        <v>155</v>
      </c>
      <c r="C6" s="100">
        <f t="shared" si="0"/>
        <v>5</v>
      </c>
      <c r="D6" s="101">
        <v>0</v>
      </c>
      <c r="E6" s="101">
        <v>0</v>
      </c>
      <c r="F6" s="101">
        <v>0</v>
      </c>
      <c r="G6" s="101">
        <v>0</v>
      </c>
      <c r="H6" s="101">
        <v>0</v>
      </c>
      <c r="I6" s="101">
        <v>0</v>
      </c>
      <c r="J6" s="101">
        <v>0</v>
      </c>
    </row>
    <row r="7" spans="1:11" ht="15" x14ac:dyDescent="0.2">
      <c r="A7" t="s">
        <v>316</v>
      </c>
      <c r="B7" s="102" t="s">
        <v>156</v>
      </c>
      <c r="C7" s="100">
        <f t="shared" si="0"/>
        <v>6</v>
      </c>
      <c r="D7" s="101">
        <v>0</v>
      </c>
      <c r="E7" s="101">
        <v>0</v>
      </c>
      <c r="F7" s="101">
        <v>0</v>
      </c>
      <c r="G7" s="101">
        <v>0</v>
      </c>
      <c r="H7" s="101">
        <v>0</v>
      </c>
      <c r="I7" s="101">
        <v>0</v>
      </c>
      <c r="J7" s="101">
        <v>0</v>
      </c>
    </row>
    <row r="8" spans="1:11" ht="15" x14ac:dyDescent="0.2">
      <c r="A8" t="s">
        <v>316</v>
      </c>
      <c r="B8" s="99" t="s">
        <v>157</v>
      </c>
      <c r="C8" s="100">
        <f t="shared" si="0"/>
        <v>7</v>
      </c>
      <c r="D8" s="101">
        <v>0</v>
      </c>
      <c r="E8" s="101">
        <v>0</v>
      </c>
      <c r="F8" s="101">
        <v>0</v>
      </c>
      <c r="G8" s="101">
        <v>0</v>
      </c>
      <c r="H8" s="101">
        <v>0</v>
      </c>
      <c r="I8" s="101">
        <v>0</v>
      </c>
      <c r="J8" s="101">
        <v>0</v>
      </c>
    </row>
    <row r="9" spans="1:11" ht="15" x14ac:dyDescent="0.2">
      <c r="A9" t="s">
        <v>316</v>
      </c>
      <c r="B9" s="102" t="s">
        <v>158</v>
      </c>
      <c r="C9" s="100">
        <f t="shared" si="0"/>
        <v>8</v>
      </c>
      <c r="D9" s="101">
        <v>4</v>
      </c>
      <c r="E9" s="101">
        <v>25</v>
      </c>
      <c r="F9" s="101">
        <v>0</v>
      </c>
      <c r="G9" s="101">
        <v>0</v>
      </c>
      <c r="H9" s="101">
        <v>0</v>
      </c>
      <c r="I9" s="101">
        <v>0</v>
      </c>
      <c r="J9" s="101">
        <v>1</v>
      </c>
    </row>
    <row r="10" spans="1:11" ht="15" x14ac:dyDescent="0.2">
      <c r="A10" t="s">
        <v>316</v>
      </c>
      <c r="B10" s="99" t="s">
        <v>159</v>
      </c>
      <c r="C10" s="100">
        <f t="shared" si="0"/>
        <v>9</v>
      </c>
      <c r="D10" s="101">
        <v>0</v>
      </c>
      <c r="E10" s="101">
        <v>0</v>
      </c>
      <c r="F10" s="101">
        <v>0</v>
      </c>
      <c r="G10" s="101">
        <v>0</v>
      </c>
      <c r="H10" s="101">
        <v>0</v>
      </c>
      <c r="I10" s="101">
        <v>0</v>
      </c>
      <c r="J10" s="101">
        <v>0</v>
      </c>
    </row>
    <row r="11" spans="1:11" ht="15" x14ac:dyDescent="0.2">
      <c r="A11" t="s">
        <v>316</v>
      </c>
      <c r="B11" s="102" t="s">
        <v>160</v>
      </c>
      <c r="C11" s="100">
        <f t="shared" si="0"/>
        <v>10</v>
      </c>
      <c r="D11" s="101">
        <v>0</v>
      </c>
      <c r="E11" s="101">
        <v>0</v>
      </c>
      <c r="F11" s="101">
        <v>0</v>
      </c>
      <c r="G11" s="101">
        <v>0</v>
      </c>
      <c r="H11" s="101">
        <v>0</v>
      </c>
      <c r="I11" s="101">
        <v>0</v>
      </c>
      <c r="J11" s="101">
        <v>0</v>
      </c>
    </row>
    <row r="12" spans="1:11" ht="15" x14ac:dyDescent="0.2">
      <c r="A12" t="s">
        <v>316</v>
      </c>
      <c r="B12" s="99" t="s">
        <v>161</v>
      </c>
      <c r="C12" s="100">
        <f t="shared" si="0"/>
        <v>11</v>
      </c>
      <c r="D12" s="101">
        <v>0</v>
      </c>
      <c r="E12" s="101">
        <v>0</v>
      </c>
      <c r="F12" s="101">
        <v>0</v>
      </c>
      <c r="G12" s="101">
        <v>0</v>
      </c>
      <c r="H12" s="101">
        <v>0</v>
      </c>
      <c r="I12" s="101">
        <v>0</v>
      </c>
      <c r="J12" s="101">
        <v>0</v>
      </c>
    </row>
    <row r="13" spans="1:11" ht="15" x14ac:dyDescent="0.2">
      <c r="A13" t="s">
        <v>316</v>
      </c>
      <c r="B13" s="102" t="s">
        <v>162</v>
      </c>
      <c r="C13" s="100">
        <f t="shared" si="0"/>
        <v>12</v>
      </c>
      <c r="D13" s="101">
        <v>0</v>
      </c>
      <c r="E13" s="101">
        <v>0</v>
      </c>
      <c r="F13" s="101">
        <v>0</v>
      </c>
      <c r="G13" s="101">
        <v>0</v>
      </c>
      <c r="H13" s="101">
        <v>0</v>
      </c>
      <c r="I13" s="101">
        <v>0</v>
      </c>
      <c r="J13" s="101">
        <v>0</v>
      </c>
    </row>
    <row r="14" spans="1:11" ht="15" x14ac:dyDescent="0.2">
      <c r="A14" t="s">
        <v>83</v>
      </c>
      <c r="B14" s="99" t="s">
        <v>151</v>
      </c>
      <c r="C14" s="100">
        <f t="shared" ref="C14:C77" si="1">_xlfn.IFS(B14="Janeiro",1,B14="Fevereiro",2,B14="Março",3,B14="Abril",4,B14="Maio",5,B14="Junho",6,B14="Julho",7,B14="Agosto",8,B14="Setembro",9,B14="Outubro",10,B14="Novembro",11,B14="Dezembro",12,TRUE,0)</f>
        <v>1</v>
      </c>
      <c r="D14" s="101">
        <v>5</v>
      </c>
      <c r="E14" s="101">
        <v>50</v>
      </c>
      <c r="F14" s="101">
        <v>0</v>
      </c>
      <c r="G14" s="101">
        <v>0</v>
      </c>
      <c r="H14" s="101">
        <v>0</v>
      </c>
      <c r="I14" s="101">
        <v>0</v>
      </c>
      <c r="J14" s="101">
        <v>1</v>
      </c>
      <c r="K14" s="44"/>
    </row>
    <row r="15" spans="1:11" ht="15" x14ac:dyDescent="0.2">
      <c r="A15" t="s">
        <v>83</v>
      </c>
      <c r="B15" s="102" t="s">
        <v>152</v>
      </c>
      <c r="C15" s="100">
        <f t="shared" si="1"/>
        <v>2</v>
      </c>
      <c r="D15" s="103">
        <v>8</v>
      </c>
      <c r="E15" s="103">
        <v>80</v>
      </c>
      <c r="F15" s="101">
        <v>0</v>
      </c>
      <c r="G15" s="101">
        <v>0</v>
      </c>
      <c r="H15" s="101">
        <v>0</v>
      </c>
      <c r="I15" s="101">
        <v>0</v>
      </c>
      <c r="J15" s="101">
        <v>2</v>
      </c>
      <c r="K15" s="44"/>
    </row>
    <row r="16" spans="1:11" ht="15" x14ac:dyDescent="0.2">
      <c r="A16" t="s">
        <v>83</v>
      </c>
      <c r="B16" s="99" t="s">
        <v>153</v>
      </c>
      <c r="C16" s="100">
        <f t="shared" si="1"/>
        <v>3</v>
      </c>
      <c r="D16" s="101">
        <v>0</v>
      </c>
      <c r="E16" s="101">
        <v>0</v>
      </c>
      <c r="F16" s="101">
        <v>0</v>
      </c>
      <c r="G16" s="101">
        <v>0</v>
      </c>
      <c r="H16" s="101">
        <v>0</v>
      </c>
      <c r="I16" s="101">
        <v>0</v>
      </c>
      <c r="J16" s="101">
        <v>0</v>
      </c>
      <c r="K16" s="44"/>
    </row>
    <row r="17" spans="1:11" ht="15" x14ac:dyDescent="0.2">
      <c r="A17" t="s">
        <v>83</v>
      </c>
      <c r="B17" s="102" t="s">
        <v>154</v>
      </c>
      <c r="C17" s="100">
        <f t="shared" si="1"/>
        <v>4</v>
      </c>
      <c r="D17" s="103">
        <v>0</v>
      </c>
      <c r="E17" s="103">
        <v>0</v>
      </c>
      <c r="F17" s="101">
        <v>0</v>
      </c>
      <c r="G17" s="101">
        <v>0</v>
      </c>
      <c r="H17" s="101">
        <v>0</v>
      </c>
      <c r="I17" s="101">
        <v>0</v>
      </c>
      <c r="J17" s="101">
        <v>0</v>
      </c>
      <c r="K17" s="44"/>
    </row>
    <row r="18" spans="1:11" ht="15" x14ac:dyDescent="0.2">
      <c r="A18" t="s">
        <v>83</v>
      </c>
      <c r="B18" s="99" t="s">
        <v>155</v>
      </c>
      <c r="C18" s="100">
        <f t="shared" si="1"/>
        <v>5</v>
      </c>
      <c r="D18" s="101">
        <v>0</v>
      </c>
      <c r="E18" s="101">
        <v>0</v>
      </c>
      <c r="F18" s="101">
        <v>0</v>
      </c>
      <c r="G18" s="101">
        <v>0</v>
      </c>
      <c r="H18" s="101">
        <v>10</v>
      </c>
      <c r="I18" s="101">
        <v>100</v>
      </c>
      <c r="J18" s="101">
        <v>0</v>
      </c>
      <c r="K18" s="44"/>
    </row>
    <row r="19" spans="1:11" ht="15" x14ac:dyDescent="0.2">
      <c r="A19" t="s">
        <v>83</v>
      </c>
      <c r="B19" s="102" t="s">
        <v>156</v>
      </c>
      <c r="C19" s="100">
        <f t="shared" si="1"/>
        <v>6</v>
      </c>
      <c r="D19" s="103">
        <v>2</v>
      </c>
      <c r="E19" s="103">
        <v>20</v>
      </c>
      <c r="F19" s="101">
        <v>0</v>
      </c>
      <c r="G19" s="101">
        <v>0</v>
      </c>
      <c r="H19" s="101">
        <v>0</v>
      </c>
      <c r="I19" s="101">
        <v>0</v>
      </c>
      <c r="J19" s="101">
        <v>1</v>
      </c>
      <c r="K19" s="44"/>
    </row>
    <row r="20" spans="1:11" ht="15" x14ac:dyDescent="0.2">
      <c r="A20" t="s">
        <v>83</v>
      </c>
      <c r="B20" s="99" t="s">
        <v>157</v>
      </c>
      <c r="C20" s="100">
        <f t="shared" si="1"/>
        <v>7</v>
      </c>
      <c r="D20" s="101">
        <v>2</v>
      </c>
      <c r="E20" s="101">
        <v>20</v>
      </c>
      <c r="F20" s="101">
        <v>0</v>
      </c>
      <c r="G20" s="101">
        <v>0</v>
      </c>
      <c r="H20" s="101">
        <v>0</v>
      </c>
      <c r="I20" s="101">
        <v>0</v>
      </c>
      <c r="J20" s="101">
        <v>1</v>
      </c>
    </row>
    <row r="21" spans="1:11" ht="15" x14ac:dyDescent="0.2">
      <c r="A21" t="s">
        <v>83</v>
      </c>
      <c r="B21" s="102" t="s">
        <v>158</v>
      </c>
      <c r="C21" s="100">
        <f t="shared" si="1"/>
        <v>8</v>
      </c>
      <c r="D21" s="103">
        <v>0</v>
      </c>
      <c r="E21" s="103">
        <v>0</v>
      </c>
      <c r="F21" s="101">
        <v>0</v>
      </c>
      <c r="G21" s="101">
        <v>0</v>
      </c>
      <c r="H21" s="101">
        <v>0</v>
      </c>
      <c r="I21" s="101">
        <v>0</v>
      </c>
      <c r="J21" s="101">
        <v>0</v>
      </c>
    </row>
    <row r="22" spans="1:11" ht="15" x14ac:dyDescent="0.2">
      <c r="A22" t="s">
        <v>83</v>
      </c>
      <c r="B22" s="99" t="s">
        <v>159</v>
      </c>
      <c r="C22" s="100">
        <f t="shared" si="1"/>
        <v>9</v>
      </c>
      <c r="D22" s="101">
        <v>0</v>
      </c>
      <c r="E22" s="101">
        <v>0</v>
      </c>
      <c r="F22" s="101">
        <v>0</v>
      </c>
      <c r="G22" s="101">
        <v>0</v>
      </c>
      <c r="H22" s="101">
        <v>4</v>
      </c>
      <c r="I22" s="101">
        <v>40</v>
      </c>
      <c r="J22" s="101">
        <v>0</v>
      </c>
    </row>
    <row r="23" spans="1:11" ht="15" x14ac:dyDescent="0.2">
      <c r="A23" t="s">
        <v>83</v>
      </c>
      <c r="B23" s="102" t="s">
        <v>160</v>
      </c>
      <c r="C23" s="100">
        <f t="shared" si="1"/>
        <v>10</v>
      </c>
      <c r="D23" s="103">
        <v>0</v>
      </c>
      <c r="E23" s="103">
        <v>0</v>
      </c>
      <c r="F23" s="101">
        <v>0</v>
      </c>
      <c r="G23" s="101">
        <v>0</v>
      </c>
      <c r="H23" s="101">
        <v>0</v>
      </c>
      <c r="I23" s="101">
        <v>0</v>
      </c>
      <c r="J23" s="101">
        <v>0</v>
      </c>
    </row>
    <row r="24" spans="1:11" ht="15" x14ac:dyDescent="0.2">
      <c r="A24" t="s">
        <v>83</v>
      </c>
      <c r="B24" s="99" t="s">
        <v>161</v>
      </c>
      <c r="C24" s="100">
        <f t="shared" si="1"/>
        <v>11</v>
      </c>
      <c r="D24" s="101">
        <v>0</v>
      </c>
      <c r="E24" s="101">
        <v>0</v>
      </c>
      <c r="F24" s="101">
        <v>0</v>
      </c>
      <c r="G24" s="101">
        <v>0</v>
      </c>
      <c r="H24" s="101">
        <v>0</v>
      </c>
      <c r="I24" s="101">
        <v>0</v>
      </c>
      <c r="J24" s="101">
        <v>0</v>
      </c>
    </row>
    <row r="25" spans="1:11" ht="15" x14ac:dyDescent="0.2">
      <c r="A25" t="s">
        <v>83</v>
      </c>
      <c r="B25" s="102" t="s">
        <v>162</v>
      </c>
      <c r="C25" s="100">
        <f t="shared" si="1"/>
        <v>12</v>
      </c>
      <c r="D25" s="103">
        <v>0</v>
      </c>
      <c r="E25" s="103">
        <v>0</v>
      </c>
      <c r="F25" s="101">
        <v>0</v>
      </c>
      <c r="G25" s="101">
        <v>0</v>
      </c>
      <c r="H25" s="101">
        <v>0</v>
      </c>
      <c r="I25" s="101">
        <v>0</v>
      </c>
      <c r="J25" s="101">
        <v>0</v>
      </c>
    </row>
    <row r="26" spans="1:11" ht="15" x14ac:dyDescent="0.2">
      <c r="A26" t="s">
        <v>94</v>
      </c>
      <c r="B26" s="99" t="s">
        <v>151</v>
      </c>
      <c r="C26" s="100">
        <f t="shared" si="1"/>
        <v>1</v>
      </c>
      <c r="D26" s="101">
        <v>2</v>
      </c>
      <c r="E26" s="101">
        <v>14</v>
      </c>
      <c r="F26" s="101">
        <v>0</v>
      </c>
      <c r="G26" s="101">
        <v>0</v>
      </c>
      <c r="H26" s="101">
        <v>0</v>
      </c>
      <c r="I26" s="101">
        <v>0</v>
      </c>
      <c r="J26" s="101">
        <v>1</v>
      </c>
    </row>
    <row r="27" spans="1:11" ht="15" x14ac:dyDescent="0.2">
      <c r="A27" t="s">
        <v>94</v>
      </c>
      <c r="B27" s="102" t="s">
        <v>152</v>
      </c>
      <c r="C27" s="100">
        <f t="shared" si="1"/>
        <v>2</v>
      </c>
      <c r="D27" s="103">
        <v>0</v>
      </c>
      <c r="E27" s="103">
        <v>0</v>
      </c>
      <c r="F27" s="101">
        <v>0</v>
      </c>
      <c r="G27" s="101">
        <v>0</v>
      </c>
      <c r="H27" s="101">
        <v>0</v>
      </c>
      <c r="I27" s="101">
        <v>0</v>
      </c>
      <c r="J27" s="101">
        <v>0</v>
      </c>
    </row>
    <row r="28" spans="1:11" ht="15" x14ac:dyDescent="0.2">
      <c r="A28" t="s">
        <v>94</v>
      </c>
      <c r="B28" s="99" t="s">
        <v>153</v>
      </c>
      <c r="C28" s="100">
        <f t="shared" si="1"/>
        <v>3</v>
      </c>
      <c r="D28" s="101">
        <v>0</v>
      </c>
      <c r="E28" s="101">
        <v>0</v>
      </c>
      <c r="F28" s="101">
        <v>0</v>
      </c>
      <c r="G28" s="101">
        <v>0</v>
      </c>
      <c r="H28" s="101">
        <v>0</v>
      </c>
      <c r="I28" s="101">
        <v>0</v>
      </c>
      <c r="J28" s="101">
        <v>0</v>
      </c>
    </row>
    <row r="29" spans="1:11" ht="15" x14ac:dyDescent="0.2">
      <c r="A29" t="s">
        <v>94</v>
      </c>
      <c r="B29" s="102" t="s">
        <v>154</v>
      </c>
      <c r="C29" s="100">
        <f t="shared" si="1"/>
        <v>4</v>
      </c>
      <c r="D29" s="103">
        <v>4</v>
      </c>
      <c r="E29" s="103">
        <v>28</v>
      </c>
      <c r="F29" s="101">
        <v>0</v>
      </c>
      <c r="G29" s="101">
        <v>0</v>
      </c>
      <c r="H29" s="101">
        <v>0</v>
      </c>
      <c r="I29" s="101">
        <v>0</v>
      </c>
      <c r="J29" s="101">
        <v>1</v>
      </c>
    </row>
    <row r="30" spans="1:11" ht="15" x14ac:dyDescent="0.2">
      <c r="A30" t="s">
        <v>94</v>
      </c>
      <c r="B30" s="99" t="s">
        <v>155</v>
      </c>
      <c r="C30" s="100">
        <f t="shared" si="1"/>
        <v>5</v>
      </c>
      <c r="D30" s="101">
        <v>0</v>
      </c>
      <c r="E30" s="101">
        <v>0</v>
      </c>
      <c r="F30" s="101">
        <v>0</v>
      </c>
      <c r="G30" s="101">
        <v>0</v>
      </c>
      <c r="H30" s="101">
        <v>3</v>
      </c>
      <c r="I30" s="101">
        <v>21</v>
      </c>
      <c r="J30" s="101">
        <v>0</v>
      </c>
    </row>
    <row r="31" spans="1:11" ht="15" x14ac:dyDescent="0.2">
      <c r="A31" t="s">
        <v>94</v>
      </c>
      <c r="B31" s="102" t="s">
        <v>156</v>
      </c>
      <c r="C31" s="100">
        <f t="shared" si="1"/>
        <v>6</v>
      </c>
      <c r="D31" s="103">
        <v>4</v>
      </c>
      <c r="E31" s="103">
        <v>28</v>
      </c>
      <c r="F31" s="101">
        <v>1</v>
      </c>
      <c r="G31" s="101">
        <v>2</v>
      </c>
      <c r="H31" s="101">
        <v>0</v>
      </c>
      <c r="I31" s="101">
        <v>0</v>
      </c>
      <c r="J31" s="101">
        <v>1</v>
      </c>
    </row>
    <row r="32" spans="1:11" ht="15" x14ac:dyDescent="0.2">
      <c r="A32" t="s">
        <v>94</v>
      </c>
      <c r="B32" s="99" t="s">
        <v>157</v>
      </c>
      <c r="C32" s="100">
        <f t="shared" si="1"/>
        <v>7</v>
      </c>
      <c r="D32" s="101">
        <v>0</v>
      </c>
      <c r="E32" s="101">
        <v>0</v>
      </c>
      <c r="F32" s="101">
        <v>0</v>
      </c>
      <c r="G32" s="101">
        <v>0</v>
      </c>
      <c r="H32" s="101">
        <v>0</v>
      </c>
      <c r="I32" s="101">
        <v>0</v>
      </c>
      <c r="J32" s="101">
        <v>0</v>
      </c>
    </row>
    <row r="33" spans="1:10" ht="15" x14ac:dyDescent="0.2">
      <c r="A33" t="s">
        <v>94</v>
      </c>
      <c r="B33" s="102" t="s">
        <v>158</v>
      </c>
      <c r="C33" s="100">
        <f t="shared" si="1"/>
        <v>8</v>
      </c>
      <c r="D33" s="103">
        <v>0</v>
      </c>
      <c r="E33" s="103">
        <v>0</v>
      </c>
      <c r="F33" s="101">
        <v>0</v>
      </c>
      <c r="G33" s="101">
        <v>0</v>
      </c>
      <c r="H33" s="101">
        <v>0</v>
      </c>
      <c r="I33" s="101">
        <v>0</v>
      </c>
      <c r="J33" s="101">
        <v>0</v>
      </c>
    </row>
    <row r="34" spans="1:10" ht="15" x14ac:dyDescent="0.2">
      <c r="A34" t="s">
        <v>94</v>
      </c>
      <c r="B34" s="99" t="s">
        <v>159</v>
      </c>
      <c r="C34" s="100">
        <f t="shared" si="1"/>
        <v>9</v>
      </c>
      <c r="D34" s="101">
        <v>3</v>
      </c>
      <c r="E34" s="101">
        <v>21</v>
      </c>
      <c r="F34" s="101">
        <v>0</v>
      </c>
      <c r="G34" s="101">
        <v>0</v>
      </c>
      <c r="H34" s="101">
        <v>0</v>
      </c>
      <c r="I34" s="101">
        <v>0</v>
      </c>
      <c r="J34" s="101">
        <v>1</v>
      </c>
    </row>
    <row r="35" spans="1:10" ht="15" x14ac:dyDescent="0.2">
      <c r="A35" t="s">
        <v>94</v>
      </c>
      <c r="B35" s="102" t="s">
        <v>160</v>
      </c>
      <c r="C35" s="100">
        <f t="shared" si="1"/>
        <v>10</v>
      </c>
      <c r="D35" s="103">
        <v>0</v>
      </c>
      <c r="E35" s="103">
        <v>0</v>
      </c>
      <c r="F35" s="101">
        <v>0</v>
      </c>
      <c r="G35" s="101">
        <v>0</v>
      </c>
      <c r="H35" s="101">
        <v>0</v>
      </c>
      <c r="I35" s="101">
        <v>0</v>
      </c>
      <c r="J35" s="101">
        <v>0</v>
      </c>
    </row>
    <row r="36" spans="1:10" ht="15" x14ac:dyDescent="0.2">
      <c r="A36" t="s">
        <v>94</v>
      </c>
      <c r="B36" s="99" t="s">
        <v>161</v>
      </c>
      <c r="C36" s="100">
        <f t="shared" si="1"/>
        <v>11</v>
      </c>
      <c r="D36" s="101">
        <v>0</v>
      </c>
      <c r="E36" s="101">
        <v>0</v>
      </c>
      <c r="F36" s="101">
        <v>0</v>
      </c>
      <c r="G36" s="101">
        <v>0</v>
      </c>
      <c r="H36" s="101">
        <v>0</v>
      </c>
      <c r="I36" s="101">
        <v>0</v>
      </c>
      <c r="J36" s="101">
        <v>0</v>
      </c>
    </row>
    <row r="37" spans="1:10" ht="15" x14ac:dyDescent="0.2">
      <c r="A37" t="s">
        <v>94</v>
      </c>
      <c r="B37" s="102" t="s">
        <v>162</v>
      </c>
      <c r="C37" s="100">
        <f t="shared" si="1"/>
        <v>12</v>
      </c>
      <c r="D37" s="103">
        <v>0</v>
      </c>
      <c r="E37" s="103">
        <v>0</v>
      </c>
      <c r="F37" s="101">
        <v>0</v>
      </c>
      <c r="G37" s="101">
        <v>0</v>
      </c>
      <c r="H37" s="101">
        <v>0</v>
      </c>
      <c r="I37" s="101">
        <v>0</v>
      </c>
      <c r="J37" s="101">
        <v>0</v>
      </c>
    </row>
    <row r="38" spans="1:10" ht="15" x14ac:dyDescent="0.2">
      <c r="A38" t="s">
        <v>55</v>
      </c>
      <c r="B38" s="99" t="s">
        <v>151</v>
      </c>
      <c r="C38" s="100">
        <f t="shared" si="1"/>
        <v>1</v>
      </c>
      <c r="D38" s="101">
        <v>0</v>
      </c>
      <c r="E38" s="101">
        <v>0</v>
      </c>
      <c r="F38" s="101">
        <v>0</v>
      </c>
      <c r="G38" s="101">
        <v>0</v>
      </c>
      <c r="H38" s="101">
        <v>2</v>
      </c>
      <c r="I38" s="101">
        <v>10</v>
      </c>
      <c r="J38" s="101">
        <v>0</v>
      </c>
    </row>
    <row r="39" spans="1:10" ht="15" x14ac:dyDescent="0.2">
      <c r="A39" t="s">
        <v>55</v>
      </c>
      <c r="B39" s="102" t="s">
        <v>152</v>
      </c>
      <c r="C39" s="100">
        <f t="shared" si="1"/>
        <v>2</v>
      </c>
      <c r="D39" s="103">
        <v>2</v>
      </c>
      <c r="E39" s="103">
        <v>10</v>
      </c>
      <c r="F39" s="101">
        <v>0</v>
      </c>
      <c r="G39" s="101">
        <v>0</v>
      </c>
      <c r="H39" s="101">
        <v>2</v>
      </c>
      <c r="I39" s="101">
        <v>10</v>
      </c>
      <c r="J39" s="101">
        <v>1</v>
      </c>
    </row>
    <row r="40" spans="1:10" ht="15" x14ac:dyDescent="0.2">
      <c r="A40" t="s">
        <v>55</v>
      </c>
      <c r="B40" s="99" t="s">
        <v>153</v>
      </c>
      <c r="C40" s="100">
        <f t="shared" si="1"/>
        <v>3</v>
      </c>
      <c r="D40" s="101">
        <v>3</v>
      </c>
      <c r="E40" s="101">
        <v>15</v>
      </c>
      <c r="F40" s="101">
        <v>0</v>
      </c>
      <c r="G40" s="101">
        <v>0</v>
      </c>
      <c r="H40" s="101">
        <v>0</v>
      </c>
      <c r="I40" s="101">
        <v>0</v>
      </c>
      <c r="J40" s="101">
        <v>2</v>
      </c>
    </row>
    <row r="41" spans="1:10" ht="15" x14ac:dyDescent="0.2">
      <c r="A41" t="s">
        <v>55</v>
      </c>
      <c r="B41" s="102" t="s">
        <v>154</v>
      </c>
      <c r="C41" s="100">
        <f t="shared" si="1"/>
        <v>4</v>
      </c>
      <c r="D41" s="103">
        <v>3</v>
      </c>
      <c r="E41" s="103">
        <v>15</v>
      </c>
      <c r="F41" s="101">
        <v>0</v>
      </c>
      <c r="G41" s="101">
        <v>0</v>
      </c>
      <c r="H41" s="101">
        <v>0</v>
      </c>
      <c r="I41" s="101">
        <v>0</v>
      </c>
      <c r="J41" s="101">
        <v>1</v>
      </c>
    </row>
    <row r="42" spans="1:10" ht="15" x14ac:dyDescent="0.2">
      <c r="A42" t="s">
        <v>55</v>
      </c>
      <c r="B42" s="99" t="s">
        <v>155</v>
      </c>
      <c r="C42" s="100">
        <f t="shared" si="1"/>
        <v>5</v>
      </c>
      <c r="D42" s="101">
        <v>0</v>
      </c>
      <c r="E42" s="101">
        <v>0</v>
      </c>
      <c r="F42" s="101">
        <v>0</v>
      </c>
      <c r="G42" s="101">
        <v>0</v>
      </c>
      <c r="H42" s="101">
        <v>10</v>
      </c>
      <c r="I42" s="101">
        <v>52</v>
      </c>
      <c r="J42" s="101">
        <v>0</v>
      </c>
    </row>
    <row r="43" spans="1:10" ht="15" x14ac:dyDescent="0.2">
      <c r="A43" t="s">
        <v>55</v>
      </c>
      <c r="B43" s="102" t="s">
        <v>156</v>
      </c>
      <c r="C43" s="100">
        <f t="shared" si="1"/>
        <v>6</v>
      </c>
      <c r="D43" s="103">
        <v>2</v>
      </c>
      <c r="E43" s="103">
        <v>10</v>
      </c>
      <c r="F43" s="101">
        <v>0</v>
      </c>
      <c r="G43" s="101">
        <v>0</v>
      </c>
      <c r="H43" s="101">
        <v>0</v>
      </c>
      <c r="I43" s="101">
        <v>0</v>
      </c>
      <c r="J43" s="101">
        <v>1</v>
      </c>
    </row>
    <row r="44" spans="1:10" ht="15" x14ac:dyDescent="0.2">
      <c r="A44" t="s">
        <v>55</v>
      </c>
      <c r="B44" s="99" t="s">
        <v>157</v>
      </c>
      <c r="C44" s="100">
        <f t="shared" si="1"/>
        <v>7</v>
      </c>
      <c r="D44" s="101">
        <v>2</v>
      </c>
      <c r="E44" s="101">
        <v>10</v>
      </c>
      <c r="F44" s="101">
        <v>0</v>
      </c>
      <c r="G44" s="101">
        <v>0</v>
      </c>
      <c r="H44" s="101">
        <v>0</v>
      </c>
      <c r="I44" s="101">
        <v>0</v>
      </c>
      <c r="J44" s="101">
        <v>1</v>
      </c>
    </row>
    <row r="45" spans="1:10" ht="15" x14ac:dyDescent="0.2">
      <c r="A45" t="s">
        <v>55</v>
      </c>
      <c r="B45" s="102" t="s">
        <v>158</v>
      </c>
      <c r="C45" s="100">
        <f t="shared" si="1"/>
        <v>8</v>
      </c>
      <c r="D45" s="103">
        <v>0</v>
      </c>
      <c r="E45" s="103">
        <v>0</v>
      </c>
      <c r="F45" s="101">
        <v>0</v>
      </c>
      <c r="G45" s="101">
        <v>0</v>
      </c>
      <c r="H45" s="101">
        <v>0</v>
      </c>
      <c r="I45" s="101">
        <v>0</v>
      </c>
      <c r="J45" s="101">
        <v>0</v>
      </c>
    </row>
    <row r="46" spans="1:10" ht="15" x14ac:dyDescent="0.2">
      <c r="A46" t="s">
        <v>55</v>
      </c>
      <c r="B46" s="99" t="s">
        <v>159</v>
      </c>
      <c r="C46" s="100">
        <f t="shared" si="1"/>
        <v>9</v>
      </c>
      <c r="D46" s="101">
        <v>2</v>
      </c>
      <c r="E46" s="101">
        <v>10</v>
      </c>
      <c r="F46" s="101">
        <v>0</v>
      </c>
      <c r="G46" s="101">
        <v>0</v>
      </c>
      <c r="H46" s="101">
        <v>0</v>
      </c>
      <c r="I46" s="101">
        <v>0</v>
      </c>
      <c r="J46" s="101">
        <v>1</v>
      </c>
    </row>
    <row r="47" spans="1:10" ht="15" x14ac:dyDescent="0.2">
      <c r="A47" t="s">
        <v>55</v>
      </c>
      <c r="B47" s="102" t="s">
        <v>160</v>
      </c>
      <c r="C47" s="100">
        <f t="shared" si="1"/>
        <v>10</v>
      </c>
      <c r="D47" s="103">
        <v>0</v>
      </c>
      <c r="E47" s="103">
        <v>0</v>
      </c>
      <c r="F47" s="101">
        <v>0</v>
      </c>
      <c r="G47" s="101">
        <v>0</v>
      </c>
      <c r="H47" s="101">
        <v>0</v>
      </c>
      <c r="I47" s="101">
        <v>0</v>
      </c>
      <c r="J47" s="101">
        <v>0</v>
      </c>
    </row>
    <row r="48" spans="1:10" ht="15" x14ac:dyDescent="0.2">
      <c r="A48" t="s">
        <v>55</v>
      </c>
      <c r="B48" s="99" t="s">
        <v>161</v>
      </c>
      <c r="C48" s="100">
        <f t="shared" si="1"/>
        <v>11</v>
      </c>
      <c r="D48" s="101">
        <v>0</v>
      </c>
      <c r="E48" s="101">
        <v>0</v>
      </c>
      <c r="F48" s="101">
        <v>0</v>
      </c>
      <c r="G48" s="101">
        <v>0</v>
      </c>
      <c r="H48" s="101">
        <v>0</v>
      </c>
      <c r="I48" s="101">
        <v>0</v>
      </c>
      <c r="J48" s="101">
        <v>0</v>
      </c>
    </row>
    <row r="49" spans="1:10" ht="15" x14ac:dyDescent="0.2">
      <c r="A49" t="s">
        <v>55</v>
      </c>
      <c r="B49" s="102" t="s">
        <v>162</v>
      </c>
      <c r="C49" s="100">
        <f t="shared" si="1"/>
        <v>12</v>
      </c>
      <c r="D49" s="103">
        <v>0</v>
      </c>
      <c r="E49" s="103">
        <v>0</v>
      </c>
      <c r="F49" s="101">
        <v>0</v>
      </c>
      <c r="G49" s="101">
        <v>0</v>
      </c>
      <c r="H49" s="101">
        <v>0</v>
      </c>
      <c r="I49" s="101">
        <v>0</v>
      </c>
      <c r="J49" s="101">
        <v>0</v>
      </c>
    </row>
    <row r="50" spans="1:10" ht="15" x14ac:dyDescent="0.2">
      <c r="A50" t="s">
        <v>142</v>
      </c>
      <c r="B50" s="99" t="s">
        <v>151</v>
      </c>
      <c r="C50" s="100">
        <f t="shared" si="1"/>
        <v>1</v>
      </c>
      <c r="D50" s="101">
        <v>1</v>
      </c>
      <c r="E50" s="101">
        <v>3</v>
      </c>
      <c r="F50" s="101">
        <v>0</v>
      </c>
      <c r="G50" s="101">
        <v>0</v>
      </c>
      <c r="H50" s="101">
        <v>5</v>
      </c>
      <c r="I50" s="101">
        <v>17</v>
      </c>
      <c r="J50" s="101">
        <v>1</v>
      </c>
    </row>
    <row r="51" spans="1:10" ht="15" x14ac:dyDescent="0.2">
      <c r="A51" t="s">
        <v>142</v>
      </c>
      <c r="B51" s="102" t="s">
        <v>152</v>
      </c>
      <c r="C51" s="100">
        <f t="shared" si="1"/>
        <v>2</v>
      </c>
      <c r="D51" s="103">
        <v>3</v>
      </c>
      <c r="E51" s="103">
        <v>10</v>
      </c>
      <c r="F51" s="101">
        <v>0</v>
      </c>
      <c r="G51" s="101">
        <v>0</v>
      </c>
      <c r="H51" s="101">
        <v>5</v>
      </c>
      <c r="I51" s="101">
        <v>17</v>
      </c>
      <c r="J51" s="101">
        <v>3</v>
      </c>
    </row>
    <row r="52" spans="1:10" ht="15" x14ac:dyDescent="0.2">
      <c r="A52" t="s">
        <v>142</v>
      </c>
      <c r="B52" s="99" t="s">
        <v>153</v>
      </c>
      <c r="C52" s="100">
        <f t="shared" si="1"/>
        <v>3</v>
      </c>
      <c r="D52" s="101">
        <v>1</v>
      </c>
      <c r="E52" s="101">
        <v>3</v>
      </c>
      <c r="F52" s="101">
        <v>0</v>
      </c>
      <c r="G52" s="101">
        <v>0</v>
      </c>
      <c r="H52" s="101">
        <v>0</v>
      </c>
      <c r="I52" s="101">
        <v>0</v>
      </c>
      <c r="J52" s="101">
        <v>1</v>
      </c>
    </row>
    <row r="53" spans="1:10" ht="15" x14ac:dyDescent="0.2">
      <c r="A53" t="s">
        <v>142</v>
      </c>
      <c r="B53" s="102" t="s">
        <v>154</v>
      </c>
      <c r="C53" s="100">
        <f t="shared" si="1"/>
        <v>4</v>
      </c>
      <c r="D53" s="103">
        <v>0</v>
      </c>
      <c r="E53" s="103">
        <v>0</v>
      </c>
      <c r="F53" s="101">
        <v>0</v>
      </c>
      <c r="G53" s="101">
        <v>0</v>
      </c>
      <c r="H53" s="101">
        <v>0</v>
      </c>
      <c r="I53" s="101">
        <v>0</v>
      </c>
      <c r="J53" s="101">
        <v>0</v>
      </c>
    </row>
    <row r="54" spans="1:10" ht="15" x14ac:dyDescent="0.2">
      <c r="A54" t="s">
        <v>142</v>
      </c>
      <c r="B54" s="99" t="s">
        <v>155</v>
      </c>
      <c r="C54" s="100">
        <f t="shared" si="1"/>
        <v>5</v>
      </c>
      <c r="D54" s="101">
        <v>4</v>
      </c>
      <c r="E54" s="101">
        <v>13</v>
      </c>
      <c r="F54" s="101">
        <v>0</v>
      </c>
      <c r="G54" s="101">
        <v>0</v>
      </c>
      <c r="H54" s="101">
        <v>28</v>
      </c>
      <c r="I54" s="101">
        <v>96</v>
      </c>
      <c r="J54" s="101">
        <v>2</v>
      </c>
    </row>
    <row r="55" spans="1:10" ht="15" x14ac:dyDescent="0.2">
      <c r="A55" t="s">
        <v>142</v>
      </c>
      <c r="B55" s="102" t="s">
        <v>156</v>
      </c>
      <c r="C55" s="100">
        <f t="shared" si="1"/>
        <v>6</v>
      </c>
      <c r="D55" s="103">
        <v>2</v>
      </c>
      <c r="E55" s="103">
        <v>6</v>
      </c>
      <c r="F55" s="101">
        <v>0</v>
      </c>
      <c r="G55" s="101">
        <v>0</v>
      </c>
      <c r="H55" s="101">
        <v>0</v>
      </c>
      <c r="I55" s="101">
        <v>0</v>
      </c>
      <c r="J55" s="101">
        <v>1</v>
      </c>
    </row>
    <row r="56" spans="1:10" ht="15" x14ac:dyDescent="0.2">
      <c r="A56" t="s">
        <v>142</v>
      </c>
      <c r="B56" s="99" t="s">
        <v>157</v>
      </c>
      <c r="C56" s="100">
        <f t="shared" si="1"/>
        <v>7</v>
      </c>
      <c r="D56" s="101">
        <v>0</v>
      </c>
      <c r="E56" s="101">
        <v>0</v>
      </c>
      <c r="F56" s="101">
        <v>0</v>
      </c>
      <c r="G56" s="101">
        <v>0</v>
      </c>
      <c r="H56" s="101">
        <v>0</v>
      </c>
      <c r="I56" s="101">
        <v>0</v>
      </c>
      <c r="J56" s="101">
        <v>0</v>
      </c>
    </row>
    <row r="57" spans="1:10" ht="15" x14ac:dyDescent="0.2">
      <c r="A57" t="s">
        <v>142</v>
      </c>
      <c r="B57" s="102" t="s">
        <v>158</v>
      </c>
      <c r="C57" s="100">
        <f t="shared" si="1"/>
        <v>8</v>
      </c>
      <c r="D57" s="103">
        <v>13</v>
      </c>
      <c r="E57" s="103">
        <v>44</v>
      </c>
      <c r="F57" s="101">
        <v>1</v>
      </c>
      <c r="G57" s="101">
        <v>0</v>
      </c>
      <c r="H57" s="101">
        <v>0</v>
      </c>
      <c r="I57" s="101">
        <v>0</v>
      </c>
      <c r="J57" s="101">
        <v>7</v>
      </c>
    </row>
    <row r="58" spans="1:10" ht="15" x14ac:dyDescent="0.2">
      <c r="A58" t="s">
        <v>142</v>
      </c>
      <c r="B58" s="99" t="s">
        <v>159</v>
      </c>
      <c r="C58" s="100">
        <f t="shared" si="1"/>
        <v>9</v>
      </c>
      <c r="D58" s="101">
        <v>8</v>
      </c>
      <c r="E58" s="101">
        <v>27</v>
      </c>
      <c r="F58" s="101">
        <v>0</v>
      </c>
      <c r="G58" s="101">
        <v>0</v>
      </c>
      <c r="H58" s="101">
        <v>0</v>
      </c>
      <c r="I58" s="101">
        <v>0</v>
      </c>
      <c r="J58" s="101">
        <v>4</v>
      </c>
    </row>
    <row r="59" spans="1:10" ht="15" x14ac:dyDescent="0.2">
      <c r="A59" t="s">
        <v>142</v>
      </c>
      <c r="B59" s="102" t="s">
        <v>160</v>
      </c>
      <c r="C59" s="100">
        <f t="shared" si="1"/>
        <v>10</v>
      </c>
      <c r="D59" s="103">
        <v>0</v>
      </c>
      <c r="E59" s="103">
        <v>0</v>
      </c>
      <c r="F59" s="101">
        <v>0</v>
      </c>
      <c r="G59" s="101">
        <v>0</v>
      </c>
      <c r="H59" s="101">
        <v>0</v>
      </c>
      <c r="I59" s="101">
        <v>0</v>
      </c>
      <c r="J59" s="101">
        <v>0</v>
      </c>
    </row>
    <row r="60" spans="1:10" ht="15" x14ac:dyDescent="0.2">
      <c r="A60" t="s">
        <v>142</v>
      </c>
      <c r="B60" s="99" t="s">
        <v>161</v>
      </c>
      <c r="C60" s="100">
        <f t="shared" si="1"/>
        <v>11</v>
      </c>
      <c r="D60" s="101">
        <v>0</v>
      </c>
      <c r="E60" s="101">
        <v>0</v>
      </c>
      <c r="F60" s="101">
        <v>0</v>
      </c>
      <c r="G60" s="101">
        <v>0</v>
      </c>
      <c r="H60" s="101">
        <v>0</v>
      </c>
      <c r="I60" s="101">
        <v>0</v>
      </c>
      <c r="J60" s="101">
        <v>0</v>
      </c>
    </row>
    <row r="61" spans="1:10" ht="15" x14ac:dyDescent="0.2">
      <c r="A61" t="s">
        <v>142</v>
      </c>
      <c r="B61" s="102" t="s">
        <v>162</v>
      </c>
      <c r="C61" s="100">
        <f t="shared" si="1"/>
        <v>12</v>
      </c>
      <c r="D61" s="103">
        <v>0</v>
      </c>
      <c r="E61" s="103">
        <v>0</v>
      </c>
      <c r="F61" s="101">
        <v>0</v>
      </c>
      <c r="G61" s="101">
        <v>0</v>
      </c>
      <c r="H61" s="101">
        <v>0</v>
      </c>
      <c r="I61" s="101">
        <v>0</v>
      </c>
      <c r="J61" s="101">
        <v>0</v>
      </c>
    </row>
    <row r="62" spans="1:10" ht="15" x14ac:dyDescent="0.2">
      <c r="A62" t="s">
        <v>65</v>
      </c>
      <c r="B62" s="99" t="s">
        <v>151</v>
      </c>
      <c r="C62" s="100">
        <f t="shared" si="1"/>
        <v>1</v>
      </c>
      <c r="D62" s="101">
        <v>5</v>
      </c>
      <c r="E62" s="101">
        <v>23</v>
      </c>
      <c r="F62" s="101">
        <v>0</v>
      </c>
      <c r="G62" s="101">
        <v>0</v>
      </c>
      <c r="H62" s="101">
        <v>0</v>
      </c>
      <c r="I62" s="101">
        <v>0</v>
      </c>
      <c r="J62" s="101">
        <v>1</v>
      </c>
    </row>
    <row r="63" spans="1:10" ht="15" x14ac:dyDescent="0.2">
      <c r="A63" t="s">
        <v>65</v>
      </c>
      <c r="B63" s="102" t="s">
        <v>152</v>
      </c>
      <c r="C63" s="100">
        <f t="shared" si="1"/>
        <v>2</v>
      </c>
      <c r="D63" s="103">
        <v>0</v>
      </c>
      <c r="E63" s="103">
        <v>0</v>
      </c>
      <c r="F63" s="101">
        <v>0</v>
      </c>
      <c r="G63" s="101">
        <v>0</v>
      </c>
      <c r="H63" s="101">
        <v>0</v>
      </c>
      <c r="I63" s="101">
        <v>0</v>
      </c>
      <c r="J63" s="101">
        <v>0</v>
      </c>
    </row>
    <row r="64" spans="1:10" ht="15" x14ac:dyDescent="0.2">
      <c r="A64" t="s">
        <v>65</v>
      </c>
      <c r="B64" s="99" t="s">
        <v>153</v>
      </c>
      <c r="C64" s="100">
        <f t="shared" si="1"/>
        <v>3</v>
      </c>
      <c r="D64" s="101">
        <v>5</v>
      </c>
      <c r="E64" s="101">
        <v>23</v>
      </c>
      <c r="F64" s="101">
        <v>0</v>
      </c>
      <c r="G64" s="101">
        <v>0</v>
      </c>
      <c r="H64" s="101">
        <v>0</v>
      </c>
      <c r="I64" s="101">
        <v>0</v>
      </c>
      <c r="J64" s="101">
        <v>1</v>
      </c>
    </row>
    <row r="65" spans="1:10" ht="15" x14ac:dyDescent="0.2">
      <c r="A65" t="s">
        <v>65</v>
      </c>
      <c r="B65" s="102" t="s">
        <v>154</v>
      </c>
      <c r="C65" s="100">
        <f t="shared" si="1"/>
        <v>4</v>
      </c>
      <c r="D65" s="103">
        <v>0</v>
      </c>
      <c r="E65" s="103">
        <v>0</v>
      </c>
      <c r="F65" s="101">
        <v>0</v>
      </c>
      <c r="G65" s="101">
        <v>0</v>
      </c>
      <c r="H65" s="101">
        <v>0</v>
      </c>
      <c r="I65" s="101">
        <v>0</v>
      </c>
      <c r="J65" s="101">
        <v>0</v>
      </c>
    </row>
    <row r="66" spans="1:10" ht="15" x14ac:dyDescent="0.2">
      <c r="A66" t="s">
        <v>65</v>
      </c>
      <c r="B66" s="99" t="s">
        <v>155</v>
      </c>
      <c r="C66" s="100">
        <f t="shared" si="1"/>
        <v>5</v>
      </c>
      <c r="D66" s="101">
        <v>0</v>
      </c>
      <c r="E66" s="101">
        <v>0</v>
      </c>
      <c r="F66" s="101">
        <v>0</v>
      </c>
      <c r="G66" s="101">
        <v>0</v>
      </c>
      <c r="H66" s="101">
        <v>0</v>
      </c>
      <c r="I66" s="101">
        <v>0</v>
      </c>
      <c r="J66" s="101">
        <v>0</v>
      </c>
    </row>
    <row r="67" spans="1:10" ht="15" x14ac:dyDescent="0.2">
      <c r="A67" t="s">
        <v>65</v>
      </c>
      <c r="B67" s="102" t="s">
        <v>156</v>
      </c>
      <c r="C67" s="100">
        <f t="shared" si="1"/>
        <v>6</v>
      </c>
      <c r="D67" s="103">
        <v>4</v>
      </c>
      <c r="E67" s="103">
        <v>19</v>
      </c>
      <c r="F67" s="101">
        <v>1</v>
      </c>
      <c r="G67" s="101">
        <v>2</v>
      </c>
      <c r="H67" s="101">
        <v>0</v>
      </c>
      <c r="I67" s="101">
        <v>0</v>
      </c>
      <c r="J67" s="101">
        <v>1</v>
      </c>
    </row>
    <row r="68" spans="1:10" ht="15" x14ac:dyDescent="0.2">
      <c r="A68" t="s">
        <v>65</v>
      </c>
      <c r="B68" s="99" t="s">
        <v>157</v>
      </c>
      <c r="C68" s="100">
        <f t="shared" si="1"/>
        <v>7</v>
      </c>
      <c r="D68" s="101">
        <v>4</v>
      </c>
      <c r="E68" s="101">
        <v>19</v>
      </c>
      <c r="F68" s="101">
        <v>1</v>
      </c>
      <c r="G68" s="101">
        <v>2</v>
      </c>
      <c r="H68" s="101">
        <v>0</v>
      </c>
      <c r="I68" s="101">
        <v>0</v>
      </c>
      <c r="J68" s="101">
        <v>2</v>
      </c>
    </row>
    <row r="69" spans="1:10" ht="15" x14ac:dyDescent="0.2">
      <c r="A69" t="s">
        <v>65</v>
      </c>
      <c r="B69" s="102" t="s">
        <v>158</v>
      </c>
      <c r="C69" s="100">
        <f t="shared" si="1"/>
        <v>8</v>
      </c>
      <c r="D69" s="103">
        <v>2</v>
      </c>
      <c r="E69" s="103">
        <v>9</v>
      </c>
      <c r="F69" s="101">
        <v>0</v>
      </c>
      <c r="G69" s="101">
        <v>0</v>
      </c>
      <c r="H69" s="101">
        <v>0</v>
      </c>
      <c r="I69" s="101">
        <v>0</v>
      </c>
      <c r="J69" s="101">
        <v>1</v>
      </c>
    </row>
    <row r="70" spans="1:10" ht="15" x14ac:dyDescent="0.2">
      <c r="A70" t="s">
        <v>65</v>
      </c>
      <c r="B70" s="99" t="s">
        <v>159</v>
      </c>
      <c r="C70" s="100">
        <f t="shared" si="1"/>
        <v>9</v>
      </c>
      <c r="D70" s="101">
        <v>11</v>
      </c>
      <c r="E70" s="101">
        <v>52</v>
      </c>
      <c r="F70" s="101">
        <v>2</v>
      </c>
      <c r="G70" s="101">
        <v>4</v>
      </c>
      <c r="H70" s="101">
        <v>15</v>
      </c>
      <c r="I70" s="101">
        <v>71</v>
      </c>
      <c r="J70" s="101">
        <v>2</v>
      </c>
    </row>
    <row r="71" spans="1:10" ht="15" x14ac:dyDescent="0.2">
      <c r="A71" t="s">
        <v>65</v>
      </c>
      <c r="B71" s="102" t="s">
        <v>160</v>
      </c>
      <c r="C71" s="100">
        <f t="shared" si="1"/>
        <v>10</v>
      </c>
      <c r="D71" s="103">
        <v>0</v>
      </c>
      <c r="E71" s="103">
        <v>0</v>
      </c>
      <c r="F71" s="101">
        <v>0</v>
      </c>
      <c r="G71" s="101">
        <v>0</v>
      </c>
      <c r="H71" s="101">
        <v>0</v>
      </c>
      <c r="I71" s="101">
        <v>0</v>
      </c>
      <c r="J71" s="101">
        <v>0</v>
      </c>
    </row>
    <row r="72" spans="1:10" ht="15" x14ac:dyDescent="0.2">
      <c r="A72" t="s">
        <v>65</v>
      </c>
      <c r="B72" s="99" t="s">
        <v>161</v>
      </c>
      <c r="C72" s="100">
        <f t="shared" si="1"/>
        <v>11</v>
      </c>
      <c r="D72" s="101">
        <v>0</v>
      </c>
      <c r="E72" s="101">
        <v>0</v>
      </c>
      <c r="F72" s="101">
        <v>0</v>
      </c>
      <c r="G72" s="101">
        <v>0</v>
      </c>
      <c r="H72" s="101">
        <v>0</v>
      </c>
      <c r="I72" s="101">
        <v>0</v>
      </c>
      <c r="J72" s="101">
        <v>0</v>
      </c>
    </row>
    <row r="73" spans="1:10" ht="15" x14ac:dyDescent="0.2">
      <c r="A73" t="s">
        <v>65</v>
      </c>
      <c r="B73" s="102" t="s">
        <v>162</v>
      </c>
      <c r="C73" s="100">
        <f t="shared" si="1"/>
        <v>12</v>
      </c>
      <c r="D73" s="103">
        <v>0</v>
      </c>
      <c r="E73" s="103">
        <v>0</v>
      </c>
      <c r="F73" s="101">
        <v>0</v>
      </c>
      <c r="G73" s="101">
        <v>0</v>
      </c>
      <c r="H73" s="101">
        <v>0</v>
      </c>
      <c r="I73" s="101">
        <v>0</v>
      </c>
      <c r="J73" s="101">
        <v>0</v>
      </c>
    </row>
    <row r="74" spans="1:10" ht="15" x14ac:dyDescent="0.2">
      <c r="A74" t="s">
        <v>41</v>
      </c>
      <c r="B74" s="99" t="s">
        <v>151</v>
      </c>
      <c r="C74" s="100">
        <f t="shared" si="1"/>
        <v>1</v>
      </c>
      <c r="D74" s="101">
        <v>3</v>
      </c>
      <c r="E74" s="101">
        <v>13</v>
      </c>
      <c r="F74" s="101">
        <v>0</v>
      </c>
      <c r="G74" s="101">
        <v>0</v>
      </c>
      <c r="H74" s="101">
        <v>2</v>
      </c>
      <c r="I74" s="101">
        <v>8</v>
      </c>
      <c r="J74" s="101">
        <v>7</v>
      </c>
    </row>
    <row r="75" spans="1:10" ht="15" x14ac:dyDescent="0.2">
      <c r="A75" t="s">
        <v>41</v>
      </c>
      <c r="B75" s="102" t="s">
        <v>152</v>
      </c>
      <c r="C75" s="100">
        <f t="shared" si="1"/>
        <v>2</v>
      </c>
      <c r="D75" s="103">
        <v>2</v>
      </c>
      <c r="E75" s="103">
        <v>8</v>
      </c>
      <c r="F75" s="101">
        <v>0</v>
      </c>
      <c r="G75" s="101">
        <v>0</v>
      </c>
      <c r="H75" s="101">
        <v>2</v>
      </c>
      <c r="I75" s="101">
        <v>8</v>
      </c>
      <c r="J75" s="101">
        <v>10</v>
      </c>
    </row>
    <row r="76" spans="1:10" ht="15" x14ac:dyDescent="0.2">
      <c r="A76" t="s">
        <v>41</v>
      </c>
      <c r="B76" s="99" t="s">
        <v>153</v>
      </c>
      <c r="C76" s="100">
        <f t="shared" si="1"/>
        <v>3</v>
      </c>
      <c r="D76" s="101">
        <v>3</v>
      </c>
      <c r="E76" s="101">
        <v>13</v>
      </c>
      <c r="F76" s="101">
        <v>0</v>
      </c>
      <c r="G76" s="101">
        <v>0</v>
      </c>
      <c r="H76" s="101">
        <v>0</v>
      </c>
      <c r="I76" s="101">
        <v>0</v>
      </c>
      <c r="J76" s="101">
        <v>5</v>
      </c>
    </row>
    <row r="77" spans="1:10" ht="15" x14ac:dyDescent="0.2">
      <c r="A77" t="s">
        <v>41</v>
      </c>
      <c r="B77" s="102" t="s">
        <v>154</v>
      </c>
      <c r="C77" s="100">
        <f t="shared" si="1"/>
        <v>4</v>
      </c>
      <c r="D77" s="103">
        <v>4</v>
      </c>
      <c r="E77" s="103">
        <v>17</v>
      </c>
      <c r="F77" s="101">
        <v>0</v>
      </c>
      <c r="G77" s="101">
        <v>0</v>
      </c>
      <c r="H77" s="101">
        <v>0</v>
      </c>
      <c r="I77" s="101">
        <v>0</v>
      </c>
      <c r="J77" s="101">
        <v>4</v>
      </c>
    </row>
    <row r="78" spans="1:10" ht="15" x14ac:dyDescent="0.2">
      <c r="A78" t="s">
        <v>41</v>
      </c>
      <c r="B78" s="99" t="s">
        <v>155</v>
      </c>
      <c r="C78" s="100">
        <f t="shared" ref="C78:C153" si="2">_xlfn.IFS(B78="Janeiro",1,B78="Fevereiro",2,B78="Março",3,B78="Abril",4,B78="Maio",5,B78="Junho",6,B78="Julho",7,B78="Agosto",8,B78="Setembro",9,B78="Outubro",10,B78="Novembro",11,B78="Dezembro",12,TRUE,0)</f>
        <v>5</v>
      </c>
      <c r="D78" s="101">
        <v>10</v>
      </c>
      <c r="E78" s="101">
        <v>43</v>
      </c>
      <c r="F78" s="101">
        <v>0</v>
      </c>
      <c r="G78" s="101">
        <v>0</v>
      </c>
      <c r="H78" s="101">
        <v>7</v>
      </c>
      <c r="I78" s="101">
        <v>30</v>
      </c>
      <c r="J78" s="101">
        <v>12</v>
      </c>
    </row>
    <row r="79" spans="1:10" ht="15" x14ac:dyDescent="0.2">
      <c r="A79" t="s">
        <v>41</v>
      </c>
      <c r="B79" s="102" t="s">
        <v>156</v>
      </c>
      <c r="C79" s="100">
        <f t="shared" si="2"/>
        <v>6</v>
      </c>
      <c r="D79" s="103">
        <v>9</v>
      </c>
      <c r="E79" s="103">
        <v>39</v>
      </c>
      <c r="F79" s="101">
        <v>0</v>
      </c>
      <c r="G79" s="101">
        <v>0</v>
      </c>
      <c r="H79" s="101">
        <v>0</v>
      </c>
      <c r="I79" s="101">
        <v>0</v>
      </c>
      <c r="J79" s="101">
        <v>12</v>
      </c>
    </row>
    <row r="80" spans="1:10" ht="15" x14ac:dyDescent="0.2">
      <c r="A80" t="s">
        <v>41</v>
      </c>
      <c r="B80" s="99" t="s">
        <v>157</v>
      </c>
      <c r="C80" s="100">
        <f t="shared" si="2"/>
        <v>7</v>
      </c>
      <c r="D80" s="101">
        <v>8</v>
      </c>
      <c r="E80" s="101">
        <v>34</v>
      </c>
      <c r="F80" s="101">
        <v>3</v>
      </c>
      <c r="G80" s="101">
        <v>3</v>
      </c>
      <c r="H80" s="101">
        <v>0</v>
      </c>
      <c r="I80" s="101">
        <v>0</v>
      </c>
      <c r="J80" s="101">
        <v>16</v>
      </c>
    </row>
    <row r="81" spans="1:10" ht="15" x14ac:dyDescent="0.2">
      <c r="A81" t="s">
        <v>41</v>
      </c>
      <c r="B81" s="102" t="s">
        <v>158</v>
      </c>
      <c r="C81" s="100">
        <f t="shared" si="2"/>
        <v>8</v>
      </c>
      <c r="D81" s="103">
        <v>4</v>
      </c>
      <c r="E81" s="103">
        <v>17</v>
      </c>
      <c r="F81" s="101">
        <v>1</v>
      </c>
      <c r="G81" s="101">
        <v>1</v>
      </c>
      <c r="H81" s="101">
        <v>0</v>
      </c>
      <c r="I81" s="101">
        <v>0</v>
      </c>
      <c r="J81" s="101">
        <v>7</v>
      </c>
    </row>
    <row r="82" spans="1:10" ht="15" x14ac:dyDescent="0.2">
      <c r="A82" t="s">
        <v>41</v>
      </c>
      <c r="B82" s="99" t="s">
        <v>159</v>
      </c>
      <c r="C82" s="100">
        <f t="shared" si="2"/>
        <v>9</v>
      </c>
      <c r="D82" s="101">
        <v>6</v>
      </c>
      <c r="E82" s="101">
        <v>26</v>
      </c>
      <c r="F82" s="101">
        <v>0</v>
      </c>
      <c r="G82" s="101">
        <v>0</v>
      </c>
      <c r="H82" s="101">
        <v>0</v>
      </c>
      <c r="I82" s="101">
        <v>0</v>
      </c>
      <c r="J82" s="101">
        <v>5</v>
      </c>
    </row>
    <row r="83" spans="1:10" ht="15" x14ac:dyDescent="0.2">
      <c r="A83" t="s">
        <v>41</v>
      </c>
      <c r="B83" s="102" t="s">
        <v>160</v>
      </c>
      <c r="C83" s="100">
        <f t="shared" si="2"/>
        <v>10</v>
      </c>
      <c r="D83" s="103">
        <v>0</v>
      </c>
      <c r="E83" s="103">
        <v>0</v>
      </c>
      <c r="F83" s="101">
        <v>0</v>
      </c>
      <c r="G83" s="101">
        <v>0</v>
      </c>
      <c r="H83" s="101">
        <v>0</v>
      </c>
      <c r="I83" s="101">
        <v>0</v>
      </c>
      <c r="J83" s="101">
        <v>0</v>
      </c>
    </row>
    <row r="84" spans="1:10" ht="15" x14ac:dyDescent="0.2">
      <c r="A84" t="s">
        <v>41</v>
      </c>
      <c r="B84" s="99" t="s">
        <v>161</v>
      </c>
      <c r="C84" s="100">
        <f t="shared" si="2"/>
        <v>11</v>
      </c>
      <c r="D84" s="101">
        <v>0</v>
      </c>
      <c r="E84" s="101">
        <v>0</v>
      </c>
      <c r="F84" s="101">
        <v>0</v>
      </c>
      <c r="G84" s="101">
        <v>0</v>
      </c>
      <c r="H84" s="101">
        <v>0</v>
      </c>
      <c r="I84" s="101">
        <v>0</v>
      </c>
      <c r="J84" s="101">
        <v>0</v>
      </c>
    </row>
    <row r="85" spans="1:10" ht="15" x14ac:dyDescent="0.2">
      <c r="A85" t="s">
        <v>41</v>
      </c>
      <c r="B85" s="102" t="s">
        <v>162</v>
      </c>
      <c r="C85" s="100">
        <f t="shared" si="2"/>
        <v>12</v>
      </c>
      <c r="D85" s="103">
        <v>0</v>
      </c>
      <c r="E85" s="103">
        <v>0</v>
      </c>
      <c r="F85" s="101">
        <v>0</v>
      </c>
      <c r="G85" s="101">
        <v>0</v>
      </c>
      <c r="H85" s="101">
        <v>0</v>
      </c>
      <c r="I85" s="101">
        <v>0</v>
      </c>
      <c r="J85" s="101">
        <v>0</v>
      </c>
    </row>
    <row r="86" spans="1:10" ht="15" x14ac:dyDescent="0.2">
      <c r="A86" t="s">
        <v>62</v>
      </c>
      <c r="B86" s="99" t="s">
        <v>151</v>
      </c>
      <c r="C86" s="100">
        <f t="shared" si="2"/>
        <v>1</v>
      </c>
      <c r="D86" s="101">
        <v>0</v>
      </c>
      <c r="E86" s="101">
        <v>0</v>
      </c>
      <c r="F86" s="101">
        <v>0</v>
      </c>
      <c r="G86" s="101">
        <v>0</v>
      </c>
      <c r="H86" s="101">
        <v>0</v>
      </c>
      <c r="I86" s="101">
        <v>0</v>
      </c>
      <c r="J86" s="101">
        <v>0</v>
      </c>
    </row>
    <row r="87" spans="1:10" ht="15" x14ac:dyDescent="0.2">
      <c r="A87" t="s">
        <v>62</v>
      </c>
      <c r="B87" s="102" t="s">
        <v>152</v>
      </c>
      <c r="C87" s="100">
        <f t="shared" si="2"/>
        <v>2</v>
      </c>
      <c r="D87" s="103">
        <v>2</v>
      </c>
      <c r="E87" s="103">
        <v>10</v>
      </c>
      <c r="F87" s="101">
        <v>0</v>
      </c>
      <c r="G87" s="101">
        <v>0</v>
      </c>
      <c r="H87" s="101">
        <v>0</v>
      </c>
      <c r="I87" s="101">
        <v>0</v>
      </c>
      <c r="J87" s="101">
        <v>1</v>
      </c>
    </row>
    <row r="88" spans="1:10" ht="15" x14ac:dyDescent="0.2">
      <c r="A88" t="s">
        <v>62</v>
      </c>
      <c r="B88" s="99" t="s">
        <v>153</v>
      </c>
      <c r="C88" s="100">
        <f t="shared" si="2"/>
        <v>3</v>
      </c>
      <c r="D88" s="101">
        <v>0</v>
      </c>
      <c r="E88" s="101">
        <v>0</v>
      </c>
      <c r="F88" s="101">
        <v>0</v>
      </c>
      <c r="G88" s="101">
        <v>0</v>
      </c>
      <c r="H88" s="101">
        <v>0</v>
      </c>
      <c r="I88" s="101">
        <v>0</v>
      </c>
      <c r="J88" s="101">
        <v>0</v>
      </c>
    </row>
    <row r="89" spans="1:10" ht="15" x14ac:dyDescent="0.2">
      <c r="A89" t="s">
        <v>62</v>
      </c>
      <c r="B89" s="102" t="s">
        <v>154</v>
      </c>
      <c r="C89" s="100">
        <f t="shared" si="2"/>
        <v>4</v>
      </c>
      <c r="D89" s="103">
        <v>0</v>
      </c>
      <c r="E89" s="103">
        <v>0</v>
      </c>
      <c r="F89" s="101">
        <v>0</v>
      </c>
      <c r="G89" s="101">
        <v>0</v>
      </c>
      <c r="H89" s="101">
        <v>0</v>
      </c>
      <c r="I89" s="101">
        <v>0</v>
      </c>
      <c r="J89" s="101">
        <v>0</v>
      </c>
    </row>
    <row r="90" spans="1:10" ht="15" x14ac:dyDescent="0.2">
      <c r="A90" t="s">
        <v>62</v>
      </c>
      <c r="B90" s="99" t="s">
        <v>155</v>
      </c>
      <c r="C90" s="100">
        <f t="shared" si="2"/>
        <v>5</v>
      </c>
      <c r="D90" s="101">
        <v>0</v>
      </c>
      <c r="E90" s="101">
        <v>0</v>
      </c>
      <c r="F90" s="101">
        <v>0</v>
      </c>
      <c r="G90" s="101">
        <v>0</v>
      </c>
      <c r="H90" s="101">
        <v>10</v>
      </c>
      <c r="I90" s="101">
        <v>52</v>
      </c>
      <c r="J90" s="101">
        <v>0</v>
      </c>
    </row>
    <row r="91" spans="1:10" ht="15" x14ac:dyDescent="0.2">
      <c r="A91" t="s">
        <v>62</v>
      </c>
      <c r="B91" s="102" t="s">
        <v>156</v>
      </c>
      <c r="C91" s="100">
        <f t="shared" si="2"/>
        <v>6</v>
      </c>
      <c r="D91" s="103">
        <v>0</v>
      </c>
      <c r="E91" s="103">
        <v>0</v>
      </c>
      <c r="F91" s="101">
        <v>0</v>
      </c>
      <c r="G91" s="101">
        <v>0</v>
      </c>
      <c r="H91" s="101">
        <v>0</v>
      </c>
      <c r="I91" s="101">
        <v>0</v>
      </c>
      <c r="J91" s="101">
        <v>0</v>
      </c>
    </row>
    <row r="92" spans="1:10" ht="15" x14ac:dyDescent="0.2">
      <c r="A92" t="s">
        <v>62</v>
      </c>
      <c r="B92" s="99" t="s">
        <v>157</v>
      </c>
      <c r="C92" s="100">
        <f t="shared" si="2"/>
        <v>7</v>
      </c>
      <c r="D92" s="101">
        <v>0</v>
      </c>
      <c r="E92" s="101">
        <v>0</v>
      </c>
      <c r="F92" s="101">
        <v>0</v>
      </c>
      <c r="G92" s="101">
        <v>0</v>
      </c>
      <c r="H92" s="101">
        <v>0</v>
      </c>
      <c r="I92" s="101">
        <v>0</v>
      </c>
      <c r="J92" s="101">
        <v>0</v>
      </c>
    </row>
    <row r="93" spans="1:10" ht="15" x14ac:dyDescent="0.2">
      <c r="A93" t="s">
        <v>62</v>
      </c>
      <c r="B93" s="102" t="s">
        <v>158</v>
      </c>
      <c r="C93" s="100">
        <f t="shared" si="2"/>
        <v>8</v>
      </c>
      <c r="D93" s="103">
        <v>0</v>
      </c>
      <c r="E93" s="103">
        <v>0</v>
      </c>
      <c r="F93" s="101">
        <v>0</v>
      </c>
      <c r="G93" s="101">
        <v>0</v>
      </c>
      <c r="H93" s="101">
        <v>0</v>
      </c>
      <c r="I93" s="101">
        <v>0</v>
      </c>
      <c r="J93" s="101">
        <v>0</v>
      </c>
    </row>
    <row r="94" spans="1:10" ht="15" x14ac:dyDescent="0.2">
      <c r="A94" t="s">
        <v>62</v>
      </c>
      <c r="B94" s="99" t="s">
        <v>159</v>
      </c>
      <c r="C94" s="100">
        <f t="shared" si="2"/>
        <v>9</v>
      </c>
      <c r="D94" s="101">
        <v>0</v>
      </c>
      <c r="E94" s="101">
        <v>0</v>
      </c>
      <c r="F94" s="101">
        <v>0</v>
      </c>
      <c r="G94" s="101">
        <v>0</v>
      </c>
      <c r="H94" s="101">
        <v>2</v>
      </c>
      <c r="I94" s="101">
        <v>10</v>
      </c>
      <c r="J94" s="101">
        <v>0</v>
      </c>
    </row>
    <row r="95" spans="1:10" ht="15" x14ac:dyDescent="0.2">
      <c r="A95" t="s">
        <v>62</v>
      </c>
      <c r="B95" s="102" t="s">
        <v>160</v>
      </c>
      <c r="C95" s="100">
        <f t="shared" si="2"/>
        <v>10</v>
      </c>
      <c r="D95" s="103">
        <v>0</v>
      </c>
      <c r="E95" s="103">
        <v>0</v>
      </c>
      <c r="F95" s="101">
        <v>0</v>
      </c>
      <c r="G95" s="101">
        <v>0</v>
      </c>
      <c r="H95" s="101">
        <v>0</v>
      </c>
      <c r="I95" s="101">
        <v>0</v>
      </c>
      <c r="J95" s="101">
        <v>0</v>
      </c>
    </row>
    <row r="96" spans="1:10" ht="15" x14ac:dyDescent="0.2">
      <c r="A96" t="s">
        <v>62</v>
      </c>
      <c r="B96" s="99" t="s">
        <v>161</v>
      </c>
      <c r="C96" s="100">
        <f t="shared" si="2"/>
        <v>11</v>
      </c>
      <c r="D96" s="101">
        <v>0</v>
      </c>
      <c r="E96" s="101">
        <v>0</v>
      </c>
      <c r="F96" s="101">
        <v>0</v>
      </c>
      <c r="G96" s="101">
        <v>0</v>
      </c>
      <c r="H96" s="101">
        <v>0</v>
      </c>
      <c r="I96" s="101">
        <v>0</v>
      </c>
      <c r="J96" s="101">
        <v>0</v>
      </c>
    </row>
    <row r="97" spans="1:10" ht="15" x14ac:dyDescent="0.2">
      <c r="A97" t="s">
        <v>62</v>
      </c>
      <c r="B97" s="102" t="s">
        <v>162</v>
      </c>
      <c r="C97" s="100">
        <f t="shared" si="2"/>
        <v>12</v>
      </c>
      <c r="D97" s="103">
        <v>0</v>
      </c>
      <c r="E97" s="103">
        <v>0</v>
      </c>
      <c r="F97" s="101">
        <v>0</v>
      </c>
      <c r="G97" s="101">
        <v>0</v>
      </c>
      <c r="H97" s="101">
        <v>0</v>
      </c>
      <c r="I97" s="101">
        <v>0</v>
      </c>
      <c r="J97" s="101">
        <v>0</v>
      </c>
    </row>
    <row r="98" spans="1:10" ht="15" x14ac:dyDescent="0.2">
      <c r="A98" t="s">
        <v>114</v>
      </c>
      <c r="B98" s="99" t="s">
        <v>151</v>
      </c>
      <c r="C98" s="100">
        <f t="shared" si="2"/>
        <v>1</v>
      </c>
      <c r="D98" s="101">
        <v>0</v>
      </c>
      <c r="E98" s="101">
        <v>0</v>
      </c>
      <c r="F98" s="101">
        <v>0</v>
      </c>
      <c r="G98" s="101">
        <v>0</v>
      </c>
      <c r="H98" s="101">
        <v>0</v>
      </c>
      <c r="I98" s="101">
        <v>0</v>
      </c>
      <c r="J98" s="101">
        <v>0</v>
      </c>
    </row>
    <row r="99" spans="1:10" ht="15" x14ac:dyDescent="0.2">
      <c r="A99" t="s">
        <v>114</v>
      </c>
      <c r="B99" s="102" t="s">
        <v>152</v>
      </c>
      <c r="C99" s="100">
        <f t="shared" si="2"/>
        <v>2</v>
      </c>
      <c r="D99" s="103">
        <v>3</v>
      </c>
      <c r="E99" s="103">
        <v>8</v>
      </c>
      <c r="F99" s="101">
        <v>0</v>
      </c>
      <c r="G99" s="101">
        <v>0</v>
      </c>
      <c r="H99" s="101">
        <v>0</v>
      </c>
      <c r="I99" s="101">
        <v>0</v>
      </c>
      <c r="J99" s="101">
        <v>2</v>
      </c>
    </row>
    <row r="100" spans="1:10" ht="15" x14ac:dyDescent="0.2">
      <c r="A100" t="s">
        <v>114</v>
      </c>
      <c r="B100" s="99" t="s">
        <v>153</v>
      </c>
      <c r="C100" s="100">
        <f t="shared" si="2"/>
        <v>3</v>
      </c>
      <c r="D100" s="101">
        <v>0</v>
      </c>
      <c r="E100" s="101">
        <v>0</v>
      </c>
      <c r="F100" s="101">
        <v>1</v>
      </c>
      <c r="G100" s="101">
        <v>0</v>
      </c>
      <c r="H100" s="101">
        <v>0</v>
      </c>
      <c r="I100" s="101">
        <v>0</v>
      </c>
      <c r="J100" s="101">
        <v>0</v>
      </c>
    </row>
    <row r="101" spans="1:10" ht="15" x14ac:dyDescent="0.2">
      <c r="A101" t="s">
        <v>114</v>
      </c>
      <c r="B101" s="102" t="s">
        <v>154</v>
      </c>
      <c r="C101" s="100">
        <f t="shared" si="2"/>
        <v>4</v>
      </c>
      <c r="D101" s="103">
        <v>0</v>
      </c>
      <c r="E101" s="103">
        <v>0</v>
      </c>
      <c r="F101" s="101">
        <v>0</v>
      </c>
      <c r="G101" s="101">
        <v>0</v>
      </c>
      <c r="H101" s="101">
        <v>0</v>
      </c>
      <c r="I101" s="101">
        <v>0</v>
      </c>
      <c r="J101" s="101">
        <v>0</v>
      </c>
    </row>
    <row r="102" spans="1:10" ht="15" x14ac:dyDescent="0.2">
      <c r="A102" t="s">
        <v>114</v>
      </c>
      <c r="B102" s="99" t="s">
        <v>155</v>
      </c>
      <c r="C102" s="100">
        <f t="shared" si="2"/>
        <v>5</v>
      </c>
      <c r="D102" s="101">
        <v>11</v>
      </c>
      <c r="E102" s="101">
        <v>32</v>
      </c>
      <c r="F102" s="101">
        <v>0</v>
      </c>
      <c r="G102" s="101">
        <v>0</v>
      </c>
      <c r="H102" s="101">
        <v>7</v>
      </c>
      <c r="I102" s="101">
        <v>20</v>
      </c>
      <c r="J102" s="101">
        <v>5</v>
      </c>
    </row>
    <row r="103" spans="1:10" ht="15" x14ac:dyDescent="0.2">
      <c r="A103" t="s">
        <v>114</v>
      </c>
      <c r="B103" s="102" t="s">
        <v>156</v>
      </c>
      <c r="C103" s="100">
        <f t="shared" si="2"/>
        <v>6</v>
      </c>
      <c r="D103" s="103">
        <v>12</v>
      </c>
      <c r="E103" s="103">
        <v>35</v>
      </c>
      <c r="F103" s="101">
        <v>0</v>
      </c>
      <c r="G103" s="101">
        <v>0</v>
      </c>
      <c r="H103" s="101">
        <v>0</v>
      </c>
      <c r="I103" s="101">
        <v>0</v>
      </c>
      <c r="J103" s="101">
        <v>7</v>
      </c>
    </row>
    <row r="104" spans="1:10" ht="15" x14ac:dyDescent="0.2">
      <c r="A104" t="s">
        <v>114</v>
      </c>
      <c r="B104" s="99" t="s">
        <v>157</v>
      </c>
      <c r="C104" s="100">
        <f t="shared" si="2"/>
        <v>7</v>
      </c>
      <c r="D104" s="101">
        <v>3</v>
      </c>
      <c r="E104" s="101">
        <v>8</v>
      </c>
      <c r="F104" s="101">
        <v>0</v>
      </c>
      <c r="G104" s="101">
        <v>0</v>
      </c>
      <c r="H104" s="101">
        <v>0</v>
      </c>
      <c r="I104" s="101">
        <v>0</v>
      </c>
      <c r="J104" s="101">
        <v>1</v>
      </c>
    </row>
    <row r="105" spans="1:10" ht="15" x14ac:dyDescent="0.2">
      <c r="A105" t="s">
        <v>114</v>
      </c>
      <c r="B105" s="102" t="s">
        <v>158</v>
      </c>
      <c r="C105" s="100">
        <f t="shared" si="2"/>
        <v>8</v>
      </c>
      <c r="D105" s="103">
        <v>9</v>
      </c>
      <c r="E105" s="103">
        <v>26</v>
      </c>
      <c r="F105" s="101">
        <v>0</v>
      </c>
      <c r="G105" s="101">
        <v>0</v>
      </c>
      <c r="H105" s="101">
        <v>0</v>
      </c>
      <c r="I105" s="101">
        <v>0</v>
      </c>
      <c r="J105" s="101">
        <v>3</v>
      </c>
    </row>
    <row r="106" spans="1:10" ht="15" x14ac:dyDescent="0.2">
      <c r="A106" t="s">
        <v>114</v>
      </c>
      <c r="B106" s="99" t="s">
        <v>159</v>
      </c>
      <c r="C106" s="100">
        <f t="shared" si="2"/>
        <v>9</v>
      </c>
      <c r="D106" s="101">
        <v>8</v>
      </c>
      <c r="E106" s="101">
        <v>23</v>
      </c>
      <c r="F106" s="101">
        <v>0</v>
      </c>
      <c r="G106" s="101">
        <v>0</v>
      </c>
      <c r="H106" s="101">
        <v>0</v>
      </c>
      <c r="I106" s="101">
        <v>0</v>
      </c>
      <c r="J106" s="101">
        <v>4</v>
      </c>
    </row>
    <row r="107" spans="1:10" ht="15" x14ac:dyDescent="0.2">
      <c r="A107" t="s">
        <v>114</v>
      </c>
      <c r="B107" s="102" t="s">
        <v>160</v>
      </c>
      <c r="C107" s="100">
        <f t="shared" si="2"/>
        <v>10</v>
      </c>
      <c r="D107" s="103">
        <v>0</v>
      </c>
      <c r="E107" s="103">
        <v>0</v>
      </c>
      <c r="F107" s="101">
        <v>0</v>
      </c>
      <c r="G107" s="101">
        <v>0</v>
      </c>
      <c r="H107" s="101">
        <v>0</v>
      </c>
      <c r="I107" s="101">
        <v>0</v>
      </c>
      <c r="J107" s="101">
        <v>0</v>
      </c>
    </row>
    <row r="108" spans="1:10" ht="15" x14ac:dyDescent="0.2">
      <c r="A108" t="s">
        <v>114</v>
      </c>
      <c r="B108" s="99" t="s">
        <v>161</v>
      </c>
      <c r="C108" s="100">
        <f t="shared" si="2"/>
        <v>11</v>
      </c>
      <c r="D108" s="101">
        <v>0</v>
      </c>
      <c r="E108" s="101">
        <v>0</v>
      </c>
      <c r="F108" s="101">
        <v>0</v>
      </c>
      <c r="G108" s="101">
        <v>0</v>
      </c>
      <c r="H108" s="101">
        <v>0</v>
      </c>
      <c r="I108" s="101">
        <v>0</v>
      </c>
      <c r="J108" s="101">
        <v>0</v>
      </c>
    </row>
    <row r="109" spans="1:10" ht="15" x14ac:dyDescent="0.2">
      <c r="A109" t="s">
        <v>114</v>
      </c>
      <c r="B109" s="102" t="s">
        <v>162</v>
      </c>
      <c r="C109" s="100">
        <f t="shared" si="2"/>
        <v>12</v>
      </c>
      <c r="D109" s="103">
        <v>0</v>
      </c>
      <c r="E109" s="103">
        <v>0</v>
      </c>
      <c r="F109" s="101">
        <v>0</v>
      </c>
      <c r="G109" s="101">
        <v>0</v>
      </c>
      <c r="H109" s="101">
        <v>0</v>
      </c>
      <c r="I109" s="101">
        <v>0</v>
      </c>
      <c r="J109" s="101">
        <v>0</v>
      </c>
    </row>
    <row r="110" spans="1:10" ht="15" x14ac:dyDescent="0.2">
      <c r="A110" t="s">
        <v>47</v>
      </c>
      <c r="B110" s="99" t="s">
        <v>151</v>
      </c>
      <c r="C110" s="100">
        <f t="shared" si="2"/>
        <v>1</v>
      </c>
      <c r="D110" s="101">
        <v>5</v>
      </c>
      <c r="E110" s="101">
        <v>13</v>
      </c>
      <c r="F110" s="101">
        <v>0</v>
      </c>
      <c r="G110" s="101">
        <v>0</v>
      </c>
      <c r="H110" s="101">
        <v>5</v>
      </c>
      <c r="I110" s="101">
        <v>13</v>
      </c>
      <c r="J110" s="101">
        <v>5</v>
      </c>
    </row>
    <row r="111" spans="1:10" ht="15" x14ac:dyDescent="0.2">
      <c r="A111" t="s">
        <v>47</v>
      </c>
      <c r="B111" s="102" t="s">
        <v>152</v>
      </c>
      <c r="C111" s="100">
        <f t="shared" si="2"/>
        <v>2</v>
      </c>
      <c r="D111" s="103">
        <v>17</v>
      </c>
      <c r="E111" s="103">
        <v>44</v>
      </c>
      <c r="F111" s="101">
        <v>0</v>
      </c>
      <c r="G111" s="101">
        <v>0</v>
      </c>
      <c r="H111" s="101">
        <v>5</v>
      </c>
      <c r="I111" s="101">
        <v>13</v>
      </c>
      <c r="J111" s="101">
        <v>2</v>
      </c>
    </row>
    <row r="112" spans="1:10" ht="15" x14ac:dyDescent="0.2">
      <c r="A112" t="s">
        <v>47</v>
      </c>
      <c r="B112" s="99" t="s">
        <v>153</v>
      </c>
      <c r="C112" s="100">
        <f t="shared" si="2"/>
        <v>3</v>
      </c>
      <c r="D112" s="101">
        <v>4</v>
      </c>
      <c r="E112" s="101">
        <v>10</v>
      </c>
      <c r="F112" s="101">
        <v>0</v>
      </c>
      <c r="G112" s="101">
        <v>0</v>
      </c>
      <c r="H112" s="101">
        <v>0</v>
      </c>
      <c r="I112" s="101">
        <v>0</v>
      </c>
      <c r="J112" s="101">
        <v>1</v>
      </c>
    </row>
    <row r="113" spans="1:10" ht="15" x14ac:dyDescent="0.2">
      <c r="A113" t="s">
        <v>47</v>
      </c>
      <c r="B113" s="102" t="s">
        <v>154</v>
      </c>
      <c r="C113" s="100">
        <f t="shared" si="2"/>
        <v>4</v>
      </c>
      <c r="D113" s="103">
        <v>17</v>
      </c>
      <c r="E113" s="103">
        <v>44</v>
      </c>
      <c r="F113" s="101">
        <v>0</v>
      </c>
      <c r="G113" s="101">
        <v>0</v>
      </c>
      <c r="H113" s="101">
        <v>0</v>
      </c>
      <c r="I113" s="101">
        <v>0</v>
      </c>
      <c r="J113" s="101">
        <v>1</v>
      </c>
    </row>
    <row r="114" spans="1:10" ht="15" x14ac:dyDescent="0.2">
      <c r="A114" t="s">
        <v>47</v>
      </c>
      <c r="B114" s="99" t="s">
        <v>155</v>
      </c>
      <c r="C114" s="100">
        <f t="shared" si="2"/>
        <v>5</v>
      </c>
      <c r="D114" s="101">
        <v>12</v>
      </c>
      <c r="E114" s="101">
        <v>31</v>
      </c>
      <c r="F114" s="101">
        <v>1</v>
      </c>
      <c r="G114" s="101">
        <v>1</v>
      </c>
      <c r="H114" s="101">
        <v>10</v>
      </c>
      <c r="I114" s="101">
        <v>26</v>
      </c>
      <c r="J114" s="101">
        <v>4</v>
      </c>
    </row>
    <row r="115" spans="1:10" ht="15" x14ac:dyDescent="0.2">
      <c r="A115" t="s">
        <v>47</v>
      </c>
      <c r="B115" s="102" t="s">
        <v>156</v>
      </c>
      <c r="C115" s="100">
        <f t="shared" si="2"/>
        <v>6</v>
      </c>
      <c r="D115" s="103">
        <v>10</v>
      </c>
      <c r="E115" s="103">
        <v>26</v>
      </c>
      <c r="F115" s="101">
        <v>0</v>
      </c>
      <c r="G115" s="101">
        <v>0</v>
      </c>
      <c r="H115" s="101">
        <v>0</v>
      </c>
      <c r="I115" s="101">
        <v>0</v>
      </c>
      <c r="J115" s="101">
        <v>2</v>
      </c>
    </row>
    <row r="116" spans="1:10" ht="15" x14ac:dyDescent="0.2">
      <c r="A116" t="s">
        <v>47</v>
      </c>
      <c r="B116" s="99" t="s">
        <v>157</v>
      </c>
      <c r="C116" s="100">
        <f t="shared" si="2"/>
        <v>7</v>
      </c>
      <c r="D116" s="101">
        <v>14</v>
      </c>
      <c r="E116" s="101">
        <v>36</v>
      </c>
      <c r="F116" s="101">
        <v>1</v>
      </c>
      <c r="G116" s="101">
        <v>1</v>
      </c>
      <c r="H116" s="101">
        <v>0</v>
      </c>
      <c r="I116" s="101">
        <v>0</v>
      </c>
      <c r="J116" s="101">
        <v>3</v>
      </c>
    </row>
    <row r="117" spans="1:10" ht="15" x14ac:dyDescent="0.2">
      <c r="A117" t="s">
        <v>47</v>
      </c>
      <c r="B117" s="102" t="s">
        <v>158</v>
      </c>
      <c r="C117" s="100">
        <f t="shared" si="2"/>
        <v>8</v>
      </c>
      <c r="D117" s="103">
        <v>18</v>
      </c>
      <c r="E117" s="103">
        <v>47</v>
      </c>
      <c r="F117" s="101">
        <v>3</v>
      </c>
      <c r="G117" s="101">
        <v>2</v>
      </c>
      <c r="H117" s="101">
        <v>0</v>
      </c>
      <c r="I117" s="101">
        <v>0</v>
      </c>
      <c r="J117" s="101">
        <v>3</v>
      </c>
    </row>
    <row r="118" spans="1:10" ht="15" x14ac:dyDescent="0.2">
      <c r="A118" t="s">
        <v>47</v>
      </c>
      <c r="B118" s="99" t="s">
        <v>159</v>
      </c>
      <c r="C118" s="100">
        <f t="shared" si="2"/>
        <v>9</v>
      </c>
      <c r="D118" s="101">
        <v>11</v>
      </c>
      <c r="E118" s="101">
        <v>28</v>
      </c>
      <c r="F118" s="101">
        <v>1</v>
      </c>
      <c r="G118" s="101">
        <v>51</v>
      </c>
      <c r="H118" s="101">
        <v>1</v>
      </c>
      <c r="I118" s="101">
        <v>2</v>
      </c>
      <c r="J118" s="101">
        <v>6</v>
      </c>
    </row>
    <row r="119" spans="1:10" ht="15" x14ac:dyDescent="0.2">
      <c r="A119" t="s">
        <v>47</v>
      </c>
      <c r="B119" s="102" t="s">
        <v>160</v>
      </c>
      <c r="C119" s="100">
        <f t="shared" si="2"/>
        <v>10</v>
      </c>
      <c r="D119" s="103">
        <v>0</v>
      </c>
      <c r="E119" s="103">
        <v>0</v>
      </c>
      <c r="F119" s="101">
        <v>0</v>
      </c>
      <c r="G119" s="101">
        <v>0</v>
      </c>
      <c r="H119" s="101">
        <v>0</v>
      </c>
      <c r="I119" s="101">
        <v>0</v>
      </c>
      <c r="J119" s="101">
        <v>0</v>
      </c>
    </row>
    <row r="120" spans="1:10" ht="15" x14ac:dyDescent="0.2">
      <c r="A120" t="s">
        <v>47</v>
      </c>
      <c r="B120" s="99" t="s">
        <v>161</v>
      </c>
      <c r="C120" s="100">
        <f t="shared" si="2"/>
        <v>11</v>
      </c>
      <c r="D120" s="101">
        <v>0</v>
      </c>
      <c r="E120" s="101">
        <v>0</v>
      </c>
      <c r="F120" s="101">
        <v>0</v>
      </c>
      <c r="G120" s="101">
        <v>0</v>
      </c>
      <c r="H120" s="101">
        <v>0</v>
      </c>
      <c r="I120" s="101">
        <v>0</v>
      </c>
      <c r="J120" s="101">
        <v>0</v>
      </c>
    </row>
    <row r="121" spans="1:10" ht="15" x14ac:dyDescent="0.2">
      <c r="A121" t="s">
        <v>47</v>
      </c>
      <c r="B121" s="102" t="s">
        <v>162</v>
      </c>
      <c r="C121" s="100">
        <f t="shared" si="2"/>
        <v>12</v>
      </c>
      <c r="D121" s="103">
        <v>0</v>
      </c>
      <c r="E121" s="103">
        <v>0</v>
      </c>
      <c r="F121" s="101">
        <v>0</v>
      </c>
      <c r="G121" s="101">
        <v>0</v>
      </c>
      <c r="H121" s="101">
        <v>0</v>
      </c>
      <c r="I121" s="101">
        <v>0</v>
      </c>
      <c r="J121" s="101">
        <v>0</v>
      </c>
    </row>
    <row r="122" spans="1:10" ht="15" x14ac:dyDescent="0.2">
      <c r="A122" t="s">
        <v>302</v>
      </c>
      <c r="B122" s="99" t="s">
        <v>151</v>
      </c>
      <c r="C122" s="100">
        <f t="shared" ref="C122:C133" si="3">_xlfn.IFS(B122="Janeiro",1,B122="Fevereiro",2,B122="Março",3,B122="Abril",4,B122="Maio",5,B122="Junho",6,B122="Julho",7,B122="Agosto",8,B122="Setembro",9,B122="Outubro",10,B122="Novembro",11,B122="Dezembro",12,TRUE,0)</f>
        <v>1</v>
      </c>
      <c r="D122" s="103">
        <v>0</v>
      </c>
      <c r="E122" s="103">
        <v>0</v>
      </c>
      <c r="F122" s="101">
        <v>0</v>
      </c>
      <c r="G122" s="101">
        <v>0</v>
      </c>
      <c r="H122" s="101">
        <v>0</v>
      </c>
      <c r="I122" s="101">
        <v>0</v>
      </c>
      <c r="J122" s="101">
        <v>0</v>
      </c>
    </row>
    <row r="123" spans="1:10" ht="15" x14ac:dyDescent="0.2">
      <c r="A123" t="s">
        <v>302</v>
      </c>
      <c r="B123" s="102" t="s">
        <v>152</v>
      </c>
      <c r="C123" s="100">
        <f t="shared" si="3"/>
        <v>2</v>
      </c>
      <c r="D123" s="103">
        <v>0</v>
      </c>
      <c r="E123" s="103">
        <v>0</v>
      </c>
      <c r="F123" s="101">
        <v>0</v>
      </c>
      <c r="G123" s="101">
        <v>0</v>
      </c>
      <c r="H123" s="101">
        <v>0</v>
      </c>
      <c r="I123" s="101">
        <v>0</v>
      </c>
      <c r="J123" s="101">
        <v>0</v>
      </c>
    </row>
    <row r="124" spans="1:10" ht="15" x14ac:dyDescent="0.2">
      <c r="A124" t="s">
        <v>302</v>
      </c>
      <c r="B124" s="99" t="s">
        <v>153</v>
      </c>
      <c r="C124" s="100">
        <f t="shared" si="3"/>
        <v>3</v>
      </c>
      <c r="D124" s="103">
        <v>0</v>
      </c>
      <c r="E124" s="103">
        <v>0</v>
      </c>
      <c r="F124" s="101">
        <v>0</v>
      </c>
      <c r="G124" s="101">
        <v>0</v>
      </c>
      <c r="H124" s="101">
        <v>0</v>
      </c>
      <c r="I124" s="101">
        <v>0</v>
      </c>
      <c r="J124" s="101">
        <v>0</v>
      </c>
    </row>
    <row r="125" spans="1:10" ht="15" x14ac:dyDescent="0.2">
      <c r="A125" t="s">
        <v>302</v>
      </c>
      <c r="B125" s="102" t="s">
        <v>154</v>
      </c>
      <c r="C125" s="100">
        <f t="shared" si="3"/>
        <v>4</v>
      </c>
      <c r="D125" s="103">
        <v>0</v>
      </c>
      <c r="E125" s="103">
        <v>0</v>
      </c>
      <c r="F125" s="101">
        <v>0</v>
      </c>
      <c r="G125" s="101">
        <v>0</v>
      </c>
      <c r="H125" s="101">
        <v>0</v>
      </c>
      <c r="I125" s="101">
        <v>0</v>
      </c>
      <c r="J125" s="101">
        <v>0</v>
      </c>
    </row>
    <row r="126" spans="1:10" ht="15" x14ac:dyDescent="0.2">
      <c r="A126" t="s">
        <v>302</v>
      </c>
      <c r="B126" s="99" t="s">
        <v>155</v>
      </c>
      <c r="C126" s="100">
        <f t="shared" si="3"/>
        <v>5</v>
      </c>
      <c r="D126" s="103">
        <v>0</v>
      </c>
      <c r="E126" s="103">
        <v>0</v>
      </c>
      <c r="F126" s="101">
        <v>0</v>
      </c>
      <c r="G126" s="101">
        <v>0</v>
      </c>
      <c r="H126" s="101">
        <v>0</v>
      </c>
      <c r="I126" s="101">
        <v>0</v>
      </c>
      <c r="J126" s="101">
        <v>0</v>
      </c>
    </row>
    <row r="127" spans="1:10" ht="15" x14ac:dyDescent="0.2">
      <c r="A127" t="s">
        <v>302</v>
      </c>
      <c r="B127" s="102" t="s">
        <v>156</v>
      </c>
      <c r="C127" s="100">
        <f t="shared" si="3"/>
        <v>6</v>
      </c>
      <c r="D127" s="103">
        <v>0</v>
      </c>
      <c r="E127" s="103">
        <v>0</v>
      </c>
      <c r="F127" s="101">
        <v>0</v>
      </c>
      <c r="G127" s="101">
        <v>0</v>
      </c>
      <c r="H127" s="101">
        <v>0</v>
      </c>
      <c r="I127" s="101">
        <v>0</v>
      </c>
      <c r="J127" s="101">
        <v>0</v>
      </c>
    </row>
    <row r="128" spans="1:10" ht="15" x14ac:dyDescent="0.2">
      <c r="A128" t="s">
        <v>302</v>
      </c>
      <c r="B128" s="99" t="s">
        <v>157</v>
      </c>
      <c r="C128" s="100">
        <f t="shared" si="3"/>
        <v>7</v>
      </c>
      <c r="D128" s="103">
        <v>0</v>
      </c>
      <c r="E128" s="103">
        <v>0</v>
      </c>
      <c r="F128" s="101">
        <v>0</v>
      </c>
      <c r="G128" s="101">
        <v>0</v>
      </c>
      <c r="H128" s="101">
        <v>0</v>
      </c>
      <c r="I128" s="101">
        <v>0</v>
      </c>
      <c r="J128" s="101">
        <v>0</v>
      </c>
    </row>
    <row r="129" spans="1:10" ht="15" x14ac:dyDescent="0.2">
      <c r="A129" t="s">
        <v>302</v>
      </c>
      <c r="B129" s="102" t="s">
        <v>158</v>
      </c>
      <c r="C129" s="100">
        <f t="shared" si="3"/>
        <v>8</v>
      </c>
      <c r="D129" s="103">
        <v>0</v>
      </c>
      <c r="E129" s="103">
        <v>0</v>
      </c>
      <c r="F129" s="101">
        <v>0</v>
      </c>
      <c r="G129" s="101">
        <v>0</v>
      </c>
      <c r="H129" s="101">
        <v>0</v>
      </c>
      <c r="I129" s="101">
        <v>0</v>
      </c>
      <c r="J129" s="101">
        <v>0</v>
      </c>
    </row>
    <row r="130" spans="1:10" ht="15" x14ac:dyDescent="0.2">
      <c r="A130" t="s">
        <v>302</v>
      </c>
      <c r="B130" s="99" t="s">
        <v>159</v>
      </c>
      <c r="C130" s="100">
        <f t="shared" si="3"/>
        <v>9</v>
      </c>
      <c r="D130" s="103">
        <v>0</v>
      </c>
      <c r="E130" s="103">
        <v>0</v>
      </c>
      <c r="F130" s="101">
        <v>0</v>
      </c>
      <c r="G130" s="101">
        <v>0</v>
      </c>
      <c r="H130" s="101">
        <v>0</v>
      </c>
      <c r="I130" s="101">
        <v>0</v>
      </c>
      <c r="J130" s="101">
        <v>0</v>
      </c>
    </row>
    <row r="131" spans="1:10" ht="15" x14ac:dyDescent="0.2">
      <c r="A131" t="s">
        <v>302</v>
      </c>
      <c r="B131" s="102" t="s">
        <v>160</v>
      </c>
      <c r="C131" s="100">
        <f t="shared" si="3"/>
        <v>10</v>
      </c>
      <c r="D131" s="103">
        <v>0</v>
      </c>
      <c r="E131" s="103">
        <v>0</v>
      </c>
      <c r="F131" s="101">
        <v>0</v>
      </c>
      <c r="G131" s="101">
        <v>0</v>
      </c>
      <c r="H131" s="101">
        <v>0</v>
      </c>
      <c r="I131" s="101">
        <v>0</v>
      </c>
      <c r="J131" s="101">
        <v>0</v>
      </c>
    </row>
    <row r="132" spans="1:10" ht="15" x14ac:dyDescent="0.2">
      <c r="A132" t="s">
        <v>302</v>
      </c>
      <c r="B132" s="99" t="s">
        <v>161</v>
      </c>
      <c r="C132" s="100">
        <f t="shared" si="3"/>
        <v>11</v>
      </c>
      <c r="D132" s="103"/>
      <c r="E132" s="103"/>
      <c r="F132" s="101">
        <v>0</v>
      </c>
      <c r="G132" s="101">
        <v>0</v>
      </c>
      <c r="H132" s="101">
        <v>0</v>
      </c>
      <c r="I132" s="101">
        <v>0</v>
      </c>
      <c r="J132" s="101">
        <v>0</v>
      </c>
    </row>
    <row r="133" spans="1:10" ht="15" x14ac:dyDescent="0.2">
      <c r="A133" t="s">
        <v>302</v>
      </c>
      <c r="B133" s="102" t="s">
        <v>162</v>
      </c>
      <c r="C133" s="100">
        <f t="shared" si="3"/>
        <v>12</v>
      </c>
      <c r="D133" s="103"/>
      <c r="E133" s="103"/>
      <c r="F133" s="101">
        <v>0</v>
      </c>
      <c r="G133" s="101">
        <v>0</v>
      </c>
      <c r="H133" s="101">
        <v>0</v>
      </c>
      <c r="I133" s="101">
        <v>0</v>
      </c>
      <c r="J133" s="101">
        <v>0</v>
      </c>
    </row>
    <row r="134" spans="1:10" ht="15" x14ac:dyDescent="0.2">
      <c r="A134" t="s">
        <v>89</v>
      </c>
      <c r="B134" s="99" t="s">
        <v>151</v>
      </c>
      <c r="C134" s="100">
        <f t="shared" si="2"/>
        <v>1</v>
      </c>
      <c r="D134" s="101">
        <v>3</v>
      </c>
      <c r="E134" s="101">
        <v>15</v>
      </c>
      <c r="F134" s="101">
        <v>0</v>
      </c>
      <c r="G134" s="101">
        <v>0</v>
      </c>
      <c r="H134" s="101">
        <v>5</v>
      </c>
      <c r="I134" s="101">
        <v>25</v>
      </c>
      <c r="J134" s="101">
        <v>1</v>
      </c>
    </row>
    <row r="135" spans="1:10" ht="15" x14ac:dyDescent="0.2">
      <c r="A135" t="s">
        <v>89</v>
      </c>
      <c r="B135" s="102" t="s">
        <v>152</v>
      </c>
      <c r="C135" s="100">
        <f t="shared" si="2"/>
        <v>2</v>
      </c>
      <c r="D135" s="103">
        <v>0</v>
      </c>
      <c r="E135" s="103">
        <v>0</v>
      </c>
      <c r="F135" s="101">
        <v>0</v>
      </c>
      <c r="G135" s="101">
        <v>0</v>
      </c>
      <c r="H135" s="101">
        <v>5</v>
      </c>
      <c r="I135" s="101">
        <v>25</v>
      </c>
      <c r="J135" s="101">
        <v>0</v>
      </c>
    </row>
    <row r="136" spans="1:10" ht="15" x14ac:dyDescent="0.2">
      <c r="A136" t="s">
        <v>89</v>
      </c>
      <c r="B136" s="99" t="s">
        <v>153</v>
      </c>
      <c r="C136" s="100">
        <f t="shared" si="2"/>
        <v>3</v>
      </c>
      <c r="D136" s="101">
        <v>0</v>
      </c>
      <c r="E136" s="101">
        <v>0</v>
      </c>
      <c r="F136" s="101">
        <v>0</v>
      </c>
      <c r="G136" s="101">
        <v>0</v>
      </c>
      <c r="H136" s="101">
        <v>0</v>
      </c>
      <c r="I136" s="101">
        <v>0</v>
      </c>
      <c r="J136" s="101">
        <v>0</v>
      </c>
    </row>
    <row r="137" spans="1:10" ht="15" x14ac:dyDescent="0.2">
      <c r="A137" t="s">
        <v>89</v>
      </c>
      <c r="B137" s="102" t="s">
        <v>154</v>
      </c>
      <c r="C137" s="100">
        <f t="shared" si="2"/>
        <v>4</v>
      </c>
      <c r="D137" s="103">
        <v>0</v>
      </c>
      <c r="E137" s="103">
        <v>0</v>
      </c>
      <c r="F137" s="101">
        <v>0</v>
      </c>
      <c r="G137" s="101">
        <v>0</v>
      </c>
      <c r="H137" s="101">
        <v>0</v>
      </c>
      <c r="I137" s="101">
        <v>0</v>
      </c>
      <c r="J137" s="101">
        <v>0</v>
      </c>
    </row>
    <row r="138" spans="1:10" ht="15" x14ac:dyDescent="0.2">
      <c r="A138" t="s">
        <v>89</v>
      </c>
      <c r="B138" s="99" t="s">
        <v>155</v>
      </c>
      <c r="C138" s="100">
        <f t="shared" si="2"/>
        <v>5</v>
      </c>
      <c r="D138" s="101">
        <v>6</v>
      </c>
      <c r="E138" s="101">
        <v>30</v>
      </c>
      <c r="F138" s="101">
        <v>0</v>
      </c>
      <c r="G138" s="101">
        <v>0</v>
      </c>
      <c r="H138" s="101">
        <v>11</v>
      </c>
      <c r="I138" s="101">
        <v>55</v>
      </c>
      <c r="J138" s="101">
        <v>2</v>
      </c>
    </row>
    <row r="139" spans="1:10" ht="15" x14ac:dyDescent="0.2">
      <c r="A139" t="s">
        <v>89</v>
      </c>
      <c r="B139" s="102" t="s">
        <v>156</v>
      </c>
      <c r="C139" s="100">
        <f t="shared" si="2"/>
        <v>6</v>
      </c>
      <c r="D139" s="103">
        <v>0</v>
      </c>
      <c r="E139" s="103">
        <v>0</v>
      </c>
      <c r="F139" s="101">
        <v>0</v>
      </c>
      <c r="G139" s="101">
        <v>0</v>
      </c>
      <c r="H139" s="101">
        <v>0</v>
      </c>
      <c r="I139" s="101">
        <v>0</v>
      </c>
      <c r="J139" s="101">
        <v>0</v>
      </c>
    </row>
    <row r="140" spans="1:10" ht="15" x14ac:dyDescent="0.2">
      <c r="A140" t="s">
        <v>89</v>
      </c>
      <c r="B140" s="99" t="s">
        <v>157</v>
      </c>
      <c r="C140" s="100">
        <f t="shared" si="2"/>
        <v>7</v>
      </c>
      <c r="D140" s="101">
        <v>10</v>
      </c>
      <c r="E140" s="101">
        <v>50</v>
      </c>
      <c r="F140" s="101">
        <v>1</v>
      </c>
      <c r="G140" s="101">
        <v>1</v>
      </c>
      <c r="H140" s="101">
        <v>0</v>
      </c>
      <c r="I140" s="101">
        <v>0</v>
      </c>
      <c r="J140" s="101">
        <v>3</v>
      </c>
    </row>
    <row r="141" spans="1:10" ht="15" x14ac:dyDescent="0.2">
      <c r="A141" t="s">
        <v>89</v>
      </c>
      <c r="B141" s="102" t="s">
        <v>158</v>
      </c>
      <c r="C141" s="100">
        <f t="shared" si="2"/>
        <v>8</v>
      </c>
      <c r="D141" s="103">
        <v>3</v>
      </c>
      <c r="E141" s="103">
        <v>15</v>
      </c>
      <c r="F141" s="101">
        <v>0</v>
      </c>
      <c r="G141" s="101">
        <v>0</v>
      </c>
      <c r="H141" s="101">
        <v>0</v>
      </c>
      <c r="I141" s="101">
        <v>0</v>
      </c>
      <c r="J141" s="101">
        <v>1</v>
      </c>
    </row>
    <row r="142" spans="1:10" ht="15" x14ac:dyDescent="0.2">
      <c r="A142" t="s">
        <v>89</v>
      </c>
      <c r="B142" s="99" t="s">
        <v>159</v>
      </c>
      <c r="C142" s="100">
        <f t="shared" si="2"/>
        <v>9</v>
      </c>
      <c r="D142" s="101">
        <v>2</v>
      </c>
      <c r="E142" s="101">
        <v>10</v>
      </c>
      <c r="F142" s="101">
        <v>0</v>
      </c>
      <c r="G142" s="101">
        <v>0</v>
      </c>
      <c r="H142" s="101">
        <v>0</v>
      </c>
      <c r="I142" s="101">
        <v>0</v>
      </c>
      <c r="J142" s="101">
        <v>1</v>
      </c>
    </row>
    <row r="143" spans="1:10" ht="15" x14ac:dyDescent="0.2">
      <c r="A143" t="s">
        <v>89</v>
      </c>
      <c r="B143" s="102" t="s">
        <v>160</v>
      </c>
      <c r="C143" s="100">
        <f t="shared" si="2"/>
        <v>10</v>
      </c>
      <c r="D143" s="103">
        <v>0</v>
      </c>
      <c r="E143" s="103">
        <v>0</v>
      </c>
      <c r="F143" s="101">
        <v>0</v>
      </c>
      <c r="G143" s="101">
        <v>0</v>
      </c>
      <c r="H143" s="101">
        <v>0</v>
      </c>
      <c r="I143" s="101">
        <v>0</v>
      </c>
      <c r="J143" s="101">
        <v>0</v>
      </c>
    </row>
    <row r="144" spans="1:10" ht="15" x14ac:dyDescent="0.2">
      <c r="A144" t="s">
        <v>89</v>
      </c>
      <c r="B144" s="99" t="s">
        <v>161</v>
      </c>
      <c r="C144" s="100">
        <f t="shared" si="2"/>
        <v>11</v>
      </c>
      <c r="D144" s="101">
        <v>0</v>
      </c>
      <c r="E144" s="101">
        <v>0</v>
      </c>
      <c r="F144" s="101">
        <v>0</v>
      </c>
      <c r="G144" s="101">
        <v>0</v>
      </c>
      <c r="H144" s="101">
        <v>0</v>
      </c>
      <c r="I144" s="101">
        <v>0</v>
      </c>
      <c r="J144" s="101">
        <v>0</v>
      </c>
    </row>
    <row r="145" spans="1:10" ht="15" x14ac:dyDescent="0.2">
      <c r="A145" t="s">
        <v>89</v>
      </c>
      <c r="B145" s="102" t="s">
        <v>162</v>
      </c>
      <c r="C145" s="100">
        <f t="shared" si="2"/>
        <v>12</v>
      </c>
      <c r="D145" s="103">
        <v>0</v>
      </c>
      <c r="E145" s="103">
        <v>0</v>
      </c>
      <c r="F145" s="101">
        <v>0</v>
      </c>
      <c r="G145" s="101">
        <v>0</v>
      </c>
      <c r="H145" s="101">
        <v>0</v>
      </c>
      <c r="I145" s="101">
        <v>0</v>
      </c>
      <c r="J145" s="101">
        <v>0</v>
      </c>
    </row>
    <row r="146" spans="1:10" ht="15" x14ac:dyDescent="0.2">
      <c r="A146" t="s">
        <v>113</v>
      </c>
      <c r="B146" s="99" t="s">
        <v>151</v>
      </c>
      <c r="C146" s="100">
        <f t="shared" si="2"/>
        <v>1</v>
      </c>
      <c r="D146" s="101">
        <v>0</v>
      </c>
      <c r="E146" s="101">
        <v>0</v>
      </c>
      <c r="F146" s="101">
        <v>0</v>
      </c>
      <c r="G146" s="101">
        <v>0</v>
      </c>
      <c r="H146" s="101">
        <v>0</v>
      </c>
      <c r="I146" s="101">
        <v>0</v>
      </c>
      <c r="J146" s="101">
        <v>0</v>
      </c>
    </row>
    <row r="147" spans="1:10" ht="15" x14ac:dyDescent="0.2">
      <c r="A147" t="s">
        <v>113</v>
      </c>
      <c r="B147" s="102" t="s">
        <v>152</v>
      </c>
      <c r="C147" s="100">
        <f t="shared" si="2"/>
        <v>2</v>
      </c>
      <c r="D147" s="103">
        <v>0</v>
      </c>
      <c r="E147" s="103">
        <v>0</v>
      </c>
      <c r="F147" s="101">
        <v>0</v>
      </c>
      <c r="G147" s="101">
        <v>0</v>
      </c>
      <c r="H147" s="101">
        <v>0</v>
      </c>
      <c r="I147" s="101">
        <v>0</v>
      </c>
      <c r="J147" s="101">
        <v>0</v>
      </c>
    </row>
    <row r="148" spans="1:10" ht="15" x14ac:dyDescent="0.2">
      <c r="A148" t="s">
        <v>113</v>
      </c>
      <c r="B148" s="99" t="s">
        <v>153</v>
      </c>
      <c r="C148" s="100">
        <f t="shared" si="2"/>
        <v>3</v>
      </c>
      <c r="D148" s="101">
        <v>0</v>
      </c>
      <c r="E148" s="101">
        <v>0</v>
      </c>
      <c r="F148" s="101">
        <v>0</v>
      </c>
      <c r="G148" s="101">
        <v>0</v>
      </c>
      <c r="H148" s="101">
        <v>0</v>
      </c>
      <c r="I148" s="101">
        <v>0</v>
      </c>
      <c r="J148" s="101">
        <v>0</v>
      </c>
    </row>
    <row r="149" spans="1:10" ht="15" x14ac:dyDescent="0.2">
      <c r="A149" t="s">
        <v>113</v>
      </c>
      <c r="B149" s="102" t="s">
        <v>154</v>
      </c>
      <c r="C149" s="100">
        <f t="shared" si="2"/>
        <v>4</v>
      </c>
      <c r="D149" s="103">
        <v>0</v>
      </c>
      <c r="E149" s="103">
        <v>0</v>
      </c>
      <c r="F149" s="101">
        <v>0</v>
      </c>
      <c r="G149" s="101">
        <v>0</v>
      </c>
      <c r="H149" s="101">
        <v>0</v>
      </c>
      <c r="I149" s="101">
        <v>0</v>
      </c>
      <c r="J149" s="101">
        <v>0</v>
      </c>
    </row>
    <row r="150" spans="1:10" ht="15" x14ac:dyDescent="0.2">
      <c r="A150" t="s">
        <v>113</v>
      </c>
      <c r="B150" s="99" t="s">
        <v>155</v>
      </c>
      <c r="C150" s="100">
        <f t="shared" si="2"/>
        <v>5</v>
      </c>
      <c r="D150" s="101">
        <v>0</v>
      </c>
      <c r="E150" s="101">
        <v>0</v>
      </c>
      <c r="F150" s="101">
        <v>0</v>
      </c>
      <c r="G150" s="101">
        <v>0</v>
      </c>
      <c r="H150" s="101">
        <v>5</v>
      </c>
      <c r="I150" s="101">
        <v>71</v>
      </c>
      <c r="J150" s="101">
        <v>0</v>
      </c>
    </row>
    <row r="151" spans="1:10" ht="15" x14ac:dyDescent="0.2">
      <c r="A151" t="s">
        <v>113</v>
      </c>
      <c r="B151" s="102" t="s">
        <v>156</v>
      </c>
      <c r="C151" s="100">
        <f t="shared" si="2"/>
        <v>6</v>
      </c>
      <c r="D151" s="103">
        <v>0</v>
      </c>
      <c r="E151" s="103">
        <v>0</v>
      </c>
      <c r="F151" s="101">
        <v>0</v>
      </c>
      <c r="G151" s="101">
        <v>0</v>
      </c>
      <c r="H151" s="101">
        <v>0</v>
      </c>
      <c r="I151" s="101">
        <v>0</v>
      </c>
      <c r="J151" s="101">
        <v>0</v>
      </c>
    </row>
    <row r="152" spans="1:10" ht="15" x14ac:dyDescent="0.2">
      <c r="A152" t="s">
        <v>113</v>
      </c>
      <c r="B152" s="99" t="s">
        <v>157</v>
      </c>
      <c r="C152" s="100">
        <f t="shared" si="2"/>
        <v>7</v>
      </c>
      <c r="D152" s="101">
        <v>0</v>
      </c>
      <c r="E152" s="101">
        <v>0</v>
      </c>
      <c r="F152" s="101">
        <v>0</v>
      </c>
      <c r="G152" s="101">
        <v>0</v>
      </c>
      <c r="H152" s="101">
        <v>0</v>
      </c>
      <c r="I152" s="101">
        <v>0</v>
      </c>
      <c r="J152" s="101">
        <v>0</v>
      </c>
    </row>
    <row r="153" spans="1:10" ht="15" x14ac:dyDescent="0.2">
      <c r="A153" t="s">
        <v>113</v>
      </c>
      <c r="B153" s="102" t="s">
        <v>158</v>
      </c>
      <c r="C153" s="100">
        <f t="shared" si="2"/>
        <v>8</v>
      </c>
      <c r="D153" s="103">
        <v>0</v>
      </c>
      <c r="E153" s="103">
        <v>0</v>
      </c>
      <c r="F153" s="101">
        <v>0</v>
      </c>
      <c r="G153" s="101">
        <v>0</v>
      </c>
      <c r="H153" s="101">
        <v>0</v>
      </c>
      <c r="I153" s="101">
        <v>0</v>
      </c>
      <c r="J153" s="101">
        <v>0</v>
      </c>
    </row>
    <row r="154" spans="1:10" ht="15" x14ac:dyDescent="0.2">
      <c r="A154" t="s">
        <v>113</v>
      </c>
      <c r="B154" s="99" t="s">
        <v>159</v>
      </c>
      <c r="C154" s="100">
        <f t="shared" ref="C154:C217" si="4">_xlfn.IFS(B154="Janeiro",1,B154="Fevereiro",2,B154="Março",3,B154="Abril",4,B154="Maio",5,B154="Junho",6,B154="Julho",7,B154="Agosto",8,B154="Setembro",9,B154="Outubro",10,B154="Novembro",11,B154="Dezembro",12,TRUE,0)</f>
        <v>9</v>
      </c>
      <c r="D154" s="101">
        <v>6</v>
      </c>
      <c r="E154" s="101">
        <v>85</v>
      </c>
      <c r="F154" s="101">
        <v>0</v>
      </c>
      <c r="G154" s="101">
        <v>0</v>
      </c>
      <c r="H154" s="101">
        <v>4</v>
      </c>
      <c r="I154" s="101">
        <v>57</v>
      </c>
      <c r="J154" s="101">
        <v>1</v>
      </c>
    </row>
    <row r="155" spans="1:10" ht="15" x14ac:dyDescent="0.2">
      <c r="A155" t="s">
        <v>113</v>
      </c>
      <c r="B155" s="102" t="s">
        <v>160</v>
      </c>
      <c r="C155" s="100">
        <f t="shared" si="4"/>
        <v>10</v>
      </c>
      <c r="D155" s="103">
        <v>0</v>
      </c>
      <c r="E155" s="103">
        <v>0</v>
      </c>
      <c r="F155" s="101">
        <v>0</v>
      </c>
      <c r="G155" s="101">
        <v>0</v>
      </c>
      <c r="H155" s="101">
        <v>0</v>
      </c>
      <c r="I155" s="101">
        <v>0</v>
      </c>
      <c r="J155" s="101">
        <v>0</v>
      </c>
    </row>
    <row r="156" spans="1:10" ht="15" x14ac:dyDescent="0.2">
      <c r="A156" t="s">
        <v>113</v>
      </c>
      <c r="B156" s="99" t="s">
        <v>161</v>
      </c>
      <c r="C156" s="100">
        <f t="shared" si="4"/>
        <v>11</v>
      </c>
      <c r="D156" s="101">
        <v>0</v>
      </c>
      <c r="E156" s="101">
        <v>0</v>
      </c>
      <c r="F156" s="101">
        <v>0</v>
      </c>
      <c r="G156" s="101">
        <v>0</v>
      </c>
      <c r="H156" s="101">
        <v>0</v>
      </c>
      <c r="I156" s="101">
        <v>0</v>
      </c>
      <c r="J156" s="101">
        <v>0</v>
      </c>
    </row>
    <row r="157" spans="1:10" ht="15" x14ac:dyDescent="0.2">
      <c r="A157" t="s">
        <v>113</v>
      </c>
      <c r="B157" s="102" t="s">
        <v>162</v>
      </c>
      <c r="C157" s="100">
        <f t="shared" si="4"/>
        <v>12</v>
      </c>
      <c r="D157" s="103">
        <v>0</v>
      </c>
      <c r="E157" s="103">
        <v>0</v>
      </c>
      <c r="F157" s="101">
        <v>0</v>
      </c>
      <c r="G157" s="101">
        <v>0</v>
      </c>
      <c r="H157" s="101">
        <v>0</v>
      </c>
      <c r="I157" s="101">
        <v>0</v>
      </c>
      <c r="J157" s="101">
        <v>0</v>
      </c>
    </row>
    <row r="158" spans="1:10" ht="15" x14ac:dyDescent="0.2">
      <c r="A158" t="s">
        <v>117</v>
      </c>
      <c r="B158" s="99" t="s">
        <v>151</v>
      </c>
      <c r="C158" s="100">
        <f t="shared" si="4"/>
        <v>1</v>
      </c>
      <c r="D158" s="101">
        <v>0</v>
      </c>
      <c r="E158" s="101">
        <v>0</v>
      </c>
      <c r="F158" s="101">
        <v>0</v>
      </c>
      <c r="G158" s="101">
        <v>0</v>
      </c>
      <c r="H158" s="101">
        <v>0</v>
      </c>
      <c r="I158" s="101">
        <v>0</v>
      </c>
      <c r="J158" s="101">
        <v>0</v>
      </c>
    </row>
    <row r="159" spans="1:10" ht="15" x14ac:dyDescent="0.2">
      <c r="A159" t="s">
        <v>117</v>
      </c>
      <c r="B159" s="102" t="s">
        <v>152</v>
      </c>
      <c r="C159" s="100">
        <f t="shared" si="4"/>
        <v>2</v>
      </c>
      <c r="D159" s="103">
        <v>2</v>
      </c>
      <c r="E159" s="103">
        <v>8</v>
      </c>
      <c r="F159" s="101">
        <v>0</v>
      </c>
      <c r="G159" s="101">
        <v>0</v>
      </c>
      <c r="H159" s="101">
        <v>0</v>
      </c>
      <c r="I159" s="101">
        <v>0</v>
      </c>
      <c r="J159" s="101">
        <v>1</v>
      </c>
    </row>
    <row r="160" spans="1:10" ht="15" x14ac:dyDescent="0.2">
      <c r="A160" t="s">
        <v>117</v>
      </c>
      <c r="B160" s="99" t="s">
        <v>153</v>
      </c>
      <c r="C160" s="100">
        <f t="shared" si="4"/>
        <v>3</v>
      </c>
      <c r="D160" s="101">
        <v>4</v>
      </c>
      <c r="E160" s="101">
        <v>16</v>
      </c>
      <c r="F160" s="101">
        <v>0</v>
      </c>
      <c r="G160" s="101">
        <v>0</v>
      </c>
      <c r="H160" s="101">
        <v>0</v>
      </c>
      <c r="I160" s="101">
        <v>0</v>
      </c>
      <c r="J160" s="101">
        <v>2</v>
      </c>
    </row>
    <row r="161" spans="1:10" ht="15" x14ac:dyDescent="0.2">
      <c r="A161" t="s">
        <v>117</v>
      </c>
      <c r="B161" s="102" t="s">
        <v>154</v>
      </c>
      <c r="C161" s="100">
        <f t="shared" si="4"/>
        <v>4</v>
      </c>
      <c r="D161" s="103">
        <v>3</v>
      </c>
      <c r="E161" s="103">
        <v>12</v>
      </c>
      <c r="F161" s="101">
        <v>0</v>
      </c>
      <c r="G161" s="101">
        <v>0</v>
      </c>
      <c r="H161" s="101">
        <v>0</v>
      </c>
      <c r="I161" s="101">
        <v>0</v>
      </c>
      <c r="J161" s="101">
        <v>1</v>
      </c>
    </row>
    <row r="162" spans="1:10" ht="15" x14ac:dyDescent="0.2">
      <c r="A162" t="s">
        <v>117</v>
      </c>
      <c r="B162" s="99" t="s">
        <v>155</v>
      </c>
      <c r="C162" s="100">
        <f t="shared" si="4"/>
        <v>5</v>
      </c>
      <c r="D162" s="101">
        <v>6</v>
      </c>
      <c r="E162" s="101">
        <v>24</v>
      </c>
      <c r="F162" s="101">
        <v>1</v>
      </c>
      <c r="G162" s="101">
        <v>1</v>
      </c>
      <c r="H162" s="101">
        <v>14</v>
      </c>
      <c r="I162" s="101">
        <v>56</v>
      </c>
      <c r="J162" s="101">
        <v>2</v>
      </c>
    </row>
    <row r="163" spans="1:10" ht="15" x14ac:dyDescent="0.2">
      <c r="A163" t="s">
        <v>117</v>
      </c>
      <c r="B163" s="102" t="s">
        <v>156</v>
      </c>
      <c r="C163" s="100">
        <f t="shared" si="4"/>
        <v>6</v>
      </c>
      <c r="D163" s="103">
        <v>7</v>
      </c>
      <c r="E163" s="103">
        <v>28</v>
      </c>
      <c r="F163" s="101">
        <v>2</v>
      </c>
      <c r="G163" s="101">
        <v>2</v>
      </c>
      <c r="H163" s="101">
        <v>0</v>
      </c>
      <c r="I163" s="101">
        <v>0</v>
      </c>
      <c r="J163" s="101">
        <v>5</v>
      </c>
    </row>
    <row r="164" spans="1:10" ht="15" x14ac:dyDescent="0.2">
      <c r="A164" t="s">
        <v>117</v>
      </c>
      <c r="B164" s="99" t="s">
        <v>157</v>
      </c>
      <c r="C164" s="100">
        <f t="shared" si="4"/>
        <v>7</v>
      </c>
      <c r="D164" s="101">
        <v>12</v>
      </c>
      <c r="E164" s="101">
        <v>48</v>
      </c>
      <c r="F164" s="101">
        <v>2</v>
      </c>
      <c r="G164" s="101">
        <v>2</v>
      </c>
      <c r="H164" s="101">
        <v>0</v>
      </c>
      <c r="I164" s="101">
        <v>0</v>
      </c>
      <c r="J164" s="101">
        <v>6</v>
      </c>
    </row>
    <row r="165" spans="1:10" ht="15" x14ac:dyDescent="0.2">
      <c r="A165" t="s">
        <v>117</v>
      </c>
      <c r="B165" s="102" t="s">
        <v>158</v>
      </c>
      <c r="C165" s="100">
        <f t="shared" si="4"/>
        <v>8</v>
      </c>
      <c r="D165" s="103">
        <v>6</v>
      </c>
      <c r="E165" s="103">
        <v>24</v>
      </c>
      <c r="F165" s="101">
        <v>1</v>
      </c>
      <c r="G165" s="101">
        <v>2</v>
      </c>
      <c r="H165" s="101">
        <v>0</v>
      </c>
      <c r="I165" s="101">
        <v>0</v>
      </c>
      <c r="J165" s="101">
        <v>2</v>
      </c>
    </row>
    <row r="166" spans="1:10" ht="15" x14ac:dyDescent="0.2">
      <c r="A166" t="s">
        <v>117</v>
      </c>
      <c r="B166" s="99" t="s">
        <v>159</v>
      </c>
      <c r="C166" s="100">
        <f t="shared" si="4"/>
        <v>9</v>
      </c>
      <c r="D166" s="101">
        <v>12</v>
      </c>
      <c r="E166" s="101">
        <v>48</v>
      </c>
      <c r="F166" s="101">
        <v>1</v>
      </c>
      <c r="G166" s="101">
        <v>3</v>
      </c>
      <c r="H166" s="101">
        <v>0</v>
      </c>
      <c r="I166" s="101">
        <v>0</v>
      </c>
      <c r="J166" s="101">
        <v>7</v>
      </c>
    </row>
    <row r="167" spans="1:10" ht="15" x14ac:dyDescent="0.2">
      <c r="A167" t="s">
        <v>117</v>
      </c>
      <c r="B167" s="102" t="s">
        <v>160</v>
      </c>
      <c r="C167" s="100">
        <f t="shared" si="4"/>
        <v>10</v>
      </c>
      <c r="D167" s="103">
        <v>0</v>
      </c>
      <c r="E167" s="103">
        <v>0</v>
      </c>
      <c r="F167" s="101">
        <v>0</v>
      </c>
      <c r="G167" s="101">
        <v>0</v>
      </c>
      <c r="H167" s="101">
        <v>0</v>
      </c>
      <c r="I167" s="101">
        <v>0</v>
      </c>
      <c r="J167" s="101">
        <v>0</v>
      </c>
    </row>
    <row r="168" spans="1:10" ht="15" x14ac:dyDescent="0.2">
      <c r="A168" t="s">
        <v>117</v>
      </c>
      <c r="B168" s="99" t="s">
        <v>161</v>
      </c>
      <c r="C168" s="100">
        <f t="shared" si="4"/>
        <v>11</v>
      </c>
      <c r="D168" s="101">
        <v>0</v>
      </c>
      <c r="E168" s="101">
        <v>0</v>
      </c>
      <c r="F168" s="101">
        <v>0</v>
      </c>
      <c r="G168" s="101">
        <v>0</v>
      </c>
      <c r="H168" s="101">
        <v>0</v>
      </c>
      <c r="I168" s="101">
        <v>0</v>
      </c>
      <c r="J168" s="101">
        <v>0</v>
      </c>
    </row>
    <row r="169" spans="1:10" ht="15" x14ac:dyDescent="0.2">
      <c r="A169" t="s">
        <v>117</v>
      </c>
      <c r="B169" s="102" t="s">
        <v>162</v>
      </c>
      <c r="C169" s="100">
        <f t="shared" si="4"/>
        <v>12</v>
      </c>
      <c r="D169" s="103">
        <v>0</v>
      </c>
      <c r="E169" s="103">
        <v>0</v>
      </c>
      <c r="F169" s="101">
        <v>0</v>
      </c>
      <c r="G169" s="101">
        <v>0</v>
      </c>
      <c r="H169" s="101">
        <v>0</v>
      </c>
      <c r="I169" s="101">
        <v>0</v>
      </c>
      <c r="J169" s="101">
        <v>0</v>
      </c>
    </row>
    <row r="170" spans="1:10" ht="15" x14ac:dyDescent="0.2">
      <c r="A170" t="s">
        <v>99</v>
      </c>
      <c r="B170" s="99" t="s">
        <v>151</v>
      </c>
      <c r="C170" s="100">
        <f t="shared" si="4"/>
        <v>1</v>
      </c>
      <c r="D170" s="101">
        <v>3</v>
      </c>
      <c r="E170" s="101">
        <v>17</v>
      </c>
      <c r="F170" s="101">
        <v>0</v>
      </c>
      <c r="G170" s="101">
        <v>0</v>
      </c>
      <c r="H170" s="101">
        <v>0</v>
      </c>
      <c r="I170" s="101">
        <v>0</v>
      </c>
      <c r="J170" s="101">
        <v>1</v>
      </c>
    </row>
    <row r="171" spans="1:10" ht="15" x14ac:dyDescent="0.2">
      <c r="A171" t="s">
        <v>99</v>
      </c>
      <c r="B171" s="102" t="s">
        <v>152</v>
      </c>
      <c r="C171" s="100">
        <f t="shared" si="4"/>
        <v>2</v>
      </c>
      <c r="D171" s="103">
        <v>0</v>
      </c>
      <c r="E171" s="103">
        <v>0</v>
      </c>
      <c r="F171" s="101">
        <v>0</v>
      </c>
      <c r="G171" s="101">
        <v>0</v>
      </c>
      <c r="H171" s="101">
        <v>0</v>
      </c>
      <c r="I171" s="101">
        <v>0</v>
      </c>
      <c r="J171" s="101">
        <v>0</v>
      </c>
    </row>
    <row r="172" spans="1:10" ht="15" x14ac:dyDescent="0.2">
      <c r="A172" t="s">
        <v>99</v>
      </c>
      <c r="B172" s="99" t="s">
        <v>153</v>
      </c>
      <c r="C172" s="100">
        <f t="shared" si="4"/>
        <v>3</v>
      </c>
      <c r="D172" s="101">
        <v>0</v>
      </c>
      <c r="E172" s="101">
        <v>0</v>
      </c>
      <c r="F172" s="101">
        <v>0</v>
      </c>
      <c r="G172" s="101">
        <v>0</v>
      </c>
      <c r="H172" s="101">
        <v>0</v>
      </c>
      <c r="I172" s="101">
        <v>0</v>
      </c>
      <c r="J172" s="101">
        <v>0</v>
      </c>
    </row>
    <row r="173" spans="1:10" ht="15" x14ac:dyDescent="0.2">
      <c r="A173" t="s">
        <v>99</v>
      </c>
      <c r="B173" s="102" t="s">
        <v>154</v>
      </c>
      <c r="C173" s="100">
        <f t="shared" si="4"/>
        <v>4</v>
      </c>
      <c r="D173" s="103">
        <v>5</v>
      </c>
      <c r="E173" s="103">
        <v>29</v>
      </c>
      <c r="F173" s="101">
        <v>0</v>
      </c>
      <c r="G173" s="101">
        <v>0</v>
      </c>
      <c r="H173" s="101">
        <v>0</v>
      </c>
      <c r="I173" s="101">
        <v>0</v>
      </c>
      <c r="J173" s="101">
        <v>2</v>
      </c>
    </row>
    <row r="174" spans="1:10" ht="15" x14ac:dyDescent="0.2">
      <c r="A174" t="s">
        <v>99</v>
      </c>
      <c r="B174" s="99" t="s">
        <v>155</v>
      </c>
      <c r="C174" s="100">
        <f t="shared" si="4"/>
        <v>5</v>
      </c>
      <c r="D174" s="101">
        <v>5</v>
      </c>
      <c r="E174" s="101">
        <v>29</v>
      </c>
      <c r="F174" s="101">
        <v>0</v>
      </c>
      <c r="G174" s="101">
        <v>0</v>
      </c>
      <c r="H174" s="101">
        <v>5</v>
      </c>
      <c r="I174" s="101">
        <v>29</v>
      </c>
      <c r="J174" s="101">
        <v>2</v>
      </c>
    </row>
    <row r="175" spans="1:10" ht="15" x14ac:dyDescent="0.2">
      <c r="A175" t="s">
        <v>99</v>
      </c>
      <c r="B175" s="102" t="s">
        <v>156</v>
      </c>
      <c r="C175" s="100">
        <f t="shared" si="4"/>
        <v>6</v>
      </c>
      <c r="D175" s="103">
        <v>5</v>
      </c>
      <c r="E175" s="103">
        <v>29</v>
      </c>
      <c r="F175" s="101">
        <v>0</v>
      </c>
      <c r="G175" s="101">
        <v>0</v>
      </c>
      <c r="H175" s="101">
        <v>0</v>
      </c>
      <c r="I175" s="101">
        <v>0</v>
      </c>
      <c r="J175" s="101">
        <v>1</v>
      </c>
    </row>
    <row r="176" spans="1:10" ht="15" x14ac:dyDescent="0.2">
      <c r="A176" t="s">
        <v>99</v>
      </c>
      <c r="B176" s="99" t="s">
        <v>157</v>
      </c>
      <c r="C176" s="100">
        <f t="shared" si="4"/>
        <v>7</v>
      </c>
      <c r="D176" s="101">
        <v>5</v>
      </c>
      <c r="E176" s="101">
        <v>29</v>
      </c>
      <c r="F176" s="101">
        <v>0</v>
      </c>
      <c r="G176" s="101">
        <v>0</v>
      </c>
      <c r="H176" s="101">
        <v>0</v>
      </c>
      <c r="I176" s="101">
        <v>0</v>
      </c>
      <c r="J176" s="101">
        <v>1</v>
      </c>
    </row>
    <row r="177" spans="1:10" ht="15" x14ac:dyDescent="0.2">
      <c r="A177" t="s">
        <v>99</v>
      </c>
      <c r="B177" s="102" t="s">
        <v>158</v>
      </c>
      <c r="C177" s="100">
        <f t="shared" si="4"/>
        <v>8</v>
      </c>
      <c r="D177" s="103">
        <v>0</v>
      </c>
      <c r="E177" s="103">
        <v>0</v>
      </c>
      <c r="F177" s="101">
        <v>0</v>
      </c>
      <c r="G177" s="101">
        <v>0</v>
      </c>
      <c r="H177" s="101">
        <v>0</v>
      </c>
      <c r="I177" s="101">
        <v>0</v>
      </c>
      <c r="J177" s="101">
        <v>0</v>
      </c>
    </row>
    <row r="178" spans="1:10" ht="15" x14ac:dyDescent="0.2">
      <c r="A178" t="s">
        <v>99</v>
      </c>
      <c r="B178" s="99" t="s">
        <v>159</v>
      </c>
      <c r="C178" s="100">
        <f t="shared" si="4"/>
        <v>9</v>
      </c>
      <c r="D178" s="101">
        <v>0</v>
      </c>
      <c r="E178" s="101">
        <v>0</v>
      </c>
      <c r="F178" s="101">
        <v>0</v>
      </c>
      <c r="G178" s="101">
        <v>0</v>
      </c>
      <c r="H178" s="101">
        <v>2</v>
      </c>
      <c r="I178" s="101">
        <v>11</v>
      </c>
      <c r="J178" s="101">
        <v>0</v>
      </c>
    </row>
    <row r="179" spans="1:10" ht="15" x14ac:dyDescent="0.2">
      <c r="A179" t="s">
        <v>99</v>
      </c>
      <c r="B179" s="102" t="s">
        <v>160</v>
      </c>
      <c r="C179" s="100">
        <f t="shared" si="4"/>
        <v>10</v>
      </c>
      <c r="D179" s="103">
        <v>0</v>
      </c>
      <c r="E179" s="103">
        <v>0</v>
      </c>
      <c r="F179" s="101">
        <v>0</v>
      </c>
      <c r="G179" s="101">
        <v>0</v>
      </c>
      <c r="H179" s="101">
        <v>0</v>
      </c>
      <c r="I179" s="101">
        <v>0</v>
      </c>
      <c r="J179" s="101">
        <v>0</v>
      </c>
    </row>
    <row r="180" spans="1:10" ht="15" x14ac:dyDescent="0.2">
      <c r="A180" t="s">
        <v>99</v>
      </c>
      <c r="B180" s="99" t="s">
        <v>161</v>
      </c>
      <c r="C180" s="100">
        <f t="shared" si="4"/>
        <v>11</v>
      </c>
      <c r="D180" s="101">
        <v>0</v>
      </c>
      <c r="E180" s="101">
        <v>0</v>
      </c>
      <c r="F180" s="101">
        <v>0</v>
      </c>
      <c r="G180" s="101">
        <v>0</v>
      </c>
      <c r="H180" s="101">
        <v>0</v>
      </c>
      <c r="I180" s="101">
        <v>0</v>
      </c>
      <c r="J180" s="101">
        <v>0</v>
      </c>
    </row>
    <row r="181" spans="1:10" ht="15" x14ac:dyDescent="0.2">
      <c r="A181" t="s">
        <v>99</v>
      </c>
      <c r="B181" s="102" t="s">
        <v>162</v>
      </c>
      <c r="C181" s="100">
        <f t="shared" si="4"/>
        <v>12</v>
      </c>
      <c r="D181" s="103">
        <v>0</v>
      </c>
      <c r="E181" s="103">
        <v>0</v>
      </c>
      <c r="F181" s="101">
        <v>0</v>
      </c>
      <c r="G181" s="101">
        <v>0</v>
      </c>
      <c r="H181" s="101">
        <v>0</v>
      </c>
      <c r="I181" s="101">
        <v>0</v>
      </c>
      <c r="J181" s="101">
        <v>0</v>
      </c>
    </row>
    <row r="182" spans="1:10" ht="15" x14ac:dyDescent="0.2">
      <c r="A182" t="s">
        <v>123</v>
      </c>
      <c r="B182" s="99" t="s">
        <v>151</v>
      </c>
      <c r="C182" s="100">
        <f t="shared" si="4"/>
        <v>1</v>
      </c>
      <c r="D182" s="101">
        <v>4</v>
      </c>
      <c r="E182" s="101">
        <v>21</v>
      </c>
      <c r="F182" s="101">
        <v>0</v>
      </c>
      <c r="G182" s="101">
        <v>0</v>
      </c>
      <c r="H182" s="101">
        <v>0</v>
      </c>
      <c r="I182" s="101">
        <v>0</v>
      </c>
      <c r="J182" s="101">
        <v>1</v>
      </c>
    </row>
    <row r="183" spans="1:10" ht="15" x14ac:dyDescent="0.2">
      <c r="A183" t="s">
        <v>123</v>
      </c>
      <c r="B183" s="102" t="s">
        <v>152</v>
      </c>
      <c r="C183" s="100">
        <f t="shared" si="4"/>
        <v>2</v>
      </c>
      <c r="D183" s="103">
        <v>0</v>
      </c>
      <c r="E183" s="103">
        <v>0</v>
      </c>
      <c r="F183" s="101">
        <v>0</v>
      </c>
      <c r="G183" s="101">
        <v>0</v>
      </c>
      <c r="H183" s="101">
        <v>0</v>
      </c>
      <c r="I183" s="101">
        <v>0</v>
      </c>
      <c r="J183" s="101">
        <v>0</v>
      </c>
    </row>
    <row r="184" spans="1:10" ht="15" x14ac:dyDescent="0.2">
      <c r="A184" t="s">
        <v>123</v>
      </c>
      <c r="B184" s="99" t="s">
        <v>153</v>
      </c>
      <c r="C184" s="100">
        <f t="shared" si="4"/>
        <v>3</v>
      </c>
      <c r="D184" s="101">
        <v>0</v>
      </c>
      <c r="E184" s="101">
        <v>0</v>
      </c>
      <c r="F184" s="101">
        <v>0</v>
      </c>
      <c r="G184" s="101">
        <v>0</v>
      </c>
      <c r="H184" s="101">
        <v>0</v>
      </c>
      <c r="I184" s="101">
        <v>0</v>
      </c>
      <c r="J184" s="101">
        <v>0</v>
      </c>
    </row>
    <row r="185" spans="1:10" ht="15" x14ac:dyDescent="0.2">
      <c r="A185" t="s">
        <v>123</v>
      </c>
      <c r="B185" s="102" t="s">
        <v>154</v>
      </c>
      <c r="C185" s="100">
        <f t="shared" si="4"/>
        <v>4</v>
      </c>
      <c r="D185" s="103">
        <v>0</v>
      </c>
      <c r="E185" s="103">
        <v>0</v>
      </c>
      <c r="F185" s="101">
        <v>0</v>
      </c>
      <c r="G185" s="101">
        <v>0</v>
      </c>
      <c r="H185" s="101">
        <v>0</v>
      </c>
      <c r="I185" s="101">
        <v>0</v>
      </c>
      <c r="J185" s="101">
        <v>0</v>
      </c>
    </row>
    <row r="186" spans="1:10" ht="15" x14ac:dyDescent="0.2">
      <c r="A186" t="s">
        <v>123</v>
      </c>
      <c r="B186" s="99" t="s">
        <v>155</v>
      </c>
      <c r="C186" s="100">
        <f t="shared" si="4"/>
        <v>5</v>
      </c>
      <c r="D186" s="101">
        <v>0</v>
      </c>
      <c r="E186" s="101">
        <v>0</v>
      </c>
      <c r="F186" s="101">
        <v>0</v>
      </c>
      <c r="G186" s="101">
        <v>0</v>
      </c>
      <c r="H186" s="101">
        <v>6</v>
      </c>
      <c r="I186" s="101">
        <v>31</v>
      </c>
      <c r="J186" s="101">
        <v>0</v>
      </c>
    </row>
    <row r="187" spans="1:10" ht="15" x14ac:dyDescent="0.2">
      <c r="A187" t="s">
        <v>123</v>
      </c>
      <c r="B187" s="102" t="s">
        <v>156</v>
      </c>
      <c r="C187" s="100">
        <f t="shared" si="4"/>
        <v>6</v>
      </c>
      <c r="D187" s="103">
        <v>0</v>
      </c>
      <c r="E187" s="103">
        <v>0</v>
      </c>
      <c r="F187" s="101">
        <v>0</v>
      </c>
      <c r="G187" s="101">
        <v>0</v>
      </c>
      <c r="H187" s="101">
        <v>0</v>
      </c>
      <c r="I187" s="101">
        <v>0</v>
      </c>
      <c r="J187" s="101">
        <v>0</v>
      </c>
    </row>
    <row r="188" spans="1:10" ht="15" x14ac:dyDescent="0.2">
      <c r="A188" t="s">
        <v>123</v>
      </c>
      <c r="B188" s="99" t="s">
        <v>157</v>
      </c>
      <c r="C188" s="100">
        <f t="shared" si="4"/>
        <v>7</v>
      </c>
      <c r="D188" s="101">
        <v>6</v>
      </c>
      <c r="E188" s="101">
        <v>31</v>
      </c>
      <c r="F188" s="101">
        <v>0</v>
      </c>
      <c r="G188" s="101">
        <v>0</v>
      </c>
      <c r="H188" s="101">
        <v>0</v>
      </c>
      <c r="I188" s="101">
        <v>0</v>
      </c>
      <c r="J188" s="101">
        <v>3</v>
      </c>
    </row>
    <row r="189" spans="1:10" ht="15" x14ac:dyDescent="0.2">
      <c r="A189" t="s">
        <v>123</v>
      </c>
      <c r="B189" s="102" t="s">
        <v>158</v>
      </c>
      <c r="C189" s="100">
        <f t="shared" si="4"/>
        <v>8</v>
      </c>
      <c r="D189" s="103">
        <v>6</v>
      </c>
      <c r="E189" s="103">
        <v>31</v>
      </c>
      <c r="F189" s="101">
        <v>0</v>
      </c>
      <c r="G189" s="101">
        <v>0</v>
      </c>
      <c r="H189" s="101">
        <v>0</v>
      </c>
      <c r="I189" s="101">
        <v>0</v>
      </c>
      <c r="J189" s="101">
        <v>2</v>
      </c>
    </row>
    <row r="190" spans="1:10" ht="15" x14ac:dyDescent="0.2">
      <c r="A190" t="s">
        <v>123</v>
      </c>
      <c r="B190" s="99" t="s">
        <v>159</v>
      </c>
      <c r="C190" s="100">
        <f t="shared" si="4"/>
        <v>9</v>
      </c>
      <c r="D190" s="101">
        <v>0</v>
      </c>
      <c r="E190" s="101">
        <v>0</v>
      </c>
      <c r="F190" s="101">
        <v>0</v>
      </c>
      <c r="G190" s="101">
        <v>0</v>
      </c>
      <c r="H190" s="101">
        <v>0</v>
      </c>
      <c r="I190" s="101">
        <v>0</v>
      </c>
      <c r="J190" s="101">
        <v>0</v>
      </c>
    </row>
    <row r="191" spans="1:10" ht="15" x14ac:dyDescent="0.2">
      <c r="A191" t="s">
        <v>123</v>
      </c>
      <c r="B191" s="102" t="s">
        <v>160</v>
      </c>
      <c r="C191" s="100">
        <f t="shared" si="4"/>
        <v>10</v>
      </c>
      <c r="D191" s="103">
        <v>0</v>
      </c>
      <c r="E191" s="103">
        <v>0</v>
      </c>
      <c r="F191" s="101">
        <v>0</v>
      </c>
      <c r="G191" s="101">
        <v>0</v>
      </c>
      <c r="H191" s="101">
        <v>0</v>
      </c>
      <c r="I191" s="101">
        <v>0</v>
      </c>
      <c r="J191" s="101">
        <v>0</v>
      </c>
    </row>
    <row r="192" spans="1:10" ht="15" x14ac:dyDescent="0.2">
      <c r="A192" t="s">
        <v>123</v>
      </c>
      <c r="B192" s="99" t="s">
        <v>161</v>
      </c>
      <c r="C192" s="100">
        <f t="shared" si="4"/>
        <v>11</v>
      </c>
      <c r="D192" s="101">
        <v>0</v>
      </c>
      <c r="E192" s="101">
        <v>0</v>
      </c>
      <c r="F192" s="101">
        <v>0</v>
      </c>
      <c r="G192" s="101">
        <v>0</v>
      </c>
      <c r="H192" s="101">
        <v>0</v>
      </c>
      <c r="I192" s="101">
        <v>0</v>
      </c>
      <c r="J192" s="101">
        <v>0</v>
      </c>
    </row>
    <row r="193" spans="1:10" ht="15" x14ac:dyDescent="0.2">
      <c r="A193" t="s">
        <v>123</v>
      </c>
      <c r="B193" s="102" t="s">
        <v>162</v>
      </c>
      <c r="C193" s="100">
        <f t="shared" si="4"/>
        <v>12</v>
      </c>
      <c r="D193" s="103">
        <v>0</v>
      </c>
      <c r="E193" s="103">
        <v>0</v>
      </c>
      <c r="F193" s="101">
        <v>0</v>
      </c>
      <c r="G193" s="101">
        <v>0</v>
      </c>
      <c r="H193" s="101">
        <v>0</v>
      </c>
      <c r="I193" s="101">
        <v>0</v>
      </c>
      <c r="J193" s="101">
        <v>0</v>
      </c>
    </row>
    <row r="194" spans="1:10" ht="15" x14ac:dyDescent="0.2">
      <c r="A194" t="s">
        <v>92</v>
      </c>
      <c r="B194" s="99" t="s">
        <v>151</v>
      </c>
      <c r="C194" s="100">
        <f t="shared" si="4"/>
        <v>1</v>
      </c>
      <c r="D194" s="101">
        <v>0</v>
      </c>
      <c r="E194" s="101">
        <v>0</v>
      </c>
      <c r="F194" s="101">
        <v>0</v>
      </c>
      <c r="G194" s="101">
        <v>0</v>
      </c>
      <c r="H194" s="101">
        <v>0</v>
      </c>
      <c r="I194" s="101">
        <v>0</v>
      </c>
      <c r="J194" s="101">
        <v>0</v>
      </c>
    </row>
    <row r="195" spans="1:10" ht="15" x14ac:dyDescent="0.2">
      <c r="A195" t="s">
        <v>92</v>
      </c>
      <c r="B195" s="102" t="s">
        <v>152</v>
      </c>
      <c r="C195" s="100">
        <f t="shared" si="4"/>
        <v>2</v>
      </c>
      <c r="D195" s="103">
        <v>0</v>
      </c>
      <c r="E195" s="103">
        <v>0</v>
      </c>
      <c r="F195" s="101">
        <v>0</v>
      </c>
      <c r="G195" s="101">
        <v>0</v>
      </c>
      <c r="H195" s="101">
        <v>0</v>
      </c>
      <c r="I195" s="101">
        <v>0</v>
      </c>
      <c r="J195" s="101">
        <v>0</v>
      </c>
    </row>
    <row r="196" spans="1:10" ht="15" x14ac:dyDescent="0.2">
      <c r="A196" t="s">
        <v>92</v>
      </c>
      <c r="B196" s="99" t="s">
        <v>153</v>
      </c>
      <c r="C196" s="100">
        <f t="shared" si="4"/>
        <v>3</v>
      </c>
      <c r="D196" s="101">
        <v>3</v>
      </c>
      <c r="E196" s="101">
        <v>7</v>
      </c>
      <c r="F196" s="101">
        <v>0</v>
      </c>
      <c r="G196" s="101">
        <v>0</v>
      </c>
      <c r="H196" s="101">
        <v>0</v>
      </c>
      <c r="I196" s="101">
        <v>0</v>
      </c>
      <c r="J196" s="101">
        <v>2</v>
      </c>
    </row>
    <row r="197" spans="1:10" ht="15" x14ac:dyDescent="0.2">
      <c r="A197" t="s">
        <v>92</v>
      </c>
      <c r="B197" s="102" t="s">
        <v>154</v>
      </c>
      <c r="C197" s="100">
        <f t="shared" si="4"/>
        <v>4</v>
      </c>
      <c r="D197" s="103">
        <v>0</v>
      </c>
      <c r="E197" s="103">
        <v>0</v>
      </c>
      <c r="F197" s="101">
        <v>0</v>
      </c>
      <c r="G197" s="101">
        <v>0</v>
      </c>
      <c r="H197" s="101">
        <v>0</v>
      </c>
      <c r="I197" s="101">
        <v>0</v>
      </c>
      <c r="J197" s="101">
        <v>0</v>
      </c>
    </row>
    <row r="198" spans="1:10" ht="15" x14ac:dyDescent="0.2">
      <c r="A198" t="s">
        <v>92</v>
      </c>
      <c r="B198" s="99" t="s">
        <v>155</v>
      </c>
      <c r="C198" s="100">
        <f t="shared" si="4"/>
        <v>5</v>
      </c>
      <c r="D198" s="101">
        <v>5</v>
      </c>
      <c r="E198" s="101">
        <v>13</v>
      </c>
      <c r="F198" s="101">
        <v>0</v>
      </c>
      <c r="G198" s="101">
        <v>0</v>
      </c>
      <c r="H198" s="101">
        <v>0</v>
      </c>
      <c r="I198" s="101">
        <v>0</v>
      </c>
      <c r="J198" s="101">
        <v>2</v>
      </c>
    </row>
    <row r="199" spans="1:10" ht="15" x14ac:dyDescent="0.2">
      <c r="A199" t="s">
        <v>92</v>
      </c>
      <c r="B199" s="102" t="s">
        <v>156</v>
      </c>
      <c r="C199" s="100">
        <f t="shared" si="4"/>
        <v>6</v>
      </c>
      <c r="D199" s="103">
        <v>0</v>
      </c>
      <c r="E199" s="103">
        <v>0</v>
      </c>
      <c r="F199" s="101">
        <v>0</v>
      </c>
      <c r="G199" s="101">
        <v>0</v>
      </c>
      <c r="H199" s="101">
        <v>0</v>
      </c>
      <c r="I199" s="101">
        <v>0</v>
      </c>
      <c r="J199" s="101">
        <v>0</v>
      </c>
    </row>
    <row r="200" spans="1:10" ht="15" x14ac:dyDescent="0.2">
      <c r="A200" t="s">
        <v>92</v>
      </c>
      <c r="B200" s="99" t="s">
        <v>157</v>
      </c>
      <c r="C200" s="100">
        <f t="shared" si="4"/>
        <v>7</v>
      </c>
      <c r="D200" s="101">
        <v>3</v>
      </c>
      <c r="E200" s="101">
        <v>7</v>
      </c>
      <c r="F200" s="101">
        <v>0</v>
      </c>
      <c r="G200" s="101">
        <v>0</v>
      </c>
      <c r="H200" s="101">
        <v>0</v>
      </c>
      <c r="I200" s="101">
        <v>0</v>
      </c>
      <c r="J200" s="101">
        <v>1</v>
      </c>
    </row>
    <row r="201" spans="1:10" ht="15" x14ac:dyDescent="0.2">
      <c r="A201" t="s">
        <v>92</v>
      </c>
      <c r="B201" s="102" t="s">
        <v>158</v>
      </c>
      <c r="C201" s="100">
        <f t="shared" si="4"/>
        <v>8</v>
      </c>
      <c r="D201" s="103">
        <v>9</v>
      </c>
      <c r="E201" s="103">
        <v>23</v>
      </c>
      <c r="F201" s="101">
        <v>1</v>
      </c>
      <c r="G201" s="101">
        <v>2</v>
      </c>
      <c r="H201" s="101">
        <v>0</v>
      </c>
      <c r="I201" s="101">
        <v>0</v>
      </c>
      <c r="J201" s="101">
        <v>4</v>
      </c>
    </row>
    <row r="202" spans="1:10" ht="15" x14ac:dyDescent="0.2">
      <c r="A202" t="s">
        <v>92</v>
      </c>
      <c r="B202" s="99" t="s">
        <v>159</v>
      </c>
      <c r="C202" s="100">
        <f t="shared" si="4"/>
        <v>9</v>
      </c>
      <c r="D202" s="101">
        <v>13</v>
      </c>
      <c r="E202" s="101">
        <v>34</v>
      </c>
      <c r="F202" s="101">
        <v>2</v>
      </c>
      <c r="G202" s="101">
        <v>2</v>
      </c>
      <c r="H202" s="101">
        <v>0</v>
      </c>
      <c r="I202" s="101">
        <v>0</v>
      </c>
      <c r="J202" s="101">
        <v>5</v>
      </c>
    </row>
    <row r="203" spans="1:10" ht="15" x14ac:dyDescent="0.2">
      <c r="A203" t="s">
        <v>92</v>
      </c>
      <c r="B203" s="102" t="s">
        <v>160</v>
      </c>
      <c r="C203" s="100">
        <f t="shared" si="4"/>
        <v>10</v>
      </c>
      <c r="D203" s="103">
        <v>0</v>
      </c>
      <c r="E203" s="103">
        <v>0</v>
      </c>
      <c r="F203" s="101">
        <v>0</v>
      </c>
      <c r="G203" s="101">
        <v>0</v>
      </c>
      <c r="H203" s="101">
        <v>0</v>
      </c>
      <c r="I203" s="101">
        <v>0</v>
      </c>
      <c r="J203" s="101">
        <v>0</v>
      </c>
    </row>
    <row r="204" spans="1:10" ht="15" x14ac:dyDescent="0.2">
      <c r="A204" t="s">
        <v>92</v>
      </c>
      <c r="B204" s="99" t="s">
        <v>161</v>
      </c>
      <c r="C204" s="100">
        <f t="shared" si="4"/>
        <v>11</v>
      </c>
      <c r="D204" s="101">
        <v>0</v>
      </c>
      <c r="E204" s="101">
        <v>0</v>
      </c>
      <c r="F204" s="101">
        <v>0</v>
      </c>
      <c r="G204" s="101">
        <v>0</v>
      </c>
      <c r="H204" s="101">
        <v>0</v>
      </c>
      <c r="I204" s="101">
        <v>0</v>
      </c>
      <c r="J204" s="101">
        <v>0</v>
      </c>
    </row>
    <row r="205" spans="1:10" ht="15" x14ac:dyDescent="0.2">
      <c r="A205" t="s">
        <v>92</v>
      </c>
      <c r="B205" s="102" t="s">
        <v>162</v>
      </c>
      <c r="C205" s="100">
        <f t="shared" si="4"/>
        <v>12</v>
      </c>
      <c r="D205" s="103">
        <v>0</v>
      </c>
      <c r="E205" s="103">
        <v>0</v>
      </c>
      <c r="F205" s="101">
        <v>0</v>
      </c>
      <c r="G205" s="101">
        <v>0</v>
      </c>
      <c r="H205" s="101">
        <v>0</v>
      </c>
      <c r="I205" s="101">
        <v>0</v>
      </c>
      <c r="J205" s="101">
        <v>0</v>
      </c>
    </row>
    <row r="206" spans="1:10" ht="15" x14ac:dyDescent="0.2">
      <c r="A206" t="s">
        <v>37</v>
      </c>
      <c r="B206" s="99" t="s">
        <v>151</v>
      </c>
      <c r="C206" s="100">
        <f t="shared" si="4"/>
        <v>1</v>
      </c>
      <c r="D206" s="101">
        <v>0</v>
      </c>
      <c r="E206" s="101">
        <v>0</v>
      </c>
      <c r="F206" s="101">
        <v>0</v>
      </c>
      <c r="G206" s="101">
        <v>0</v>
      </c>
      <c r="H206" s="101">
        <v>0</v>
      </c>
      <c r="I206" s="101">
        <v>0</v>
      </c>
      <c r="J206" s="101">
        <v>0</v>
      </c>
    </row>
    <row r="207" spans="1:10" ht="15" x14ac:dyDescent="0.2">
      <c r="A207" t="s">
        <v>37</v>
      </c>
      <c r="B207" s="102" t="s">
        <v>152</v>
      </c>
      <c r="C207" s="100">
        <f t="shared" si="4"/>
        <v>2</v>
      </c>
      <c r="D207" s="103">
        <v>0</v>
      </c>
      <c r="E207" s="103">
        <v>0</v>
      </c>
      <c r="F207" s="101">
        <v>0</v>
      </c>
      <c r="G207" s="101">
        <v>0</v>
      </c>
      <c r="H207" s="101">
        <v>0</v>
      </c>
      <c r="I207" s="101">
        <v>0</v>
      </c>
      <c r="J207" s="101">
        <v>0</v>
      </c>
    </row>
    <row r="208" spans="1:10" ht="15" x14ac:dyDescent="0.2">
      <c r="A208" t="s">
        <v>37</v>
      </c>
      <c r="B208" s="99" t="s">
        <v>153</v>
      </c>
      <c r="C208" s="100">
        <f t="shared" si="4"/>
        <v>3</v>
      </c>
      <c r="D208" s="101">
        <v>4</v>
      </c>
      <c r="E208" s="101">
        <v>30</v>
      </c>
      <c r="F208" s="101">
        <v>0</v>
      </c>
      <c r="G208" s="101">
        <v>0</v>
      </c>
      <c r="H208" s="101">
        <v>0</v>
      </c>
      <c r="I208" s="101">
        <v>0</v>
      </c>
      <c r="J208" s="101">
        <v>2</v>
      </c>
    </row>
    <row r="209" spans="1:10" ht="15" x14ac:dyDescent="0.2">
      <c r="A209" t="s">
        <v>37</v>
      </c>
      <c r="B209" s="102" t="s">
        <v>154</v>
      </c>
      <c r="C209" s="100">
        <f t="shared" si="4"/>
        <v>4</v>
      </c>
      <c r="D209" s="103">
        <v>0</v>
      </c>
      <c r="E209" s="103">
        <v>0</v>
      </c>
      <c r="F209" s="101">
        <v>0</v>
      </c>
      <c r="G209" s="101">
        <v>0</v>
      </c>
      <c r="H209" s="101">
        <v>0</v>
      </c>
      <c r="I209" s="101">
        <v>0</v>
      </c>
      <c r="J209" s="101">
        <v>0</v>
      </c>
    </row>
    <row r="210" spans="1:10" ht="15" x14ac:dyDescent="0.2">
      <c r="A210" t="s">
        <v>37</v>
      </c>
      <c r="B210" s="99" t="s">
        <v>155</v>
      </c>
      <c r="C210" s="100">
        <f t="shared" si="4"/>
        <v>5</v>
      </c>
      <c r="D210" s="101">
        <v>0</v>
      </c>
      <c r="E210" s="101">
        <v>0</v>
      </c>
      <c r="F210" s="101">
        <v>0</v>
      </c>
      <c r="G210" s="101">
        <v>0</v>
      </c>
      <c r="H210" s="101">
        <v>5</v>
      </c>
      <c r="I210" s="101">
        <v>38</v>
      </c>
      <c r="J210" s="101">
        <v>0</v>
      </c>
    </row>
    <row r="211" spans="1:10" ht="15" x14ac:dyDescent="0.2">
      <c r="A211" t="s">
        <v>37</v>
      </c>
      <c r="B211" s="102" t="s">
        <v>156</v>
      </c>
      <c r="C211" s="100">
        <f t="shared" si="4"/>
        <v>6</v>
      </c>
      <c r="D211" s="103">
        <v>3</v>
      </c>
      <c r="E211" s="103">
        <v>23</v>
      </c>
      <c r="F211" s="101">
        <v>0</v>
      </c>
      <c r="G211" s="101">
        <v>0</v>
      </c>
      <c r="H211" s="101">
        <v>0</v>
      </c>
      <c r="I211" s="101">
        <v>0</v>
      </c>
      <c r="J211" s="101">
        <v>1</v>
      </c>
    </row>
    <row r="212" spans="1:10" ht="15" x14ac:dyDescent="0.2">
      <c r="A212" t="s">
        <v>37</v>
      </c>
      <c r="B212" s="99" t="s">
        <v>157</v>
      </c>
      <c r="C212" s="100">
        <f t="shared" si="4"/>
        <v>7</v>
      </c>
      <c r="D212" s="101">
        <v>2</v>
      </c>
      <c r="E212" s="101">
        <v>15</v>
      </c>
      <c r="F212" s="101">
        <v>0</v>
      </c>
      <c r="G212" s="101">
        <v>0</v>
      </c>
      <c r="H212" s="101">
        <v>0</v>
      </c>
      <c r="I212" s="101">
        <v>0</v>
      </c>
      <c r="J212" s="101">
        <v>1</v>
      </c>
    </row>
    <row r="213" spans="1:10" ht="15" x14ac:dyDescent="0.2">
      <c r="A213" t="s">
        <v>37</v>
      </c>
      <c r="B213" s="102" t="s">
        <v>158</v>
      </c>
      <c r="C213" s="100">
        <f t="shared" si="4"/>
        <v>8</v>
      </c>
      <c r="D213" s="103">
        <v>0</v>
      </c>
      <c r="E213" s="103">
        <v>0</v>
      </c>
      <c r="F213" s="101">
        <v>0</v>
      </c>
      <c r="G213" s="101">
        <v>0</v>
      </c>
      <c r="H213" s="101">
        <v>0</v>
      </c>
      <c r="I213" s="101">
        <v>0</v>
      </c>
      <c r="J213" s="101">
        <v>0</v>
      </c>
    </row>
    <row r="214" spans="1:10" ht="15" x14ac:dyDescent="0.2">
      <c r="A214" t="s">
        <v>37</v>
      </c>
      <c r="B214" s="99" t="s">
        <v>159</v>
      </c>
      <c r="C214" s="100">
        <f t="shared" si="4"/>
        <v>9</v>
      </c>
      <c r="D214" s="101">
        <v>6</v>
      </c>
      <c r="E214" s="101">
        <v>46</v>
      </c>
      <c r="F214" s="101">
        <v>0</v>
      </c>
      <c r="G214" s="101">
        <v>0</v>
      </c>
      <c r="H214" s="101">
        <v>0</v>
      </c>
      <c r="I214" s="101">
        <v>0</v>
      </c>
      <c r="J214" s="101">
        <v>3</v>
      </c>
    </row>
    <row r="215" spans="1:10" ht="15" x14ac:dyDescent="0.2">
      <c r="A215" t="s">
        <v>37</v>
      </c>
      <c r="B215" s="102" t="s">
        <v>160</v>
      </c>
      <c r="C215" s="100">
        <f t="shared" si="4"/>
        <v>10</v>
      </c>
      <c r="D215" s="103">
        <v>0</v>
      </c>
      <c r="E215" s="103">
        <v>0</v>
      </c>
      <c r="F215" s="101">
        <v>0</v>
      </c>
      <c r="G215" s="101">
        <v>0</v>
      </c>
      <c r="H215" s="101">
        <v>0</v>
      </c>
      <c r="I215" s="101">
        <v>0</v>
      </c>
      <c r="J215" s="101">
        <v>0</v>
      </c>
    </row>
    <row r="216" spans="1:10" ht="15" x14ac:dyDescent="0.2">
      <c r="A216" t="s">
        <v>37</v>
      </c>
      <c r="B216" s="99" t="s">
        <v>161</v>
      </c>
      <c r="C216" s="100">
        <f t="shared" si="4"/>
        <v>11</v>
      </c>
      <c r="D216" s="101">
        <v>0</v>
      </c>
      <c r="E216" s="101">
        <v>0</v>
      </c>
      <c r="F216" s="101">
        <v>0</v>
      </c>
      <c r="G216" s="101">
        <v>0</v>
      </c>
      <c r="H216" s="101">
        <v>0</v>
      </c>
      <c r="I216" s="101">
        <v>0</v>
      </c>
      <c r="J216" s="101">
        <v>0</v>
      </c>
    </row>
    <row r="217" spans="1:10" ht="15" x14ac:dyDescent="0.2">
      <c r="A217" t="s">
        <v>37</v>
      </c>
      <c r="B217" s="102" t="s">
        <v>162</v>
      </c>
      <c r="C217" s="100">
        <f t="shared" si="4"/>
        <v>12</v>
      </c>
      <c r="D217" s="103">
        <v>0</v>
      </c>
      <c r="E217" s="103">
        <v>0</v>
      </c>
      <c r="F217" s="101">
        <v>0</v>
      </c>
      <c r="G217" s="101">
        <v>0</v>
      </c>
      <c r="H217" s="101">
        <v>0</v>
      </c>
      <c r="I217" s="101">
        <v>0</v>
      </c>
      <c r="J217" s="101">
        <v>0</v>
      </c>
    </row>
    <row r="218" spans="1:10" ht="15" x14ac:dyDescent="0.2">
      <c r="A218" t="s">
        <v>91</v>
      </c>
      <c r="B218" s="99" t="s">
        <v>151</v>
      </c>
      <c r="C218" s="100">
        <f t="shared" ref="C218:C293" si="5">_xlfn.IFS(B218="Janeiro",1,B218="Fevereiro",2,B218="Março",3,B218="Abril",4,B218="Maio",5,B218="Junho",6,B218="Julho",7,B218="Agosto",8,B218="Setembro",9,B218="Outubro",10,B218="Novembro",11,B218="Dezembro",12,TRUE,0)</f>
        <v>1</v>
      </c>
      <c r="D218" s="101">
        <v>9</v>
      </c>
      <c r="E218" s="101">
        <v>28</v>
      </c>
      <c r="F218" s="101">
        <v>1</v>
      </c>
      <c r="G218" s="101">
        <v>0</v>
      </c>
      <c r="H218" s="101">
        <v>4</v>
      </c>
      <c r="I218" s="101">
        <v>12</v>
      </c>
      <c r="J218" s="101">
        <v>4</v>
      </c>
    </row>
    <row r="219" spans="1:10" ht="15" x14ac:dyDescent="0.2">
      <c r="A219" t="s">
        <v>91</v>
      </c>
      <c r="B219" s="102" t="s">
        <v>152</v>
      </c>
      <c r="C219" s="100">
        <f t="shared" si="5"/>
        <v>2</v>
      </c>
      <c r="D219" s="103">
        <v>0</v>
      </c>
      <c r="E219" s="103">
        <v>0</v>
      </c>
      <c r="F219" s="101">
        <v>0</v>
      </c>
      <c r="G219" s="101">
        <v>0</v>
      </c>
      <c r="H219" s="101">
        <v>4</v>
      </c>
      <c r="I219" s="101">
        <v>12</v>
      </c>
      <c r="J219" s="101">
        <v>0</v>
      </c>
    </row>
    <row r="220" spans="1:10" ht="15" x14ac:dyDescent="0.2">
      <c r="A220" t="s">
        <v>91</v>
      </c>
      <c r="B220" s="99" t="s">
        <v>153</v>
      </c>
      <c r="C220" s="100">
        <f t="shared" si="5"/>
        <v>3</v>
      </c>
      <c r="D220" s="101">
        <v>2</v>
      </c>
      <c r="E220" s="101">
        <v>6</v>
      </c>
      <c r="F220" s="101">
        <v>1</v>
      </c>
      <c r="G220" s="101">
        <v>0</v>
      </c>
      <c r="H220" s="101">
        <v>0</v>
      </c>
      <c r="I220" s="101">
        <v>0</v>
      </c>
      <c r="J220" s="101">
        <v>1</v>
      </c>
    </row>
    <row r="221" spans="1:10" ht="15" x14ac:dyDescent="0.2">
      <c r="A221" t="s">
        <v>91</v>
      </c>
      <c r="B221" s="102" t="s">
        <v>154</v>
      </c>
      <c r="C221" s="100">
        <f t="shared" si="5"/>
        <v>4</v>
      </c>
      <c r="D221" s="103">
        <v>0</v>
      </c>
      <c r="E221" s="103">
        <v>0</v>
      </c>
      <c r="F221" s="101">
        <v>0</v>
      </c>
      <c r="G221" s="101">
        <v>0</v>
      </c>
      <c r="H221" s="101">
        <v>0</v>
      </c>
      <c r="I221" s="101">
        <v>0</v>
      </c>
      <c r="J221" s="101">
        <v>0</v>
      </c>
    </row>
    <row r="222" spans="1:10" ht="15" x14ac:dyDescent="0.2">
      <c r="A222" t="s">
        <v>91</v>
      </c>
      <c r="B222" s="99" t="s">
        <v>155</v>
      </c>
      <c r="C222" s="100">
        <f t="shared" si="5"/>
        <v>5</v>
      </c>
      <c r="D222" s="101">
        <v>4</v>
      </c>
      <c r="E222" s="101">
        <v>12</v>
      </c>
      <c r="F222" s="101">
        <v>0</v>
      </c>
      <c r="G222" s="101">
        <v>0</v>
      </c>
      <c r="H222" s="101">
        <v>13</v>
      </c>
      <c r="I222" s="101">
        <v>40</v>
      </c>
      <c r="J222" s="101">
        <v>1</v>
      </c>
    </row>
    <row r="223" spans="1:10" ht="15" x14ac:dyDescent="0.2">
      <c r="A223" t="s">
        <v>91</v>
      </c>
      <c r="B223" s="102" t="s">
        <v>156</v>
      </c>
      <c r="C223" s="100">
        <f t="shared" si="5"/>
        <v>6</v>
      </c>
      <c r="D223" s="103">
        <v>8</v>
      </c>
      <c r="E223" s="103">
        <v>25</v>
      </c>
      <c r="F223" s="101">
        <v>3</v>
      </c>
      <c r="G223" s="101">
        <v>2</v>
      </c>
      <c r="H223" s="101">
        <v>0</v>
      </c>
      <c r="I223" s="101">
        <v>0</v>
      </c>
      <c r="J223" s="101">
        <v>5</v>
      </c>
    </row>
    <row r="224" spans="1:10" ht="15" x14ac:dyDescent="0.2">
      <c r="A224" t="s">
        <v>91</v>
      </c>
      <c r="B224" s="99" t="s">
        <v>157</v>
      </c>
      <c r="C224" s="100">
        <f t="shared" si="5"/>
        <v>7</v>
      </c>
      <c r="D224" s="101">
        <v>5</v>
      </c>
      <c r="E224" s="101">
        <v>15</v>
      </c>
      <c r="F224" s="101">
        <v>2</v>
      </c>
      <c r="G224" s="101">
        <v>2</v>
      </c>
      <c r="H224" s="101">
        <v>0</v>
      </c>
      <c r="I224" s="101">
        <v>0</v>
      </c>
      <c r="J224" s="101">
        <v>3</v>
      </c>
    </row>
    <row r="225" spans="1:10" ht="15" x14ac:dyDescent="0.2">
      <c r="A225" t="s">
        <v>91</v>
      </c>
      <c r="B225" s="102" t="s">
        <v>158</v>
      </c>
      <c r="C225" s="100">
        <f t="shared" si="5"/>
        <v>8</v>
      </c>
      <c r="D225" s="103">
        <v>3</v>
      </c>
      <c r="E225" s="103">
        <v>9</v>
      </c>
      <c r="F225" s="101">
        <v>0</v>
      </c>
      <c r="G225" s="101">
        <v>0</v>
      </c>
      <c r="H225" s="101">
        <v>0</v>
      </c>
      <c r="I225" s="101">
        <v>0</v>
      </c>
      <c r="J225" s="101">
        <v>1</v>
      </c>
    </row>
    <row r="226" spans="1:10" ht="15" x14ac:dyDescent="0.2">
      <c r="A226" t="s">
        <v>91</v>
      </c>
      <c r="B226" s="99" t="s">
        <v>159</v>
      </c>
      <c r="C226" s="100">
        <f t="shared" si="5"/>
        <v>9</v>
      </c>
      <c r="D226" s="101">
        <v>7</v>
      </c>
      <c r="E226" s="101">
        <v>21</v>
      </c>
      <c r="F226" s="101">
        <v>1</v>
      </c>
      <c r="G226" s="101">
        <v>1</v>
      </c>
      <c r="H226" s="101">
        <v>0</v>
      </c>
      <c r="I226" s="101">
        <v>0</v>
      </c>
      <c r="J226" s="101">
        <v>3</v>
      </c>
    </row>
    <row r="227" spans="1:10" ht="15" x14ac:dyDescent="0.2">
      <c r="A227" t="s">
        <v>91</v>
      </c>
      <c r="B227" s="102" t="s">
        <v>160</v>
      </c>
      <c r="C227" s="100">
        <f t="shared" si="5"/>
        <v>10</v>
      </c>
      <c r="D227" s="103">
        <v>0</v>
      </c>
      <c r="E227" s="103">
        <v>0</v>
      </c>
      <c r="F227" s="101">
        <v>0</v>
      </c>
      <c r="G227" s="101">
        <v>0</v>
      </c>
      <c r="H227" s="101">
        <v>0</v>
      </c>
      <c r="I227" s="101">
        <v>0</v>
      </c>
      <c r="J227" s="101">
        <v>0</v>
      </c>
    </row>
    <row r="228" spans="1:10" ht="15" x14ac:dyDescent="0.2">
      <c r="A228" t="s">
        <v>91</v>
      </c>
      <c r="B228" s="99" t="s">
        <v>161</v>
      </c>
      <c r="C228" s="100">
        <f t="shared" si="5"/>
        <v>11</v>
      </c>
      <c r="D228" s="101">
        <v>0</v>
      </c>
      <c r="E228" s="101">
        <v>0</v>
      </c>
      <c r="F228" s="101">
        <v>0</v>
      </c>
      <c r="G228" s="101">
        <v>0</v>
      </c>
      <c r="H228" s="101">
        <v>0</v>
      </c>
      <c r="I228" s="101">
        <v>0</v>
      </c>
      <c r="J228" s="101">
        <v>0</v>
      </c>
    </row>
    <row r="229" spans="1:10" ht="15" x14ac:dyDescent="0.2">
      <c r="A229" t="s">
        <v>91</v>
      </c>
      <c r="B229" s="102" t="s">
        <v>162</v>
      </c>
      <c r="C229" s="100">
        <f t="shared" si="5"/>
        <v>12</v>
      </c>
      <c r="D229" s="103">
        <v>0</v>
      </c>
      <c r="E229" s="103">
        <v>0</v>
      </c>
      <c r="F229" s="101">
        <v>0</v>
      </c>
      <c r="G229" s="101">
        <v>0</v>
      </c>
      <c r="H229" s="101">
        <v>0</v>
      </c>
      <c r="I229" s="101">
        <v>0</v>
      </c>
      <c r="J229" s="101">
        <v>0</v>
      </c>
    </row>
    <row r="230" spans="1:10" ht="15" x14ac:dyDescent="0.2">
      <c r="A230" t="s">
        <v>126</v>
      </c>
      <c r="B230" s="99" t="s">
        <v>151</v>
      </c>
      <c r="C230" s="100">
        <f t="shared" si="5"/>
        <v>1</v>
      </c>
      <c r="D230" s="101">
        <v>5</v>
      </c>
      <c r="E230" s="101">
        <v>26</v>
      </c>
      <c r="F230" s="101">
        <v>0</v>
      </c>
      <c r="G230" s="101">
        <v>0</v>
      </c>
      <c r="H230" s="101">
        <v>3</v>
      </c>
      <c r="I230" s="101">
        <v>15</v>
      </c>
      <c r="J230" s="101">
        <v>2</v>
      </c>
    </row>
    <row r="231" spans="1:10" ht="15" x14ac:dyDescent="0.2">
      <c r="A231" t="s">
        <v>126</v>
      </c>
      <c r="B231" s="102" t="s">
        <v>152</v>
      </c>
      <c r="C231" s="100">
        <f t="shared" si="5"/>
        <v>2</v>
      </c>
      <c r="D231" s="103">
        <v>6</v>
      </c>
      <c r="E231" s="103">
        <v>31</v>
      </c>
      <c r="F231" s="101">
        <v>0</v>
      </c>
      <c r="G231" s="101">
        <v>0</v>
      </c>
      <c r="H231" s="101">
        <v>3</v>
      </c>
      <c r="I231" s="101">
        <v>15</v>
      </c>
      <c r="J231" s="101">
        <v>1</v>
      </c>
    </row>
    <row r="232" spans="1:10" ht="15" x14ac:dyDescent="0.2">
      <c r="A232" t="s">
        <v>126</v>
      </c>
      <c r="B232" s="99" t="s">
        <v>153</v>
      </c>
      <c r="C232" s="100">
        <f t="shared" si="5"/>
        <v>3</v>
      </c>
      <c r="D232" s="101">
        <v>9</v>
      </c>
      <c r="E232" s="101">
        <v>47</v>
      </c>
      <c r="F232" s="101">
        <v>0</v>
      </c>
      <c r="G232" s="101">
        <v>0</v>
      </c>
      <c r="H232" s="101">
        <v>0</v>
      </c>
      <c r="I232" s="101">
        <v>0</v>
      </c>
      <c r="J232" s="101">
        <v>3</v>
      </c>
    </row>
    <row r="233" spans="1:10" ht="15" x14ac:dyDescent="0.2">
      <c r="A233" t="s">
        <v>126</v>
      </c>
      <c r="B233" s="102" t="s">
        <v>154</v>
      </c>
      <c r="C233" s="100">
        <f t="shared" si="5"/>
        <v>4</v>
      </c>
      <c r="D233" s="103">
        <v>0</v>
      </c>
      <c r="E233" s="103">
        <v>0</v>
      </c>
      <c r="F233" s="101">
        <v>0</v>
      </c>
      <c r="G233" s="101">
        <v>0</v>
      </c>
      <c r="H233" s="101">
        <v>0</v>
      </c>
      <c r="I233" s="101">
        <v>0</v>
      </c>
      <c r="J233" s="101">
        <v>0</v>
      </c>
    </row>
    <row r="234" spans="1:10" ht="15" x14ac:dyDescent="0.2">
      <c r="A234" t="s">
        <v>126</v>
      </c>
      <c r="B234" s="99" t="s">
        <v>155</v>
      </c>
      <c r="C234" s="100">
        <f t="shared" si="5"/>
        <v>5</v>
      </c>
      <c r="D234" s="101">
        <v>4</v>
      </c>
      <c r="E234" s="101">
        <v>21</v>
      </c>
      <c r="F234" s="101">
        <v>0</v>
      </c>
      <c r="G234" s="101">
        <v>0</v>
      </c>
      <c r="H234" s="101">
        <v>11</v>
      </c>
      <c r="I234" s="101">
        <v>57</v>
      </c>
      <c r="J234" s="101">
        <v>1</v>
      </c>
    </row>
    <row r="235" spans="1:10" ht="15" x14ac:dyDescent="0.2">
      <c r="A235" t="s">
        <v>126</v>
      </c>
      <c r="B235" s="102" t="s">
        <v>156</v>
      </c>
      <c r="C235" s="100">
        <f t="shared" si="5"/>
        <v>6</v>
      </c>
      <c r="D235" s="103">
        <v>6</v>
      </c>
      <c r="E235" s="103">
        <v>31</v>
      </c>
      <c r="F235" s="101">
        <v>0</v>
      </c>
      <c r="G235" s="101">
        <v>0</v>
      </c>
      <c r="H235" s="101">
        <v>0</v>
      </c>
      <c r="I235" s="101">
        <v>0</v>
      </c>
      <c r="J235" s="101">
        <v>2</v>
      </c>
    </row>
    <row r="236" spans="1:10" ht="15" x14ac:dyDescent="0.2">
      <c r="A236" t="s">
        <v>126</v>
      </c>
      <c r="B236" s="99" t="s">
        <v>157</v>
      </c>
      <c r="C236" s="100">
        <f t="shared" si="5"/>
        <v>7</v>
      </c>
      <c r="D236" s="101">
        <v>2</v>
      </c>
      <c r="E236" s="101">
        <v>10</v>
      </c>
      <c r="F236" s="101">
        <v>1</v>
      </c>
      <c r="G236" s="101">
        <v>1</v>
      </c>
      <c r="H236" s="101">
        <v>0</v>
      </c>
      <c r="I236" s="101">
        <v>0</v>
      </c>
      <c r="J236" s="101">
        <v>1</v>
      </c>
    </row>
    <row r="237" spans="1:10" ht="15" x14ac:dyDescent="0.2">
      <c r="A237" t="s">
        <v>126</v>
      </c>
      <c r="B237" s="102" t="s">
        <v>158</v>
      </c>
      <c r="C237" s="100">
        <f t="shared" si="5"/>
        <v>8</v>
      </c>
      <c r="D237" s="103">
        <v>3</v>
      </c>
      <c r="E237" s="103">
        <v>15</v>
      </c>
      <c r="F237" s="101">
        <v>0</v>
      </c>
      <c r="G237" s="101">
        <v>0</v>
      </c>
      <c r="H237" s="101">
        <v>0</v>
      </c>
      <c r="I237" s="101">
        <v>0</v>
      </c>
      <c r="J237" s="101">
        <v>1</v>
      </c>
    </row>
    <row r="238" spans="1:10" ht="15" x14ac:dyDescent="0.2">
      <c r="A238" t="s">
        <v>126</v>
      </c>
      <c r="B238" s="99" t="s">
        <v>159</v>
      </c>
      <c r="C238" s="100">
        <f t="shared" si="5"/>
        <v>9</v>
      </c>
      <c r="D238" s="101">
        <v>4</v>
      </c>
      <c r="E238" s="101">
        <v>21</v>
      </c>
      <c r="F238" s="101">
        <v>1</v>
      </c>
      <c r="G238" s="101">
        <v>1</v>
      </c>
      <c r="H238" s="101">
        <v>0</v>
      </c>
      <c r="I238" s="101">
        <v>0</v>
      </c>
      <c r="J238" s="101">
        <v>3</v>
      </c>
    </row>
    <row r="239" spans="1:10" ht="15" x14ac:dyDescent="0.2">
      <c r="A239" t="s">
        <v>126</v>
      </c>
      <c r="B239" s="102" t="s">
        <v>160</v>
      </c>
      <c r="C239" s="100">
        <f t="shared" si="5"/>
        <v>10</v>
      </c>
      <c r="D239" s="103">
        <v>0</v>
      </c>
      <c r="E239" s="103">
        <v>0</v>
      </c>
      <c r="F239" s="101">
        <v>0</v>
      </c>
      <c r="G239" s="101">
        <v>0</v>
      </c>
      <c r="H239" s="101">
        <v>0</v>
      </c>
      <c r="I239" s="101">
        <v>0</v>
      </c>
      <c r="J239" s="101">
        <v>0</v>
      </c>
    </row>
    <row r="240" spans="1:10" ht="15" x14ac:dyDescent="0.2">
      <c r="A240" t="s">
        <v>126</v>
      </c>
      <c r="B240" s="99" t="s">
        <v>161</v>
      </c>
      <c r="C240" s="100">
        <f t="shared" si="5"/>
        <v>11</v>
      </c>
      <c r="D240" s="101">
        <v>0</v>
      </c>
      <c r="E240" s="101">
        <v>0</v>
      </c>
      <c r="F240" s="101">
        <v>0</v>
      </c>
      <c r="G240" s="101">
        <v>0</v>
      </c>
      <c r="H240" s="101">
        <v>0</v>
      </c>
      <c r="I240" s="101">
        <v>0</v>
      </c>
      <c r="J240" s="101">
        <v>0</v>
      </c>
    </row>
    <row r="241" spans="1:10" ht="15" x14ac:dyDescent="0.2">
      <c r="A241" t="s">
        <v>126</v>
      </c>
      <c r="B241" s="102" t="s">
        <v>162</v>
      </c>
      <c r="C241" s="100">
        <f t="shared" si="5"/>
        <v>12</v>
      </c>
      <c r="D241" s="103">
        <v>0</v>
      </c>
      <c r="E241" s="103">
        <v>0</v>
      </c>
      <c r="F241" s="101">
        <v>0</v>
      </c>
      <c r="G241" s="101">
        <v>0</v>
      </c>
      <c r="H241" s="101">
        <v>0</v>
      </c>
      <c r="I241" s="101">
        <v>0</v>
      </c>
      <c r="J241" s="101">
        <v>0</v>
      </c>
    </row>
    <row r="242" spans="1:10" ht="15" x14ac:dyDescent="0.2">
      <c r="A242" t="s">
        <v>73</v>
      </c>
      <c r="B242" s="99" t="s">
        <v>151</v>
      </c>
      <c r="C242" s="100">
        <f t="shared" si="5"/>
        <v>1</v>
      </c>
      <c r="D242" s="101">
        <v>0</v>
      </c>
      <c r="E242" s="101">
        <v>0</v>
      </c>
      <c r="F242" s="101">
        <v>0</v>
      </c>
      <c r="G242" s="101">
        <v>0</v>
      </c>
      <c r="H242" s="101">
        <v>0</v>
      </c>
      <c r="I242" s="101">
        <v>0</v>
      </c>
      <c r="J242" s="101">
        <v>0</v>
      </c>
    </row>
    <row r="243" spans="1:10" ht="15" x14ac:dyDescent="0.2">
      <c r="A243" t="s">
        <v>73</v>
      </c>
      <c r="B243" s="102" t="s">
        <v>152</v>
      </c>
      <c r="C243" s="100">
        <f t="shared" si="5"/>
        <v>2</v>
      </c>
      <c r="D243" s="103">
        <v>0</v>
      </c>
      <c r="E243" s="103">
        <v>0</v>
      </c>
      <c r="F243" s="101">
        <v>0</v>
      </c>
      <c r="G243" s="101">
        <v>0</v>
      </c>
      <c r="H243" s="101">
        <v>0</v>
      </c>
      <c r="I243" s="101">
        <v>0</v>
      </c>
      <c r="J243" s="101">
        <v>0</v>
      </c>
    </row>
    <row r="244" spans="1:10" ht="15" x14ac:dyDescent="0.2">
      <c r="A244" t="s">
        <v>73</v>
      </c>
      <c r="B244" s="99" t="s">
        <v>153</v>
      </c>
      <c r="C244" s="100">
        <f t="shared" si="5"/>
        <v>3</v>
      </c>
      <c r="D244" s="101">
        <v>0</v>
      </c>
      <c r="E244" s="101">
        <v>0</v>
      </c>
      <c r="F244" s="101">
        <v>0</v>
      </c>
      <c r="G244" s="101">
        <v>0</v>
      </c>
      <c r="H244" s="101">
        <v>0</v>
      </c>
      <c r="I244" s="101">
        <v>0</v>
      </c>
      <c r="J244" s="101">
        <v>0</v>
      </c>
    </row>
    <row r="245" spans="1:10" ht="15" x14ac:dyDescent="0.2">
      <c r="A245" t="s">
        <v>73</v>
      </c>
      <c r="B245" s="102" t="s">
        <v>154</v>
      </c>
      <c r="C245" s="100">
        <f t="shared" si="5"/>
        <v>4</v>
      </c>
      <c r="D245" s="103">
        <v>0</v>
      </c>
      <c r="E245" s="103">
        <v>0</v>
      </c>
      <c r="F245" s="101">
        <v>0</v>
      </c>
      <c r="G245" s="101">
        <v>0</v>
      </c>
      <c r="H245" s="101">
        <v>0</v>
      </c>
      <c r="I245" s="101">
        <v>0</v>
      </c>
      <c r="J245" s="101">
        <v>0</v>
      </c>
    </row>
    <row r="246" spans="1:10" ht="15" x14ac:dyDescent="0.2">
      <c r="A246" t="s">
        <v>73</v>
      </c>
      <c r="B246" s="99" t="s">
        <v>155</v>
      </c>
      <c r="C246" s="100">
        <f t="shared" si="5"/>
        <v>5</v>
      </c>
      <c r="D246" s="101">
        <v>0</v>
      </c>
      <c r="E246" s="101">
        <v>0</v>
      </c>
      <c r="F246" s="101">
        <v>0</v>
      </c>
      <c r="G246" s="101">
        <v>0</v>
      </c>
      <c r="H246" s="101">
        <v>0</v>
      </c>
      <c r="I246" s="101">
        <v>0</v>
      </c>
      <c r="J246" s="101">
        <v>0</v>
      </c>
    </row>
    <row r="247" spans="1:10" ht="15" x14ac:dyDescent="0.2">
      <c r="A247" t="s">
        <v>73</v>
      </c>
      <c r="B247" s="102" t="s">
        <v>156</v>
      </c>
      <c r="C247" s="100">
        <f t="shared" si="5"/>
        <v>6</v>
      </c>
      <c r="D247" s="103">
        <v>0</v>
      </c>
      <c r="E247" s="103">
        <v>0</v>
      </c>
      <c r="F247" s="101">
        <v>0</v>
      </c>
      <c r="G247" s="101">
        <v>0</v>
      </c>
      <c r="H247" s="101">
        <v>0</v>
      </c>
      <c r="I247" s="101">
        <v>0</v>
      </c>
      <c r="J247" s="101">
        <v>0</v>
      </c>
    </row>
    <row r="248" spans="1:10" ht="15" x14ac:dyDescent="0.2">
      <c r="A248" t="s">
        <v>73</v>
      </c>
      <c r="B248" s="99" t="s">
        <v>157</v>
      </c>
      <c r="C248" s="100">
        <f t="shared" si="5"/>
        <v>7</v>
      </c>
      <c r="D248" s="101">
        <v>8</v>
      </c>
      <c r="E248" s="101">
        <v>47</v>
      </c>
      <c r="F248" s="101">
        <v>0</v>
      </c>
      <c r="G248" s="101">
        <v>0</v>
      </c>
      <c r="H248" s="101">
        <v>0</v>
      </c>
      <c r="I248" s="101">
        <v>0</v>
      </c>
      <c r="J248" s="101">
        <v>2</v>
      </c>
    </row>
    <row r="249" spans="1:10" ht="15" x14ac:dyDescent="0.2">
      <c r="A249" t="s">
        <v>73</v>
      </c>
      <c r="B249" s="102" t="s">
        <v>158</v>
      </c>
      <c r="C249" s="100">
        <f t="shared" si="5"/>
        <v>8</v>
      </c>
      <c r="D249" s="103">
        <v>6</v>
      </c>
      <c r="E249" s="103">
        <v>35</v>
      </c>
      <c r="F249" s="101">
        <v>0</v>
      </c>
      <c r="G249" s="101">
        <v>0</v>
      </c>
      <c r="H249" s="101">
        <v>0</v>
      </c>
      <c r="I249" s="101">
        <v>0</v>
      </c>
      <c r="J249" s="101">
        <v>1</v>
      </c>
    </row>
    <row r="250" spans="1:10" ht="15" x14ac:dyDescent="0.2">
      <c r="A250" t="s">
        <v>73</v>
      </c>
      <c r="B250" s="99" t="s">
        <v>159</v>
      </c>
      <c r="C250" s="100">
        <f t="shared" si="5"/>
        <v>9</v>
      </c>
      <c r="D250" s="101">
        <v>3</v>
      </c>
      <c r="E250" s="101">
        <v>17</v>
      </c>
      <c r="F250" s="101">
        <v>1</v>
      </c>
      <c r="G250" s="101">
        <v>1</v>
      </c>
      <c r="H250" s="101">
        <v>0</v>
      </c>
      <c r="I250" s="101">
        <v>0</v>
      </c>
      <c r="J250" s="101">
        <v>1</v>
      </c>
    </row>
    <row r="251" spans="1:10" ht="15" x14ac:dyDescent="0.2">
      <c r="A251" t="s">
        <v>73</v>
      </c>
      <c r="B251" s="102" t="s">
        <v>160</v>
      </c>
      <c r="C251" s="100">
        <f t="shared" si="5"/>
        <v>10</v>
      </c>
      <c r="D251" s="103">
        <v>0</v>
      </c>
      <c r="E251" s="103">
        <v>0</v>
      </c>
      <c r="F251" s="101">
        <v>0</v>
      </c>
      <c r="G251" s="101">
        <v>0</v>
      </c>
      <c r="H251" s="101">
        <v>0</v>
      </c>
      <c r="I251" s="101">
        <v>0</v>
      </c>
      <c r="J251" s="101">
        <v>0</v>
      </c>
    </row>
    <row r="252" spans="1:10" ht="15" x14ac:dyDescent="0.2">
      <c r="A252" t="s">
        <v>73</v>
      </c>
      <c r="B252" s="99" t="s">
        <v>161</v>
      </c>
      <c r="C252" s="100">
        <f t="shared" si="5"/>
        <v>11</v>
      </c>
      <c r="D252" s="101">
        <v>0</v>
      </c>
      <c r="E252" s="101">
        <v>0</v>
      </c>
      <c r="F252" s="101">
        <v>0</v>
      </c>
      <c r="G252" s="101">
        <v>0</v>
      </c>
      <c r="H252" s="101">
        <v>0</v>
      </c>
      <c r="I252" s="101">
        <v>0</v>
      </c>
      <c r="J252" s="101">
        <v>0</v>
      </c>
    </row>
    <row r="253" spans="1:10" ht="15" x14ac:dyDescent="0.2">
      <c r="A253" t="s">
        <v>73</v>
      </c>
      <c r="B253" s="102" t="s">
        <v>162</v>
      </c>
      <c r="C253" s="100">
        <f t="shared" si="5"/>
        <v>12</v>
      </c>
      <c r="D253" s="103">
        <v>0</v>
      </c>
      <c r="E253" s="103">
        <v>0</v>
      </c>
      <c r="F253" s="101">
        <v>0</v>
      </c>
      <c r="G253" s="101">
        <v>0</v>
      </c>
      <c r="H253" s="101">
        <v>0</v>
      </c>
      <c r="I253" s="101">
        <v>0</v>
      </c>
      <c r="J253" s="101">
        <v>0</v>
      </c>
    </row>
    <row r="254" spans="1:10" ht="15" x14ac:dyDescent="0.2">
      <c r="A254" t="s">
        <v>56</v>
      </c>
      <c r="B254" s="99" t="s">
        <v>151</v>
      </c>
      <c r="C254" s="100">
        <f t="shared" si="5"/>
        <v>1</v>
      </c>
      <c r="D254" s="101">
        <v>0</v>
      </c>
      <c r="E254" s="101">
        <v>0</v>
      </c>
      <c r="F254" s="101">
        <v>0</v>
      </c>
      <c r="G254" s="101">
        <v>0</v>
      </c>
      <c r="H254" s="101">
        <v>0</v>
      </c>
      <c r="I254" s="101">
        <v>0</v>
      </c>
      <c r="J254" s="101">
        <v>0</v>
      </c>
    </row>
    <row r="255" spans="1:10" ht="15" x14ac:dyDescent="0.2">
      <c r="A255" t="s">
        <v>56</v>
      </c>
      <c r="B255" s="102" t="s">
        <v>152</v>
      </c>
      <c r="C255" s="100">
        <f t="shared" si="5"/>
        <v>2</v>
      </c>
      <c r="D255" s="103">
        <v>3</v>
      </c>
      <c r="E255" s="103">
        <v>23</v>
      </c>
      <c r="F255" s="101">
        <v>1</v>
      </c>
      <c r="G255" s="101">
        <v>1</v>
      </c>
      <c r="H255" s="101">
        <v>0</v>
      </c>
      <c r="I255" s="101">
        <v>0</v>
      </c>
      <c r="J255" s="101">
        <v>1</v>
      </c>
    </row>
    <row r="256" spans="1:10" ht="15" x14ac:dyDescent="0.2">
      <c r="A256" t="s">
        <v>56</v>
      </c>
      <c r="B256" s="99" t="s">
        <v>153</v>
      </c>
      <c r="C256" s="100">
        <f t="shared" si="5"/>
        <v>3</v>
      </c>
      <c r="D256" s="101">
        <v>0</v>
      </c>
      <c r="E256" s="101">
        <v>0</v>
      </c>
      <c r="F256" s="101">
        <v>0</v>
      </c>
      <c r="G256" s="101">
        <v>0</v>
      </c>
      <c r="H256" s="101">
        <v>0</v>
      </c>
      <c r="I256" s="101">
        <v>0</v>
      </c>
      <c r="J256" s="101">
        <v>0</v>
      </c>
    </row>
    <row r="257" spans="1:10" ht="15" x14ac:dyDescent="0.2">
      <c r="A257" t="s">
        <v>56</v>
      </c>
      <c r="B257" s="102" t="s">
        <v>154</v>
      </c>
      <c r="C257" s="100">
        <f t="shared" si="5"/>
        <v>4</v>
      </c>
      <c r="D257" s="103">
        <v>0</v>
      </c>
      <c r="E257" s="103">
        <v>0</v>
      </c>
      <c r="F257" s="101">
        <v>0</v>
      </c>
      <c r="G257" s="101">
        <v>0</v>
      </c>
      <c r="H257" s="101">
        <v>0</v>
      </c>
      <c r="I257" s="101">
        <v>0</v>
      </c>
      <c r="J257" s="101">
        <v>0</v>
      </c>
    </row>
    <row r="258" spans="1:10" ht="15" x14ac:dyDescent="0.2">
      <c r="A258" t="s">
        <v>56</v>
      </c>
      <c r="B258" s="99" t="s">
        <v>155</v>
      </c>
      <c r="C258" s="100">
        <f t="shared" si="5"/>
        <v>5</v>
      </c>
      <c r="D258" s="101">
        <v>0</v>
      </c>
      <c r="E258" s="101">
        <v>0</v>
      </c>
      <c r="F258" s="101">
        <v>0</v>
      </c>
      <c r="G258" s="101">
        <v>0</v>
      </c>
      <c r="H258" s="101">
        <v>0</v>
      </c>
      <c r="I258" s="101">
        <v>0</v>
      </c>
      <c r="J258" s="101">
        <v>0</v>
      </c>
    </row>
    <row r="259" spans="1:10" ht="15" x14ac:dyDescent="0.2">
      <c r="A259" t="s">
        <v>56</v>
      </c>
      <c r="B259" s="102" t="s">
        <v>156</v>
      </c>
      <c r="C259" s="100">
        <f t="shared" si="5"/>
        <v>6</v>
      </c>
      <c r="D259" s="103">
        <v>0</v>
      </c>
      <c r="E259" s="103">
        <v>0</v>
      </c>
      <c r="F259" s="101">
        <v>0</v>
      </c>
      <c r="G259" s="101">
        <v>0</v>
      </c>
      <c r="H259" s="101">
        <v>0</v>
      </c>
      <c r="I259" s="101">
        <v>0</v>
      </c>
      <c r="J259" s="101">
        <v>0</v>
      </c>
    </row>
    <row r="260" spans="1:10" ht="15" x14ac:dyDescent="0.2">
      <c r="A260" t="s">
        <v>56</v>
      </c>
      <c r="B260" s="99" t="s">
        <v>157</v>
      </c>
      <c r="C260" s="100">
        <f t="shared" si="5"/>
        <v>7</v>
      </c>
      <c r="D260" s="101">
        <v>0</v>
      </c>
      <c r="E260" s="101">
        <v>0</v>
      </c>
      <c r="F260" s="101">
        <v>0</v>
      </c>
      <c r="G260" s="101">
        <v>0</v>
      </c>
      <c r="H260" s="101">
        <v>0</v>
      </c>
      <c r="I260" s="101">
        <v>0</v>
      </c>
      <c r="J260" s="101">
        <v>0</v>
      </c>
    </row>
    <row r="261" spans="1:10" ht="15" x14ac:dyDescent="0.2">
      <c r="A261" t="s">
        <v>56</v>
      </c>
      <c r="B261" s="102" t="s">
        <v>158</v>
      </c>
      <c r="C261" s="100">
        <f t="shared" si="5"/>
        <v>8</v>
      </c>
      <c r="D261" s="103">
        <v>5</v>
      </c>
      <c r="E261" s="103">
        <v>38</v>
      </c>
      <c r="F261" s="101">
        <v>1</v>
      </c>
      <c r="G261" s="101">
        <v>1</v>
      </c>
      <c r="H261" s="101">
        <v>0</v>
      </c>
      <c r="I261" s="101">
        <v>0</v>
      </c>
      <c r="J261" s="101">
        <v>3</v>
      </c>
    </row>
    <row r="262" spans="1:10" ht="15" x14ac:dyDescent="0.2">
      <c r="A262" t="s">
        <v>56</v>
      </c>
      <c r="B262" s="99" t="s">
        <v>159</v>
      </c>
      <c r="C262" s="100">
        <f t="shared" si="5"/>
        <v>9</v>
      </c>
      <c r="D262" s="101">
        <v>2</v>
      </c>
      <c r="E262" s="101">
        <v>15</v>
      </c>
      <c r="F262" s="101">
        <v>0</v>
      </c>
      <c r="G262" s="101">
        <v>0</v>
      </c>
      <c r="H262" s="101">
        <v>0</v>
      </c>
      <c r="I262" s="101">
        <v>0</v>
      </c>
      <c r="J262" s="101">
        <v>1</v>
      </c>
    </row>
    <row r="263" spans="1:10" ht="15" x14ac:dyDescent="0.2">
      <c r="A263" t="s">
        <v>56</v>
      </c>
      <c r="B263" s="102" t="s">
        <v>160</v>
      </c>
      <c r="C263" s="100">
        <f t="shared" si="5"/>
        <v>10</v>
      </c>
      <c r="D263" s="103">
        <v>0</v>
      </c>
      <c r="E263" s="103">
        <v>0</v>
      </c>
      <c r="F263" s="101">
        <v>0</v>
      </c>
      <c r="G263" s="101">
        <v>0</v>
      </c>
      <c r="H263" s="101">
        <v>0</v>
      </c>
      <c r="I263" s="101">
        <v>0</v>
      </c>
      <c r="J263" s="101">
        <v>0</v>
      </c>
    </row>
    <row r="264" spans="1:10" ht="15" x14ac:dyDescent="0.2">
      <c r="A264" t="s">
        <v>56</v>
      </c>
      <c r="B264" s="99" t="s">
        <v>161</v>
      </c>
      <c r="C264" s="100">
        <f t="shared" si="5"/>
        <v>11</v>
      </c>
      <c r="D264" s="101">
        <v>0</v>
      </c>
      <c r="E264" s="101">
        <v>0</v>
      </c>
      <c r="F264" s="101">
        <v>0</v>
      </c>
      <c r="G264" s="101">
        <v>0</v>
      </c>
      <c r="H264" s="101">
        <v>0</v>
      </c>
      <c r="I264" s="101">
        <v>0</v>
      </c>
      <c r="J264" s="101">
        <v>0</v>
      </c>
    </row>
    <row r="265" spans="1:10" ht="15" x14ac:dyDescent="0.2">
      <c r="A265" t="s">
        <v>56</v>
      </c>
      <c r="B265" s="102" t="s">
        <v>162</v>
      </c>
      <c r="C265" s="100">
        <f t="shared" si="5"/>
        <v>12</v>
      </c>
      <c r="D265" s="103">
        <v>0</v>
      </c>
      <c r="E265" s="103">
        <v>0</v>
      </c>
      <c r="F265" s="101">
        <v>0</v>
      </c>
      <c r="G265" s="101">
        <v>0</v>
      </c>
      <c r="H265" s="101">
        <v>0</v>
      </c>
      <c r="I265" s="101">
        <v>0</v>
      </c>
      <c r="J265" s="101">
        <v>0</v>
      </c>
    </row>
    <row r="266" spans="1:10" ht="15" x14ac:dyDescent="0.2">
      <c r="A266" t="s">
        <v>299</v>
      </c>
      <c r="B266" s="99" t="s">
        <v>151</v>
      </c>
      <c r="C266" s="100">
        <f t="shared" ref="C266:C277" si="6">_xlfn.IFS(B266="Janeiro",1,B266="Fevereiro",2,B266="Março",3,B266="Abril",4,B266="Maio",5,B266="Junho",6,B266="Julho",7,B266="Agosto",8,B266="Setembro",9,B266="Outubro",10,B266="Novembro",11,B266="Dezembro",12,TRUE,0)</f>
        <v>1</v>
      </c>
      <c r="D266" s="103">
        <v>0</v>
      </c>
      <c r="E266" s="103">
        <v>0</v>
      </c>
      <c r="F266" s="101">
        <v>0</v>
      </c>
      <c r="G266" s="101">
        <v>0</v>
      </c>
      <c r="H266" s="101">
        <v>0</v>
      </c>
      <c r="I266" s="101">
        <v>0</v>
      </c>
      <c r="J266" s="101">
        <v>0</v>
      </c>
    </row>
    <row r="267" spans="1:10" ht="15" x14ac:dyDescent="0.2">
      <c r="A267" t="s">
        <v>299</v>
      </c>
      <c r="B267" s="102" t="s">
        <v>152</v>
      </c>
      <c r="C267" s="100">
        <f t="shared" si="6"/>
        <v>2</v>
      </c>
      <c r="D267" s="103">
        <v>0</v>
      </c>
      <c r="E267" s="103">
        <v>0</v>
      </c>
      <c r="F267" s="101">
        <v>0</v>
      </c>
      <c r="G267" s="101">
        <v>0</v>
      </c>
      <c r="H267" s="101">
        <v>0</v>
      </c>
      <c r="I267" s="101">
        <v>0</v>
      </c>
      <c r="J267" s="101">
        <v>0</v>
      </c>
    </row>
    <row r="268" spans="1:10" ht="15" x14ac:dyDescent="0.2">
      <c r="A268" t="s">
        <v>299</v>
      </c>
      <c r="B268" s="99" t="s">
        <v>153</v>
      </c>
      <c r="C268" s="100">
        <f t="shared" si="6"/>
        <v>3</v>
      </c>
      <c r="D268" s="103">
        <v>0</v>
      </c>
      <c r="E268" s="103">
        <v>0</v>
      </c>
      <c r="F268" s="101">
        <v>0</v>
      </c>
      <c r="G268" s="101">
        <v>0</v>
      </c>
      <c r="H268" s="101">
        <v>0</v>
      </c>
      <c r="I268" s="101">
        <v>0</v>
      </c>
      <c r="J268" s="101">
        <v>0</v>
      </c>
    </row>
    <row r="269" spans="1:10" ht="15" x14ac:dyDescent="0.2">
      <c r="A269" t="s">
        <v>299</v>
      </c>
      <c r="B269" s="102" t="s">
        <v>154</v>
      </c>
      <c r="C269" s="100">
        <f t="shared" si="6"/>
        <v>4</v>
      </c>
      <c r="D269" s="103">
        <v>0</v>
      </c>
      <c r="E269" s="103">
        <v>0</v>
      </c>
      <c r="F269" s="101">
        <v>0</v>
      </c>
      <c r="G269" s="101">
        <v>0</v>
      </c>
      <c r="H269" s="101">
        <v>0</v>
      </c>
      <c r="I269" s="101">
        <v>0</v>
      </c>
      <c r="J269" s="101">
        <v>0</v>
      </c>
    </row>
    <row r="270" spans="1:10" ht="15" x14ac:dyDescent="0.2">
      <c r="A270" t="s">
        <v>299</v>
      </c>
      <c r="B270" s="99" t="s">
        <v>155</v>
      </c>
      <c r="C270" s="100">
        <f t="shared" si="6"/>
        <v>5</v>
      </c>
      <c r="D270" s="103">
        <v>0</v>
      </c>
      <c r="E270" s="103">
        <v>0</v>
      </c>
      <c r="F270" s="101">
        <v>0</v>
      </c>
      <c r="G270" s="101">
        <v>0</v>
      </c>
      <c r="H270" s="101">
        <v>0</v>
      </c>
      <c r="I270" s="101">
        <v>0</v>
      </c>
      <c r="J270" s="101">
        <v>0</v>
      </c>
    </row>
    <row r="271" spans="1:10" ht="15" x14ac:dyDescent="0.2">
      <c r="A271" t="s">
        <v>299</v>
      </c>
      <c r="B271" s="102" t="s">
        <v>156</v>
      </c>
      <c r="C271" s="100">
        <f t="shared" si="6"/>
        <v>6</v>
      </c>
      <c r="D271" s="103">
        <v>0</v>
      </c>
      <c r="E271" s="103">
        <v>0</v>
      </c>
      <c r="F271" s="101">
        <v>0</v>
      </c>
      <c r="G271" s="101">
        <v>0</v>
      </c>
      <c r="H271" s="101">
        <v>0</v>
      </c>
      <c r="I271" s="101">
        <v>0</v>
      </c>
      <c r="J271" s="101">
        <v>0</v>
      </c>
    </row>
    <row r="272" spans="1:10" ht="15" x14ac:dyDescent="0.2">
      <c r="A272" t="s">
        <v>299</v>
      </c>
      <c r="B272" s="99" t="s">
        <v>157</v>
      </c>
      <c r="C272" s="100">
        <f t="shared" si="6"/>
        <v>7</v>
      </c>
      <c r="D272" s="103">
        <v>4</v>
      </c>
      <c r="E272" s="103">
        <v>44</v>
      </c>
      <c r="F272" s="101">
        <v>0</v>
      </c>
      <c r="G272" s="101">
        <v>0</v>
      </c>
      <c r="H272" s="101">
        <v>0</v>
      </c>
      <c r="I272" s="101">
        <v>0</v>
      </c>
      <c r="J272" s="101">
        <v>2</v>
      </c>
    </row>
    <row r="273" spans="1:10" ht="15" x14ac:dyDescent="0.2">
      <c r="A273" t="s">
        <v>299</v>
      </c>
      <c r="B273" s="102" t="s">
        <v>158</v>
      </c>
      <c r="C273" s="100">
        <f t="shared" si="6"/>
        <v>8</v>
      </c>
      <c r="D273" s="103">
        <v>0</v>
      </c>
      <c r="E273" s="103">
        <v>0</v>
      </c>
      <c r="F273" s="101">
        <v>0</v>
      </c>
      <c r="G273" s="101">
        <v>0</v>
      </c>
      <c r="H273" s="101">
        <v>0</v>
      </c>
      <c r="I273" s="101">
        <v>0</v>
      </c>
      <c r="J273" s="101">
        <v>0</v>
      </c>
    </row>
    <row r="274" spans="1:10" ht="15" x14ac:dyDescent="0.2">
      <c r="A274" t="s">
        <v>299</v>
      </c>
      <c r="B274" s="99" t="s">
        <v>159</v>
      </c>
      <c r="C274" s="100">
        <f t="shared" si="6"/>
        <v>9</v>
      </c>
      <c r="D274" s="103">
        <v>0</v>
      </c>
      <c r="E274" s="103">
        <v>0</v>
      </c>
      <c r="F274" s="101">
        <v>0</v>
      </c>
      <c r="G274" s="101">
        <v>0</v>
      </c>
      <c r="H274" s="101">
        <v>0</v>
      </c>
      <c r="I274" s="101">
        <v>0</v>
      </c>
      <c r="J274" s="101">
        <v>0</v>
      </c>
    </row>
    <row r="275" spans="1:10" ht="15" x14ac:dyDescent="0.2">
      <c r="A275" t="s">
        <v>299</v>
      </c>
      <c r="B275" s="102" t="s">
        <v>160</v>
      </c>
      <c r="C275" s="100">
        <f t="shared" si="6"/>
        <v>10</v>
      </c>
      <c r="D275" s="103">
        <v>0</v>
      </c>
      <c r="E275" s="103">
        <v>0</v>
      </c>
      <c r="F275" s="101">
        <v>0</v>
      </c>
      <c r="G275" s="101">
        <v>0</v>
      </c>
      <c r="H275" s="101">
        <v>0</v>
      </c>
      <c r="I275" s="101">
        <v>0</v>
      </c>
      <c r="J275" s="101">
        <v>0</v>
      </c>
    </row>
    <row r="276" spans="1:10" ht="15" x14ac:dyDescent="0.2">
      <c r="A276" t="s">
        <v>299</v>
      </c>
      <c r="B276" s="99" t="s">
        <v>161</v>
      </c>
      <c r="C276" s="100">
        <f t="shared" si="6"/>
        <v>11</v>
      </c>
      <c r="D276" s="103"/>
      <c r="E276" s="103"/>
      <c r="F276" s="101">
        <v>0</v>
      </c>
      <c r="G276" s="101">
        <v>0</v>
      </c>
      <c r="H276" s="101">
        <v>0</v>
      </c>
      <c r="I276" s="101">
        <v>0</v>
      </c>
      <c r="J276" s="101"/>
    </row>
    <row r="277" spans="1:10" ht="15" x14ac:dyDescent="0.2">
      <c r="A277" t="s">
        <v>299</v>
      </c>
      <c r="B277" s="102" t="s">
        <v>162</v>
      </c>
      <c r="C277" s="100">
        <f t="shared" si="6"/>
        <v>12</v>
      </c>
      <c r="D277" s="103"/>
      <c r="E277" s="103"/>
      <c r="F277" s="101">
        <v>0</v>
      </c>
      <c r="G277" s="101">
        <v>0</v>
      </c>
      <c r="H277" s="101">
        <v>0</v>
      </c>
      <c r="I277" s="101">
        <v>0</v>
      </c>
      <c r="J277" s="101"/>
    </row>
    <row r="278" spans="1:10" ht="15" x14ac:dyDescent="0.2">
      <c r="A278" t="s">
        <v>90</v>
      </c>
      <c r="B278" s="99" t="s">
        <v>151</v>
      </c>
      <c r="C278" s="100">
        <f t="shared" si="5"/>
        <v>1</v>
      </c>
      <c r="D278" s="101">
        <v>3</v>
      </c>
      <c r="E278" s="101">
        <v>7</v>
      </c>
      <c r="F278" s="101">
        <v>1</v>
      </c>
      <c r="G278" s="101">
        <v>0</v>
      </c>
      <c r="H278" s="101">
        <v>5</v>
      </c>
      <c r="I278" s="101">
        <v>12</v>
      </c>
      <c r="J278" s="101">
        <v>1</v>
      </c>
    </row>
    <row r="279" spans="1:10" ht="15" x14ac:dyDescent="0.2">
      <c r="A279" t="s">
        <v>90</v>
      </c>
      <c r="B279" s="102" t="s">
        <v>152</v>
      </c>
      <c r="C279" s="100">
        <f t="shared" si="5"/>
        <v>2</v>
      </c>
      <c r="D279" s="103">
        <v>10</v>
      </c>
      <c r="E279" s="103">
        <v>25</v>
      </c>
      <c r="F279" s="101">
        <v>0</v>
      </c>
      <c r="G279" s="101">
        <v>0</v>
      </c>
      <c r="H279" s="101">
        <v>5</v>
      </c>
      <c r="I279" s="101">
        <v>12</v>
      </c>
      <c r="J279" s="101">
        <v>3</v>
      </c>
    </row>
    <row r="280" spans="1:10" ht="15" x14ac:dyDescent="0.2">
      <c r="A280" t="s">
        <v>90</v>
      </c>
      <c r="B280" s="99" t="s">
        <v>153</v>
      </c>
      <c r="C280" s="100">
        <f t="shared" si="5"/>
        <v>3</v>
      </c>
      <c r="D280" s="101">
        <v>9</v>
      </c>
      <c r="E280" s="101">
        <v>23</v>
      </c>
      <c r="F280" s="101">
        <v>0</v>
      </c>
      <c r="G280" s="101">
        <v>0</v>
      </c>
      <c r="H280" s="101">
        <v>0</v>
      </c>
      <c r="I280" s="101">
        <v>0</v>
      </c>
      <c r="J280" s="101">
        <v>3</v>
      </c>
    </row>
    <row r="281" spans="1:10" ht="15" x14ac:dyDescent="0.2">
      <c r="A281" t="s">
        <v>90</v>
      </c>
      <c r="B281" s="102" t="s">
        <v>154</v>
      </c>
      <c r="C281" s="100">
        <f t="shared" si="5"/>
        <v>4</v>
      </c>
      <c r="D281" s="103">
        <v>0</v>
      </c>
      <c r="E281" s="103">
        <v>0</v>
      </c>
      <c r="F281" s="101">
        <v>0</v>
      </c>
      <c r="G281" s="101">
        <v>0</v>
      </c>
      <c r="H281" s="101">
        <v>0</v>
      </c>
      <c r="I281" s="101">
        <v>0</v>
      </c>
      <c r="J281" s="101">
        <v>0</v>
      </c>
    </row>
    <row r="282" spans="1:10" ht="15" x14ac:dyDescent="0.2">
      <c r="A282" t="s">
        <v>90</v>
      </c>
      <c r="B282" s="99" t="s">
        <v>155</v>
      </c>
      <c r="C282" s="100">
        <f t="shared" si="5"/>
        <v>5</v>
      </c>
      <c r="D282" s="101">
        <v>17</v>
      </c>
      <c r="E282" s="101">
        <v>43</v>
      </c>
      <c r="F282" s="101">
        <v>1</v>
      </c>
      <c r="G282" s="101">
        <v>1</v>
      </c>
      <c r="H282" s="101">
        <v>26</v>
      </c>
      <c r="I282" s="101">
        <v>66</v>
      </c>
      <c r="J282" s="101">
        <v>1</v>
      </c>
    </row>
    <row r="283" spans="1:10" ht="15" x14ac:dyDescent="0.2">
      <c r="A283" t="s">
        <v>90</v>
      </c>
      <c r="B283" s="102" t="s">
        <v>156</v>
      </c>
      <c r="C283" s="100">
        <f t="shared" si="5"/>
        <v>6</v>
      </c>
      <c r="D283" s="103">
        <v>22</v>
      </c>
      <c r="E283" s="103">
        <v>56</v>
      </c>
      <c r="F283" s="101">
        <v>1</v>
      </c>
      <c r="G283" s="101">
        <v>1</v>
      </c>
      <c r="H283" s="101">
        <v>0</v>
      </c>
      <c r="I283" s="101">
        <v>0</v>
      </c>
      <c r="J283" s="101">
        <v>5</v>
      </c>
    </row>
    <row r="284" spans="1:10" ht="15" x14ac:dyDescent="0.2">
      <c r="A284" t="s">
        <v>90</v>
      </c>
      <c r="B284" s="99" t="s">
        <v>157</v>
      </c>
      <c r="C284" s="100">
        <f t="shared" si="5"/>
        <v>7</v>
      </c>
      <c r="D284" s="101">
        <v>12</v>
      </c>
      <c r="E284" s="101">
        <v>30</v>
      </c>
      <c r="F284" s="101">
        <v>1</v>
      </c>
      <c r="G284" s="101">
        <v>1</v>
      </c>
      <c r="H284" s="101">
        <v>0</v>
      </c>
      <c r="I284" s="101">
        <v>0</v>
      </c>
      <c r="J284" s="101">
        <v>4</v>
      </c>
    </row>
    <row r="285" spans="1:10" ht="15" x14ac:dyDescent="0.2">
      <c r="A285" t="s">
        <v>90</v>
      </c>
      <c r="B285" s="102" t="s">
        <v>158</v>
      </c>
      <c r="C285" s="100">
        <f t="shared" si="5"/>
        <v>8</v>
      </c>
      <c r="D285" s="103">
        <v>3</v>
      </c>
      <c r="E285" s="103">
        <v>7</v>
      </c>
      <c r="F285" s="101">
        <v>0</v>
      </c>
      <c r="G285" s="101">
        <v>0</v>
      </c>
      <c r="H285" s="101">
        <v>0</v>
      </c>
      <c r="I285" s="101">
        <v>0</v>
      </c>
      <c r="J285" s="101">
        <v>1</v>
      </c>
    </row>
    <row r="286" spans="1:10" ht="15" x14ac:dyDescent="0.2">
      <c r="A286" t="s">
        <v>90</v>
      </c>
      <c r="B286" s="99" t="s">
        <v>159</v>
      </c>
      <c r="C286" s="100">
        <f t="shared" si="5"/>
        <v>9</v>
      </c>
      <c r="D286" s="101">
        <v>6</v>
      </c>
      <c r="E286" s="101">
        <v>15</v>
      </c>
      <c r="F286" s="101">
        <v>0</v>
      </c>
      <c r="G286" s="101">
        <v>0</v>
      </c>
      <c r="H286" s="101">
        <v>0</v>
      </c>
      <c r="I286" s="101">
        <v>0</v>
      </c>
      <c r="J286" s="101">
        <v>2</v>
      </c>
    </row>
    <row r="287" spans="1:10" ht="15" x14ac:dyDescent="0.2">
      <c r="A287" t="s">
        <v>90</v>
      </c>
      <c r="B287" s="102" t="s">
        <v>160</v>
      </c>
      <c r="C287" s="100">
        <f t="shared" si="5"/>
        <v>10</v>
      </c>
      <c r="D287" s="103">
        <v>0</v>
      </c>
      <c r="E287" s="103">
        <v>0</v>
      </c>
      <c r="F287" s="101">
        <v>0</v>
      </c>
      <c r="G287" s="101">
        <v>0</v>
      </c>
      <c r="H287" s="101">
        <v>0</v>
      </c>
      <c r="I287" s="101">
        <v>0</v>
      </c>
      <c r="J287" s="101">
        <v>0</v>
      </c>
    </row>
    <row r="288" spans="1:10" ht="15" x14ac:dyDescent="0.2">
      <c r="A288" t="s">
        <v>90</v>
      </c>
      <c r="B288" s="99" t="s">
        <v>161</v>
      </c>
      <c r="C288" s="100">
        <f t="shared" si="5"/>
        <v>11</v>
      </c>
      <c r="D288" s="101">
        <v>0</v>
      </c>
      <c r="E288" s="101">
        <v>0</v>
      </c>
      <c r="F288" s="101">
        <v>0</v>
      </c>
      <c r="G288" s="101">
        <v>0</v>
      </c>
      <c r="H288" s="101">
        <v>0</v>
      </c>
      <c r="I288" s="101">
        <v>0</v>
      </c>
      <c r="J288" s="101">
        <v>0</v>
      </c>
    </row>
    <row r="289" spans="1:10" ht="15" x14ac:dyDescent="0.2">
      <c r="A289" t="s">
        <v>90</v>
      </c>
      <c r="B289" s="102" t="s">
        <v>162</v>
      </c>
      <c r="C289" s="100">
        <f t="shared" si="5"/>
        <v>12</v>
      </c>
      <c r="D289" s="103">
        <v>0</v>
      </c>
      <c r="E289" s="103">
        <v>0</v>
      </c>
      <c r="F289" s="101">
        <v>0</v>
      </c>
      <c r="G289" s="101">
        <v>0</v>
      </c>
      <c r="H289" s="101">
        <v>0</v>
      </c>
      <c r="I289" s="101">
        <v>0</v>
      </c>
      <c r="J289" s="101">
        <v>0</v>
      </c>
    </row>
    <row r="290" spans="1:10" ht="15" x14ac:dyDescent="0.2">
      <c r="A290" t="s">
        <v>54</v>
      </c>
      <c r="B290" s="99" t="s">
        <v>151</v>
      </c>
      <c r="C290" s="100">
        <f t="shared" si="5"/>
        <v>1</v>
      </c>
      <c r="D290" s="101">
        <v>0</v>
      </c>
      <c r="E290" s="101">
        <v>0</v>
      </c>
      <c r="F290" s="101">
        <v>0</v>
      </c>
      <c r="G290" s="101">
        <v>0</v>
      </c>
      <c r="H290" s="101">
        <v>0</v>
      </c>
      <c r="I290" s="101">
        <v>0</v>
      </c>
      <c r="J290" s="101">
        <v>1</v>
      </c>
    </row>
    <row r="291" spans="1:10" ht="15" x14ac:dyDescent="0.2">
      <c r="A291" t="s">
        <v>54</v>
      </c>
      <c r="B291" s="102" t="s">
        <v>152</v>
      </c>
      <c r="C291" s="100">
        <f t="shared" si="5"/>
        <v>2</v>
      </c>
      <c r="D291" s="103">
        <v>0</v>
      </c>
      <c r="E291" s="103">
        <v>0</v>
      </c>
      <c r="F291" s="101">
        <v>0</v>
      </c>
      <c r="G291" s="101">
        <v>0</v>
      </c>
      <c r="H291" s="101">
        <v>0</v>
      </c>
      <c r="I291" s="101">
        <v>0</v>
      </c>
      <c r="J291" s="101">
        <v>0</v>
      </c>
    </row>
    <row r="292" spans="1:10" ht="15" x14ac:dyDescent="0.2">
      <c r="A292" t="s">
        <v>54</v>
      </c>
      <c r="B292" s="99" t="s">
        <v>153</v>
      </c>
      <c r="C292" s="100">
        <f t="shared" si="5"/>
        <v>3</v>
      </c>
      <c r="D292" s="101">
        <v>4</v>
      </c>
      <c r="E292" s="101">
        <v>13</v>
      </c>
      <c r="F292" s="101">
        <v>0</v>
      </c>
      <c r="G292" s="101">
        <v>0</v>
      </c>
      <c r="H292" s="101">
        <v>0</v>
      </c>
      <c r="I292" s="101">
        <v>0</v>
      </c>
      <c r="J292" s="101">
        <v>3</v>
      </c>
    </row>
    <row r="293" spans="1:10" ht="15" x14ac:dyDescent="0.2">
      <c r="A293" t="s">
        <v>54</v>
      </c>
      <c r="B293" s="102" t="s">
        <v>154</v>
      </c>
      <c r="C293" s="100">
        <f t="shared" si="5"/>
        <v>4</v>
      </c>
      <c r="D293" s="103">
        <v>0</v>
      </c>
      <c r="E293" s="103">
        <v>0</v>
      </c>
      <c r="F293" s="101">
        <v>0</v>
      </c>
      <c r="G293" s="101">
        <v>0</v>
      </c>
      <c r="H293" s="101">
        <v>0</v>
      </c>
      <c r="I293" s="101">
        <v>0</v>
      </c>
      <c r="J293" s="101">
        <v>0</v>
      </c>
    </row>
    <row r="294" spans="1:10" ht="15" x14ac:dyDescent="0.2">
      <c r="A294" t="s">
        <v>54</v>
      </c>
      <c r="B294" s="99" t="s">
        <v>155</v>
      </c>
      <c r="C294" s="100">
        <f t="shared" ref="C294:C369" si="7">_xlfn.IFS(B294="Janeiro",1,B294="Fevereiro",2,B294="Março",3,B294="Abril",4,B294="Maio",5,B294="Junho",6,B294="Julho",7,B294="Agosto",8,B294="Setembro",9,B294="Outubro",10,B294="Novembro",11,B294="Dezembro",12,TRUE,0)</f>
        <v>5</v>
      </c>
      <c r="D294" s="101">
        <v>0</v>
      </c>
      <c r="E294" s="101">
        <v>0</v>
      </c>
      <c r="F294" s="101">
        <v>0</v>
      </c>
      <c r="G294" s="101">
        <v>0</v>
      </c>
      <c r="H294" s="101">
        <v>1</v>
      </c>
      <c r="I294" s="101">
        <v>3</v>
      </c>
      <c r="J294" s="101">
        <v>0</v>
      </c>
    </row>
    <row r="295" spans="1:10" ht="15" x14ac:dyDescent="0.2">
      <c r="A295" t="s">
        <v>54</v>
      </c>
      <c r="B295" s="102" t="s">
        <v>156</v>
      </c>
      <c r="C295" s="100">
        <f t="shared" si="7"/>
        <v>6</v>
      </c>
      <c r="D295" s="103">
        <v>17</v>
      </c>
      <c r="E295" s="103">
        <v>58</v>
      </c>
      <c r="F295" s="101">
        <v>3</v>
      </c>
      <c r="G295" s="101">
        <v>2</v>
      </c>
      <c r="H295" s="101">
        <v>0</v>
      </c>
      <c r="I295" s="101">
        <v>0</v>
      </c>
      <c r="J295" s="101">
        <v>3</v>
      </c>
    </row>
    <row r="296" spans="1:10" ht="15" x14ac:dyDescent="0.2">
      <c r="A296" t="s">
        <v>54</v>
      </c>
      <c r="B296" s="99" t="s">
        <v>157</v>
      </c>
      <c r="C296" s="100">
        <f t="shared" si="7"/>
        <v>7</v>
      </c>
      <c r="D296" s="101">
        <v>3</v>
      </c>
      <c r="E296" s="101">
        <v>10</v>
      </c>
      <c r="F296" s="101">
        <v>0</v>
      </c>
      <c r="G296" s="101">
        <v>0</v>
      </c>
      <c r="H296" s="101">
        <v>0</v>
      </c>
      <c r="I296" s="101">
        <v>0</v>
      </c>
      <c r="J296" s="101">
        <v>1</v>
      </c>
    </row>
    <row r="297" spans="1:10" ht="15" x14ac:dyDescent="0.2">
      <c r="A297" t="s">
        <v>54</v>
      </c>
      <c r="B297" s="102" t="s">
        <v>158</v>
      </c>
      <c r="C297" s="100">
        <f t="shared" si="7"/>
        <v>8</v>
      </c>
      <c r="D297" s="103">
        <v>0</v>
      </c>
      <c r="E297" s="103">
        <v>0</v>
      </c>
      <c r="F297" s="101">
        <v>0</v>
      </c>
      <c r="G297" s="101">
        <v>0</v>
      </c>
      <c r="H297" s="101">
        <v>0</v>
      </c>
      <c r="I297" s="101">
        <v>0</v>
      </c>
      <c r="J297" s="101">
        <v>0</v>
      </c>
    </row>
    <row r="298" spans="1:10" ht="15" x14ac:dyDescent="0.2">
      <c r="A298" t="s">
        <v>54</v>
      </c>
      <c r="B298" s="99" t="s">
        <v>159</v>
      </c>
      <c r="C298" s="100">
        <f t="shared" si="7"/>
        <v>9</v>
      </c>
      <c r="D298" s="101">
        <v>9</v>
      </c>
      <c r="E298" s="101">
        <v>31</v>
      </c>
      <c r="F298" s="101">
        <v>0</v>
      </c>
      <c r="G298" s="101">
        <v>0</v>
      </c>
      <c r="H298" s="101">
        <v>0</v>
      </c>
      <c r="I298" s="101">
        <v>0</v>
      </c>
      <c r="J298" s="101">
        <v>3</v>
      </c>
    </row>
    <row r="299" spans="1:10" ht="15" x14ac:dyDescent="0.2">
      <c r="A299" t="s">
        <v>54</v>
      </c>
      <c r="B299" s="102" t="s">
        <v>160</v>
      </c>
      <c r="C299" s="100">
        <f t="shared" si="7"/>
        <v>10</v>
      </c>
      <c r="D299" s="103">
        <v>0</v>
      </c>
      <c r="E299" s="103">
        <v>0</v>
      </c>
      <c r="F299" s="101">
        <v>0</v>
      </c>
      <c r="G299" s="101">
        <v>0</v>
      </c>
      <c r="H299" s="101">
        <v>0</v>
      </c>
      <c r="I299" s="101">
        <v>0</v>
      </c>
      <c r="J299" s="101">
        <v>0</v>
      </c>
    </row>
    <row r="300" spans="1:10" ht="15" x14ac:dyDescent="0.2">
      <c r="A300" t="s">
        <v>54</v>
      </c>
      <c r="B300" s="99" t="s">
        <v>161</v>
      </c>
      <c r="C300" s="100">
        <f t="shared" si="7"/>
        <v>11</v>
      </c>
      <c r="D300" s="101">
        <v>0</v>
      </c>
      <c r="E300" s="101">
        <v>0</v>
      </c>
      <c r="F300" s="101">
        <v>0</v>
      </c>
      <c r="G300" s="101">
        <v>0</v>
      </c>
      <c r="H300" s="101">
        <v>0</v>
      </c>
      <c r="I300" s="101">
        <v>0</v>
      </c>
      <c r="J300" s="101">
        <v>0</v>
      </c>
    </row>
    <row r="301" spans="1:10" ht="15" x14ac:dyDescent="0.2">
      <c r="A301" t="s">
        <v>54</v>
      </c>
      <c r="B301" s="102" t="s">
        <v>162</v>
      </c>
      <c r="C301" s="100">
        <f t="shared" si="7"/>
        <v>12</v>
      </c>
      <c r="D301" s="103">
        <v>0</v>
      </c>
      <c r="E301" s="103">
        <v>0</v>
      </c>
      <c r="F301" s="101">
        <v>0</v>
      </c>
      <c r="G301" s="101">
        <v>0</v>
      </c>
      <c r="H301" s="101">
        <v>0</v>
      </c>
      <c r="I301" s="101">
        <v>0</v>
      </c>
      <c r="J301" s="101">
        <v>0</v>
      </c>
    </row>
    <row r="302" spans="1:10" ht="15" x14ac:dyDescent="0.2">
      <c r="A302" t="s">
        <v>300</v>
      </c>
      <c r="B302" s="99" t="s">
        <v>151</v>
      </c>
      <c r="C302" s="100">
        <f t="shared" si="7"/>
        <v>1</v>
      </c>
      <c r="D302" s="103">
        <v>0</v>
      </c>
      <c r="E302" s="103">
        <v>0</v>
      </c>
      <c r="F302" s="101">
        <v>0</v>
      </c>
      <c r="G302" s="101">
        <v>0</v>
      </c>
      <c r="H302" s="101">
        <v>0</v>
      </c>
      <c r="I302" s="101">
        <v>0</v>
      </c>
      <c r="J302" s="101">
        <v>0</v>
      </c>
    </row>
    <row r="303" spans="1:10" ht="15" x14ac:dyDescent="0.2">
      <c r="A303" t="s">
        <v>300</v>
      </c>
      <c r="B303" s="102" t="s">
        <v>152</v>
      </c>
      <c r="C303" s="100">
        <f t="shared" si="7"/>
        <v>2</v>
      </c>
      <c r="D303" s="103">
        <v>0</v>
      </c>
      <c r="E303" s="103">
        <v>0</v>
      </c>
      <c r="F303" s="101">
        <v>0</v>
      </c>
      <c r="G303" s="101">
        <v>0</v>
      </c>
      <c r="H303" s="101">
        <v>0</v>
      </c>
      <c r="I303" s="101">
        <v>0</v>
      </c>
      <c r="J303" s="101">
        <v>0</v>
      </c>
    </row>
    <row r="304" spans="1:10" ht="15" x14ac:dyDescent="0.2">
      <c r="A304" t="s">
        <v>300</v>
      </c>
      <c r="B304" s="99" t="s">
        <v>153</v>
      </c>
      <c r="C304" s="100">
        <f t="shared" si="7"/>
        <v>3</v>
      </c>
      <c r="D304" s="103">
        <v>0</v>
      </c>
      <c r="E304" s="103">
        <v>0</v>
      </c>
      <c r="F304" s="101">
        <v>0</v>
      </c>
      <c r="G304" s="101">
        <v>0</v>
      </c>
      <c r="H304" s="101">
        <v>0</v>
      </c>
      <c r="I304" s="101">
        <v>0</v>
      </c>
      <c r="J304" s="101">
        <v>0</v>
      </c>
    </row>
    <row r="305" spans="1:10" ht="15" x14ac:dyDescent="0.2">
      <c r="A305" t="s">
        <v>300</v>
      </c>
      <c r="B305" s="102" t="s">
        <v>154</v>
      </c>
      <c r="C305" s="100">
        <f t="shared" si="7"/>
        <v>4</v>
      </c>
      <c r="D305" s="103">
        <v>0</v>
      </c>
      <c r="E305" s="103">
        <v>0</v>
      </c>
      <c r="F305" s="101">
        <v>0</v>
      </c>
      <c r="G305" s="101">
        <v>0</v>
      </c>
      <c r="H305" s="101">
        <v>0</v>
      </c>
      <c r="I305" s="101">
        <v>0</v>
      </c>
      <c r="J305" s="101">
        <v>0</v>
      </c>
    </row>
    <row r="306" spans="1:10" ht="15" x14ac:dyDescent="0.2">
      <c r="A306" t="s">
        <v>300</v>
      </c>
      <c r="B306" s="99" t="s">
        <v>155</v>
      </c>
      <c r="C306" s="100">
        <f t="shared" ref="C306:C313" si="8">_xlfn.IFS(B306="Janeiro",1,B306="Fevereiro",2,B306="Março",3,B306="Abril",4,B306="Maio",5,B306="Junho",6,B306="Julho",7,B306="Agosto",8,B306="Setembro",9,B306="Outubro",10,B306="Novembro",11,B306="Dezembro",12,TRUE,0)</f>
        <v>5</v>
      </c>
      <c r="D306" s="103">
        <v>0</v>
      </c>
      <c r="E306" s="103">
        <v>0</v>
      </c>
      <c r="F306" s="101">
        <v>0</v>
      </c>
      <c r="G306" s="101">
        <v>0</v>
      </c>
      <c r="H306" s="101">
        <v>0</v>
      </c>
      <c r="I306" s="101">
        <v>0</v>
      </c>
      <c r="J306" s="101">
        <v>0</v>
      </c>
    </row>
    <row r="307" spans="1:10" ht="15" x14ac:dyDescent="0.2">
      <c r="A307" t="s">
        <v>300</v>
      </c>
      <c r="B307" s="102" t="s">
        <v>156</v>
      </c>
      <c r="C307" s="100">
        <f t="shared" si="8"/>
        <v>6</v>
      </c>
      <c r="D307" s="103">
        <v>0</v>
      </c>
      <c r="E307" s="103">
        <v>0</v>
      </c>
      <c r="F307" s="101">
        <v>0</v>
      </c>
      <c r="G307" s="101">
        <v>0</v>
      </c>
      <c r="H307" s="101">
        <v>0</v>
      </c>
      <c r="I307" s="101">
        <v>0</v>
      </c>
      <c r="J307" s="101">
        <v>0</v>
      </c>
    </row>
    <row r="308" spans="1:10" ht="15" x14ac:dyDescent="0.2">
      <c r="A308" t="s">
        <v>300</v>
      </c>
      <c r="B308" s="99" t="s">
        <v>157</v>
      </c>
      <c r="C308" s="100">
        <f t="shared" si="8"/>
        <v>7</v>
      </c>
      <c r="D308" s="103">
        <v>4</v>
      </c>
      <c r="E308" s="103">
        <v>40</v>
      </c>
      <c r="F308" s="101">
        <v>0</v>
      </c>
      <c r="G308" s="101">
        <v>0</v>
      </c>
      <c r="H308" s="101">
        <v>0</v>
      </c>
      <c r="I308" s="101">
        <v>0</v>
      </c>
      <c r="J308" s="101">
        <v>1</v>
      </c>
    </row>
    <row r="309" spans="1:10" ht="15" x14ac:dyDescent="0.2">
      <c r="A309" t="s">
        <v>300</v>
      </c>
      <c r="B309" s="102" t="s">
        <v>158</v>
      </c>
      <c r="C309" s="100">
        <f t="shared" si="8"/>
        <v>8</v>
      </c>
      <c r="D309" s="103">
        <v>0</v>
      </c>
      <c r="E309" s="103">
        <v>0</v>
      </c>
      <c r="F309" s="101">
        <v>0</v>
      </c>
      <c r="G309" s="101">
        <v>0</v>
      </c>
      <c r="H309" s="101">
        <v>0</v>
      </c>
      <c r="I309" s="101">
        <v>0</v>
      </c>
      <c r="J309" s="101">
        <v>0</v>
      </c>
    </row>
    <row r="310" spans="1:10" ht="15" x14ac:dyDescent="0.2">
      <c r="A310" t="s">
        <v>300</v>
      </c>
      <c r="B310" s="99" t="s">
        <v>159</v>
      </c>
      <c r="C310" s="100">
        <f t="shared" si="8"/>
        <v>9</v>
      </c>
      <c r="D310" s="103">
        <v>2</v>
      </c>
      <c r="E310" s="103">
        <v>20</v>
      </c>
      <c r="F310" s="101">
        <v>0</v>
      </c>
      <c r="G310" s="101">
        <v>0</v>
      </c>
      <c r="H310" s="101">
        <v>0</v>
      </c>
      <c r="I310" s="101">
        <v>0</v>
      </c>
      <c r="J310" s="101">
        <v>3</v>
      </c>
    </row>
    <row r="311" spans="1:10" ht="15" x14ac:dyDescent="0.2">
      <c r="A311" t="s">
        <v>300</v>
      </c>
      <c r="B311" s="102" t="s">
        <v>160</v>
      </c>
      <c r="C311" s="100">
        <f t="shared" si="8"/>
        <v>10</v>
      </c>
      <c r="D311" s="103">
        <v>0</v>
      </c>
      <c r="E311" s="103">
        <v>0</v>
      </c>
      <c r="F311" s="101">
        <v>0</v>
      </c>
      <c r="G311" s="101">
        <v>0</v>
      </c>
      <c r="H311" s="101">
        <v>0</v>
      </c>
      <c r="I311" s="101">
        <v>0</v>
      </c>
      <c r="J311" s="101">
        <v>0</v>
      </c>
    </row>
    <row r="312" spans="1:10" ht="15" x14ac:dyDescent="0.2">
      <c r="A312" t="s">
        <v>300</v>
      </c>
      <c r="B312" s="99" t="s">
        <v>161</v>
      </c>
      <c r="C312" s="100">
        <f t="shared" si="8"/>
        <v>11</v>
      </c>
      <c r="D312" s="103"/>
      <c r="E312" s="103"/>
      <c r="F312" s="101">
        <v>0</v>
      </c>
      <c r="G312" s="101">
        <v>0</v>
      </c>
      <c r="H312" s="101">
        <v>0</v>
      </c>
      <c r="I312" s="101">
        <v>0</v>
      </c>
      <c r="J312" s="101"/>
    </row>
    <row r="313" spans="1:10" ht="15" x14ac:dyDescent="0.2">
      <c r="A313" t="s">
        <v>300</v>
      </c>
      <c r="B313" s="102" t="s">
        <v>162</v>
      </c>
      <c r="C313" s="100">
        <f t="shared" si="8"/>
        <v>12</v>
      </c>
      <c r="D313" s="103"/>
      <c r="E313" s="103"/>
      <c r="F313" s="101">
        <v>0</v>
      </c>
      <c r="G313" s="101">
        <v>0</v>
      </c>
      <c r="H313" s="101">
        <v>0</v>
      </c>
      <c r="I313" s="101">
        <v>0</v>
      </c>
      <c r="J313" s="101"/>
    </row>
    <row r="314" spans="1:10" ht="15" x14ac:dyDescent="0.2">
      <c r="A314" t="s">
        <v>147</v>
      </c>
      <c r="B314" s="99" t="s">
        <v>151</v>
      </c>
      <c r="C314" s="100">
        <f t="shared" si="7"/>
        <v>1</v>
      </c>
      <c r="D314" s="101">
        <v>0</v>
      </c>
      <c r="E314" s="101">
        <v>0</v>
      </c>
      <c r="F314" s="101">
        <v>0</v>
      </c>
      <c r="G314" s="101">
        <v>0</v>
      </c>
      <c r="H314" s="101">
        <v>0</v>
      </c>
      <c r="I314" s="101">
        <v>0</v>
      </c>
      <c r="J314" s="101">
        <v>0</v>
      </c>
    </row>
    <row r="315" spans="1:10" ht="15" x14ac:dyDescent="0.2">
      <c r="A315" t="s">
        <v>147</v>
      </c>
      <c r="B315" s="102" t="s">
        <v>152</v>
      </c>
      <c r="C315" s="100">
        <f t="shared" si="7"/>
        <v>2</v>
      </c>
      <c r="D315" s="103">
        <v>0</v>
      </c>
      <c r="E315" s="103">
        <v>0</v>
      </c>
      <c r="F315" s="101">
        <v>0</v>
      </c>
      <c r="G315" s="101">
        <v>0</v>
      </c>
      <c r="H315" s="101">
        <v>0</v>
      </c>
      <c r="I315" s="101">
        <v>0</v>
      </c>
      <c r="J315" s="101">
        <v>0</v>
      </c>
    </row>
    <row r="316" spans="1:10" ht="15" x14ac:dyDescent="0.2">
      <c r="A316" t="s">
        <v>147</v>
      </c>
      <c r="B316" s="99" t="s">
        <v>153</v>
      </c>
      <c r="C316" s="100">
        <f t="shared" si="7"/>
        <v>3</v>
      </c>
      <c r="D316" s="101">
        <v>0</v>
      </c>
      <c r="E316" s="101">
        <v>0</v>
      </c>
      <c r="F316" s="101">
        <v>0</v>
      </c>
      <c r="G316" s="101">
        <v>0</v>
      </c>
      <c r="H316" s="101">
        <v>0</v>
      </c>
      <c r="I316" s="101">
        <v>0</v>
      </c>
      <c r="J316" s="101">
        <v>0</v>
      </c>
    </row>
    <row r="317" spans="1:10" ht="15" x14ac:dyDescent="0.2">
      <c r="A317" t="s">
        <v>147</v>
      </c>
      <c r="B317" s="102" t="s">
        <v>154</v>
      </c>
      <c r="C317" s="100">
        <f t="shared" si="7"/>
        <v>4</v>
      </c>
      <c r="D317" s="103">
        <v>0</v>
      </c>
      <c r="E317" s="103">
        <v>0</v>
      </c>
      <c r="F317" s="101">
        <v>0</v>
      </c>
      <c r="G317" s="101">
        <v>0</v>
      </c>
      <c r="H317" s="101">
        <v>0</v>
      </c>
      <c r="I317" s="101">
        <v>0</v>
      </c>
      <c r="J317" s="101">
        <v>0</v>
      </c>
    </row>
    <row r="318" spans="1:10" ht="15" x14ac:dyDescent="0.2">
      <c r="A318" t="s">
        <v>147</v>
      </c>
      <c r="B318" s="99" t="s">
        <v>155</v>
      </c>
      <c r="C318" s="100">
        <f t="shared" si="7"/>
        <v>5</v>
      </c>
      <c r="D318" s="101">
        <v>0</v>
      </c>
      <c r="E318" s="101">
        <v>0</v>
      </c>
      <c r="F318" s="101">
        <v>0</v>
      </c>
      <c r="G318" s="101">
        <v>0</v>
      </c>
      <c r="H318" s="101">
        <v>8</v>
      </c>
      <c r="I318" s="101">
        <v>61</v>
      </c>
      <c r="J318" s="101">
        <v>0</v>
      </c>
    </row>
    <row r="319" spans="1:10" ht="15" x14ac:dyDescent="0.2">
      <c r="A319" t="s">
        <v>147</v>
      </c>
      <c r="B319" s="102" t="s">
        <v>156</v>
      </c>
      <c r="C319" s="100">
        <f t="shared" si="7"/>
        <v>6</v>
      </c>
      <c r="D319" s="103">
        <v>0</v>
      </c>
      <c r="E319" s="103">
        <v>0</v>
      </c>
      <c r="F319" s="101">
        <v>0</v>
      </c>
      <c r="G319" s="101">
        <v>0</v>
      </c>
      <c r="H319" s="101">
        <v>0</v>
      </c>
      <c r="I319" s="101">
        <v>0</v>
      </c>
      <c r="J319" s="101">
        <v>0</v>
      </c>
    </row>
    <row r="320" spans="1:10" ht="15" x14ac:dyDescent="0.2">
      <c r="A320" t="s">
        <v>147</v>
      </c>
      <c r="B320" s="99" t="s">
        <v>157</v>
      </c>
      <c r="C320" s="100">
        <f t="shared" si="7"/>
        <v>7</v>
      </c>
      <c r="D320" s="101">
        <v>0</v>
      </c>
      <c r="E320" s="101">
        <v>0</v>
      </c>
      <c r="F320" s="101">
        <v>0</v>
      </c>
      <c r="G320" s="101">
        <v>0</v>
      </c>
      <c r="H320" s="101">
        <v>0</v>
      </c>
      <c r="I320" s="101">
        <v>0</v>
      </c>
      <c r="J320" s="101">
        <v>0</v>
      </c>
    </row>
    <row r="321" spans="1:10" ht="15" x14ac:dyDescent="0.2">
      <c r="A321" t="s">
        <v>147</v>
      </c>
      <c r="B321" s="102" t="s">
        <v>158</v>
      </c>
      <c r="C321" s="100">
        <f t="shared" si="7"/>
        <v>8</v>
      </c>
      <c r="D321" s="103">
        <v>0</v>
      </c>
      <c r="E321" s="103">
        <v>0</v>
      </c>
      <c r="F321" s="101">
        <v>0</v>
      </c>
      <c r="G321" s="101">
        <v>0</v>
      </c>
      <c r="H321" s="101">
        <v>0</v>
      </c>
      <c r="I321" s="101">
        <v>0</v>
      </c>
      <c r="J321" s="101">
        <v>0</v>
      </c>
    </row>
    <row r="322" spans="1:10" ht="15" x14ac:dyDescent="0.2">
      <c r="A322" t="s">
        <v>147</v>
      </c>
      <c r="B322" s="99" t="s">
        <v>159</v>
      </c>
      <c r="C322" s="100">
        <f t="shared" si="7"/>
        <v>9</v>
      </c>
      <c r="D322" s="101">
        <v>0</v>
      </c>
      <c r="E322" s="101">
        <v>0</v>
      </c>
      <c r="F322" s="101">
        <v>0</v>
      </c>
      <c r="G322" s="101">
        <v>0</v>
      </c>
      <c r="H322" s="101">
        <v>0</v>
      </c>
      <c r="I322" s="101">
        <v>0</v>
      </c>
      <c r="J322" s="101">
        <v>0</v>
      </c>
    </row>
    <row r="323" spans="1:10" ht="15" x14ac:dyDescent="0.2">
      <c r="A323" t="s">
        <v>147</v>
      </c>
      <c r="B323" s="102" t="s">
        <v>160</v>
      </c>
      <c r="C323" s="100">
        <f t="shared" si="7"/>
        <v>10</v>
      </c>
      <c r="D323" s="103">
        <v>0</v>
      </c>
      <c r="E323" s="103">
        <v>0</v>
      </c>
      <c r="F323" s="101">
        <v>0</v>
      </c>
      <c r="G323" s="101">
        <v>0</v>
      </c>
      <c r="H323" s="101">
        <v>0</v>
      </c>
      <c r="I323" s="101">
        <v>0</v>
      </c>
      <c r="J323" s="101">
        <v>0</v>
      </c>
    </row>
    <row r="324" spans="1:10" ht="15" x14ac:dyDescent="0.2">
      <c r="A324" t="s">
        <v>147</v>
      </c>
      <c r="B324" s="99" t="s">
        <v>161</v>
      </c>
      <c r="C324" s="100">
        <f t="shared" si="7"/>
        <v>11</v>
      </c>
      <c r="D324" s="101">
        <v>0</v>
      </c>
      <c r="E324" s="101">
        <v>0</v>
      </c>
      <c r="F324" s="101">
        <v>0</v>
      </c>
      <c r="G324" s="101">
        <v>0</v>
      </c>
      <c r="H324" s="101">
        <v>0</v>
      </c>
      <c r="I324" s="101">
        <v>0</v>
      </c>
      <c r="J324" s="101">
        <v>0</v>
      </c>
    </row>
    <row r="325" spans="1:10" ht="15" x14ac:dyDescent="0.2">
      <c r="A325" t="s">
        <v>147</v>
      </c>
      <c r="B325" s="102" t="s">
        <v>162</v>
      </c>
      <c r="C325" s="100">
        <f t="shared" si="7"/>
        <v>12</v>
      </c>
      <c r="D325" s="103">
        <v>0</v>
      </c>
      <c r="E325" s="103">
        <v>0</v>
      </c>
      <c r="F325" s="101">
        <v>0</v>
      </c>
      <c r="G325" s="101">
        <v>0</v>
      </c>
      <c r="H325" s="101">
        <v>0</v>
      </c>
      <c r="I325" s="101">
        <v>0</v>
      </c>
      <c r="J325" s="101">
        <v>0</v>
      </c>
    </row>
    <row r="326" spans="1:10" ht="15" x14ac:dyDescent="0.2">
      <c r="A326" t="s">
        <v>71</v>
      </c>
      <c r="B326" s="99" t="s">
        <v>151</v>
      </c>
      <c r="C326" s="100">
        <f t="shared" si="7"/>
        <v>1</v>
      </c>
      <c r="D326" s="101">
        <v>0</v>
      </c>
      <c r="E326" s="101">
        <v>0</v>
      </c>
      <c r="F326" s="101">
        <v>0</v>
      </c>
      <c r="G326" s="101">
        <v>0</v>
      </c>
      <c r="H326" s="101">
        <v>0</v>
      </c>
      <c r="I326" s="101">
        <v>0</v>
      </c>
      <c r="J326" s="101">
        <v>0</v>
      </c>
    </row>
    <row r="327" spans="1:10" ht="15" x14ac:dyDescent="0.2">
      <c r="A327" t="s">
        <v>71</v>
      </c>
      <c r="B327" s="102" t="s">
        <v>152</v>
      </c>
      <c r="C327" s="100">
        <f t="shared" si="7"/>
        <v>2</v>
      </c>
      <c r="D327" s="103">
        <v>0</v>
      </c>
      <c r="E327" s="103">
        <v>0</v>
      </c>
      <c r="F327" s="101">
        <v>0</v>
      </c>
      <c r="G327" s="101">
        <v>0</v>
      </c>
      <c r="H327" s="101">
        <v>0</v>
      </c>
      <c r="I327" s="101">
        <v>0</v>
      </c>
      <c r="J327" s="101">
        <v>0</v>
      </c>
    </row>
    <row r="328" spans="1:10" ht="15" x14ac:dyDescent="0.2">
      <c r="A328" t="s">
        <v>71</v>
      </c>
      <c r="B328" s="99" t="s">
        <v>153</v>
      </c>
      <c r="C328" s="100">
        <f t="shared" si="7"/>
        <v>3</v>
      </c>
      <c r="D328" s="101">
        <v>5</v>
      </c>
      <c r="E328" s="101">
        <v>23</v>
      </c>
      <c r="F328" s="101">
        <v>0</v>
      </c>
      <c r="G328" s="101">
        <v>0</v>
      </c>
      <c r="H328" s="101">
        <v>0</v>
      </c>
      <c r="I328" s="101">
        <v>0</v>
      </c>
      <c r="J328" s="101">
        <v>1</v>
      </c>
    </row>
    <row r="329" spans="1:10" ht="15" x14ac:dyDescent="0.2">
      <c r="A329" t="s">
        <v>71</v>
      </c>
      <c r="B329" s="102" t="s">
        <v>154</v>
      </c>
      <c r="C329" s="100">
        <f t="shared" si="7"/>
        <v>4</v>
      </c>
      <c r="D329" s="103">
        <v>4</v>
      </c>
      <c r="E329" s="103">
        <v>19</v>
      </c>
      <c r="F329" s="101">
        <v>1</v>
      </c>
      <c r="G329" s="101">
        <v>1</v>
      </c>
      <c r="H329" s="101">
        <v>0</v>
      </c>
      <c r="I329" s="101">
        <v>100</v>
      </c>
      <c r="J329" s="101">
        <v>1</v>
      </c>
    </row>
    <row r="330" spans="1:10" ht="15" x14ac:dyDescent="0.2">
      <c r="A330" t="s">
        <v>71</v>
      </c>
      <c r="B330" s="99" t="s">
        <v>155</v>
      </c>
      <c r="C330" s="100">
        <f t="shared" si="7"/>
        <v>5</v>
      </c>
      <c r="D330" s="101">
        <v>4</v>
      </c>
      <c r="E330" s="101">
        <v>19</v>
      </c>
      <c r="F330" s="101">
        <v>1</v>
      </c>
      <c r="G330" s="101">
        <v>3</v>
      </c>
      <c r="H330" s="101">
        <v>21</v>
      </c>
      <c r="I330" s="101">
        <v>0</v>
      </c>
      <c r="J330" s="101">
        <v>1</v>
      </c>
    </row>
    <row r="331" spans="1:10" ht="15" x14ac:dyDescent="0.2">
      <c r="A331" t="s">
        <v>71</v>
      </c>
      <c r="B331" s="102" t="s">
        <v>156</v>
      </c>
      <c r="C331" s="100">
        <f t="shared" si="7"/>
        <v>6</v>
      </c>
      <c r="D331" s="103">
        <v>0</v>
      </c>
      <c r="E331" s="103">
        <v>0</v>
      </c>
      <c r="F331" s="101">
        <v>0</v>
      </c>
      <c r="G331" s="101">
        <v>0</v>
      </c>
      <c r="H331" s="101">
        <v>0</v>
      </c>
      <c r="I331" s="101">
        <v>0</v>
      </c>
      <c r="J331" s="101">
        <v>0</v>
      </c>
    </row>
    <row r="332" spans="1:10" ht="15" x14ac:dyDescent="0.2">
      <c r="A332" t="s">
        <v>71</v>
      </c>
      <c r="B332" s="99" t="s">
        <v>157</v>
      </c>
      <c r="C332" s="100">
        <f t="shared" si="7"/>
        <v>7</v>
      </c>
      <c r="D332" s="101">
        <v>0</v>
      </c>
      <c r="E332" s="101">
        <v>0</v>
      </c>
      <c r="F332" s="101">
        <v>0</v>
      </c>
      <c r="G332" s="101">
        <v>0</v>
      </c>
      <c r="H332" s="101">
        <v>0</v>
      </c>
      <c r="I332" s="101">
        <v>0</v>
      </c>
      <c r="J332" s="101">
        <v>0</v>
      </c>
    </row>
    <row r="333" spans="1:10" ht="15" x14ac:dyDescent="0.2">
      <c r="A333" t="s">
        <v>71</v>
      </c>
      <c r="B333" s="102" t="s">
        <v>158</v>
      </c>
      <c r="C333" s="100">
        <f t="shared" si="7"/>
        <v>8</v>
      </c>
      <c r="D333" s="103">
        <v>0</v>
      </c>
      <c r="E333" s="103">
        <v>0</v>
      </c>
      <c r="F333" s="101">
        <v>0</v>
      </c>
      <c r="G333" s="101">
        <v>0</v>
      </c>
      <c r="H333" s="101">
        <v>0</v>
      </c>
      <c r="I333" s="101">
        <v>0</v>
      </c>
      <c r="J333" s="101">
        <v>0</v>
      </c>
    </row>
    <row r="334" spans="1:10" ht="15" x14ac:dyDescent="0.2">
      <c r="A334" t="s">
        <v>71</v>
      </c>
      <c r="B334" s="99" t="s">
        <v>159</v>
      </c>
      <c r="C334" s="100">
        <f t="shared" si="7"/>
        <v>9</v>
      </c>
      <c r="D334" s="101">
        <v>0</v>
      </c>
      <c r="E334" s="101">
        <v>0</v>
      </c>
      <c r="F334" s="101">
        <v>0</v>
      </c>
      <c r="G334" s="101">
        <v>0</v>
      </c>
      <c r="H334" s="101">
        <v>0</v>
      </c>
      <c r="I334" s="101">
        <v>0</v>
      </c>
      <c r="J334" s="101">
        <v>0</v>
      </c>
    </row>
    <row r="335" spans="1:10" ht="15" x14ac:dyDescent="0.2">
      <c r="A335" t="s">
        <v>71</v>
      </c>
      <c r="B335" s="102" t="s">
        <v>160</v>
      </c>
      <c r="C335" s="100">
        <f t="shared" si="7"/>
        <v>10</v>
      </c>
      <c r="D335" s="103">
        <v>0</v>
      </c>
      <c r="E335" s="103">
        <v>0</v>
      </c>
      <c r="F335" s="101">
        <v>0</v>
      </c>
      <c r="G335" s="101">
        <v>0</v>
      </c>
      <c r="H335" s="101">
        <v>0</v>
      </c>
      <c r="I335" s="101">
        <v>0</v>
      </c>
      <c r="J335" s="101">
        <v>0</v>
      </c>
    </row>
    <row r="336" spans="1:10" ht="15" x14ac:dyDescent="0.2">
      <c r="A336" t="s">
        <v>71</v>
      </c>
      <c r="B336" s="99" t="s">
        <v>161</v>
      </c>
      <c r="C336" s="100">
        <f t="shared" si="7"/>
        <v>11</v>
      </c>
      <c r="D336" s="101">
        <v>0</v>
      </c>
      <c r="E336" s="101">
        <v>0</v>
      </c>
      <c r="F336" s="101">
        <v>0</v>
      </c>
      <c r="G336" s="101">
        <v>0</v>
      </c>
      <c r="H336" s="101">
        <v>0</v>
      </c>
      <c r="I336" s="101">
        <v>0</v>
      </c>
      <c r="J336" s="101">
        <v>0</v>
      </c>
    </row>
    <row r="337" spans="1:10" ht="15" x14ac:dyDescent="0.2">
      <c r="A337" t="s">
        <v>71</v>
      </c>
      <c r="B337" s="102" t="s">
        <v>162</v>
      </c>
      <c r="C337" s="100">
        <f t="shared" si="7"/>
        <v>12</v>
      </c>
      <c r="D337" s="103">
        <v>0</v>
      </c>
      <c r="E337" s="103">
        <v>0</v>
      </c>
      <c r="F337" s="101">
        <v>0</v>
      </c>
      <c r="G337" s="101">
        <v>0</v>
      </c>
      <c r="H337" s="101">
        <v>0</v>
      </c>
      <c r="I337" s="101">
        <v>0</v>
      </c>
      <c r="J337" s="101">
        <v>0</v>
      </c>
    </row>
    <row r="338" spans="1:10" ht="15" x14ac:dyDescent="0.2">
      <c r="A338" t="s">
        <v>75</v>
      </c>
      <c r="B338" s="99" t="s">
        <v>151</v>
      </c>
      <c r="C338" s="100">
        <f t="shared" si="7"/>
        <v>1</v>
      </c>
      <c r="D338" s="101">
        <v>3</v>
      </c>
      <c r="E338" s="101">
        <v>8</v>
      </c>
      <c r="F338" s="101">
        <v>1</v>
      </c>
      <c r="G338" s="101">
        <v>0</v>
      </c>
      <c r="H338" s="101">
        <v>0</v>
      </c>
      <c r="I338" s="101">
        <v>0</v>
      </c>
      <c r="J338" s="101">
        <v>2</v>
      </c>
    </row>
    <row r="339" spans="1:10" ht="15" x14ac:dyDescent="0.2">
      <c r="A339" t="s">
        <v>75</v>
      </c>
      <c r="B339" s="102" t="s">
        <v>152</v>
      </c>
      <c r="C339" s="100">
        <f t="shared" si="7"/>
        <v>2</v>
      </c>
      <c r="D339" s="103">
        <v>3</v>
      </c>
      <c r="E339" s="103">
        <v>8</v>
      </c>
      <c r="F339" s="101">
        <v>0</v>
      </c>
      <c r="G339" s="101">
        <v>0</v>
      </c>
      <c r="H339" s="101">
        <v>0</v>
      </c>
      <c r="I339" s="101">
        <v>0</v>
      </c>
      <c r="J339" s="101">
        <v>2</v>
      </c>
    </row>
    <row r="340" spans="1:10" ht="15" x14ac:dyDescent="0.2">
      <c r="A340" t="s">
        <v>75</v>
      </c>
      <c r="B340" s="99" t="s">
        <v>153</v>
      </c>
      <c r="C340" s="100">
        <f t="shared" si="7"/>
        <v>3</v>
      </c>
      <c r="D340" s="101">
        <v>2</v>
      </c>
      <c r="E340" s="101">
        <v>5</v>
      </c>
      <c r="F340" s="101">
        <v>0</v>
      </c>
      <c r="G340" s="101">
        <v>0</v>
      </c>
      <c r="H340" s="101">
        <v>0</v>
      </c>
      <c r="I340" s="101">
        <v>0</v>
      </c>
      <c r="J340" s="101">
        <v>1</v>
      </c>
    </row>
    <row r="341" spans="1:10" ht="15" x14ac:dyDescent="0.2">
      <c r="A341" t="s">
        <v>75</v>
      </c>
      <c r="B341" s="102" t="s">
        <v>154</v>
      </c>
      <c r="C341" s="100">
        <f t="shared" si="7"/>
        <v>4</v>
      </c>
      <c r="D341" s="103">
        <v>6</v>
      </c>
      <c r="E341" s="103">
        <v>16</v>
      </c>
      <c r="F341" s="101">
        <v>0</v>
      </c>
      <c r="G341" s="101">
        <v>0</v>
      </c>
      <c r="H341" s="101">
        <v>0</v>
      </c>
      <c r="I341" s="101">
        <v>0</v>
      </c>
      <c r="J341" s="101">
        <v>3</v>
      </c>
    </row>
    <row r="342" spans="1:10" ht="15" x14ac:dyDescent="0.2">
      <c r="A342" t="s">
        <v>75</v>
      </c>
      <c r="B342" s="99" t="s">
        <v>155</v>
      </c>
      <c r="C342" s="100">
        <f t="shared" si="7"/>
        <v>5</v>
      </c>
      <c r="D342" s="101">
        <v>10</v>
      </c>
      <c r="E342" s="101">
        <v>27</v>
      </c>
      <c r="F342" s="101">
        <v>1</v>
      </c>
      <c r="G342" s="101">
        <v>2</v>
      </c>
      <c r="H342" s="101">
        <v>6</v>
      </c>
      <c r="I342" s="101">
        <v>16</v>
      </c>
      <c r="J342" s="101">
        <v>3</v>
      </c>
    </row>
    <row r="343" spans="1:10" ht="15" x14ac:dyDescent="0.2">
      <c r="A343" t="s">
        <v>75</v>
      </c>
      <c r="B343" s="102" t="s">
        <v>156</v>
      </c>
      <c r="C343" s="100">
        <f t="shared" si="7"/>
        <v>6</v>
      </c>
      <c r="D343" s="103">
        <v>5</v>
      </c>
      <c r="E343" s="103">
        <v>13</v>
      </c>
      <c r="F343" s="101">
        <v>0</v>
      </c>
      <c r="G343" s="101">
        <v>0</v>
      </c>
      <c r="H343" s="101">
        <v>0</v>
      </c>
      <c r="I343" s="101">
        <v>0</v>
      </c>
      <c r="J343" s="101">
        <v>2</v>
      </c>
    </row>
    <row r="344" spans="1:10" ht="15" x14ac:dyDescent="0.2">
      <c r="A344" t="s">
        <v>75</v>
      </c>
      <c r="B344" s="99" t="s">
        <v>157</v>
      </c>
      <c r="C344" s="100">
        <f t="shared" si="7"/>
        <v>7</v>
      </c>
      <c r="D344" s="101">
        <v>6</v>
      </c>
      <c r="E344" s="101">
        <v>16</v>
      </c>
      <c r="F344" s="101">
        <v>2</v>
      </c>
      <c r="G344" s="101">
        <v>0</v>
      </c>
      <c r="H344" s="101">
        <v>0</v>
      </c>
      <c r="I344" s="101">
        <v>0</v>
      </c>
      <c r="J344" s="101">
        <v>3</v>
      </c>
    </row>
    <row r="345" spans="1:10" ht="15" x14ac:dyDescent="0.2">
      <c r="A345" t="s">
        <v>75</v>
      </c>
      <c r="B345" s="102" t="s">
        <v>158</v>
      </c>
      <c r="C345" s="100">
        <f t="shared" si="7"/>
        <v>8</v>
      </c>
      <c r="D345" s="103">
        <v>7</v>
      </c>
      <c r="E345" s="103">
        <v>19</v>
      </c>
      <c r="F345" s="101">
        <v>0</v>
      </c>
      <c r="G345" s="101">
        <v>0</v>
      </c>
      <c r="H345" s="101">
        <v>0</v>
      </c>
      <c r="I345" s="101">
        <v>0</v>
      </c>
      <c r="J345" s="101">
        <v>4</v>
      </c>
    </row>
    <row r="346" spans="1:10" ht="15" x14ac:dyDescent="0.2">
      <c r="A346" t="s">
        <v>75</v>
      </c>
      <c r="B346" s="99" t="s">
        <v>159</v>
      </c>
      <c r="C346" s="100">
        <f t="shared" si="7"/>
        <v>9</v>
      </c>
      <c r="D346" s="101">
        <v>10</v>
      </c>
      <c r="E346" s="101">
        <v>27</v>
      </c>
      <c r="F346" s="101">
        <v>1</v>
      </c>
      <c r="G346" s="101">
        <v>4</v>
      </c>
      <c r="H346" s="101">
        <v>0</v>
      </c>
      <c r="I346" s="101">
        <v>0</v>
      </c>
      <c r="J346" s="101">
        <v>4</v>
      </c>
    </row>
    <row r="347" spans="1:10" ht="15" x14ac:dyDescent="0.2">
      <c r="A347" t="s">
        <v>75</v>
      </c>
      <c r="B347" s="102" t="s">
        <v>160</v>
      </c>
      <c r="C347" s="100">
        <f t="shared" si="7"/>
        <v>10</v>
      </c>
      <c r="D347" s="103">
        <v>0</v>
      </c>
      <c r="E347" s="103">
        <v>0</v>
      </c>
      <c r="F347" s="101">
        <v>0</v>
      </c>
      <c r="G347" s="101">
        <v>0</v>
      </c>
      <c r="H347" s="101">
        <v>0</v>
      </c>
      <c r="I347" s="101">
        <v>0</v>
      </c>
      <c r="J347" s="101">
        <v>0</v>
      </c>
    </row>
    <row r="348" spans="1:10" ht="15" x14ac:dyDescent="0.2">
      <c r="A348" t="s">
        <v>75</v>
      </c>
      <c r="B348" s="99" t="s">
        <v>161</v>
      </c>
      <c r="C348" s="100">
        <f t="shared" si="7"/>
        <v>11</v>
      </c>
      <c r="D348" s="101">
        <v>0</v>
      </c>
      <c r="E348" s="101">
        <v>0</v>
      </c>
      <c r="F348" s="101">
        <v>0</v>
      </c>
      <c r="G348" s="101">
        <v>0</v>
      </c>
      <c r="H348" s="101">
        <v>0</v>
      </c>
      <c r="I348" s="101">
        <v>0</v>
      </c>
      <c r="J348" s="101">
        <v>0</v>
      </c>
    </row>
    <row r="349" spans="1:10" ht="15" x14ac:dyDescent="0.2">
      <c r="A349" t="s">
        <v>75</v>
      </c>
      <c r="B349" s="102" t="s">
        <v>162</v>
      </c>
      <c r="C349" s="100">
        <f t="shared" si="7"/>
        <v>12</v>
      </c>
      <c r="D349" s="103">
        <v>0</v>
      </c>
      <c r="E349" s="103">
        <v>0</v>
      </c>
      <c r="F349" s="101">
        <v>0</v>
      </c>
      <c r="G349" s="101">
        <v>0</v>
      </c>
      <c r="H349" s="101">
        <v>0</v>
      </c>
      <c r="I349" s="101">
        <v>0</v>
      </c>
      <c r="J349" s="101">
        <v>0</v>
      </c>
    </row>
    <row r="350" spans="1:10" ht="15" x14ac:dyDescent="0.2">
      <c r="A350" t="s">
        <v>46</v>
      </c>
      <c r="B350" s="99" t="s">
        <v>151</v>
      </c>
      <c r="C350" s="100">
        <f t="shared" si="7"/>
        <v>1</v>
      </c>
      <c r="D350" s="101">
        <v>0</v>
      </c>
      <c r="E350" s="101">
        <v>0</v>
      </c>
      <c r="F350" s="101">
        <v>0</v>
      </c>
      <c r="G350" s="101">
        <v>0</v>
      </c>
      <c r="H350" s="101">
        <v>0</v>
      </c>
      <c r="I350" s="101">
        <v>0</v>
      </c>
      <c r="J350" s="101">
        <v>0</v>
      </c>
    </row>
    <row r="351" spans="1:10" ht="15" x14ac:dyDescent="0.2">
      <c r="A351" t="s">
        <v>46</v>
      </c>
      <c r="B351" s="102" t="s">
        <v>152</v>
      </c>
      <c r="C351" s="100">
        <f t="shared" si="7"/>
        <v>2</v>
      </c>
      <c r="D351" s="103">
        <v>0</v>
      </c>
      <c r="E351" s="103">
        <v>0</v>
      </c>
      <c r="F351" s="101">
        <v>0</v>
      </c>
      <c r="G351" s="101">
        <v>0</v>
      </c>
      <c r="H351" s="101">
        <v>0</v>
      </c>
      <c r="I351" s="101">
        <v>0</v>
      </c>
      <c r="J351" s="101">
        <v>0</v>
      </c>
    </row>
    <row r="352" spans="1:10" ht="15" x14ac:dyDescent="0.2">
      <c r="A352" t="s">
        <v>46</v>
      </c>
      <c r="B352" s="99" t="s">
        <v>153</v>
      </c>
      <c r="C352" s="100">
        <f t="shared" si="7"/>
        <v>3</v>
      </c>
      <c r="D352" s="101">
        <v>0</v>
      </c>
      <c r="E352" s="101">
        <v>0</v>
      </c>
      <c r="F352" s="101">
        <v>0</v>
      </c>
      <c r="G352" s="101">
        <v>0</v>
      </c>
      <c r="H352" s="101">
        <v>0</v>
      </c>
      <c r="I352" s="101">
        <v>0</v>
      </c>
      <c r="J352" s="101">
        <v>0</v>
      </c>
    </row>
    <row r="353" spans="1:10" ht="15" x14ac:dyDescent="0.2">
      <c r="A353" t="s">
        <v>46</v>
      </c>
      <c r="B353" s="102" t="s">
        <v>154</v>
      </c>
      <c r="C353" s="100">
        <f t="shared" si="7"/>
        <v>4</v>
      </c>
      <c r="D353" s="103">
        <v>0</v>
      </c>
      <c r="E353" s="103">
        <v>0</v>
      </c>
      <c r="F353" s="101">
        <v>0</v>
      </c>
      <c r="G353" s="101">
        <v>0</v>
      </c>
      <c r="H353" s="101">
        <v>0</v>
      </c>
      <c r="I353" s="101">
        <v>0</v>
      </c>
      <c r="J353" s="101">
        <v>0</v>
      </c>
    </row>
    <row r="354" spans="1:10" ht="15" x14ac:dyDescent="0.2">
      <c r="A354" t="s">
        <v>46</v>
      </c>
      <c r="B354" s="99" t="s">
        <v>155</v>
      </c>
      <c r="C354" s="100">
        <f t="shared" si="7"/>
        <v>5</v>
      </c>
      <c r="D354" s="101">
        <v>0</v>
      </c>
      <c r="E354" s="101">
        <v>0</v>
      </c>
      <c r="F354" s="101">
        <v>0</v>
      </c>
      <c r="G354" s="101">
        <v>0</v>
      </c>
      <c r="H354" s="101">
        <v>2</v>
      </c>
      <c r="I354" s="101">
        <v>15</v>
      </c>
      <c r="J354" s="101">
        <v>0</v>
      </c>
    </row>
    <row r="355" spans="1:10" ht="15" x14ac:dyDescent="0.2">
      <c r="A355" t="s">
        <v>46</v>
      </c>
      <c r="B355" s="102" t="s">
        <v>156</v>
      </c>
      <c r="C355" s="100">
        <f t="shared" si="7"/>
        <v>6</v>
      </c>
      <c r="D355" s="103">
        <v>0</v>
      </c>
      <c r="E355" s="103">
        <v>0</v>
      </c>
      <c r="F355" s="101">
        <v>0</v>
      </c>
      <c r="G355" s="101">
        <v>0</v>
      </c>
      <c r="H355" s="101">
        <v>0</v>
      </c>
      <c r="I355" s="101">
        <v>0</v>
      </c>
      <c r="J355" s="101">
        <v>0</v>
      </c>
    </row>
    <row r="356" spans="1:10" ht="15" x14ac:dyDescent="0.2">
      <c r="A356" t="s">
        <v>46</v>
      </c>
      <c r="B356" s="99" t="s">
        <v>157</v>
      </c>
      <c r="C356" s="100">
        <f t="shared" si="7"/>
        <v>7</v>
      </c>
      <c r="D356" s="101">
        <v>0</v>
      </c>
      <c r="E356" s="101">
        <v>0</v>
      </c>
      <c r="F356" s="101">
        <v>0</v>
      </c>
      <c r="G356" s="101">
        <v>0</v>
      </c>
      <c r="H356" s="101">
        <v>0</v>
      </c>
      <c r="I356" s="101">
        <v>0</v>
      </c>
      <c r="J356" s="101">
        <v>0</v>
      </c>
    </row>
    <row r="357" spans="1:10" ht="15" x14ac:dyDescent="0.2">
      <c r="A357" t="s">
        <v>46</v>
      </c>
      <c r="B357" s="102" t="s">
        <v>158</v>
      </c>
      <c r="C357" s="100">
        <f t="shared" si="7"/>
        <v>8</v>
      </c>
      <c r="D357" s="103">
        <v>0</v>
      </c>
      <c r="E357" s="103">
        <v>0</v>
      </c>
      <c r="F357" s="101">
        <v>0</v>
      </c>
      <c r="G357" s="101">
        <v>0</v>
      </c>
      <c r="H357" s="101">
        <v>0</v>
      </c>
      <c r="I357" s="101">
        <v>0</v>
      </c>
      <c r="J357" s="101">
        <v>0</v>
      </c>
    </row>
    <row r="358" spans="1:10" ht="15" x14ac:dyDescent="0.2">
      <c r="A358" t="s">
        <v>46</v>
      </c>
      <c r="B358" s="99" t="s">
        <v>159</v>
      </c>
      <c r="C358" s="100">
        <f t="shared" si="7"/>
        <v>9</v>
      </c>
      <c r="D358" s="101">
        <v>0</v>
      </c>
      <c r="E358" s="101">
        <v>0</v>
      </c>
      <c r="F358" s="101">
        <v>0</v>
      </c>
      <c r="G358" s="101">
        <v>0</v>
      </c>
      <c r="H358" s="101">
        <v>0</v>
      </c>
      <c r="I358" s="101">
        <v>0</v>
      </c>
      <c r="J358" s="101">
        <v>0</v>
      </c>
    </row>
    <row r="359" spans="1:10" ht="15" x14ac:dyDescent="0.2">
      <c r="A359" t="s">
        <v>46</v>
      </c>
      <c r="B359" s="102" t="s">
        <v>160</v>
      </c>
      <c r="C359" s="100">
        <f t="shared" si="7"/>
        <v>10</v>
      </c>
      <c r="D359" s="103">
        <v>0</v>
      </c>
      <c r="E359" s="103">
        <v>0</v>
      </c>
      <c r="F359" s="101">
        <v>0</v>
      </c>
      <c r="G359" s="101">
        <v>0</v>
      </c>
      <c r="H359" s="101">
        <v>0</v>
      </c>
      <c r="I359" s="101">
        <v>0</v>
      </c>
      <c r="J359" s="101">
        <v>0</v>
      </c>
    </row>
    <row r="360" spans="1:10" ht="15" x14ac:dyDescent="0.2">
      <c r="A360" t="s">
        <v>46</v>
      </c>
      <c r="B360" s="99" t="s">
        <v>161</v>
      </c>
      <c r="C360" s="100">
        <f t="shared" si="7"/>
        <v>11</v>
      </c>
      <c r="D360" s="101">
        <v>0</v>
      </c>
      <c r="E360" s="101">
        <v>0</v>
      </c>
      <c r="F360" s="101">
        <v>0</v>
      </c>
      <c r="G360" s="101">
        <v>0</v>
      </c>
      <c r="H360" s="101">
        <v>0</v>
      </c>
      <c r="I360" s="101">
        <v>0</v>
      </c>
      <c r="J360" s="101">
        <v>0</v>
      </c>
    </row>
    <row r="361" spans="1:10" ht="15" x14ac:dyDescent="0.2">
      <c r="A361" t="s">
        <v>46</v>
      </c>
      <c r="B361" s="102" t="s">
        <v>162</v>
      </c>
      <c r="C361" s="100">
        <f t="shared" si="7"/>
        <v>12</v>
      </c>
      <c r="D361" s="103">
        <v>0</v>
      </c>
      <c r="E361" s="103">
        <v>0</v>
      </c>
      <c r="F361" s="101">
        <v>0</v>
      </c>
      <c r="G361" s="101">
        <v>0</v>
      </c>
      <c r="H361" s="101">
        <v>0</v>
      </c>
      <c r="I361" s="101">
        <v>0</v>
      </c>
      <c r="J361" s="101">
        <v>0</v>
      </c>
    </row>
    <row r="362" spans="1:10" ht="15" x14ac:dyDescent="0.2">
      <c r="A362" t="s">
        <v>36</v>
      </c>
      <c r="B362" s="99" t="s">
        <v>151</v>
      </c>
      <c r="C362" s="100">
        <f t="shared" si="7"/>
        <v>1</v>
      </c>
      <c r="D362" s="101">
        <v>0</v>
      </c>
      <c r="E362" s="101">
        <v>0</v>
      </c>
      <c r="F362" s="101">
        <v>0</v>
      </c>
      <c r="G362" s="101">
        <v>0</v>
      </c>
      <c r="H362" s="101">
        <v>0</v>
      </c>
      <c r="I362" s="101">
        <v>0</v>
      </c>
      <c r="J362" s="101">
        <v>0</v>
      </c>
    </row>
    <row r="363" spans="1:10" ht="15" x14ac:dyDescent="0.2">
      <c r="A363" t="s">
        <v>36</v>
      </c>
      <c r="B363" s="102" t="s">
        <v>152</v>
      </c>
      <c r="C363" s="100">
        <f t="shared" si="7"/>
        <v>2</v>
      </c>
      <c r="D363" s="103">
        <v>0</v>
      </c>
      <c r="E363" s="103">
        <v>0</v>
      </c>
      <c r="F363" s="101">
        <v>0</v>
      </c>
      <c r="G363" s="101">
        <v>0</v>
      </c>
      <c r="H363" s="101">
        <v>0</v>
      </c>
      <c r="I363" s="101">
        <v>0</v>
      </c>
      <c r="J363" s="101">
        <v>0</v>
      </c>
    </row>
    <row r="364" spans="1:10" ht="15" x14ac:dyDescent="0.2">
      <c r="A364" t="s">
        <v>36</v>
      </c>
      <c r="B364" s="99" t="s">
        <v>153</v>
      </c>
      <c r="C364" s="100">
        <f t="shared" si="7"/>
        <v>3</v>
      </c>
      <c r="D364" s="101">
        <v>0</v>
      </c>
      <c r="E364" s="101">
        <v>0</v>
      </c>
      <c r="F364" s="101">
        <v>0</v>
      </c>
      <c r="G364" s="101">
        <v>0</v>
      </c>
      <c r="H364" s="101">
        <v>0</v>
      </c>
      <c r="I364" s="101">
        <v>0</v>
      </c>
      <c r="J364" s="101">
        <v>0</v>
      </c>
    </row>
    <row r="365" spans="1:10" ht="15" x14ac:dyDescent="0.2">
      <c r="A365" t="s">
        <v>36</v>
      </c>
      <c r="B365" s="102" t="s">
        <v>154</v>
      </c>
      <c r="C365" s="100">
        <f t="shared" si="7"/>
        <v>4</v>
      </c>
      <c r="D365" s="103">
        <v>0</v>
      </c>
      <c r="E365" s="103">
        <v>0</v>
      </c>
      <c r="F365" s="101">
        <v>0</v>
      </c>
      <c r="G365" s="101">
        <v>0</v>
      </c>
      <c r="H365" s="101">
        <v>0</v>
      </c>
      <c r="I365" s="101">
        <v>0</v>
      </c>
      <c r="J365" s="101">
        <v>0</v>
      </c>
    </row>
    <row r="366" spans="1:10" ht="15" x14ac:dyDescent="0.2">
      <c r="A366" t="s">
        <v>36</v>
      </c>
      <c r="B366" s="99" t="s">
        <v>155</v>
      </c>
      <c r="C366" s="100">
        <f t="shared" si="7"/>
        <v>5</v>
      </c>
      <c r="D366" s="101">
        <v>0</v>
      </c>
      <c r="E366" s="101">
        <v>0</v>
      </c>
      <c r="F366" s="101">
        <v>0</v>
      </c>
      <c r="G366" s="101">
        <v>0</v>
      </c>
      <c r="H366" s="101">
        <v>1</v>
      </c>
      <c r="I366" s="101">
        <v>6</v>
      </c>
      <c r="J366" s="101">
        <v>0</v>
      </c>
    </row>
    <row r="367" spans="1:10" ht="15" x14ac:dyDescent="0.2">
      <c r="A367" t="s">
        <v>36</v>
      </c>
      <c r="B367" s="102" t="s">
        <v>156</v>
      </c>
      <c r="C367" s="100">
        <f t="shared" si="7"/>
        <v>6</v>
      </c>
      <c r="D367" s="103">
        <v>0</v>
      </c>
      <c r="E367" s="103">
        <v>0</v>
      </c>
      <c r="F367" s="101">
        <v>0</v>
      </c>
      <c r="G367" s="101">
        <v>0</v>
      </c>
      <c r="H367" s="101">
        <v>0</v>
      </c>
      <c r="I367" s="101">
        <v>0</v>
      </c>
      <c r="J367" s="101">
        <v>0</v>
      </c>
    </row>
    <row r="368" spans="1:10" ht="15" x14ac:dyDescent="0.2">
      <c r="A368" t="s">
        <v>36</v>
      </c>
      <c r="B368" s="99" t="s">
        <v>157</v>
      </c>
      <c r="C368" s="100">
        <f t="shared" si="7"/>
        <v>7</v>
      </c>
      <c r="D368" s="101">
        <v>0</v>
      </c>
      <c r="E368" s="101">
        <v>0</v>
      </c>
      <c r="F368" s="101">
        <v>0</v>
      </c>
      <c r="G368" s="101">
        <v>0</v>
      </c>
      <c r="H368" s="101">
        <v>0</v>
      </c>
      <c r="I368" s="101">
        <v>0</v>
      </c>
      <c r="J368" s="101">
        <v>0</v>
      </c>
    </row>
    <row r="369" spans="1:10" ht="15" x14ac:dyDescent="0.2">
      <c r="A369" t="s">
        <v>36</v>
      </c>
      <c r="B369" s="102" t="s">
        <v>158</v>
      </c>
      <c r="C369" s="100">
        <f t="shared" si="7"/>
        <v>8</v>
      </c>
      <c r="D369" s="103">
        <v>0</v>
      </c>
      <c r="E369" s="103">
        <v>0</v>
      </c>
      <c r="F369" s="101">
        <v>0</v>
      </c>
      <c r="G369" s="101">
        <v>0</v>
      </c>
      <c r="H369" s="101">
        <v>0</v>
      </c>
      <c r="I369" s="101">
        <v>0</v>
      </c>
      <c r="J369" s="101">
        <v>0</v>
      </c>
    </row>
    <row r="370" spans="1:10" ht="15" x14ac:dyDescent="0.2">
      <c r="A370" t="s">
        <v>36</v>
      </c>
      <c r="B370" s="99" t="s">
        <v>159</v>
      </c>
      <c r="C370" s="100">
        <f t="shared" ref="C370:C433" si="9">_xlfn.IFS(B370="Janeiro",1,B370="Fevereiro",2,B370="Março",3,B370="Abril",4,B370="Maio",5,B370="Junho",6,B370="Julho",7,B370="Agosto",8,B370="Setembro",9,B370="Outubro",10,B370="Novembro",11,B370="Dezembro",12,TRUE,0)</f>
        <v>9</v>
      </c>
      <c r="D370" s="101">
        <v>0</v>
      </c>
      <c r="E370" s="101">
        <v>0</v>
      </c>
      <c r="F370" s="101">
        <v>0</v>
      </c>
      <c r="G370" s="101">
        <v>0</v>
      </c>
      <c r="H370" s="101">
        <v>0</v>
      </c>
      <c r="I370" s="101">
        <v>0</v>
      </c>
      <c r="J370" s="101">
        <v>0</v>
      </c>
    </row>
    <row r="371" spans="1:10" ht="15" x14ac:dyDescent="0.2">
      <c r="A371" t="s">
        <v>36</v>
      </c>
      <c r="B371" s="102" t="s">
        <v>160</v>
      </c>
      <c r="C371" s="100">
        <f t="shared" si="9"/>
        <v>10</v>
      </c>
      <c r="D371" s="103">
        <v>0</v>
      </c>
      <c r="E371" s="103">
        <v>0</v>
      </c>
      <c r="F371" s="101">
        <v>0</v>
      </c>
      <c r="G371" s="101">
        <v>0</v>
      </c>
      <c r="H371" s="101">
        <v>0</v>
      </c>
      <c r="I371" s="101">
        <v>0</v>
      </c>
      <c r="J371" s="101">
        <v>0</v>
      </c>
    </row>
    <row r="372" spans="1:10" ht="15" x14ac:dyDescent="0.2">
      <c r="A372" t="s">
        <v>36</v>
      </c>
      <c r="B372" s="99" t="s">
        <v>161</v>
      </c>
      <c r="C372" s="100">
        <f t="shared" si="9"/>
        <v>11</v>
      </c>
      <c r="D372" s="101">
        <v>0</v>
      </c>
      <c r="E372" s="101">
        <v>0</v>
      </c>
      <c r="F372" s="101">
        <v>0</v>
      </c>
      <c r="G372" s="101">
        <v>0</v>
      </c>
      <c r="H372" s="101">
        <v>0</v>
      </c>
      <c r="I372" s="101">
        <v>0</v>
      </c>
      <c r="J372" s="101">
        <v>0</v>
      </c>
    </row>
    <row r="373" spans="1:10" ht="15" x14ac:dyDescent="0.2">
      <c r="A373" t="s">
        <v>36</v>
      </c>
      <c r="B373" s="102" t="s">
        <v>162</v>
      </c>
      <c r="C373" s="100">
        <f t="shared" si="9"/>
        <v>12</v>
      </c>
      <c r="D373" s="103">
        <v>0</v>
      </c>
      <c r="E373" s="103">
        <v>0</v>
      </c>
      <c r="F373" s="101">
        <v>0</v>
      </c>
      <c r="G373" s="101">
        <v>0</v>
      </c>
      <c r="H373" s="101">
        <v>0</v>
      </c>
      <c r="I373" s="101">
        <v>0</v>
      </c>
      <c r="J373" s="101">
        <v>0</v>
      </c>
    </row>
    <row r="374" spans="1:10" ht="15" x14ac:dyDescent="0.2">
      <c r="A374" t="s">
        <v>82</v>
      </c>
      <c r="B374" s="99" t="s">
        <v>151</v>
      </c>
      <c r="C374" s="100">
        <f t="shared" si="9"/>
        <v>1</v>
      </c>
      <c r="D374" s="101">
        <v>0</v>
      </c>
      <c r="E374" s="101">
        <v>0</v>
      </c>
      <c r="F374" s="101">
        <v>0</v>
      </c>
      <c r="G374" s="101">
        <v>0</v>
      </c>
      <c r="H374" s="101">
        <v>0</v>
      </c>
      <c r="I374" s="101">
        <v>0</v>
      </c>
      <c r="J374" s="101">
        <v>0</v>
      </c>
    </row>
    <row r="375" spans="1:10" ht="15" x14ac:dyDescent="0.2">
      <c r="A375" t="s">
        <v>82</v>
      </c>
      <c r="B375" s="102" t="s">
        <v>152</v>
      </c>
      <c r="C375" s="100">
        <f t="shared" si="9"/>
        <v>2</v>
      </c>
      <c r="D375" s="103">
        <v>0</v>
      </c>
      <c r="E375" s="103">
        <v>0</v>
      </c>
      <c r="F375" s="101">
        <v>0</v>
      </c>
      <c r="G375" s="101">
        <v>0</v>
      </c>
      <c r="H375" s="101">
        <v>0</v>
      </c>
      <c r="I375" s="101">
        <v>0</v>
      </c>
      <c r="J375" s="101">
        <v>0</v>
      </c>
    </row>
    <row r="376" spans="1:10" ht="15" x14ac:dyDescent="0.2">
      <c r="A376" t="s">
        <v>82</v>
      </c>
      <c r="B376" s="99" t="s">
        <v>153</v>
      </c>
      <c r="C376" s="100">
        <f t="shared" si="9"/>
        <v>3</v>
      </c>
      <c r="D376" s="101">
        <v>7</v>
      </c>
      <c r="E376" s="101">
        <v>58</v>
      </c>
      <c r="F376" s="101">
        <v>0</v>
      </c>
      <c r="G376" s="101">
        <v>0</v>
      </c>
      <c r="H376" s="101">
        <v>0</v>
      </c>
      <c r="I376" s="101">
        <v>0</v>
      </c>
      <c r="J376" s="101">
        <v>1</v>
      </c>
    </row>
    <row r="377" spans="1:10" ht="15" x14ac:dyDescent="0.2">
      <c r="A377" t="s">
        <v>82</v>
      </c>
      <c r="B377" s="102" t="s">
        <v>154</v>
      </c>
      <c r="C377" s="100">
        <f t="shared" si="9"/>
        <v>4</v>
      </c>
      <c r="D377" s="103">
        <v>0</v>
      </c>
      <c r="E377" s="103">
        <v>0</v>
      </c>
      <c r="F377" s="101">
        <v>0</v>
      </c>
      <c r="G377" s="101">
        <v>0</v>
      </c>
      <c r="H377" s="101">
        <v>0</v>
      </c>
      <c r="I377" s="101">
        <v>0</v>
      </c>
      <c r="J377" s="101">
        <v>0</v>
      </c>
    </row>
    <row r="378" spans="1:10" ht="15" x14ac:dyDescent="0.2">
      <c r="A378" t="s">
        <v>82</v>
      </c>
      <c r="B378" s="99" t="s">
        <v>155</v>
      </c>
      <c r="C378" s="100">
        <f t="shared" si="9"/>
        <v>5</v>
      </c>
      <c r="D378" s="101">
        <v>0</v>
      </c>
      <c r="E378" s="101">
        <v>0</v>
      </c>
      <c r="F378" s="101">
        <v>0</v>
      </c>
      <c r="G378" s="101">
        <v>0</v>
      </c>
      <c r="H378" s="101">
        <v>0</v>
      </c>
      <c r="I378" s="101">
        <v>0</v>
      </c>
      <c r="J378" s="101">
        <v>0</v>
      </c>
    </row>
    <row r="379" spans="1:10" ht="15" x14ac:dyDescent="0.2">
      <c r="A379" t="s">
        <v>82</v>
      </c>
      <c r="B379" s="102" t="s">
        <v>156</v>
      </c>
      <c r="C379" s="100">
        <f t="shared" si="9"/>
        <v>6</v>
      </c>
      <c r="D379" s="103">
        <v>7</v>
      </c>
      <c r="E379" s="103">
        <v>58</v>
      </c>
      <c r="F379" s="101">
        <v>0</v>
      </c>
      <c r="G379" s="101">
        <v>0</v>
      </c>
      <c r="H379" s="101">
        <v>0</v>
      </c>
      <c r="I379" s="101">
        <v>0</v>
      </c>
      <c r="J379" s="101">
        <v>2</v>
      </c>
    </row>
    <row r="380" spans="1:10" ht="15" x14ac:dyDescent="0.2">
      <c r="A380" t="s">
        <v>82</v>
      </c>
      <c r="B380" s="99" t="s">
        <v>157</v>
      </c>
      <c r="C380" s="100">
        <f t="shared" si="9"/>
        <v>7</v>
      </c>
      <c r="D380" s="101">
        <v>4</v>
      </c>
      <c r="E380" s="101">
        <v>33</v>
      </c>
      <c r="F380" s="101">
        <v>1</v>
      </c>
      <c r="G380" s="101">
        <v>1</v>
      </c>
      <c r="H380" s="101">
        <v>0</v>
      </c>
      <c r="I380" s="101">
        <v>0</v>
      </c>
      <c r="J380" s="101">
        <v>1</v>
      </c>
    </row>
    <row r="381" spans="1:10" ht="15" x14ac:dyDescent="0.2">
      <c r="A381" t="s">
        <v>82</v>
      </c>
      <c r="B381" s="102" t="s">
        <v>158</v>
      </c>
      <c r="C381" s="100">
        <f t="shared" si="9"/>
        <v>8</v>
      </c>
      <c r="D381" s="103">
        <v>0</v>
      </c>
      <c r="E381" s="103">
        <v>0</v>
      </c>
      <c r="F381" s="101">
        <v>0</v>
      </c>
      <c r="G381" s="101">
        <v>0</v>
      </c>
      <c r="H381" s="101">
        <v>0</v>
      </c>
      <c r="I381" s="101">
        <v>0</v>
      </c>
      <c r="J381" s="101">
        <v>0</v>
      </c>
    </row>
    <row r="382" spans="1:10" ht="15" x14ac:dyDescent="0.2">
      <c r="A382" t="s">
        <v>82</v>
      </c>
      <c r="B382" s="99" t="s">
        <v>159</v>
      </c>
      <c r="C382" s="100">
        <f t="shared" si="9"/>
        <v>9</v>
      </c>
      <c r="D382" s="101">
        <v>0</v>
      </c>
      <c r="E382" s="101">
        <v>0</v>
      </c>
      <c r="F382" s="101">
        <v>0</v>
      </c>
      <c r="G382" s="101">
        <v>0</v>
      </c>
      <c r="H382" s="101">
        <v>0</v>
      </c>
      <c r="I382" s="101">
        <v>0</v>
      </c>
      <c r="J382" s="101">
        <v>0</v>
      </c>
    </row>
    <row r="383" spans="1:10" ht="15" x14ac:dyDescent="0.2">
      <c r="A383" t="s">
        <v>82</v>
      </c>
      <c r="B383" s="102" t="s">
        <v>160</v>
      </c>
      <c r="C383" s="100">
        <f t="shared" si="9"/>
        <v>10</v>
      </c>
      <c r="D383" s="103">
        <v>0</v>
      </c>
      <c r="E383" s="103">
        <v>0</v>
      </c>
      <c r="F383" s="101">
        <v>0</v>
      </c>
      <c r="G383" s="101">
        <v>0</v>
      </c>
      <c r="H383" s="101">
        <v>0</v>
      </c>
      <c r="I383" s="101">
        <v>0</v>
      </c>
      <c r="J383" s="101">
        <v>0</v>
      </c>
    </row>
    <row r="384" spans="1:10" ht="15" x14ac:dyDescent="0.2">
      <c r="A384" t="s">
        <v>82</v>
      </c>
      <c r="B384" s="99" t="s">
        <v>161</v>
      </c>
      <c r="C384" s="100">
        <f t="shared" si="9"/>
        <v>11</v>
      </c>
      <c r="D384" s="101">
        <v>0</v>
      </c>
      <c r="E384" s="101">
        <v>0</v>
      </c>
      <c r="F384" s="101">
        <v>0</v>
      </c>
      <c r="G384" s="101">
        <v>0</v>
      </c>
      <c r="H384" s="101">
        <v>0</v>
      </c>
      <c r="I384" s="101">
        <v>0</v>
      </c>
      <c r="J384" s="101">
        <v>0</v>
      </c>
    </row>
    <row r="385" spans="1:10" ht="15" x14ac:dyDescent="0.2">
      <c r="A385" t="s">
        <v>82</v>
      </c>
      <c r="B385" s="102" t="s">
        <v>162</v>
      </c>
      <c r="C385" s="100">
        <f t="shared" si="9"/>
        <v>12</v>
      </c>
      <c r="D385" s="103">
        <v>0</v>
      </c>
      <c r="E385" s="103">
        <v>0</v>
      </c>
      <c r="F385" s="101">
        <v>0</v>
      </c>
      <c r="G385" s="101">
        <v>0</v>
      </c>
      <c r="H385" s="101">
        <v>0</v>
      </c>
      <c r="I385" s="101">
        <v>0</v>
      </c>
      <c r="J385" s="101">
        <v>0</v>
      </c>
    </row>
    <row r="386" spans="1:10" ht="15" x14ac:dyDescent="0.2">
      <c r="A386" t="s">
        <v>64</v>
      </c>
      <c r="B386" s="99" t="s">
        <v>151</v>
      </c>
      <c r="C386" s="100">
        <f t="shared" si="9"/>
        <v>1</v>
      </c>
      <c r="D386" s="101">
        <v>0</v>
      </c>
      <c r="E386" s="101">
        <v>0</v>
      </c>
      <c r="F386" s="101">
        <v>0</v>
      </c>
      <c r="G386" s="101">
        <v>0</v>
      </c>
      <c r="H386" s="101">
        <v>1</v>
      </c>
      <c r="I386" s="101">
        <v>11</v>
      </c>
      <c r="J386" s="101">
        <v>0</v>
      </c>
    </row>
    <row r="387" spans="1:10" ht="15" x14ac:dyDescent="0.2">
      <c r="A387" t="s">
        <v>64</v>
      </c>
      <c r="B387" s="102" t="s">
        <v>152</v>
      </c>
      <c r="C387" s="100">
        <f t="shared" si="9"/>
        <v>2</v>
      </c>
      <c r="D387" s="103">
        <v>0</v>
      </c>
      <c r="E387" s="103">
        <v>0</v>
      </c>
      <c r="F387" s="101">
        <v>0</v>
      </c>
      <c r="G387" s="101">
        <v>0</v>
      </c>
      <c r="H387" s="101">
        <v>1</v>
      </c>
      <c r="I387" s="101">
        <v>11</v>
      </c>
      <c r="J387" s="101">
        <v>0</v>
      </c>
    </row>
    <row r="388" spans="1:10" ht="15" x14ac:dyDescent="0.2">
      <c r="A388" t="s">
        <v>64</v>
      </c>
      <c r="B388" s="99" t="s">
        <v>153</v>
      </c>
      <c r="C388" s="100">
        <f t="shared" si="9"/>
        <v>3</v>
      </c>
      <c r="D388" s="101">
        <v>0</v>
      </c>
      <c r="E388" s="101">
        <v>0</v>
      </c>
      <c r="F388" s="101">
        <v>0</v>
      </c>
      <c r="G388" s="101">
        <v>0</v>
      </c>
      <c r="H388" s="101">
        <v>0</v>
      </c>
      <c r="I388" s="101">
        <v>0</v>
      </c>
      <c r="J388" s="101">
        <v>0</v>
      </c>
    </row>
    <row r="389" spans="1:10" ht="15" x14ac:dyDescent="0.2">
      <c r="A389" t="s">
        <v>64</v>
      </c>
      <c r="B389" s="102" t="s">
        <v>154</v>
      </c>
      <c r="C389" s="100">
        <f t="shared" si="9"/>
        <v>4</v>
      </c>
      <c r="D389" s="103">
        <v>0</v>
      </c>
      <c r="E389" s="103">
        <v>0</v>
      </c>
      <c r="F389" s="101">
        <v>0</v>
      </c>
      <c r="G389" s="101">
        <v>0</v>
      </c>
      <c r="H389" s="101">
        <v>0</v>
      </c>
      <c r="I389" s="101">
        <v>0</v>
      </c>
      <c r="J389" s="101">
        <v>0</v>
      </c>
    </row>
    <row r="390" spans="1:10" ht="15" x14ac:dyDescent="0.2">
      <c r="A390" t="s">
        <v>64</v>
      </c>
      <c r="B390" s="99" t="s">
        <v>155</v>
      </c>
      <c r="C390" s="100">
        <f t="shared" si="9"/>
        <v>5</v>
      </c>
      <c r="D390" s="101">
        <v>0</v>
      </c>
      <c r="E390" s="101">
        <v>0</v>
      </c>
      <c r="F390" s="101">
        <v>0</v>
      </c>
      <c r="G390" s="101">
        <v>0</v>
      </c>
      <c r="H390" s="101">
        <v>2</v>
      </c>
      <c r="I390" s="101">
        <v>22</v>
      </c>
      <c r="J390" s="101">
        <v>0</v>
      </c>
    </row>
    <row r="391" spans="1:10" ht="15" x14ac:dyDescent="0.2">
      <c r="A391" t="s">
        <v>64</v>
      </c>
      <c r="B391" s="102" t="s">
        <v>156</v>
      </c>
      <c r="C391" s="100">
        <f t="shared" si="9"/>
        <v>6</v>
      </c>
      <c r="D391" s="103">
        <v>0</v>
      </c>
      <c r="E391" s="103">
        <v>0</v>
      </c>
      <c r="F391" s="101">
        <v>0</v>
      </c>
      <c r="G391" s="101">
        <v>0</v>
      </c>
      <c r="H391" s="101">
        <v>0</v>
      </c>
      <c r="I391" s="101">
        <v>0</v>
      </c>
      <c r="J391" s="101">
        <v>0</v>
      </c>
    </row>
    <row r="392" spans="1:10" ht="15" x14ac:dyDescent="0.2">
      <c r="A392" t="s">
        <v>64</v>
      </c>
      <c r="B392" s="99" t="s">
        <v>157</v>
      </c>
      <c r="C392" s="100">
        <f t="shared" si="9"/>
        <v>7</v>
      </c>
      <c r="D392" s="101">
        <v>0</v>
      </c>
      <c r="E392" s="101">
        <v>0</v>
      </c>
      <c r="F392" s="101">
        <v>0</v>
      </c>
      <c r="G392" s="101">
        <v>0</v>
      </c>
      <c r="H392" s="101">
        <v>0</v>
      </c>
      <c r="I392" s="101">
        <v>0</v>
      </c>
      <c r="J392" s="101">
        <v>0</v>
      </c>
    </row>
    <row r="393" spans="1:10" ht="15" x14ac:dyDescent="0.2">
      <c r="A393" t="s">
        <v>64</v>
      </c>
      <c r="B393" s="102" t="s">
        <v>158</v>
      </c>
      <c r="C393" s="100">
        <f t="shared" si="9"/>
        <v>8</v>
      </c>
      <c r="D393" s="103">
        <v>0</v>
      </c>
      <c r="E393" s="103">
        <v>0</v>
      </c>
      <c r="F393" s="101">
        <v>0</v>
      </c>
      <c r="G393" s="101">
        <v>0</v>
      </c>
      <c r="H393" s="101">
        <v>0</v>
      </c>
      <c r="I393" s="101">
        <v>0</v>
      </c>
      <c r="J393" s="101">
        <v>0</v>
      </c>
    </row>
    <row r="394" spans="1:10" ht="15" x14ac:dyDescent="0.2">
      <c r="A394" t="s">
        <v>64</v>
      </c>
      <c r="B394" s="99" t="s">
        <v>159</v>
      </c>
      <c r="C394" s="100">
        <f t="shared" si="9"/>
        <v>9</v>
      </c>
      <c r="D394" s="101">
        <v>0</v>
      </c>
      <c r="E394" s="101">
        <v>0</v>
      </c>
      <c r="F394" s="101">
        <v>0</v>
      </c>
      <c r="G394" s="101">
        <v>0</v>
      </c>
      <c r="H394" s="101">
        <v>0</v>
      </c>
      <c r="I394" s="101">
        <v>0</v>
      </c>
      <c r="J394" s="101">
        <v>0</v>
      </c>
    </row>
    <row r="395" spans="1:10" ht="15" x14ac:dyDescent="0.2">
      <c r="A395" t="s">
        <v>64</v>
      </c>
      <c r="B395" s="102" t="s">
        <v>160</v>
      </c>
      <c r="C395" s="100">
        <f t="shared" si="9"/>
        <v>10</v>
      </c>
      <c r="D395" s="103">
        <v>0</v>
      </c>
      <c r="E395" s="103">
        <v>0</v>
      </c>
      <c r="F395" s="101">
        <v>0</v>
      </c>
      <c r="G395" s="101">
        <v>0</v>
      </c>
      <c r="H395" s="101">
        <v>0</v>
      </c>
      <c r="I395" s="101">
        <v>0</v>
      </c>
      <c r="J395" s="101">
        <v>0</v>
      </c>
    </row>
    <row r="396" spans="1:10" ht="15" x14ac:dyDescent="0.2">
      <c r="A396" t="s">
        <v>64</v>
      </c>
      <c r="B396" s="99" t="s">
        <v>161</v>
      </c>
      <c r="C396" s="100">
        <f t="shared" si="9"/>
        <v>11</v>
      </c>
      <c r="D396" s="101">
        <v>0</v>
      </c>
      <c r="E396" s="101">
        <v>0</v>
      </c>
      <c r="F396" s="101">
        <v>0</v>
      </c>
      <c r="G396" s="101">
        <v>0</v>
      </c>
      <c r="H396" s="101">
        <v>0</v>
      </c>
      <c r="I396" s="101">
        <v>0</v>
      </c>
      <c r="J396" s="101">
        <v>0</v>
      </c>
    </row>
    <row r="397" spans="1:10" ht="15" x14ac:dyDescent="0.2">
      <c r="A397" t="s">
        <v>64</v>
      </c>
      <c r="B397" s="102" t="s">
        <v>162</v>
      </c>
      <c r="C397" s="100">
        <f t="shared" si="9"/>
        <v>12</v>
      </c>
      <c r="D397" s="103">
        <v>0</v>
      </c>
      <c r="E397" s="103">
        <v>0</v>
      </c>
      <c r="F397" s="101">
        <v>0</v>
      </c>
      <c r="G397" s="101">
        <v>0</v>
      </c>
      <c r="H397" s="101">
        <v>0</v>
      </c>
      <c r="I397" s="101">
        <v>0</v>
      </c>
      <c r="J397" s="101">
        <v>0</v>
      </c>
    </row>
    <row r="398" spans="1:10" ht="15" x14ac:dyDescent="0.2">
      <c r="A398" t="s">
        <v>135</v>
      </c>
      <c r="B398" s="99" t="s">
        <v>151</v>
      </c>
      <c r="C398" s="100">
        <f t="shared" si="9"/>
        <v>1</v>
      </c>
      <c r="D398" s="101">
        <v>0</v>
      </c>
      <c r="E398" s="101">
        <v>0</v>
      </c>
      <c r="F398" s="101">
        <v>0</v>
      </c>
      <c r="G398" s="101">
        <v>0</v>
      </c>
      <c r="H398" s="101">
        <v>0</v>
      </c>
      <c r="I398" s="101">
        <v>0</v>
      </c>
      <c r="J398" s="101">
        <v>0</v>
      </c>
    </row>
    <row r="399" spans="1:10" ht="15" x14ac:dyDescent="0.2">
      <c r="A399" t="s">
        <v>135</v>
      </c>
      <c r="B399" s="102" t="s">
        <v>152</v>
      </c>
      <c r="C399" s="100">
        <f t="shared" si="9"/>
        <v>2</v>
      </c>
      <c r="D399" s="103">
        <v>0</v>
      </c>
      <c r="E399" s="103">
        <v>0</v>
      </c>
      <c r="F399" s="101">
        <v>0</v>
      </c>
      <c r="G399" s="101">
        <v>0</v>
      </c>
      <c r="H399" s="101">
        <v>0</v>
      </c>
      <c r="I399" s="101">
        <v>0</v>
      </c>
      <c r="J399" s="101">
        <v>0</v>
      </c>
    </row>
    <row r="400" spans="1:10" ht="15" x14ac:dyDescent="0.2">
      <c r="A400" t="s">
        <v>135</v>
      </c>
      <c r="B400" s="99" t="s">
        <v>153</v>
      </c>
      <c r="C400" s="100">
        <f t="shared" si="9"/>
        <v>3</v>
      </c>
      <c r="D400" s="101">
        <v>0</v>
      </c>
      <c r="E400" s="101">
        <v>0</v>
      </c>
      <c r="F400" s="101">
        <v>0</v>
      </c>
      <c r="G400" s="101">
        <v>0</v>
      </c>
      <c r="H400" s="101">
        <v>0</v>
      </c>
      <c r="I400" s="101">
        <v>0</v>
      </c>
      <c r="J400" s="101">
        <v>0</v>
      </c>
    </row>
    <row r="401" spans="1:10" ht="15" x14ac:dyDescent="0.2">
      <c r="A401" t="s">
        <v>135</v>
      </c>
      <c r="B401" s="102" t="s">
        <v>154</v>
      </c>
      <c r="C401" s="100">
        <f t="shared" si="9"/>
        <v>4</v>
      </c>
      <c r="D401" s="103">
        <v>0</v>
      </c>
      <c r="E401" s="103">
        <v>0</v>
      </c>
      <c r="F401" s="101">
        <v>0</v>
      </c>
      <c r="G401" s="101">
        <v>0</v>
      </c>
      <c r="H401" s="101">
        <v>0</v>
      </c>
      <c r="I401" s="101">
        <v>0</v>
      </c>
      <c r="J401" s="101">
        <v>0</v>
      </c>
    </row>
    <row r="402" spans="1:10" ht="15" x14ac:dyDescent="0.2">
      <c r="A402" t="s">
        <v>135</v>
      </c>
      <c r="B402" s="99" t="s">
        <v>155</v>
      </c>
      <c r="C402" s="100">
        <f t="shared" si="9"/>
        <v>5</v>
      </c>
      <c r="D402" s="101">
        <v>5</v>
      </c>
      <c r="E402" s="101">
        <v>83</v>
      </c>
      <c r="F402" s="101">
        <v>0</v>
      </c>
      <c r="G402" s="101">
        <v>0</v>
      </c>
      <c r="H402" s="101">
        <v>2</v>
      </c>
      <c r="I402" s="101">
        <v>33</v>
      </c>
      <c r="J402" s="101">
        <v>1</v>
      </c>
    </row>
    <row r="403" spans="1:10" ht="15" x14ac:dyDescent="0.2">
      <c r="A403" t="s">
        <v>135</v>
      </c>
      <c r="B403" s="102" t="s">
        <v>156</v>
      </c>
      <c r="C403" s="100">
        <f t="shared" si="9"/>
        <v>6</v>
      </c>
      <c r="D403" s="103">
        <v>6</v>
      </c>
      <c r="E403" s="103">
        <v>100</v>
      </c>
      <c r="F403" s="101">
        <v>0</v>
      </c>
      <c r="G403" s="101">
        <v>0</v>
      </c>
      <c r="H403" s="101">
        <v>0</v>
      </c>
      <c r="I403" s="101">
        <v>0</v>
      </c>
      <c r="J403" s="101">
        <v>1</v>
      </c>
    </row>
    <row r="404" spans="1:10" ht="15" x14ac:dyDescent="0.2">
      <c r="A404" t="s">
        <v>135</v>
      </c>
      <c r="B404" s="99" t="s">
        <v>157</v>
      </c>
      <c r="C404" s="100">
        <f t="shared" si="9"/>
        <v>7</v>
      </c>
      <c r="D404" s="101">
        <v>3</v>
      </c>
      <c r="E404" s="101">
        <v>50</v>
      </c>
      <c r="F404" s="101">
        <v>1</v>
      </c>
      <c r="G404" s="101">
        <v>1</v>
      </c>
      <c r="H404" s="101">
        <v>0</v>
      </c>
      <c r="I404" s="101">
        <v>0</v>
      </c>
      <c r="J404" s="101">
        <v>1</v>
      </c>
    </row>
    <row r="405" spans="1:10" ht="15" x14ac:dyDescent="0.2">
      <c r="A405" t="s">
        <v>135</v>
      </c>
      <c r="B405" s="102" t="s">
        <v>158</v>
      </c>
      <c r="C405" s="100">
        <f t="shared" si="9"/>
        <v>8</v>
      </c>
      <c r="D405" s="103">
        <v>6</v>
      </c>
      <c r="E405" s="103">
        <v>100</v>
      </c>
      <c r="F405" s="101">
        <v>0</v>
      </c>
      <c r="G405" s="101">
        <v>0</v>
      </c>
      <c r="H405" s="101">
        <v>0</v>
      </c>
      <c r="I405" s="101">
        <v>0</v>
      </c>
      <c r="J405" s="101">
        <v>1</v>
      </c>
    </row>
    <row r="406" spans="1:10" ht="15" x14ac:dyDescent="0.2">
      <c r="A406" t="s">
        <v>135</v>
      </c>
      <c r="B406" s="99" t="s">
        <v>159</v>
      </c>
      <c r="C406" s="100">
        <f t="shared" si="9"/>
        <v>9</v>
      </c>
      <c r="D406" s="101">
        <v>4</v>
      </c>
      <c r="E406" s="101">
        <v>66</v>
      </c>
      <c r="F406" s="101">
        <v>0</v>
      </c>
      <c r="G406" s="101">
        <v>0</v>
      </c>
      <c r="H406" s="101">
        <v>0</v>
      </c>
      <c r="I406" s="101">
        <v>0</v>
      </c>
      <c r="J406" s="101">
        <v>1</v>
      </c>
    </row>
    <row r="407" spans="1:10" ht="15" x14ac:dyDescent="0.2">
      <c r="A407" t="s">
        <v>135</v>
      </c>
      <c r="B407" s="102" t="s">
        <v>160</v>
      </c>
      <c r="C407" s="100">
        <f t="shared" si="9"/>
        <v>10</v>
      </c>
      <c r="D407" s="103">
        <v>0</v>
      </c>
      <c r="E407" s="103">
        <v>0</v>
      </c>
      <c r="F407" s="101">
        <v>0</v>
      </c>
      <c r="G407" s="101">
        <v>0</v>
      </c>
      <c r="H407" s="101">
        <v>0</v>
      </c>
      <c r="I407" s="101">
        <v>0</v>
      </c>
      <c r="J407" s="101">
        <v>0</v>
      </c>
    </row>
    <row r="408" spans="1:10" ht="15" x14ac:dyDescent="0.2">
      <c r="A408" t="s">
        <v>135</v>
      </c>
      <c r="B408" s="99" t="s">
        <v>161</v>
      </c>
      <c r="C408" s="100">
        <f t="shared" si="9"/>
        <v>11</v>
      </c>
      <c r="D408" s="101">
        <v>0</v>
      </c>
      <c r="E408" s="101">
        <v>0</v>
      </c>
      <c r="F408" s="101">
        <v>0</v>
      </c>
      <c r="G408" s="101">
        <v>0</v>
      </c>
      <c r="H408" s="101">
        <v>0</v>
      </c>
      <c r="I408" s="101">
        <v>0</v>
      </c>
      <c r="J408" s="101">
        <v>0</v>
      </c>
    </row>
    <row r="409" spans="1:10" ht="15" x14ac:dyDescent="0.2">
      <c r="A409" t="s">
        <v>135</v>
      </c>
      <c r="B409" s="102" t="s">
        <v>162</v>
      </c>
      <c r="C409" s="100">
        <f t="shared" si="9"/>
        <v>12</v>
      </c>
      <c r="D409" s="103">
        <v>0</v>
      </c>
      <c r="E409" s="103">
        <v>0</v>
      </c>
      <c r="F409" s="101">
        <v>0</v>
      </c>
      <c r="G409" s="101">
        <v>0</v>
      </c>
      <c r="H409" s="101">
        <v>0</v>
      </c>
      <c r="I409" s="101">
        <v>0</v>
      </c>
      <c r="J409" s="101">
        <v>0</v>
      </c>
    </row>
    <row r="410" spans="1:10" ht="15" x14ac:dyDescent="0.2">
      <c r="A410" t="s">
        <v>103</v>
      </c>
      <c r="B410" s="99" t="s">
        <v>151</v>
      </c>
      <c r="C410" s="100">
        <f t="shared" si="9"/>
        <v>1</v>
      </c>
      <c r="D410" s="101">
        <v>0</v>
      </c>
      <c r="E410" s="101">
        <v>0</v>
      </c>
      <c r="F410" s="101">
        <v>0</v>
      </c>
      <c r="G410" s="101">
        <v>0</v>
      </c>
      <c r="H410" s="101">
        <v>3</v>
      </c>
      <c r="I410" s="101">
        <v>7</v>
      </c>
      <c r="J410" s="101">
        <v>0</v>
      </c>
    </row>
    <row r="411" spans="1:10" ht="15" x14ac:dyDescent="0.2">
      <c r="A411" t="s">
        <v>103</v>
      </c>
      <c r="B411" s="102" t="s">
        <v>152</v>
      </c>
      <c r="C411" s="100">
        <f t="shared" si="9"/>
        <v>2</v>
      </c>
      <c r="D411" s="103">
        <v>3</v>
      </c>
      <c r="E411" s="103">
        <v>7</v>
      </c>
      <c r="F411" s="101">
        <v>0</v>
      </c>
      <c r="G411" s="101">
        <v>0</v>
      </c>
      <c r="H411" s="101">
        <v>3</v>
      </c>
      <c r="I411" s="101">
        <v>7</v>
      </c>
      <c r="J411" s="101">
        <v>1</v>
      </c>
    </row>
    <row r="412" spans="1:10" ht="15" x14ac:dyDescent="0.2">
      <c r="A412" t="s">
        <v>103</v>
      </c>
      <c r="B412" s="99" t="s">
        <v>153</v>
      </c>
      <c r="C412" s="100">
        <f t="shared" si="9"/>
        <v>3</v>
      </c>
      <c r="D412" s="101">
        <v>5</v>
      </c>
      <c r="E412" s="101">
        <v>12</v>
      </c>
      <c r="F412" s="101">
        <v>0</v>
      </c>
      <c r="G412" s="101">
        <v>0</v>
      </c>
      <c r="H412" s="101">
        <v>0</v>
      </c>
      <c r="I412" s="101">
        <v>0</v>
      </c>
      <c r="J412" s="101">
        <v>2</v>
      </c>
    </row>
    <row r="413" spans="1:10" ht="15" x14ac:dyDescent="0.2">
      <c r="A413" t="s">
        <v>103</v>
      </c>
      <c r="B413" s="102" t="s">
        <v>154</v>
      </c>
      <c r="C413" s="100">
        <f t="shared" si="9"/>
        <v>4</v>
      </c>
      <c r="D413" s="103">
        <v>0</v>
      </c>
      <c r="E413" s="103">
        <v>0</v>
      </c>
      <c r="F413" s="101">
        <v>0</v>
      </c>
      <c r="G413" s="101">
        <v>0</v>
      </c>
      <c r="H413" s="101">
        <v>0</v>
      </c>
      <c r="I413" s="101">
        <v>0</v>
      </c>
      <c r="J413" s="101">
        <v>0</v>
      </c>
    </row>
    <row r="414" spans="1:10" ht="15" x14ac:dyDescent="0.2">
      <c r="A414" t="s">
        <v>103</v>
      </c>
      <c r="B414" s="99" t="s">
        <v>155</v>
      </c>
      <c r="C414" s="100">
        <f t="shared" si="9"/>
        <v>5</v>
      </c>
      <c r="D414" s="101">
        <v>0</v>
      </c>
      <c r="E414" s="101">
        <v>0</v>
      </c>
      <c r="F414" s="101">
        <v>0</v>
      </c>
      <c r="G414" s="101">
        <v>0</v>
      </c>
      <c r="H414" s="101">
        <v>8</v>
      </c>
      <c r="I414" s="101">
        <v>19</v>
      </c>
      <c r="J414" s="101">
        <v>0</v>
      </c>
    </row>
    <row r="415" spans="1:10" ht="15" x14ac:dyDescent="0.2">
      <c r="A415" t="s">
        <v>103</v>
      </c>
      <c r="B415" s="102" t="s">
        <v>156</v>
      </c>
      <c r="C415" s="100">
        <f t="shared" si="9"/>
        <v>6</v>
      </c>
      <c r="D415" s="103">
        <v>0</v>
      </c>
      <c r="E415" s="103">
        <v>0</v>
      </c>
      <c r="F415" s="101">
        <v>0</v>
      </c>
      <c r="G415" s="101">
        <v>0</v>
      </c>
      <c r="H415" s="101">
        <v>0</v>
      </c>
      <c r="I415" s="101">
        <v>0</v>
      </c>
      <c r="J415" s="101">
        <v>0</v>
      </c>
    </row>
    <row r="416" spans="1:10" ht="15" x14ac:dyDescent="0.2">
      <c r="A416" t="s">
        <v>103</v>
      </c>
      <c r="B416" s="99" t="s">
        <v>157</v>
      </c>
      <c r="C416" s="100">
        <f t="shared" si="9"/>
        <v>7</v>
      </c>
      <c r="D416" s="101">
        <v>0</v>
      </c>
      <c r="E416" s="101">
        <v>0</v>
      </c>
      <c r="F416" s="101">
        <v>0</v>
      </c>
      <c r="G416" s="101">
        <v>0</v>
      </c>
      <c r="H416" s="101">
        <v>0</v>
      </c>
      <c r="I416" s="101">
        <v>0</v>
      </c>
      <c r="J416" s="101">
        <v>0</v>
      </c>
    </row>
    <row r="417" spans="1:10" ht="15" x14ac:dyDescent="0.2">
      <c r="A417" t="s">
        <v>103</v>
      </c>
      <c r="B417" s="102" t="s">
        <v>158</v>
      </c>
      <c r="C417" s="100">
        <f t="shared" si="9"/>
        <v>8</v>
      </c>
      <c r="D417" s="103">
        <v>12</v>
      </c>
      <c r="E417" s="103">
        <v>29</v>
      </c>
      <c r="F417" s="101">
        <v>0</v>
      </c>
      <c r="G417" s="101">
        <v>0</v>
      </c>
      <c r="H417" s="101">
        <v>0</v>
      </c>
      <c r="I417" s="101">
        <v>0</v>
      </c>
      <c r="J417" s="101">
        <v>6</v>
      </c>
    </row>
    <row r="418" spans="1:10" ht="15" x14ac:dyDescent="0.2">
      <c r="A418" t="s">
        <v>103</v>
      </c>
      <c r="B418" s="99" t="s">
        <v>159</v>
      </c>
      <c r="C418" s="100">
        <f t="shared" si="9"/>
        <v>9</v>
      </c>
      <c r="D418" s="101">
        <v>0</v>
      </c>
      <c r="E418" s="101">
        <v>0</v>
      </c>
      <c r="F418" s="101">
        <v>0</v>
      </c>
      <c r="G418" s="101">
        <v>0</v>
      </c>
      <c r="H418" s="101">
        <v>0</v>
      </c>
      <c r="I418" s="101">
        <v>0</v>
      </c>
      <c r="J418" s="101">
        <v>0</v>
      </c>
    </row>
    <row r="419" spans="1:10" ht="15" x14ac:dyDescent="0.2">
      <c r="A419" t="s">
        <v>103</v>
      </c>
      <c r="B419" s="102" t="s">
        <v>160</v>
      </c>
      <c r="C419" s="100">
        <f t="shared" si="9"/>
        <v>10</v>
      </c>
      <c r="D419" s="103">
        <v>0</v>
      </c>
      <c r="E419" s="103">
        <v>0</v>
      </c>
      <c r="F419" s="101">
        <v>0</v>
      </c>
      <c r="G419" s="101">
        <v>0</v>
      </c>
      <c r="H419" s="101">
        <v>0</v>
      </c>
      <c r="I419" s="101">
        <v>0</v>
      </c>
      <c r="J419" s="101">
        <v>0</v>
      </c>
    </row>
    <row r="420" spans="1:10" ht="15" x14ac:dyDescent="0.2">
      <c r="A420" t="s">
        <v>103</v>
      </c>
      <c r="B420" s="99" t="s">
        <v>161</v>
      </c>
      <c r="C420" s="100">
        <f t="shared" si="9"/>
        <v>11</v>
      </c>
      <c r="D420" s="101">
        <v>0</v>
      </c>
      <c r="E420" s="101">
        <v>0</v>
      </c>
      <c r="F420" s="101">
        <v>0</v>
      </c>
      <c r="G420" s="101">
        <v>0</v>
      </c>
      <c r="H420" s="101">
        <v>0</v>
      </c>
      <c r="I420" s="101">
        <v>0</v>
      </c>
      <c r="J420" s="101">
        <v>0</v>
      </c>
    </row>
    <row r="421" spans="1:10" ht="15" x14ac:dyDescent="0.2">
      <c r="A421" t="s">
        <v>103</v>
      </c>
      <c r="B421" s="102" t="s">
        <v>162</v>
      </c>
      <c r="C421" s="100">
        <f t="shared" si="9"/>
        <v>12</v>
      </c>
      <c r="D421" s="103">
        <v>0</v>
      </c>
      <c r="E421" s="103">
        <v>0</v>
      </c>
      <c r="F421" s="101">
        <v>0</v>
      </c>
      <c r="G421" s="101">
        <v>0</v>
      </c>
      <c r="H421" s="101">
        <v>0</v>
      </c>
      <c r="I421" s="101">
        <v>0</v>
      </c>
      <c r="J421" s="101">
        <v>0</v>
      </c>
    </row>
    <row r="422" spans="1:10" ht="15" x14ac:dyDescent="0.2">
      <c r="A422" t="s">
        <v>85</v>
      </c>
      <c r="B422" s="99" t="s">
        <v>151</v>
      </c>
      <c r="C422" s="100">
        <f t="shared" si="9"/>
        <v>1</v>
      </c>
      <c r="D422" s="101">
        <v>0</v>
      </c>
      <c r="E422" s="101">
        <v>0</v>
      </c>
      <c r="F422" s="101">
        <v>1</v>
      </c>
      <c r="G422" s="101">
        <v>0</v>
      </c>
      <c r="H422" s="101">
        <v>0</v>
      </c>
      <c r="I422" s="101">
        <v>0</v>
      </c>
      <c r="J422" s="101">
        <v>0</v>
      </c>
    </row>
    <row r="423" spans="1:10" ht="15" x14ac:dyDescent="0.2">
      <c r="A423" t="s">
        <v>85</v>
      </c>
      <c r="B423" s="102" t="s">
        <v>152</v>
      </c>
      <c r="C423" s="100">
        <f t="shared" si="9"/>
        <v>2</v>
      </c>
      <c r="D423" s="103">
        <v>0</v>
      </c>
      <c r="E423" s="103">
        <v>0</v>
      </c>
      <c r="F423" s="101">
        <v>0</v>
      </c>
      <c r="G423" s="101">
        <v>0</v>
      </c>
      <c r="H423" s="101">
        <v>0</v>
      </c>
      <c r="I423" s="101">
        <v>0</v>
      </c>
      <c r="J423" s="101">
        <v>0</v>
      </c>
    </row>
    <row r="424" spans="1:10" ht="15" x14ac:dyDescent="0.2">
      <c r="A424" t="s">
        <v>85</v>
      </c>
      <c r="B424" s="99" t="s">
        <v>153</v>
      </c>
      <c r="C424" s="100">
        <f t="shared" si="9"/>
        <v>3</v>
      </c>
      <c r="D424" s="101">
        <v>0</v>
      </c>
      <c r="E424" s="101">
        <v>0</v>
      </c>
      <c r="F424" s="101">
        <v>0</v>
      </c>
      <c r="G424" s="101">
        <v>0</v>
      </c>
      <c r="H424" s="101">
        <v>0</v>
      </c>
      <c r="I424" s="101">
        <v>0</v>
      </c>
      <c r="J424" s="101">
        <v>0</v>
      </c>
    </row>
    <row r="425" spans="1:10" ht="15" x14ac:dyDescent="0.2">
      <c r="A425" t="s">
        <v>85</v>
      </c>
      <c r="B425" s="102" t="s">
        <v>154</v>
      </c>
      <c r="C425" s="100">
        <f t="shared" si="9"/>
        <v>4</v>
      </c>
      <c r="D425" s="103">
        <v>0</v>
      </c>
      <c r="E425" s="103">
        <v>0</v>
      </c>
      <c r="F425" s="101">
        <v>0</v>
      </c>
      <c r="G425" s="101">
        <v>0</v>
      </c>
      <c r="H425" s="101">
        <v>0</v>
      </c>
      <c r="I425" s="101">
        <v>0</v>
      </c>
      <c r="J425" s="101">
        <v>0</v>
      </c>
    </row>
    <row r="426" spans="1:10" ht="15" x14ac:dyDescent="0.2">
      <c r="A426" t="s">
        <v>85</v>
      </c>
      <c r="B426" s="99" t="s">
        <v>155</v>
      </c>
      <c r="C426" s="100">
        <f t="shared" si="9"/>
        <v>5</v>
      </c>
      <c r="D426" s="101">
        <v>10</v>
      </c>
      <c r="E426" s="101">
        <v>100</v>
      </c>
      <c r="F426" s="101">
        <v>0</v>
      </c>
      <c r="G426" s="101">
        <v>0</v>
      </c>
      <c r="H426" s="101">
        <v>1</v>
      </c>
      <c r="I426" s="101">
        <v>10</v>
      </c>
      <c r="J426" s="101">
        <v>1</v>
      </c>
    </row>
    <row r="427" spans="1:10" ht="15" x14ac:dyDescent="0.2">
      <c r="A427" t="s">
        <v>85</v>
      </c>
      <c r="B427" s="102" t="s">
        <v>156</v>
      </c>
      <c r="C427" s="100">
        <f t="shared" si="9"/>
        <v>6</v>
      </c>
      <c r="D427" s="103">
        <v>10</v>
      </c>
      <c r="E427" s="103">
        <v>100</v>
      </c>
      <c r="F427" s="101">
        <v>0</v>
      </c>
      <c r="G427" s="101">
        <v>0</v>
      </c>
      <c r="H427" s="101">
        <v>0</v>
      </c>
      <c r="I427" s="101">
        <v>0</v>
      </c>
      <c r="J427" s="101">
        <v>1</v>
      </c>
    </row>
    <row r="428" spans="1:10" ht="15" x14ac:dyDescent="0.2">
      <c r="A428" t="s">
        <v>85</v>
      </c>
      <c r="B428" s="99" t="s">
        <v>157</v>
      </c>
      <c r="C428" s="100">
        <f t="shared" si="9"/>
        <v>7</v>
      </c>
      <c r="D428" s="101">
        <v>10</v>
      </c>
      <c r="E428" s="101">
        <v>100</v>
      </c>
      <c r="F428" s="101">
        <v>0</v>
      </c>
      <c r="G428" s="101">
        <v>0</v>
      </c>
      <c r="H428" s="101">
        <v>0</v>
      </c>
      <c r="I428" s="101">
        <v>0</v>
      </c>
      <c r="J428" s="101">
        <v>2</v>
      </c>
    </row>
    <row r="429" spans="1:10" ht="15" x14ac:dyDescent="0.2">
      <c r="A429" t="s">
        <v>85</v>
      </c>
      <c r="B429" s="102" t="s">
        <v>158</v>
      </c>
      <c r="C429" s="100">
        <f t="shared" si="9"/>
        <v>8</v>
      </c>
      <c r="D429" s="103">
        <v>8</v>
      </c>
      <c r="E429" s="103">
        <v>80</v>
      </c>
      <c r="F429" s="101">
        <v>0</v>
      </c>
      <c r="G429" s="101">
        <v>0</v>
      </c>
      <c r="H429" s="101">
        <v>0</v>
      </c>
      <c r="I429" s="101">
        <v>0</v>
      </c>
      <c r="J429" s="101">
        <v>2</v>
      </c>
    </row>
    <row r="430" spans="1:10" ht="15" x14ac:dyDescent="0.2">
      <c r="A430" t="s">
        <v>85</v>
      </c>
      <c r="B430" s="99" t="s">
        <v>159</v>
      </c>
      <c r="C430" s="100">
        <f t="shared" si="9"/>
        <v>9</v>
      </c>
      <c r="D430" s="101">
        <v>8</v>
      </c>
      <c r="E430" s="101">
        <v>80</v>
      </c>
      <c r="F430" s="101">
        <v>0</v>
      </c>
      <c r="G430" s="101">
        <v>0</v>
      </c>
      <c r="H430" s="101">
        <v>8</v>
      </c>
      <c r="I430" s="101">
        <v>80</v>
      </c>
      <c r="J430" s="101">
        <v>3</v>
      </c>
    </row>
    <row r="431" spans="1:10" ht="15" x14ac:dyDescent="0.2">
      <c r="A431" t="s">
        <v>85</v>
      </c>
      <c r="B431" s="102" t="s">
        <v>160</v>
      </c>
      <c r="C431" s="100">
        <f t="shared" si="9"/>
        <v>10</v>
      </c>
      <c r="D431" s="103">
        <v>0</v>
      </c>
      <c r="E431" s="103">
        <v>0</v>
      </c>
      <c r="F431" s="101">
        <v>0</v>
      </c>
      <c r="G431" s="101">
        <v>0</v>
      </c>
      <c r="H431" s="101">
        <v>0</v>
      </c>
      <c r="I431" s="101">
        <v>0</v>
      </c>
      <c r="J431" s="101">
        <v>0</v>
      </c>
    </row>
    <row r="432" spans="1:10" ht="15" x14ac:dyDescent="0.2">
      <c r="A432" t="s">
        <v>85</v>
      </c>
      <c r="B432" s="99" t="s">
        <v>161</v>
      </c>
      <c r="C432" s="100">
        <f t="shared" si="9"/>
        <v>11</v>
      </c>
      <c r="D432" s="101">
        <v>0</v>
      </c>
      <c r="E432" s="101">
        <v>0</v>
      </c>
      <c r="F432" s="101">
        <v>0</v>
      </c>
      <c r="G432" s="101">
        <v>0</v>
      </c>
      <c r="H432" s="101">
        <v>0</v>
      </c>
      <c r="I432" s="101">
        <v>0</v>
      </c>
      <c r="J432" s="101">
        <v>0</v>
      </c>
    </row>
    <row r="433" spans="1:10" ht="15" x14ac:dyDescent="0.2">
      <c r="A433" t="s">
        <v>85</v>
      </c>
      <c r="B433" s="102" t="s">
        <v>162</v>
      </c>
      <c r="C433" s="100">
        <f t="shared" si="9"/>
        <v>12</v>
      </c>
      <c r="D433" s="103">
        <v>0</v>
      </c>
      <c r="E433" s="103">
        <v>0</v>
      </c>
      <c r="F433" s="101">
        <v>0</v>
      </c>
      <c r="G433" s="101">
        <v>0</v>
      </c>
      <c r="H433" s="101">
        <v>0</v>
      </c>
      <c r="I433" s="101">
        <v>0</v>
      </c>
      <c r="J433" s="101">
        <v>0</v>
      </c>
    </row>
    <row r="434" spans="1:10" ht="15" x14ac:dyDescent="0.2">
      <c r="A434" t="s">
        <v>121</v>
      </c>
      <c r="B434" s="99" t="s">
        <v>151</v>
      </c>
      <c r="C434" s="100">
        <f t="shared" ref="C434:C521" si="10">_xlfn.IFS(B434="Janeiro",1,B434="Fevereiro",2,B434="Março",3,B434="Abril",4,B434="Maio",5,B434="Junho",6,B434="Julho",7,B434="Agosto",8,B434="Setembro",9,B434="Outubro",10,B434="Novembro",11,B434="Dezembro",12,TRUE,0)</f>
        <v>1</v>
      </c>
      <c r="D434" s="101">
        <v>4</v>
      </c>
      <c r="E434" s="101">
        <v>14</v>
      </c>
      <c r="F434" s="101">
        <v>0</v>
      </c>
      <c r="G434" s="101">
        <v>0</v>
      </c>
      <c r="H434" s="101">
        <v>0</v>
      </c>
      <c r="I434" s="101">
        <v>0</v>
      </c>
      <c r="J434" s="101">
        <v>1</v>
      </c>
    </row>
    <row r="435" spans="1:10" ht="15" x14ac:dyDescent="0.2">
      <c r="A435" t="s">
        <v>121</v>
      </c>
      <c r="B435" s="102" t="s">
        <v>152</v>
      </c>
      <c r="C435" s="100">
        <f t="shared" si="10"/>
        <v>2</v>
      </c>
      <c r="D435" s="103">
        <v>4</v>
      </c>
      <c r="E435" s="103">
        <v>14</v>
      </c>
      <c r="F435" s="101">
        <v>0</v>
      </c>
      <c r="G435" s="101">
        <v>0</v>
      </c>
      <c r="H435" s="101">
        <v>0</v>
      </c>
      <c r="I435" s="101">
        <v>0</v>
      </c>
      <c r="J435" s="101">
        <v>1</v>
      </c>
    </row>
    <row r="436" spans="1:10" ht="15" x14ac:dyDescent="0.2">
      <c r="A436" t="s">
        <v>121</v>
      </c>
      <c r="B436" s="99" t="s">
        <v>153</v>
      </c>
      <c r="C436" s="100">
        <f t="shared" si="10"/>
        <v>3</v>
      </c>
      <c r="D436" s="101">
        <v>4</v>
      </c>
      <c r="E436" s="101">
        <v>14</v>
      </c>
      <c r="F436" s="101">
        <v>0</v>
      </c>
      <c r="G436" s="101">
        <v>0</v>
      </c>
      <c r="H436" s="101">
        <v>0</v>
      </c>
      <c r="I436" s="101">
        <v>0</v>
      </c>
      <c r="J436" s="101">
        <v>1</v>
      </c>
    </row>
    <row r="437" spans="1:10" ht="15" x14ac:dyDescent="0.2">
      <c r="A437" t="s">
        <v>121</v>
      </c>
      <c r="B437" s="102" t="s">
        <v>154</v>
      </c>
      <c r="C437" s="100">
        <f t="shared" si="10"/>
        <v>4</v>
      </c>
      <c r="D437" s="103">
        <v>4</v>
      </c>
      <c r="E437" s="103">
        <v>14</v>
      </c>
      <c r="F437" s="101">
        <v>0</v>
      </c>
      <c r="G437" s="101">
        <v>0</v>
      </c>
      <c r="H437" s="101">
        <v>0</v>
      </c>
      <c r="I437" s="101">
        <v>0</v>
      </c>
      <c r="J437" s="101">
        <v>1</v>
      </c>
    </row>
    <row r="438" spans="1:10" ht="15" x14ac:dyDescent="0.2">
      <c r="A438" t="s">
        <v>121</v>
      </c>
      <c r="B438" s="99" t="s">
        <v>155</v>
      </c>
      <c r="C438" s="100">
        <f t="shared" si="10"/>
        <v>5</v>
      </c>
      <c r="D438" s="101">
        <v>0</v>
      </c>
      <c r="E438" s="101">
        <v>0</v>
      </c>
      <c r="F438" s="101">
        <v>0</v>
      </c>
      <c r="G438" s="101">
        <v>0</v>
      </c>
      <c r="H438" s="101">
        <v>6</v>
      </c>
      <c r="I438" s="101">
        <v>22</v>
      </c>
      <c r="J438" s="101">
        <v>0</v>
      </c>
    </row>
    <row r="439" spans="1:10" ht="15" x14ac:dyDescent="0.2">
      <c r="A439" t="s">
        <v>121</v>
      </c>
      <c r="B439" s="102" t="s">
        <v>156</v>
      </c>
      <c r="C439" s="100">
        <f t="shared" si="10"/>
        <v>6</v>
      </c>
      <c r="D439" s="103">
        <v>3</v>
      </c>
      <c r="E439" s="103">
        <v>11</v>
      </c>
      <c r="F439" s="101">
        <v>0</v>
      </c>
      <c r="G439" s="101">
        <v>0</v>
      </c>
      <c r="H439" s="101">
        <v>0</v>
      </c>
      <c r="I439" s="101">
        <v>0</v>
      </c>
      <c r="J439" s="101">
        <v>1</v>
      </c>
    </row>
    <row r="440" spans="1:10" ht="15" x14ac:dyDescent="0.2">
      <c r="A440" t="s">
        <v>121</v>
      </c>
      <c r="B440" s="99" t="s">
        <v>157</v>
      </c>
      <c r="C440" s="100">
        <f t="shared" si="10"/>
        <v>7</v>
      </c>
      <c r="D440" s="101">
        <v>4</v>
      </c>
      <c r="E440" s="101">
        <v>14</v>
      </c>
      <c r="F440" s="101">
        <v>1</v>
      </c>
      <c r="G440" s="101">
        <v>1</v>
      </c>
      <c r="H440" s="101">
        <v>0</v>
      </c>
      <c r="I440" s="101">
        <v>0</v>
      </c>
      <c r="J440" s="101">
        <v>1</v>
      </c>
    </row>
    <row r="441" spans="1:10" ht="15" x14ac:dyDescent="0.2">
      <c r="A441" t="s">
        <v>121</v>
      </c>
      <c r="B441" s="102" t="s">
        <v>158</v>
      </c>
      <c r="C441" s="100">
        <f t="shared" si="10"/>
        <v>8</v>
      </c>
      <c r="D441" s="103">
        <v>8</v>
      </c>
      <c r="E441" s="103">
        <v>29</v>
      </c>
      <c r="F441" s="101">
        <v>0</v>
      </c>
      <c r="G441" s="101">
        <v>0</v>
      </c>
      <c r="H441" s="101">
        <v>0</v>
      </c>
      <c r="I441" s="101">
        <v>0</v>
      </c>
      <c r="J441" s="101">
        <v>2</v>
      </c>
    </row>
    <row r="442" spans="1:10" ht="15" x14ac:dyDescent="0.2">
      <c r="A442" t="s">
        <v>121</v>
      </c>
      <c r="B442" s="99" t="s">
        <v>159</v>
      </c>
      <c r="C442" s="100">
        <f t="shared" si="10"/>
        <v>9</v>
      </c>
      <c r="D442" s="101">
        <v>2</v>
      </c>
      <c r="E442" s="101">
        <v>7</v>
      </c>
      <c r="F442" s="101">
        <v>0</v>
      </c>
      <c r="G442" s="101">
        <v>0</v>
      </c>
      <c r="H442" s="101">
        <v>0</v>
      </c>
      <c r="I442" s="101">
        <v>0</v>
      </c>
      <c r="J442" s="101">
        <v>1</v>
      </c>
    </row>
    <row r="443" spans="1:10" ht="15" x14ac:dyDescent="0.2">
      <c r="A443" t="s">
        <v>121</v>
      </c>
      <c r="B443" s="102" t="s">
        <v>160</v>
      </c>
      <c r="C443" s="100">
        <f t="shared" si="10"/>
        <v>10</v>
      </c>
      <c r="D443" s="103">
        <v>0</v>
      </c>
      <c r="E443" s="103">
        <v>0</v>
      </c>
      <c r="F443" s="101">
        <v>0</v>
      </c>
      <c r="G443" s="101">
        <v>0</v>
      </c>
      <c r="H443" s="101">
        <v>0</v>
      </c>
      <c r="I443" s="101">
        <v>0</v>
      </c>
      <c r="J443" s="101">
        <v>0</v>
      </c>
    </row>
    <row r="444" spans="1:10" ht="15" x14ac:dyDescent="0.2">
      <c r="A444" t="s">
        <v>121</v>
      </c>
      <c r="B444" s="99" t="s">
        <v>161</v>
      </c>
      <c r="C444" s="100">
        <f t="shared" si="10"/>
        <v>11</v>
      </c>
      <c r="D444" s="101">
        <v>0</v>
      </c>
      <c r="E444" s="101">
        <v>0</v>
      </c>
      <c r="F444" s="101">
        <v>0</v>
      </c>
      <c r="G444" s="101">
        <v>0</v>
      </c>
      <c r="H444" s="101">
        <v>0</v>
      </c>
      <c r="I444" s="101">
        <v>0</v>
      </c>
      <c r="J444" s="101">
        <v>0</v>
      </c>
    </row>
    <row r="445" spans="1:10" ht="15" x14ac:dyDescent="0.2">
      <c r="A445" t="s">
        <v>121</v>
      </c>
      <c r="B445" s="102" t="s">
        <v>162</v>
      </c>
      <c r="C445" s="100">
        <f t="shared" si="10"/>
        <v>12</v>
      </c>
      <c r="D445" s="103">
        <v>0</v>
      </c>
      <c r="E445" s="103">
        <v>0</v>
      </c>
      <c r="F445" s="101">
        <v>0</v>
      </c>
      <c r="G445" s="101">
        <v>0</v>
      </c>
      <c r="H445" s="101">
        <v>0</v>
      </c>
      <c r="I445" s="101">
        <v>0</v>
      </c>
      <c r="J445" s="101">
        <v>0</v>
      </c>
    </row>
    <row r="446" spans="1:10" ht="15" x14ac:dyDescent="0.2">
      <c r="A446" t="s">
        <v>314</v>
      </c>
      <c r="B446" s="99" t="s">
        <v>151</v>
      </c>
      <c r="C446" s="100">
        <f t="shared" si="10"/>
        <v>1</v>
      </c>
      <c r="D446" s="103">
        <v>0</v>
      </c>
      <c r="E446" s="103">
        <v>0</v>
      </c>
      <c r="F446" s="101">
        <v>0</v>
      </c>
      <c r="G446" s="101">
        <v>0</v>
      </c>
      <c r="H446" s="101">
        <v>0</v>
      </c>
      <c r="I446" s="101">
        <v>0</v>
      </c>
      <c r="J446" s="101">
        <v>0</v>
      </c>
    </row>
    <row r="447" spans="1:10" ht="15" x14ac:dyDescent="0.2">
      <c r="A447" t="s">
        <v>314</v>
      </c>
      <c r="B447" s="102" t="s">
        <v>152</v>
      </c>
      <c r="C447" s="100">
        <f t="shared" si="10"/>
        <v>2</v>
      </c>
      <c r="D447" s="103">
        <v>0</v>
      </c>
      <c r="E447" s="103">
        <v>0</v>
      </c>
      <c r="F447" s="101">
        <v>0</v>
      </c>
      <c r="G447" s="101">
        <v>0</v>
      </c>
      <c r="H447" s="101">
        <v>0</v>
      </c>
      <c r="I447" s="101">
        <v>0</v>
      </c>
      <c r="J447" s="101">
        <v>0</v>
      </c>
    </row>
    <row r="448" spans="1:10" ht="15" x14ac:dyDescent="0.2">
      <c r="A448" t="s">
        <v>314</v>
      </c>
      <c r="B448" s="99" t="s">
        <v>153</v>
      </c>
      <c r="C448" s="100">
        <f t="shared" si="10"/>
        <v>3</v>
      </c>
      <c r="D448" s="103">
        <v>0</v>
      </c>
      <c r="E448" s="103">
        <v>0</v>
      </c>
      <c r="F448" s="101">
        <v>0</v>
      </c>
      <c r="G448" s="101">
        <v>0</v>
      </c>
      <c r="H448" s="101">
        <v>0</v>
      </c>
      <c r="I448" s="101">
        <v>0</v>
      </c>
      <c r="J448" s="101">
        <v>0</v>
      </c>
    </row>
    <row r="449" spans="1:10" ht="15" x14ac:dyDescent="0.2">
      <c r="A449" t="s">
        <v>314</v>
      </c>
      <c r="B449" s="102" t="s">
        <v>154</v>
      </c>
      <c r="C449" s="100">
        <f t="shared" si="10"/>
        <v>4</v>
      </c>
      <c r="D449" s="103">
        <v>0</v>
      </c>
      <c r="E449" s="103">
        <v>0</v>
      </c>
      <c r="F449" s="101">
        <v>0</v>
      </c>
      <c r="G449" s="101">
        <v>0</v>
      </c>
      <c r="H449" s="101">
        <v>0</v>
      </c>
      <c r="I449" s="101">
        <v>0</v>
      </c>
      <c r="J449" s="101">
        <v>0</v>
      </c>
    </row>
    <row r="450" spans="1:10" ht="15" x14ac:dyDescent="0.2">
      <c r="A450" t="s">
        <v>314</v>
      </c>
      <c r="B450" s="99" t="s">
        <v>155</v>
      </c>
      <c r="C450" s="100">
        <f t="shared" si="10"/>
        <v>5</v>
      </c>
      <c r="D450" s="103">
        <v>0</v>
      </c>
      <c r="E450" s="103">
        <v>0</v>
      </c>
      <c r="F450" s="101">
        <v>0</v>
      </c>
      <c r="G450" s="101">
        <v>0</v>
      </c>
      <c r="H450" s="101">
        <v>0</v>
      </c>
      <c r="I450" s="101">
        <v>0</v>
      </c>
      <c r="J450" s="101">
        <v>0</v>
      </c>
    </row>
    <row r="451" spans="1:10" ht="15" x14ac:dyDescent="0.2">
      <c r="A451" t="s">
        <v>314</v>
      </c>
      <c r="B451" s="102" t="s">
        <v>156</v>
      </c>
      <c r="C451" s="100">
        <f t="shared" si="10"/>
        <v>6</v>
      </c>
      <c r="D451" s="103">
        <v>0</v>
      </c>
      <c r="E451" s="103">
        <v>0</v>
      </c>
      <c r="F451" s="101">
        <v>0</v>
      </c>
      <c r="G451" s="101">
        <v>0</v>
      </c>
      <c r="H451" s="101">
        <v>0</v>
      </c>
      <c r="I451" s="101">
        <v>0</v>
      </c>
      <c r="J451" s="101">
        <v>0</v>
      </c>
    </row>
    <row r="452" spans="1:10" ht="15" x14ac:dyDescent="0.2">
      <c r="A452" t="s">
        <v>314</v>
      </c>
      <c r="B452" s="99" t="s">
        <v>157</v>
      </c>
      <c r="C452" s="100">
        <f t="shared" si="10"/>
        <v>7</v>
      </c>
      <c r="D452" s="103">
        <v>0</v>
      </c>
      <c r="E452" s="103">
        <v>0</v>
      </c>
      <c r="F452" s="101">
        <v>0</v>
      </c>
      <c r="G452" s="101">
        <v>0</v>
      </c>
      <c r="H452" s="101">
        <v>0</v>
      </c>
      <c r="I452" s="101">
        <v>0</v>
      </c>
      <c r="J452" s="101">
        <v>0</v>
      </c>
    </row>
    <row r="453" spans="1:10" ht="15" x14ac:dyDescent="0.2">
      <c r="A453" t="s">
        <v>314</v>
      </c>
      <c r="B453" s="102" t="s">
        <v>158</v>
      </c>
      <c r="C453" s="100">
        <f t="shared" si="10"/>
        <v>8</v>
      </c>
      <c r="D453" s="103">
        <v>0</v>
      </c>
      <c r="E453" s="103">
        <v>0</v>
      </c>
      <c r="F453" s="101">
        <v>0</v>
      </c>
      <c r="G453" s="101">
        <v>0</v>
      </c>
      <c r="H453" s="101">
        <v>0</v>
      </c>
      <c r="I453" s="101">
        <v>0</v>
      </c>
      <c r="J453" s="101">
        <v>0</v>
      </c>
    </row>
    <row r="454" spans="1:10" ht="15" x14ac:dyDescent="0.2">
      <c r="A454" t="s">
        <v>314</v>
      </c>
      <c r="B454" s="99" t="s">
        <v>159</v>
      </c>
      <c r="C454" s="100">
        <f t="shared" si="10"/>
        <v>9</v>
      </c>
      <c r="D454" s="103">
        <v>0</v>
      </c>
      <c r="E454" s="103">
        <v>0</v>
      </c>
      <c r="F454" s="101">
        <v>0</v>
      </c>
      <c r="G454" s="101">
        <v>0</v>
      </c>
      <c r="H454" s="101">
        <v>0</v>
      </c>
      <c r="I454" s="101">
        <v>0</v>
      </c>
      <c r="J454" s="101">
        <v>0</v>
      </c>
    </row>
    <row r="455" spans="1:10" ht="15" x14ac:dyDescent="0.2">
      <c r="A455" t="s">
        <v>314</v>
      </c>
      <c r="B455" s="102" t="s">
        <v>160</v>
      </c>
      <c r="C455" s="100">
        <f t="shared" si="10"/>
        <v>10</v>
      </c>
      <c r="D455" s="103">
        <v>0</v>
      </c>
      <c r="E455" s="103">
        <v>0</v>
      </c>
      <c r="F455" s="101">
        <v>0</v>
      </c>
      <c r="G455" s="101">
        <v>0</v>
      </c>
      <c r="H455" s="101">
        <v>0</v>
      </c>
      <c r="I455" s="101">
        <v>0</v>
      </c>
      <c r="J455" s="101">
        <v>0</v>
      </c>
    </row>
    <row r="456" spans="1:10" ht="15" x14ac:dyDescent="0.2">
      <c r="A456" t="s">
        <v>314</v>
      </c>
      <c r="B456" s="99" t="s">
        <v>161</v>
      </c>
      <c r="C456" s="100">
        <f t="shared" si="10"/>
        <v>11</v>
      </c>
      <c r="D456" s="103"/>
      <c r="E456" s="103"/>
      <c r="F456" s="101">
        <v>0</v>
      </c>
      <c r="G456" s="101">
        <v>0</v>
      </c>
      <c r="H456" s="101">
        <v>0</v>
      </c>
      <c r="I456" s="101">
        <v>0</v>
      </c>
      <c r="J456" s="101">
        <v>0</v>
      </c>
    </row>
    <row r="457" spans="1:10" ht="15" x14ac:dyDescent="0.2">
      <c r="A457" t="s">
        <v>314</v>
      </c>
      <c r="B457" s="102" t="s">
        <v>162</v>
      </c>
      <c r="C457" s="100">
        <f t="shared" si="10"/>
        <v>12</v>
      </c>
      <c r="D457" s="103"/>
      <c r="E457" s="103"/>
      <c r="F457" s="101">
        <v>0</v>
      </c>
      <c r="G457" s="101">
        <v>0</v>
      </c>
      <c r="H457" s="101">
        <v>0</v>
      </c>
      <c r="I457" s="101">
        <v>0</v>
      </c>
      <c r="J457" s="101">
        <v>0</v>
      </c>
    </row>
    <row r="458" spans="1:10" ht="15" x14ac:dyDescent="0.2">
      <c r="A458" t="s">
        <v>315</v>
      </c>
      <c r="B458" s="99" t="s">
        <v>151</v>
      </c>
      <c r="C458" s="100">
        <f t="shared" ref="C458:C469" si="11">_xlfn.IFS(B458="Janeiro",1,B458="Fevereiro",2,B458="Março",3,B458="Abril",4,B458="Maio",5,B458="Junho",6,B458="Julho",7,B458="Agosto",8,B458="Setembro",9,B458="Outubro",10,B458="Novembro",11,B458="Dezembro",12,TRUE,0)</f>
        <v>1</v>
      </c>
      <c r="D458" s="103">
        <v>0</v>
      </c>
      <c r="E458" s="103">
        <v>0</v>
      </c>
      <c r="F458" s="101">
        <v>0</v>
      </c>
      <c r="G458" s="101">
        <v>0</v>
      </c>
      <c r="H458" s="101">
        <v>0</v>
      </c>
      <c r="I458" s="101">
        <v>0</v>
      </c>
      <c r="J458" s="101">
        <v>0</v>
      </c>
    </row>
    <row r="459" spans="1:10" ht="15" x14ac:dyDescent="0.2">
      <c r="A459" t="s">
        <v>315</v>
      </c>
      <c r="B459" s="102" t="s">
        <v>152</v>
      </c>
      <c r="C459" s="100">
        <f t="shared" si="11"/>
        <v>2</v>
      </c>
      <c r="D459" s="103">
        <v>0</v>
      </c>
      <c r="E459" s="103">
        <v>0</v>
      </c>
      <c r="F459" s="101">
        <v>0</v>
      </c>
      <c r="G459" s="101">
        <v>0</v>
      </c>
      <c r="H459" s="101">
        <v>0</v>
      </c>
      <c r="I459" s="101">
        <v>0</v>
      </c>
      <c r="J459" s="101">
        <v>0</v>
      </c>
    </row>
    <row r="460" spans="1:10" ht="15" x14ac:dyDescent="0.2">
      <c r="A460" t="s">
        <v>315</v>
      </c>
      <c r="B460" s="99" t="s">
        <v>153</v>
      </c>
      <c r="C460" s="100">
        <f t="shared" si="11"/>
        <v>3</v>
      </c>
      <c r="D460" s="103">
        <v>0</v>
      </c>
      <c r="E460" s="103">
        <v>0</v>
      </c>
      <c r="F460" s="101">
        <v>0</v>
      </c>
      <c r="G460" s="101">
        <v>0</v>
      </c>
      <c r="H460" s="101">
        <v>0</v>
      </c>
      <c r="I460" s="101">
        <v>0</v>
      </c>
      <c r="J460" s="101">
        <v>0</v>
      </c>
    </row>
    <row r="461" spans="1:10" ht="15" x14ac:dyDescent="0.2">
      <c r="A461" t="s">
        <v>315</v>
      </c>
      <c r="B461" s="102" t="s">
        <v>154</v>
      </c>
      <c r="C461" s="100">
        <f t="shared" si="11"/>
        <v>4</v>
      </c>
      <c r="D461" s="103">
        <v>0</v>
      </c>
      <c r="E461" s="103">
        <v>0</v>
      </c>
      <c r="F461" s="101">
        <v>0</v>
      </c>
      <c r="G461" s="101">
        <v>0</v>
      </c>
      <c r="H461" s="101">
        <v>0</v>
      </c>
      <c r="I461" s="101">
        <v>0</v>
      </c>
      <c r="J461" s="101">
        <v>0</v>
      </c>
    </row>
    <row r="462" spans="1:10" ht="15" x14ac:dyDescent="0.2">
      <c r="A462" t="s">
        <v>315</v>
      </c>
      <c r="B462" s="99" t="s">
        <v>155</v>
      </c>
      <c r="C462" s="100">
        <f t="shared" si="11"/>
        <v>5</v>
      </c>
      <c r="D462" s="103">
        <v>0</v>
      </c>
      <c r="E462" s="103">
        <v>0</v>
      </c>
      <c r="F462" s="101">
        <v>0</v>
      </c>
      <c r="G462" s="101">
        <v>0</v>
      </c>
      <c r="H462" s="101">
        <v>0</v>
      </c>
      <c r="I462" s="101">
        <v>0</v>
      </c>
      <c r="J462" s="101">
        <v>0</v>
      </c>
    </row>
    <row r="463" spans="1:10" ht="15" x14ac:dyDescent="0.2">
      <c r="A463" t="s">
        <v>315</v>
      </c>
      <c r="B463" s="102" t="s">
        <v>156</v>
      </c>
      <c r="C463" s="100">
        <f t="shared" si="11"/>
        <v>6</v>
      </c>
      <c r="D463" s="103">
        <v>0</v>
      </c>
      <c r="E463" s="103">
        <v>0</v>
      </c>
      <c r="F463" s="101">
        <v>0</v>
      </c>
      <c r="G463" s="101">
        <v>0</v>
      </c>
      <c r="H463" s="101">
        <v>0</v>
      </c>
      <c r="I463" s="101">
        <v>0</v>
      </c>
      <c r="J463" s="101">
        <v>0</v>
      </c>
    </row>
    <row r="464" spans="1:10" ht="15" x14ac:dyDescent="0.2">
      <c r="A464" t="s">
        <v>315</v>
      </c>
      <c r="B464" s="99" t="s">
        <v>157</v>
      </c>
      <c r="C464" s="100">
        <f t="shared" si="11"/>
        <v>7</v>
      </c>
      <c r="D464" s="103">
        <v>0</v>
      </c>
      <c r="E464" s="103">
        <v>0</v>
      </c>
      <c r="F464" s="101">
        <v>0</v>
      </c>
      <c r="G464" s="101">
        <v>0</v>
      </c>
      <c r="H464" s="101">
        <v>0</v>
      </c>
      <c r="I464" s="101">
        <v>0</v>
      </c>
      <c r="J464" s="101">
        <v>0</v>
      </c>
    </row>
    <row r="465" spans="1:10" ht="15" x14ac:dyDescent="0.2">
      <c r="A465" t="s">
        <v>315</v>
      </c>
      <c r="B465" s="102" t="s">
        <v>158</v>
      </c>
      <c r="C465" s="100">
        <f t="shared" si="11"/>
        <v>8</v>
      </c>
      <c r="D465" s="103">
        <v>0</v>
      </c>
      <c r="E465" s="103">
        <v>0</v>
      </c>
      <c r="F465" s="101">
        <v>0</v>
      </c>
      <c r="G465" s="101">
        <v>0</v>
      </c>
      <c r="H465" s="101">
        <v>0</v>
      </c>
      <c r="I465" s="101">
        <v>0</v>
      </c>
      <c r="J465" s="101">
        <v>0</v>
      </c>
    </row>
    <row r="466" spans="1:10" ht="15" x14ac:dyDescent="0.2">
      <c r="A466" t="s">
        <v>315</v>
      </c>
      <c r="B466" s="99" t="s">
        <v>159</v>
      </c>
      <c r="C466" s="100">
        <f t="shared" si="11"/>
        <v>9</v>
      </c>
      <c r="D466" s="103">
        <v>2</v>
      </c>
      <c r="E466" s="103">
        <v>18</v>
      </c>
      <c r="F466" s="101">
        <v>0</v>
      </c>
      <c r="G466" s="101">
        <v>0</v>
      </c>
      <c r="H466" s="101">
        <v>0</v>
      </c>
      <c r="I466" s="101">
        <v>0</v>
      </c>
      <c r="J466" s="101">
        <v>1</v>
      </c>
    </row>
    <row r="467" spans="1:10" ht="15" x14ac:dyDescent="0.2">
      <c r="A467" t="s">
        <v>315</v>
      </c>
      <c r="B467" s="102" t="s">
        <v>160</v>
      </c>
      <c r="C467" s="100">
        <f t="shared" si="11"/>
        <v>10</v>
      </c>
      <c r="D467" s="103">
        <v>0</v>
      </c>
      <c r="E467" s="103">
        <v>0</v>
      </c>
      <c r="F467" s="101">
        <v>0</v>
      </c>
      <c r="G467" s="101">
        <v>0</v>
      </c>
      <c r="H467" s="101">
        <v>0</v>
      </c>
      <c r="I467" s="101">
        <v>0</v>
      </c>
      <c r="J467" s="101">
        <v>0</v>
      </c>
    </row>
    <row r="468" spans="1:10" ht="15" x14ac:dyDescent="0.2">
      <c r="A468" t="s">
        <v>315</v>
      </c>
      <c r="B468" s="99" t="s">
        <v>161</v>
      </c>
      <c r="C468" s="100">
        <f t="shared" si="11"/>
        <v>11</v>
      </c>
      <c r="D468" s="103"/>
      <c r="E468" s="103"/>
      <c r="F468" s="101">
        <v>0</v>
      </c>
      <c r="G468" s="101">
        <v>0</v>
      </c>
      <c r="H468" s="101">
        <v>0</v>
      </c>
      <c r="I468" s="101">
        <v>0</v>
      </c>
      <c r="J468" s="101"/>
    </row>
    <row r="469" spans="1:10" ht="15" x14ac:dyDescent="0.2">
      <c r="A469" t="s">
        <v>315</v>
      </c>
      <c r="B469" s="102" t="s">
        <v>162</v>
      </c>
      <c r="C469" s="100">
        <f t="shared" si="11"/>
        <v>12</v>
      </c>
      <c r="D469" s="103"/>
      <c r="E469" s="103"/>
      <c r="F469" s="101">
        <v>0</v>
      </c>
      <c r="G469" s="101">
        <v>0</v>
      </c>
      <c r="H469" s="101">
        <v>0</v>
      </c>
      <c r="I469" s="101">
        <v>0</v>
      </c>
      <c r="J469" s="101"/>
    </row>
    <row r="470" spans="1:10" ht="15" x14ac:dyDescent="0.2">
      <c r="A470" t="s">
        <v>116</v>
      </c>
      <c r="B470" s="99" t="s">
        <v>151</v>
      </c>
      <c r="C470" s="100">
        <f t="shared" si="10"/>
        <v>1</v>
      </c>
      <c r="D470" s="101">
        <v>1</v>
      </c>
      <c r="E470" s="101">
        <v>3</v>
      </c>
      <c r="F470" s="101">
        <v>0</v>
      </c>
      <c r="G470" s="101">
        <v>0</v>
      </c>
      <c r="H470" s="101">
        <v>0</v>
      </c>
      <c r="I470" s="101">
        <v>0</v>
      </c>
      <c r="J470" s="101">
        <v>1</v>
      </c>
    </row>
    <row r="471" spans="1:10" ht="15" x14ac:dyDescent="0.2">
      <c r="A471" t="s">
        <v>116</v>
      </c>
      <c r="B471" s="102" t="s">
        <v>152</v>
      </c>
      <c r="C471" s="100">
        <f t="shared" si="10"/>
        <v>2</v>
      </c>
      <c r="D471" s="103">
        <v>0</v>
      </c>
      <c r="E471" s="103">
        <v>0</v>
      </c>
      <c r="F471" s="101">
        <v>0</v>
      </c>
      <c r="G471" s="101">
        <v>0</v>
      </c>
      <c r="H471" s="101">
        <v>0</v>
      </c>
      <c r="I471" s="101">
        <v>0</v>
      </c>
      <c r="J471" s="101">
        <v>0</v>
      </c>
    </row>
    <row r="472" spans="1:10" ht="15" x14ac:dyDescent="0.2">
      <c r="A472" t="s">
        <v>116</v>
      </c>
      <c r="B472" s="99" t="s">
        <v>153</v>
      </c>
      <c r="C472" s="100">
        <f t="shared" si="10"/>
        <v>3</v>
      </c>
      <c r="D472" s="101">
        <v>0</v>
      </c>
      <c r="E472" s="101">
        <v>0</v>
      </c>
      <c r="F472" s="101">
        <v>0</v>
      </c>
      <c r="G472" s="101">
        <v>0</v>
      </c>
      <c r="H472" s="101">
        <v>0</v>
      </c>
      <c r="I472" s="101">
        <v>0</v>
      </c>
      <c r="J472" s="101">
        <v>0</v>
      </c>
    </row>
    <row r="473" spans="1:10" ht="15" x14ac:dyDescent="0.2">
      <c r="A473" t="s">
        <v>116</v>
      </c>
      <c r="B473" s="102" t="s">
        <v>154</v>
      </c>
      <c r="C473" s="100">
        <f t="shared" si="10"/>
        <v>4</v>
      </c>
      <c r="D473" s="103">
        <v>0</v>
      </c>
      <c r="E473" s="103">
        <v>0</v>
      </c>
      <c r="F473" s="101">
        <v>0</v>
      </c>
      <c r="G473" s="101">
        <v>0</v>
      </c>
      <c r="H473" s="101">
        <v>0</v>
      </c>
      <c r="I473" s="101">
        <v>0</v>
      </c>
      <c r="J473" s="101">
        <v>0</v>
      </c>
    </row>
    <row r="474" spans="1:10" ht="15" x14ac:dyDescent="0.2">
      <c r="A474" t="s">
        <v>116</v>
      </c>
      <c r="B474" s="99" t="s">
        <v>155</v>
      </c>
      <c r="C474" s="100">
        <f t="shared" si="10"/>
        <v>5</v>
      </c>
      <c r="D474" s="101">
        <v>1</v>
      </c>
      <c r="E474" s="101">
        <v>3</v>
      </c>
      <c r="F474" s="101">
        <v>0</v>
      </c>
      <c r="G474" s="101">
        <v>0</v>
      </c>
      <c r="H474" s="101">
        <v>0</v>
      </c>
      <c r="I474" s="101">
        <v>0</v>
      </c>
      <c r="J474" s="101">
        <v>1</v>
      </c>
    </row>
    <row r="475" spans="1:10" ht="15" x14ac:dyDescent="0.2">
      <c r="A475" t="s">
        <v>116</v>
      </c>
      <c r="B475" s="102" t="s">
        <v>156</v>
      </c>
      <c r="C475" s="100">
        <f t="shared" si="10"/>
        <v>6</v>
      </c>
      <c r="D475" s="103">
        <v>1</v>
      </c>
      <c r="E475" s="103">
        <v>3</v>
      </c>
      <c r="F475" s="101">
        <v>0</v>
      </c>
      <c r="G475" s="101">
        <v>0</v>
      </c>
      <c r="H475" s="101">
        <v>0</v>
      </c>
      <c r="I475" s="101">
        <v>0</v>
      </c>
      <c r="J475" s="101">
        <v>1</v>
      </c>
    </row>
    <row r="476" spans="1:10" ht="15" x14ac:dyDescent="0.2">
      <c r="A476" t="s">
        <v>116</v>
      </c>
      <c r="B476" s="99" t="s">
        <v>157</v>
      </c>
      <c r="C476" s="100">
        <f t="shared" si="10"/>
        <v>7</v>
      </c>
      <c r="D476" s="101">
        <v>0</v>
      </c>
      <c r="E476" s="101">
        <v>0</v>
      </c>
      <c r="F476" s="101">
        <v>0</v>
      </c>
      <c r="G476" s="101">
        <v>0</v>
      </c>
      <c r="H476" s="101">
        <v>0</v>
      </c>
      <c r="I476" s="101">
        <v>0</v>
      </c>
      <c r="J476" s="101">
        <v>0</v>
      </c>
    </row>
    <row r="477" spans="1:10" ht="15" x14ac:dyDescent="0.2">
      <c r="A477" t="s">
        <v>116</v>
      </c>
      <c r="B477" s="102" t="s">
        <v>158</v>
      </c>
      <c r="C477" s="100">
        <f t="shared" si="10"/>
        <v>8</v>
      </c>
      <c r="D477" s="103">
        <v>0</v>
      </c>
      <c r="E477" s="103">
        <v>0</v>
      </c>
      <c r="F477" s="101">
        <v>0</v>
      </c>
      <c r="G477" s="101">
        <v>0</v>
      </c>
      <c r="H477" s="101">
        <v>0</v>
      </c>
      <c r="I477" s="101">
        <v>0</v>
      </c>
      <c r="J477" s="101">
        <v>0</v>
      </c>
    </row>
    <row r="478" spans="1:10" ht="15" x14ac:dyDescent="0.2">
      <c r="A478" t="s">
        <v>116</v>
      </c>
      <c r="B478" s="99" t="s">
        <v>159</v>
      </c>
      <c r="C478" s="100">
        <f t="shared" si="10"/>
        <v>9</v>
      </c>
      <c r="D478" s="101">
        <v>0</v>
      </c>
      <c r="E478" s="101">
        <v>0</v>
      </c>
      <c r="F478" s="101">
        <v>0</v>
      </c>
      <c r="G478" s="101">
        <v>0</v>
      </c>
      <c r="H478" s="101">
        <v>0</v>
      </c>
      <c r="I478" s="101">
        <v>0</v>
      </c>
      <c r="J478" s="101">
        <v>0</v>
      </c>
    </row>
    <row r="479" spans="1:10" ht="15" x14ac:dyDescent="0.2">
      <c r="A479" t="s">
        <v>116</v>
      </c>
      <c r="B479" s="102" t="s">
        <v>160</v>
      </c>
      <c r="C479" s="100">
        <f t="shared" si="10"/>
        <v>10</v>
      </c>
      <c r="D479" s="103">
        <v>0</v>
      </c>
      <c r="E479" s="103">
        <v>0</v>
      </c>
      <c r="F479" s="101">
        <v>0</v>
      </c>
      <c r="G479" s="101">
        <v>0</v>
      </c>
      <c r="H479" s="101">
        <v>0</v>
      </c>
      <c r="I479" s="101">
        <v>0</v>
      </c>
      <c r="J479" s="101">
        <v>0</v>
      </c>
    </row>
    <row r="480" spans="1:10" ht="15" x14ac:dyDescent="0.2">
      <c r="A480" t="s">
        <v>116</v>
      </c>
      <c r="B480" s="99" t="s">
        <v>161</v>
      </c>
      <c r="C480" s="100">
        <f t="shared" si="10"/>
        <v>11</v>
      </c>
      <c r="D480" s="101">
        <v>0</v>
      </c>
      <c r="E480" s="101">
        <v>0</v>
      </c>
      <c r="F480" s="101">
        <v>0</v>
      </c>
      <c r="G480" s="101">
        <v>0</v>
      </c>
      <c r="H480" s="101">
        <v>0</v>
      </c>
      <c r="I480" s="101">
        <v>0</v>
      </c>
      <c r="J480" s="101">
        <v>0</v>
      </c>
    </row>
    <row r="481" spans="1:10" ht="15" x14ac:dyDescent="0.2">
      <c r="A481" t="s">
        <v>116</v>
      </c>
      <c r="B481" s="102" t="s">
        <v>162</v>
      </c>
      <c r="C481" s="100">
        <f t="shared" si="10"/>
        <v>12</v>
      </c>
      <c r="D481" s="103">
        <v>0</v>
      </c>
      <c r="E481" s="103">
        <v>0</v>
      </c>
      <c r="F481" s="101">
        <v>0</v>
      </c>
      <c r="G481" s="101">
        <v>0</v>
      </c>
      <c r="H481" s="101">
        <v>0</v>
      </c>
      <c r="I481" s="101">
        <v>0</v>
      </c>
      <c r="J481" s="101">
        <v>0</v>
      </c>
    </row>
    <row r="482" spans="1:10" ht="15" x14ac:dyDescent="0.2">
      <c r="A482" t="s">
        <v>86</v>
      </c>
      <c r="B482" s="99" t="s">
        <v>151</v>
      </c>
      <c r="C482" s="100">
        <f t="shared" si="10"/>
        <v>1</v>
      </c>
      <c r="D482" s="101">
        <v>0</v>
      </c>
      <c r="E482" s="101">
        <v>0</v>
      </c>
      <c r="F482" s="101">
        <v>0</v>
      </c>
      <c r="G482" s="101">
        <v>0</v>
      </c>
      <c r="H482" s="101">
        <v>0</v>
      </c>
      <c r="I482" s="101">
        <v>0</v>
      </c>
      <c r="J482" s="101">
        <v>0</v>
      </c>
    </row>
    <row r="483" spans="1:10" ht="15" x14ac:dyDescent="0.2">
      <c r="A483" t="s">
        <v>86</v>
      </c>
      <c r="B483" s="102" t="s">
        <v>152</v>
      </c>
      <c r="C483" s="100">
        <f t="shared" si="10"/>
        <v>2</v>
      </c>
      <c r="D483" s="103">
        <v>0</v>
      </c>
      <c r="E483" s="103">
        <v>0</v>
      </c>
      <c r="F483" s="101">
        <v>0</v>
      </c>
      <c r="G483" s="101">
        <v>0</v>
      </c>
      <c r="H483" s="101">
        <v>0</v>
      </c>
      <c r="I483" s="101">
        <v>0</v>
      </c>
      <c r="J483" s="101">
        <v>0</v>
      </c>
    </row>
    <row r="484" spans="1:10" ht="15" x14ac:dyDescent="0.2">
      <c r="A484" t="s">
        <v>86</v>
      </c>
      <c r="B484" s="99" t="s">
        <v>153</v>
      </c>
      <c r="C484" s="100">
        <f t="shared" si="10"/>
        <v>3</v>
      </c>
      <c r="D484" s="101">
        <v>0</v>
      </c>
      <c r="E484" s="101">
        <v>0</v>
      </c>
      <c r="F484" s="101">
        <v>0</v>
      </c>
      <c r="G484" s="101">
        <v>0</v>
      </c>
      <c r="H484" s="101">
        <v>0</v>
      </c>
      <c r="I484" s="101">
        <v>0</v>
      </c>
      <c r="J484" s="101">
        <v>0</v>
      </c>
    </row>
    <row r="485" spans="1:10" ht="15" x14ac:dyDescent="0.2">
      <c r="A485" t="s">
        <v>86</v>
      </c>
      <c r="B485" s="102" t="s">
        <v>154</v>
      </c>
      <c r="C485" s="100">
        <f t="shared" si="10"/>
        <v>4</v>
      </c>
      <c r="D485" s="103">
        <v>0</v>
      </c>
      <c r="E485" s="103">
        <v>0</v>
      </c>
      <c r="F485" s="101">
        <v>0</v>
      </c>
      <c r="G485" s="101">
        <v>0</v>
      </c>
      <c r="H485" s="101">
        <v>0</v>
      </c>
      <c r="I485" s="101">
        <v>0</v>
      </c>
      <c r="J485" s="101">
        <v>0</v>
      </c>
    </row>
    <row r="486" spans="1:10" ht="15" x14ac:dyDescent="0.2">
      <c r="A486" t="s">
        <v>86</v>
      </c>
      <c r="B486" s="99" t="s">
        <v>155</v>
      </c>
      <c r="C486" s="100">
        <f t="shared" si="10"/>
        <v>5</v>
      </c>
      <c r="D486" s="101">
        <v>0</v>
      </c>
      <c r="E486" s="101">
        <v>0</v>
      </c>
      <c r="F486" s="101">
        <v>0</v>
      </c>
      <c r="G486" s="101">
        <v>0</v>
      </c>
      <c r="H486" s="101">
        <v>0</v>
      </c>
      <c r="I486" s="101">
        <v>0</v>
      </c>
      <c r="J486" s="101">
        <v>0</v>
      </c>
    </row>
    <row r="487" spans="1:10" ht="15" x14ac:dyDescent="0.2">
      <c r="A487" t="s">
        <v>86</v>
      </c>
      <c r="B487" s="102" t="s">
        <v>156</v>
      </c>
      <c r="C487" s="100">
        <f t="shared" si="10"/>
        <v>6</v>
      </c>
      <c r="D487" s="103">
        <v>0</v>
      </c>
      <c r="E487" s="103">
        <v>0</v>
      </c>
      <c r="F487" s="101">
        <v>0</v>
      </c>
      <c r="G487" s="101">
        <v>0</v>
      </c>
      <c r="H487" s="101">
        <v>0</v>
      </c>
      <c r="I487" s="101">
        <v>0</v>
      </c>
      <c r="J487" s="101">
        <v>0</v>
      </c>
    </row>
    <row r="488" spans="1:10" ht="15" x14ac:dyDescent="0.2">
      <c r="A488" t="s">
        <v>86</v>
      </c>
      <c r="B488" s="99" t="s">
        <v>157</v>
      </c>
      <c r="C488" s="100">
        <f t="shared" si="10"/>
        <v>7</v>
      </c>
      <c r="D488" s="101">
        <v>0</v>
      </c>
      <c r="E488" s="101">
        <v>0</v>
      </c>
      <c r="F488" s="101">
        <v>1</v>
      </c>
      <c r="G488" s="101">
        <v>0</v>
      </c>
      <c r="H488" s="101">
        <v>0</v>
      </c>
      <c r="I488" s="101">
        <v>0</v>
      </c>
      <c r="J488" s="101">
        <v>0</v>
      </c>
    </row>
    <row r="489" spans="1:10" ht="15" x14ac:dyDescent="0.2">
      <c r="A489" t="s">
        <v>86</v>
      </c>
      <c r="B489" s="102" t="s">
        <v>158</v>
      </c>
      <c r="C489" s="100">
        <f t="shared" si="10"/>
        <v>8</v>
      </c>
      <c r="D489" s="103">
        <v>3</v>
      </c>
      <c r="E489" s="103">
        <v>23</v>
      </c>
      <c r="F489" s="101">
        <v>0</v>
      </c>
      <c r="G489" s="101">
        <v>0</v>
      </c>
      <c r="H489" s="101">
        <v>0</v>
      </c>
      <c r="I489" s="101">
        <v>0</v>
      </c>
      <c r="J489" s="101">
        <v>2</v>
      </c>
    </row>
    <row r="490" spans="1:10" ht="15" x14ac:dyDescent="0.2">
      <c r="A490" t="s">
        <v>86</v>
      </c>
      <c r="B490" s="99" t="s">
        <v>159</v>
      </c>
      <c r="C490" s="100">
        <f t="shared" si="10"/>
        <v>9</v>
      </c>
      <c r="D490" s="101">
        <v>9</v>
      </c>
      <c r="E490" s="101">
        <v>69</v>
      </c>
      <c r="F490" s="101">
        <v>0</v>
      </c>
      <c r="G490" s="101">
        <v>0</v>
      </c>
      <c r="H490" s="101">
        <v>0</v>
      </c>
      <c r="I490" s="101">
        <v>0</v>
      </c>
      <c r="J490" s="101">
        <v>3</v>
      </c>
    </row>
    <row r="491" spans="1:10" ht="15" x14ac:dyDescent="0.2">
      <c r="A491" t="s">
        <v>86</v>
      </c>
      <c r="B491" s="102" t="s">
        <v>160</v>
      </c>
      <c r="C491" s="100">
        <f t="shared" si="10"/>
        <v>10</v>
      </c>
      <c r="D491" s="103">
        <v>0</v>
      </c>
      <c r="E491" s="103">
        <v>0</v>
      </c>
      <c r="F491" s="101">
        <v>0</v>
      </c>
      <c r="G491" s="101">
        <v>0</v>
      </c>
      <c r="H491" s="101">
        <v>0</v>
      </c>
      <c r="I491" s="101">
        <v>0</v>
      </c>
      <c r="J491" s="101">
        <v>0</v>
      </c>
    </row>
    <row r="492" spans="1:10" ht="15" x14ac:dyDescent="0.2">
      <c r="A492" t="s">
        <v>86</v>
      </c>
      <c r="B492" s="99" t="s">
        <v>161</v>
      </c>
      <c r="C492" s="100">
        <f t="shared" si="10"/>
        <v>11</v>
      </c>
      <c r="D492" s="101">
        <v>0</v>
      </c>
      <c r="E492" s="101">
        <v>0</v>
      </c>
      <c r="F492" s="101">
        <v>0</v>
      </c>
      <c r="G492" s="101">
        <v>0</v>
      </c>
      <c r="H492" s="101">
        <v>0</v>
      </c>
      <c r="I492" s="101">
        <v>0</v>
      </c>
      <c r="J492" s="101">
        <v>0</v>
      </c>
    </row>
    <row r="493" spans="1:10" ht="15" x14ac:dyDescent="0.2">
      <c r="A493" t="s">
        <v>86</v>
      </c>
      <c r="B493" s="102" t="s">
        <v>162</v>
      </c>
      <c r="C493" s="100">
        <f t="shared" si="10"/>
        <v>12</v>
      </c>
      <c r="D493" s="103">
        <v>0</v>
      </c>
      <c r="E493" s="103">
        <v>0</v>
      </c>
      <c r="F493" s="101">
        <v>0</v>
      </c>
      <c r="G493" s="101">
        <v>0</v>
      </c>
      <c r="H493" s="101">
        <v>0</v>
      </c>
      <c r="I493" s="101">
        <v>0</v>
      </c>
      <c r="J493" s="101">
        <v>0</v>
      </c>
    </row>
    <row r="494" spans="1:10" ht="15" x14ac:dyDescent="0.2">
      <c r="A494" t="s">
        <v>102</v>
      </c>
      <c r="B494" s="99" t="s">
        <v>151</v>
      </c>
      <c r="C494" s="100">
        <f t="shared" si="10"/>
        <v>1</v>
      </c>
      <c r="D494" s="101">
        <v>0</v>
      </c>
      <c r="E494" s="101">
        <v>0</v>
      </c>
      <c r="F494" s="101">
        <v>0</v>
      </c>
      <c r="G494" s="101">
        <v>0</v>
      </c>
      <c r="H494" s="101">
        <v>0</v>
      </c>
      <c r="I494" s="101">
        <v>0</v>
      </c>
      <c r="J494" s="101">
        <v>0</v>
      </c>
    </row>
    <row r="495" spans="1:10" ht="15" x14ac:dyDescent="0.2">
      <c r="A495" t="s">
        <v>102</v>
      </c>
      <c r="B495" s="102" t="s">
        <v>152</v>
      </c>
      <c r="C495" s="100">
        <f t="shared" si="10"/>
        <v>2</v>
      </c>
      <c r="D495" s="103">
        <v>0</v>
      </c>
      <c r="E495" s="103">
        <v>0</v>
      </c>
      <c r="F495" s="101">
        <v>0</v>
      </c>
      <c r="G495" s="101">
        <v>0</v>
      </c>
      <c r="H495" s="101">
        <v>0</v>
      </c>
      <c r="I495" s="101">
        <v>0</v>
      </c>
      <c r="J495" s="101">
        <v>0</v>
      </c>
    </row>
    <row r="496" spans="1:10" ht="15" x14ac:dyDescent="0.2">
      <c r="A496" t="s">
        <v>102</v>
      </c>
      <c r="B496" s="99" t="s">
        <v>153</v>
      </c>
      <c r="C496" s="100">
        <f t="shared" si="10"/>
        <v>3</v>
      </c>
      <c r="D496" s="101">
        <v>0</v>
      </c>
      <c r="E496" s="101">
        <v>0</v>
      </c>
      <c r="F496" s="101">
        <v>0</v>
      </c>
      <c r="G496" s="101">
        <v>0</v>
      </c>
      <c r="H496" s="101">
        <v>0</v>
      </c>
      <c r="I496" s="101">
        <v>0</v>
      </c>
      <c r="J496" s="101">
        <v>0</v>
      </c>
    </row>
    <row r="497" spans="1:10" ht="15" x14ac:dyDescent="0.2">
      <c r="A497" t="s">
        <v>102</v>
      </c>
      <c r="B497" s="102" t="s">
        <v>154</v>
      </c>
      <c r="C497" s="100">
        <f t="shared" si="10"/>
        <v>4</v>
      </c>
      <c r="D497" s="103">
        <v>0</v>
      </c>
      <c r="E497" s="103">
        <v>0</v>
      </c>
      <c r="F497" s="101">
        <v>0</v>
      </c>
      <c r="G497" s="101">
        <v>0</v>
      </c>
      <c r="H497" s="101">
        <v>0</v>
      </c>
      <c r="I497" s="101">
        <v>0</v>
      </c>
      <c r="J497" s="101">
        <v>0</v>
      </c>
    </row>
    <row r="498" spans="1:10" ht="15" x14ac:dyDescent="0.2">
      <c r="A498" t="s">
        <v>102</v>
      </c>
      <c r="B498" s="99" t="s">
        <v>155</v>
      </c>
      <c r="C498" s="100">
        <f t="shared" si="10"/>
        <v>5</v>
      </c>
      <c r="D498" s="101">
        <v>0</v>
      </c>
      <c r="E498" s="101">
        <v>0</v>
      </c>
      <c r="F498" s="101">
        <v>0</v>
      </c>
      <c r="G498" s="101">
        <v>0</v>
      </c>
      <c r="H498" s="101">
        <v>14</v>
      </c>
      <c r="I498" s="101">
        <v>82</v>
      </c>
      <c r="J498" s="101">
        <v>0</v>
      </c>
    </row>
    <row r="499" spans="1:10" ht="15" x14ac:dyDescent="0.2">
      <c r="A499" t="s">
        <v>102</v>
      </c>
      <c r="B499" s="102" t="s">
        <v>156</v>
      </c>
      <c r="C499" s="100">
        <f t="shared" si="10"/>
        <v>6</v>
      </c>
      <c r="D499" s="103">
        <v>0</v>
      </c>
      <c r="E499" s="103">
        <v>0</v>
      </c>
      <c r="F499" s="101">
        <v>0</v>
      </c>
      <c r="G499" s="101">
        <v>0</v>
      </c>
      <c r="H499" s="101">
        <v>0</v>
      </c>
      <c r="I499" s="101">
        <v>0</v>
      </c>
      <c r="J499" s="101">
        <v>0</v>
      </c>
    </row>
    <row r="500" spans="1:10" ht="15" x14ac:dyDescent="0.2">
      <c r="A500" t="s">
        <v>102</v>
      </c>
      <c r="B500" s="99" t="s">
        <v>157</v>
      </c>
      <c r="C500" s="100">
        <f t="shared" si="10"/>
        <v>7</v>
      </c>
      <c r="D500" s="101">
        <v>0</v>
      </c>
      <c r="E500" s="101">
        <v>0</v>
      </c>
      <c r="F500" s="101">
        <v>0</v>
      </c>
      <c r="G500" s="101">
        <v>0</v>
      </c>
      <c r="H500" s="101">
        <v>0</v>
      </c>
      <c r="I500" s="101">
        <v>0</v>
      </c>
      <c r="J500" s="101">
        <v>0</v>
      </c>
    </row>
    <row r="501" spans="1:10" ht="15" x14ac:dyDescent="0.2">
      <c r="A501" t="s">
        <v>102</v>
      </c>
      <c r="B501" s="102" t="s">
        <v>158</v>
      </c>
      <c r="C501" s="100">
        <f t="shared" si="10"/>
        <v>8</v>
      </c>
      <c r="D501" s="103">
        <v>10</v>
      </c>
      <c r="E501" s="103">
        <v>58</v>
      </c>
      <c r="F501" s="101">
        <v>1</v>
      </c>
      <c r="G501" s="101">
        <v>9</v>
      </c>
      <c r="H501" s="101">
        <v>0</v>
      </c>
      <c r="I501" s="101">
        <v>0</v>
      </c>
      <c r="J501" s="101">
        <v>2</v>
      </c>
    </row>
    <row r="502" spans="1:10" ht="15" x14ac:dyDescent="0.2">
      <c r="A502" t="s">
        <v>102</v>
      </c>
      <c r="B502" s="99" t="s">
        <v>159</v>
      </c>
      <c r="C502" s="100">
        <f t="shared" si="10"/>
        <v>9</v>
      </c>
      <c r="D502" s="101">
        <v>5</v>
      </c>
      <c r="E502" s="101">
        <v>29</v>
      </c>
      <c r="F502" s="101">
        <v>0</v>
      </c>
      <c r="G502" s="101">
        <v>0</v>
      </c>
      <c r="H502" s="101">
        <v>0</v>
      </c>
      <c r="I502" s="101">
        <v>0</v>
      </c>
      <c r="J502" s="101">
        <v>2</v>
      </c>
    </row>
    <row r="503" spans="1:10" ht="15" x14ac:dyDescent="0.2">
      <c r="A503" t="s">
        <v>102</v>
      </c>
      <c r="B503" s="102" t="s">
        <v>160</v>
      </c>
      <c r="C503" s="100">
        <f t="shared" si="10"/>
        <v>10</v>
      </c>
      <c r="D503" s="103">
        <v>0</v>
      </c>
      <c r="E503" s="103">
        <v>0</v>
      </c>
      <c r="F503" s="101">
        <v>0</v>
      </c>
      <c r="G503" s="101">
        <v>0</v>
      </c>
      <c r="H503" s="101">
        <v>0</v>
      </c>
      <c r="I503" s="101">
        <v>0</v>
      </c>
      <c r="J503" s="101">
        <v>0</v>
      </c>
    </row>
    <row r="504" spans="1:10" ht="15" x14ac:dyDescent="0.2">
      <c r="A504" t="s">
        <v>102</v>
      </c>
      <c r="B504" s="99" t="s">
        <v>161</v>
      </c>
      <c r="C504" s="100">
        <f t="shared" si="10"/>
        <v>11</v>
      </c>
      <c r="D504" s="101">
        <v>0</v>
      </c>
      <c r="E504" s="101">
        <v>0</v>
      </c>
      <c r="F504" s="101">
        <v>0</v>
      </c>
      <c r="G504" s="101">
        <v>0</v>
      </c>
      <c r="H504" s="101">
        <v>0</v>
      </c>
      <c r="I504" s="101">
        <v>0</v>
      </c>
      <c r="J504" s="101">
        <v>0</v>
      </c>
    </row>
    <row r="505" spans="1:10" ht="15" x14ac:dyDescent="0.2">
      <c r="A505" t="s">
        <v>102</v>
      </c>
      <c r="B505" s="102" t="s">
        <v>162</v>
      </c>
      <c r="C505" s="100">
        <f t="shared" si="10"/>
        <v>12</v>
      </c>
      <c r="D505" s="103">
        <v>0</v>
      </c>
      <c r="E505" s="103">
        <v>0</v>
      </c>
      <c r="F505" s="101">
        <v>0</v>
      </c>
      <c r="G505" s="101">
        <v>0</v>
      </c>
      <c r="H505" s="101">
        <v>0</v>
      </c>
      <c r="I505" s="101">
        <v>0</v>
      </c>
      <c r="J505" s="101">
        <v>0</v>
      </c>
    </row>
    <row r="506" spans="1:10" ht="15" x14ac:dyDescent="0.2">
      <c r="A506" t="s">
        <v>106</v>
      </c>
      <c r="B506" s="99" t="s">
        <v>151</v>
      </c>
      <c r="C506" s="100">
        <f t="shared" si="10"/>
        <v>1</v>
      </c>
      <c r="D506" s="101">
        <v>3</v>
      </c>
      <c r="E506" s="101">
        <v>13</v>
      </c>
      <c r="F506" s="101">
        <v>0</v>
      </c>
      <c r="G506" s="101">
        <v>0</v>
      </c>
      <c r="H506" s="101">
        <v>6</v>
      </c>
      <c r="I506" s="101">
        <v>27</v>
      </c>
      <c r="J506" s="101">
        <v>1</v>
      </c>
    </row>
    <row r="507" spans="1:10" ht="15" x14ac:dyDescent="0.2">
      <c r="A507" t="s">
        <v>106</v>
      </c>
      <c r="B507" s="102" t="s">
        <v>152</v>
      </c>
      <c r="C507" s="100">
        <f t="shared" si="10"/>
        <v>2</v>
      </c>
      <c r="D507" s="103">
        <v>0</v>
      </c>
      <c r="E507" s="103">
        <v>0</v>
      </c>
      <c r="F507" s="101">
        <v>0</v>
      </c>
      <c r="G507" s="101">
        <v>0</v>
      </c>
      <c r="H507" s="101">
        <v>6</v>
      </c>
      <c r="I507" s="101">
        <v>27</v>
      </c>
      <c r="J507" s="101">
        <v>0</v>
      </c>
    </row>
    <row r="508" spans="1:10" ht="15" x14ac:dyDescent="0.2">
      <c r="A508" t="s">
        <v>106</v>
      </c>
      <c r="B508" s="99" t="s">
        <v>153</v>
      </c>
      <c r="C508" s="100">
        <f t="shared" si="10"/>
        <v>3</v>
      </c>
      <c r="D508" s="101">
        <v>2</v>
      </c>
      <c r="E508" s="101">
        <v>9</v>
      </c>
      <c r="F508" s="101">
        <v>0</v>
      </c>
      <c r="G508" s="101">
        <v>0</v>
      </c>
      <c r="H508" s="101">
        <v>0</v>
      </c>
      <c r="I508" s="101">
        <v>0</v>
      </c>
      <c r="J508" s="101">
        <v>1</v>
      </c>
    </row>
    <row r="509" spans="1:10" ht="15" x14ac:dyDescent="0.2">
      <c r="A509" t="s">
        <v>106</v>
      </c>
      <c r="B509" s="102" t="s">
        <v>154</v>
      </c>
      <c r="C509" s="100">
        <f t="shared" si="10"/>
        <v>4</v>
      </c>
      <c r="D509" s="103">
        <v>3</v>
      </c>
      <c r="E509" s="103">
        <v>13</v>
      </c>
      <c r="F509" s="101">
        <v>1</v>
      </c>
      <c r="G509" s="101">
        <v>1</v>
      </c>
      <c r="H509" s="101">
        <v>0</v>
      </c>
      <c r="I509" s="101">
        <v>0</v>
      </c>
      <c r="J509" s="101">
        <v>1</v>
      </c>
    </row>
    <row r="510" spans="1:10" ht="15" x14ac:dyDescent="0.2">
      <c r="A510" t="s">
        <v>106</v>
      </c>
      <c r="B510" s="99" t="s">
        <v>155</v>
      </c>
      <c r="C510" s="100">
        <f t="shared" si="10"/>
        <v>5</v>
      </c>
      <c r="D510" s="101">
        <v>0</v>
      </c>
      <c r="E510" s="101">
        <v>0</v>
      </c>
      <c r="F510" s="101">
        <v>0</v>
      </c>
      <c r="G510" s="101">
        <v>0</v>
      </c>
      <c r="H510" s="101">
        <v>12</v>
      </c>
      <c r="I510" s="101">
        <v>54</v>
      </c>
      <c r="J510" s="101">
        <v>0</v>
      </c>
    </row>
    <row r="511" spans="1:10" ht="15" x14ac:dyDescent="0.2">
      <c r="A511" t="s">
        <v>106</v>
      </c>
      <c r="B511" s="102" t="s">
        <v>156</v>
      </c>
      <c r="C511" s="100">
        <f t="shared" si="10"/>
        <v>6</v>
      </c>
      <c r="D511" s="103">
        <v>3</v>
      </c>
      <c r="E511" s="103">
        <v>13</v>
      </c>
      <c r="F511" s="101">
        <v>0</v>
      </c>
      <c r="G511" s="101">
        <v>0</v>
      </c>
      <c r="H511" s="101">
        <v>0</v>
      </c>
      <c r="I511" s="101">
        <v>0</v>
      </c>
      <c r="J511" s="101">
        <v>1</v>
      </c>
    </row>
    <row r="512" spans="1:10" ht="15" x14ac:dyDescent="0.2">
      <c r="A512" t="s">
        <v>106</v>
      </c>
      <c r="B512" s="99" t="s">
        <v>157</v>
      </c>
      <c r="C512" s="100">
        <f t="shared" si="10"/>
        <v>7</v>
      </c>
      <c r="D512" s="101">
        <v>6</v>
      </c>
      <c r="E512" s="101">
        <v>27</v>
      </c>
      <c r="F512" s="101">
        <v>0</v>
      </c>
      <c r="G512" s="101">
        <v>0</v>
      </c>
      <c r="H512" s="101">
        <v>0</v>
      </c>
      <c r="I512" s="101">
        <v>0</v>
      </c>
      <c r="J512" s="101">
        <v>2</v>
      </c>
    </row>
    <row r="513" spans="1:10" ht="15" x14ac:dyDescent="0.2">
      <c r="A513" t="s">
        <v>106</v>
      </c>
      <c r="B513" s="102" t="s">
        <v>158</v>
      </c>
      <c r="C513" s="100">
        <f t="shared" si="10"/>
        <v>8</v>
      </c>
      <c r="D513" s="103">
        <v>6</v>
      </c>
      <c r="E513" s="103">
        <v>27</v>
      </c>
      <c r="F513" s="101">
        <v>0</v>
      </c>
      <c r="G513" s="101">
        <v>0</v>
      </c>
      <c r="H513" s="101">
        <v>0</v>
      </c>
      <c r="I513" s="101">
        <v>0</v>
      </c>
      <c r="J513" s="101">
        <v>2</v>
      </c>
    </row>
    <row r="514" spans="1:10" ht="15" x14ac:dyDescent="0.2">
      <c r="A514" t="s">
        <v>106</v>
      </c>
      <c r="B514" s="99" t="s">
        <v>159</v>
      </c>
      <c r="C514" s="100">
        <f t="shared" si="10"/>
        <v>9</v>
      </c>
      <c r="D514" s="101">
        <v>3</v>
      </c>
      <c r="E514" s="101">
        <v>13</v>
      </c>
      <c r="F514" s="101">
        <v>2</v>
      </c>
      <c r="G514" s="101">
        <v>2</v>
      </c>
      <c r="H514" s="101">
        <v>0</v>
      </c>
      <c r="I514" s="101">
        <v>0</v>
      </c>
      <c r="J514" s="101">
        <v>1</v>
      </c>
    </row>
    <row r="515" spans="1:10" ht="15" x14ac:dyDescent="0.2">
      <c r="A515" t="s">
        <v>106</v>
      </c>
      <c r="B515" s="102" t="s">
        <v>160</v>
      </c>
      <c r="C515" s="100">
        <f t="shared" si="10"/>
        <v>10</v>
      </c>
      <c r="D515" s="103">
        <v>0</v>
      </c>
      <c r="E515" s="103">
        <v>0</v>
      </c>
      <c r="F515" s="101">
        <v>0</v>
      </c>
      <c r="G515" s="101">
        <v>0</v>
      </c>
      <c r="H515" s="101">
        <v>0</v>
      </c>
      <c r="I515" s="101">
        <v>0</v>
      </c>
      <c r="J515" s="101">
        <v>0</v>
      </c>
    </row>
    <row r="516" spans="1:10" ht="15" x14ac:dyDescent="0.2">
      <c r="A516" t="s">
        <v>106</v>
      </c>
      <c r="B516" s="99" t="s">
        <v>161</v>
      </c>
      <c r="C516" s="100">
        <f t="shared" si="10"/>
        <v>11</v>
      </c>
      <c r="D516" s="101">
        <v>0</v>
      </c>
      <c r="E516" s="101">
        <v>0</v>
      </c>
      <c r="F516" s="101">
        <v>0</v>
      </c>
      <c r="G516" s="101">
        <v>0</v>
      </c>
      <c r="H516" s="101">
        <v>0</v>
      </c>
      <c r="I516" s="101">
        <v>0</v>
      </c>
      <c r="J516" s="101">
        <v>0</v>
      </c>
    </row>
    <row r="517" spans="1:10" ht="15" x14ac:dyDescent="0.2">
      <c r="A517" t="s">
        <v>106</v>
      </c>
      <c r="B517" s="102" t="s">
        <v>162</v>
      </c>
      <c r="C517" s="100">
        <f t="shared" si="10"/>
        <v>12</v>
      </c>
      <c r="D517" s="103">
        <v>0</v>
      </c>
      <c r="E517" s="103">
        <v>0</v>
      </c>
      <c r="F517" s="101">
        <v>0</v>
      </c>
      <c r="G517" s="101">
        <v>0</v>
      </c>
      <c r="H517" s="101">
        <v>0</v>
      </c>
      <c r="I517" s="101">
        <v>0</v>
      </c>
      <c r="J517" s="101">
        <v>0</v>
      </c>
    </row>
    <row r="518" spans="1:10" ht="15" x14ac:dyDescent="0.2">
      <c r="A518" t="s">
        <v>31</v>
      </c>
      <c r="B518" s="99" t="s">
        <v>151</v>
      </c>
      <c r="C518" s="100">
        <f t="shared" si="10"/>
        <v>1</v>
      </c>
      <c r="D518" s="101">
        <v>0</v>
      </c>
      <c r="E518" s="101">
        <v>0</v>
      </c>
      <c r="F518" s="101">
        <v>0</v>
      </c>
      <c r="G518" s="101">
        <v>0</v>
      </c>
      <c r="H518" s="101">
        <v>0</v>
      </c>
      <c r="I518" s="101">
        <v>0</v>
      </c>
      <c r="J518" s="101">
        <v>0</v>
      </c>
    </row>
    <row r="519" spans="1:10" ht="15" x14ac:dyDescent="0.2">
      <c r="A519" t="s">
        <v>31</v>
      </c>
      <c r="B519" s="102" t="s">
        <v>152</v>
      </c>
      <c r="C519" s="100">
        <f t="shared" si="10"/>
        <v>2</v>
      </c>
      <c r="D519" s="103">
        <v>0</v>
      </c>
      <c r="E519" s="103">
        <v>0</v>
      </c>
      <c r="F519" s="101">
        <v>0</v>
      </c>
      <c r="G519" s="101">
        <v>0</v>
      </c>
      <c r="H519" s="101">
        <v>0</v>
      </c>
      <c r="I519" s="101">
        <v>0</v>
      </c>
      <c r="J519" s="101">
        <v>0</v>
      </c>
    </row>
    <row r="520" spans="1:10" ht="15" x14ac:dyDescent="0.2">
      <c r="A520" t="s">
        <v>31</v>
      </c>
      <c r="B520" s="99" t="s">
        <v>153</v>
      </c>
      <c r="C520" s="100">
        <f t="shared" si="10"/>
        <v>3</v>
      </c>
      <c r="D520" s="101">
        <v>0</v>
      </c>
      <c r="E520" s="101">
        <v>0</v>
      </c>
      <c r="F520" s="101">
        <v>0</v>
      </c>
      <c r="G520" s="101">
        <v>0</v>
      </c>
      <c r="H520" s="101">
        <v>0</v>
      </c>
      <c r="I520" s="101">
        <v>0</v>
      </c>
      <c r="J520" s="101">
        <v>0</v>
      </c>
    </row>
    <row r="521" spans="1:10" ht="15" x14ac:dyDescent="0.2">
      <c r="A521" t="s">
        <v>31</v>
      </c>
      <c r="B521" s="102" t="s">
        <v>154</v>
      </c>
      <c r="C521" s="100">
        <f t="shared" si="10"/>
        <v>4</v>
      </c>
      <c r="D521" s="103">
        <v>0</v>
      </c>
      <c r="E521" s="103">
        <v>0</v>
      </c>
      <c r="F521" s="101">
        <v>0</v>
      </c>
      <c r="G521" s="101">
        <v>0</v>
      </c>
      <c r="H521" s="101">
        <v>0</v>
      </c>
      <c r="I521" s="101">
        <v>0</v>
      </c>
      <c r="J521" s="101">
        <v>0</v>
      </c>
    </row>
    <row r="522" spans="1:10" ht="15" x14ac:dyDescent="0.2">
      <c r="A522" t="s">
        <v>31</v>
      </c>
      <c r="B522" s="99" t="s">
        <v>155</v>
      </c>
      <c r="C522" s="100">
        <f t="shared" ref="C522:C585" si="12">_xlfn.IFS(B522="Janeiro",1,B522="Fevereiro",2,B522="Março",3,B522="Abril",4,B522="Maio",5,B522="Junho",6,B522="Julho",7,B522="Agosto",8,B522="Setembro",9,B522="Outubro",10,B522="Novembro",11,B522="Dezembro",12,TRUE,0)</f>
        <v>5</v>
      </c>
      <c r="D522" s="101">
        <v>0</v>
      </c>
      <c r="E522" s="101">
        <v>0</v>
      </c>
      <c r="F522" s="101">
        <v>0</v>
      </c>
      <c r="G522" s="101">
        <v>0</v>
      </c>
      <c r="H522" s="101">
        <v>11</v>
      </c>
      <c r="I522" s="101">
        <v>78</v>
      </c>
      <c r="J522" s="101">
        <v>0</v>
      </c>
    </row>
    <row r="523" spans="1:10" ht="15" x14ac:dyDescent="0.2">
      <c r="A523" t="s">
        <v>31</v>
      </c>
      <c r="B523" s="102" t="s">
        <v>156</v>
      </c>
      <c r="C523" s="100">
        <f t="shared" si="12"/>
        <v>6</v>
      </c>
      <c r="D523" s="103">
        <v>3</v>
      </c>
      <c r="E523" s="103">
        <v>21</v>
      </c>
      <c r="F523" s="101">
        <v>0</v>
      </c>
      <c r="G523" s="101">
        <v>0</v>
      </c>
      <c r="H523" s="101">
        <v>0</v>
      </c>
      <c r="I523" s="101">
        <v>0</v>
      </c>
      <c r="J523" s="101">
        <v>1</v>
      </c>
    </row>
    <row r="524" spans="1:10" ht="15" x14ac:dyDescent="0.2">
      <c r="A524" t="s">
        <v>31</v>
      </c>
      <c r="B524" s="99" t="s">
        <v>157</v>
      </c>
      <c r="C524" s="100">
        <f t="shared" si="12"/>
        <v>7</v>
      </c>
      <c r="D524" s="101">
        <v>3</v>
      </c>
      <c r="E524" s="101">
        <v>21</v>
      </c>
      <c r="F524" s="101">
        <v>1</v>
      </c>
      <c r="G524" s="101">
        <v>0</v>
      </c>
      <c r="H524" s="101">
        <v>0</v>
      </c>
      <c r="I524" s="101">
        <v>0</v>
      </c>
      <c r="J524" s="101">
        <v>1</v>
      </c>
    </row>
    <row r="525" spans="1:10" ht="15" x14ac:dyDescent="0.2">
      <c r="A525" t="s">
        <v>31</v>
      </c>
      <c r="B525" s="102" t="s">
        <v>158</v>
      </c>
      <c r="C525" s="100">
        <f t="shared" si="12"/>
        <v>8</v>
      </c>
      <c r="D525" s="103">
        <v>8</v>
      </c>
      <c r="E525" s="103">
        <v>57</v>
      </c>
      <c r="F525" s="101">
        <v>0</v>
      </c>
      <c r="G525" s="101">
        <v>0</v>
      </c>
      <c r="H525" s="101">
        <v>0</v>
      </c>
      <c r="I525" s="101">
        <v>0</v>
      </c>
      <c r="J525" s="101">
        <v>3</v>
      </c>
    </row>
    <row r="526" spans="1:10" ht="15" x14ac:dyDescent="0.2">
      <c r="A526" t="s">
        <v>31</v>
      </c>
      <c r="B526" s="99" t="s">
        <v>159</v>
      </c>
      <c r="C526" s="100">
        <f t="shared" si="12"/>
        <v>9</v>
      </c>
      <c r="D526" s="101">
        <v>0</v>
      </c>
      <c r="E526" s="101">
        <v>0</v>
      </c>
      <c r="F526" s="101">
        <v>0</v>
      </c>
      <c r="G526" s="101">
        <v>0</v>
      </c>
      <c r="H526" s="101">
        <v>3</v>
      </c>
      <c r="I526" s="101">
        <v>21</v>
      </c>
      <c r="J526" s="101">
        <v>0</v>
      </c>
    </row>
    <row r="527" spans="1:10" ht="15" x14ac:dyDescent="0.2">
      <c r="A527" t="s">
        <v>31</v>
      </c>
      <c r="B527" s="102" t="s">
        <v>160</v>
      </c>
      <c r="C527" s="100">
        <f t="shared" si="12"/>
        <v>10</v>
      </c>
      <c r="D527" s="103">
        <v>0</v>
      </c>
      <c r="E527" s="103">
        <v>0</v>
      </c>
      <c r="F527" s="101">
        <v>0</v>
      </c>
      <c r="G527" s="101">
        <v>0</v>
      </c>
      <c r="H527" s="101">
        <v>0</v>
      </c>
      <c r="I527" s="101">
        <v>0</v>
      </c>
      <c r="J527" s="101">
        <v>0</v>
      </c>
    </row>
    <row r="528" spans="1:10" ht="15" x14ac:dyDescent="0.2">
      <c r="A528" t="s">
        <v>31</v>
      </c>
      <c r="B528" s="99" t="s">
        <v>161</v>
      </c>
      <c r="C528" s="100">
        <f t="shared" si="12"/>
        <v>11</v>
      </c>
      <c r="D528" s="101">
        <v>0</v>
      </c>
      <c r="E528" s="101">
        <v>0</v>
      </c>
      <c r="F528" s="101">
        <v>0</v>
      </c>
      <c r="G528" s="101">
        <v>0</v>
      </c>
      <c r="H528" s="101">
        <v>0</v>
      </c>
      <c r="I528" s="101">
        <v>0</v>
      </c>
      <c r="J528" s="101">
        <v>0</v>
      </c>
    </row>
    <row r="529" spans="1:10" ht="15" x14ac:dyDescent="0.2">
      <c r="A529" t="s">
        <v>31</v>
      </c>
      <c r="B529" s="102" t="s">
        <v>162</v>
      </c>
      <c r="C529" s="100">
        <f t="shared" si="12"/>
        <v>12</v>
      </c>
      <c r="D529" s="103">
        <v>0</v>
      </c>
      <c r="E529" s="103">
        <v>0</v>
      </c>
      <c r="F529" s="101">
        <v>0</v>
      </c>
      <c r="G529" s="101">
        <v>0</v>
      </c>
      <c r="H529" s="101">
        <v>0</v>
      </c>
      <c r="I529" s="101">
        <v>0</v>
      </c>
      <c r="J529" s="101">
        <v>0</v>
      </c>
    </row>
    <row r="530" spans="1:10" ht="15" x14ac:dyDescent="0.2">
      <c r="A530" t="s">
        <v>143</v>
      </c>
      <c r="B530" s="99" t="s">
        <v>151</v>
      </c>
      <c r="C530" s="100">
        <f t="shared" si="12"/>
        <v>1</v>
      </c>
      <c r="D530" s="101">
        <v>1</v>
      </c>
      <c r="E530" s="101">
        <v>3</v>
      </c>
      <c r="F530" s="101">
        <v>0</v>
      </c>
      <c r="G530" s="101">
        <v>0</v>
      </c>
      <c r="H530" s="101">
        <v>0</v>
      </c>
      <c r="I530" s="101">
        <v>0</v>
      </c>
      <c r="J530" s="101">
        <v>1</v>
      </c>
    </row>
    <row r="531" spans="1:10" ht="15" x14ac:dyDescent="0.2">
      <c r="A531" t="s">
        <v>143</v>
      </c>
      <c r="B531" s="102" t="s">
        <v>152</v>
      </c>
      <c r="C531" s="100">
        <f t="shared" si="12"/>
        <v>2</v>
      </c>
      <c r="D531" s="103">
        <v>5</v>
      </c>
      <c r="E531" s="103">
        <v>16</v>
      </c>
      <c r="F531" s="101">
        <v>0</v>
      </c>
      <c r="G531" s="101">
        <v>0</v>
      </c>
      <c r="H531" s="101">
        <v>0</v>
      </c>
      <c r="I531" s="101">
        <v>0</v>
      </c>
      <c r="J531" s="101">
        <v>2</v>
      </c>
    </row>
    <row r="532" spans="1:10" ht="15" x14ac:dyDescent="0.2">
      <c r="A532" t="s">
        <v>143</v>
      </c>
      <c r="B532" s="99" t="s">
        <v>153</v>
      </c>
      <c r="C532" s="100">
        <f t="shared" si="12"/>
        <v>3</v>
      </c>
      <c r="D532" s="101">
        <v>4</v>
      </c>
      <c r="E532" s="101">
        <v>12</v>
      </c>
      <c r="F532" s="101">
        <v>0</v>
      </c>
      <c r="G532" s="101">
        <v>0</v>
      </c>
      <c r="H532" s="101">
        <v>0</v>
      </c>
      <c r="I532" s="101">
        <v>0</v>
      </c>
      <c r="J532" s="101">
        <v>2</v>
      </c>
    </row>
    <row r="533" spans="1:10" ht="15" x14ac:dyDescent="0.2">
      <c r="A533" t="s">
        <v>143</v>
      </c>
      <c r="B533" s="102" t="s">
        <v>154</v>
      </c>
      <c r="C533" s="100">
        <f t="shared" si="12"/>
        <v>4</v>
      </c>
      <c r="D533" s="103">
        <v>2</v>
      </c>
      <c r="E533" s="103">
        <v>6</v>
      </c>
      <c r="F533" s="101">
        <v>0</v>
      </c>
      <c r="G533" s="101">
        <v>0</v>
      </c>
      <c r="H533" s="101">
        <v>0</v>
      </c>
      <c r="I533" s="101">
        <v>0</v>
      </c>
      <c r="J533" s="101">
        <v>1</v>
      </c>
    </row>
    <row r="534" spans="1:10" ht="15" x14ac:dyDescent="0.2">
      <c r="A534" t="s">
        <v>143</v>
      </c>
      <c r="B534" s="99" t="s">
        <v>155</v>
      </c>
      <c r="C534" s="100">
        <f t="shared" si="12"/>
        <v>5</v>
      </c>
      <c r="D534" s="101">
        <v>2</v>
      </c>
      <c r="E534" s="101">
        <v>6</v>
      </c>
      <c r="F534" s="101">
        <v>0</v>
      </c>
      <c r="G534" s="101">
        <v>0</v>
      </c>
      <c r="H534" s="101">
        <v>12</v>
      </c>
      <c r="I534" s="101">
        <v>38</v>
      </c>
      <c r="J534" s="101">
        <v>1</v>
      </c>
    </row>
    <row r="535" spans="1:10" ht="15" x14ac:dyDescent="0.2">
      <c r="A535" t="s">
        <v>143</v>
      </c>
      <c r="B535" s="102" t="s">
        <v>156</v>
      </c>
      <c r="C535" s="100">
        <f t="shared" si="12"/>
        <v>6</v>
      </c>
      <c r="D535" s="103">
        <v>3</v>
      </c>
      <c r="E535" s="103">
        <v>9</v>
      </c>
      <c r="F535" s="101">
        <v>0</v>
      </c>
      <c r="G535" s="101">
        <v>0</v>
      </c>
      <c r="H535" s="101">
        <v>0</v>
      </c>
      <c r="I535" s="101">
        <v>0</v>
      </c>
      <c r="J535" s="101">
        <v>2</v>
      </c>
    </row>
    <row r="536" spans="1:10" ht="15" x14ac:dyDescent="0.2">
      <c r="A536" t="s">
        <v>143</v>
      </c>
      <c r="B536" s="99" t="s">
        <v>157</v>
      </c>
      <c r="C536" s="100">
        <f t="shared" si="12"/>
        <v>7</v>
      </c>
      <c r="D536" s="101">
        <v>6</v>
      </c>
      <c r="E536" s="101">
        <v>19</v>
      </c>
      <c r="F536" s="101">
        <v>0</v>
      </c>
      <c r="G536" s="101">
        <v>0</v>
      </c>
      <c r="H536" s="101">
        <v>0</v>
      </c>
      <c r="I536" s="101">
        <v>0</v>
      </c>
      <c r="J536" s="101">
        <v>3</v>
      </c>
    </row>
    <row r="537" spans="1:10" ht="15" x14ac:dyDescent="0.2">
      <c r="A537" t="s">
        <v>143</v>
      </c>
      <c r="B537" s="102" t="s">
        <v>158</v>
      </c>
      <c r="C537" s="100">
        <f t="shared" si="12"/>
        <v>8</v>
      </c>
      <c r="D537" s="103">
        <v>1</v>
      </c>
      <c r="E537" s="103">
        <v>3</v>
      </c>
      <c r="F537" s="101">
        <v>0</v>
      </c>
      <c r="G537" s="101">
        <v>0</v>
      </c>
      <c r="H537" s="101">
        <v>0</v>
      </c>
      <c r="I537" s="101">
        <v>0</v>
      </c>
      <c r="J537" s="101">
        <v>1</v>
      </c>
    </row>
    <row r="538" spans="1:10" ht="15" x14ac:dyDescent="0.2">
      <c r="A538" t="s">
        <v>143</v>
      </c>
      <c r="B538" s="99" t="s">
        <v>159</v>
      </c>
      <c r="C538" s="100">
        <f t="shared" si="12"/>
        <v>9</v>
      </c>
      <c r="D538" s="101">
        <v>5</v>
      </c>
      <c r="E538" s="101">
        <v>16</v>
      </c>
      <c r="F538" s="101">
        <v>0</v>
      </c>
      <c r="G538" s="101">
        <v>0</v>
      </c>
      <c r="H538" s="101">
        <v>0</v>
      </c>
      <c r="I538" s="101">
        <v>0</v>
      </c>
      <c r="J538" s="101">
        <v>3</v>
      </c>
    </row>
    <row r="539" spans="1:10" ht="15" x14ac:dyDescent="0.2">
      <c r="A539" t="s">
        <v>143</v>
      </c>
      <c r="B539" s="102" t="s">
        <v>160</v>
      </c>
      <c r="C539" s="100">
        <f t="shared" si="12"/>
        <v>10</v>
      </c>
      <c r="D539" s="103">
        <v>0</v>
      </c>
      <c r="E539" s="103">
        <v>0</v>
      </c>
      <c r="F539" s="101">
        <v>0</v>
      </c>
      <c r="G539" s="101">
        <v>0</v>
      </c>
      <c r="H539" s="101">
        <v>0</v>
      </c>
      <c r="I539" s="101">
        <v>0</v>
      </c>
      <c r="J539" s="101">
        <v>0</v>
      </c>
    </row>
    <row r="540" spans="1:10" ht="15" x14ac:dyDescent="0.2">
      <c r="A540" t="s">
        <v>143</v>
      </c>
      <c r="B540" s="99" t="s">
        <v>161</v>
      </c>
      <c r="C540" s="100">
        <f t="shared" si="12"/>
        <v>11</v>
      </c>
      <c r="D540" s="101">
        <v>0</v>
      </c>
      <c r="E540" s="101">
        <v>0</v>
      </c>
      <c r="F540" s="101">
        <v>0</v>
      </c>
      <c r="G540" s="101">
        <v>0</v>
      </c>
      <c r="H540" s="101">
        <v>0</v>
      </c>
      <c r="I540" s="101">
        <v>0</v>
      </c>
      <c r="J540" s="101">
        <v>0</v>
      </c>
    </row>
    <row r="541" spans="1:10" ht="15" x14ac:dyDescent="0.2">
      <c r="A541" t="s">
        <v>143</v>
      </c>
      <c r="B541" s="102" t="s">
        <v>162</v>
      </c>
      <c r="C541" s="100">
        <f t="shared" si="12"/>
        <v>12</v>
      </c>
      <c r="D541" s="103">
        <v>0</v>
      </c>
      <c r="E541" s="103">
        <v>0</v>
      </c>
      <c r="F541" s="101">
        <v>0</v>
      </c>
      <c r="G541" s="101">
        <v>0</v>
      </c>
      <c r="H541" s="101">
        <v>0</v>
      </c>
      <c r="I541" s="101">
        <v>0</v>
      </c>
      <c r="J541" s="101">
        <v>0</v>
      </c>
    </row>
    <row r="542" spans="1:10" ht="15" x14ac:dyDescent="0.2">
      <c r="A542" t="s">
        <v>70</v>
      </c>
      <c r="B542" s="99" t="s">
        <v>151</v>
      </c>
      <c r="C542" s="100">
        <f t="shared" si="12"/>
        <v>1</v>
      </c>
      <c r="D542" s="101">
        <v>7</v>
      </c>
      <c r="E542" s="101">
        <v>46</v>
      </c>
      <c r="F542" s="101">
        <v>0</v>
      </c>
      <c r="G542" s="101">
        <v>0</v>
      </c>
      <c r="H542" s="101">
        <v>0</v>
      </c>
      <c r="I542" s="101">
        <v>0</v>
      </c>
      <c r="J542" s="101">
        <v>1</v>
      </c>
    </row>
    <row r="543" spans="1:10" ht="15" x14ac:dyDescent="0.2">
      <c r="A543" t="s">
        <v>70</v>
      </c>
      <c r="B543" s="102" t="s">
        <v>152</v>
      </c>
      <c r="C543" s="100">
        <f t="shared" si="12"/>
        <v>2</v>
      </c>
      <c r="D543" s="103">
        <v>0</v>
      </c>
      <c r="E543" s="103">
        <v>0</v>
      </c>
      <c r="F543" s="101">
        <v>0</v>
      </c>
      <c r="G543" s="101">
        <v>0</v>
      </c>
      <c r="H543" s="101">
        <v>0</v>
      </c>
      <c r="I543" s="101">
        <v>0</v>
      </c>
      <c r="J543" s="101">
        <v>0</v>
      </c>
    </row>
    <row r="544" spans="1:10" ht="15" x14ac:dyDescent="0.2">
      <c r="A544" t="s">
        <v>70</v>
      </c>
      <c r="B544" s="99" t="s">
        <v>153</v>
      </c>
      <c r="C544" s="100">
        <f t="shared" si="12"/>
        <v>3</v>
      </c>
      <c r="D544" s="101">
        <v>0</v>
      </c>
      <c r="E544" s="101">
        <v>0</v>
      </c>
      <c r="F544" s="101">
        <v>0</v>
      </c>
      <c r="G544" s="101">
        <v>0</v>
      </c>
      <c r="H544" s="101">
        <v>0</v>
      </c>
      <c r="I544" s="101">
        <v>0</v>
      </c>
      <c r="J544" s="101">
        <v>0</v>
      </c>
    </row>
    <row r="545" spans="1:10" ht="15" x14ac:dyDescent="0.2">
      <c r="A545" t="s">
        <v>70</v>
      </c>
      <c r="B545" s="102" t="s">
        <v>154</v>
      </c>
      <c r="C545" s="100">
        <f t="shared" si="12"/>
        <v>4</v>
      </c>
      <c r="D545" s="103">
        <v>0</v>
      </c>
      <c r="E545" s="103">
        <v>0</v>
      </c>
      <c r="F545" s="101">
        <v>0</v>
      </c>
      <c r="G545" s="101">
        <v>0</v>
      </c>
      <c r="H545" s="101">
        <v>0</v>
      </c>
      <c r="I545" s="101">
        <v>0</v>
      </c>
      <c r="J545" s="101">
        <v>0</v>
      </c>
    </row>
    <row r="546" spans="1:10" ht="15" x14ac:dyDescent="0.2">
      <c r="A546" t="s">
        <v>70</v>
      </c>
      <c r="B546" s="99" t="s">
        <v>155</v>
      </c>
      <c r="C546" s="100">
        <f t="shared" si="12"/>
        <v>5</v>
      </c>
      <c r="D546" s="101">
        <v>7</v>
      </c>
      <c r="E546" s="101">
        <v>46</v>
      </c>
      <c r="F546" s="101">
        <v>0</v>
      </c>
      <c r="G546" s="101">
        <v>0</v>
      </c>
      <c r="H546" s="101">
        <v>0</v>
      </c>
      <c r="I546" s="101">
        <v>0</v>
      </c>
      <c r="J546" s="101">
        <v>1</v>
      </c>
    </row>
    <row r="547" spans="1:10" ht="15" x14ac:dyDescent="0.2">
      <c r="A547" t="s">
        <v>70</v>
      </c>
      <c r="B547" s="102" t="s">
        <v>156</v>
      </c>
      <c r="C547" s="100">
        <f t="shared" si="12"/>
        <v>6</v>
      </c>
      <c r="D547" s="103">
        <v>0</v>
      </c>
      <c r="E547" s="103">
        <v>0</v>
      </c>
      <c r="F547" s="101">
        <v>0</v>
      </c>
      <c r="G547" s="101">
        <v>0</v>
      </c>
      <c r="H547" s="101">
        <v>0</v>
      </c>
      <c r="I547" s="101">
        <v>0</v>
      </c>
      <c r="J547" s="101">
        <v>0</v>
      </c>
    </row>
    <row r="548" spans="1:10" ht="15" x14ac:dyDescent="0.2">
      <c r="A548" t="s">
        <v>70</v>
      </c>
      <c r="B548" s="99" t="s">
        <v>157</v>
      </c>
      <c r="C548" s="100">
        <f t="shared" si="12"/>
        <v>7</v>
      </c>
      <c r="D548" s="101">
        <v>7</v>
      </c>
      <c r="E548" s="101">
        <v>46</v>
      </c>
      <c r="F548" s="101">
        <v>1</v>
      </c>
      <c r="G548" s="101">
        <v>1</v>
      </c>
      <c r="H548" s="101">
        <v>0</v>
      </c>
      <c r="I548" s="101">
        <v>0</v>
      </c>
      <c r="J548" s="101">
        <v>1</v>
      </c>
    </row>
    <row r="549" spans="1:10" ht="15" x14ac:dyDescent="0.2">
      <c r="A549" t="s">
        <v>70</v>
      </c>
      <c r="B549" s="102" t="s">
        <v>158</v>
      </c>
      <c r="C549" s="100">
        <f t="shared" si="12"/>
        <v>8</v>
      </c>
      <c r="D549" s="103">
        <v>0</v>
      </c>
      <c r="E549" s="103">
        <v>0</v>
      </c>
      <c r="F549" s="101">
        <v>0</v>
      </c>
      <c r="G549" s="101">
        <v>0</v>
      </c>
      <c r="H549" s="101">
        <v>0</v>
      </c>
      <c r="I549" s="101">
        <v>0</v>
      </c>
      <c r="J549" s="101">
        <v>0</v>
      </c>
    </row>
    <row r="550" spans="1:10" ht="15" x14ac:dyDescent="0.2">
      <c r="A550" t="s">
        <v>70</v>
      </c>
      <c r="B550" s="99" t="s">
        <v>159</v>
      </c>
      <c r="C550" s="100">
        <f t="shared" si="12"/>
        <v>9</v>
      </c>
      <c r="D550" s="101">
        <v>0</v>
      </c>
      <c r="E550" s="101">
        <v>0</v>
      </c>
      <c r="F550" s="101">
        <v>0</v>
      </c>
      <c r="G550" s="101">
        <v>0</v>
      </c>
      <c r="H550" s="101">
        <v>5</v>
      </c>
      <c r="I550" s="101">
        <v>33</v>
      </c>
      <c r="J550" s="101">
        <v>0</v>
      </c>
    </row>
    <row r="551" spans="1:10" ht="15" x14ac:dyDescent="0.2">
      <c r="A551" t="s">
        <v>70</v>
      </c>
      <c r="B551" s="102" t="s">
        <v>160</v>
      </c>
      <c r="C551" s="100">
        <f t="shared" si="12"/>
        <v>10</v>
      </c>
      <c r="D551" s="103">
        <v>0</v>
      </c>
      <c r="E551" s="103">
        <v>0</v>
      </c>
      <c r="F551" s="101">
        <v>0</v>
      </c>
      <c r="G551" s="101">
        <v>0</v>
      </c>
      <c r="H551" s="101">
        <v>0</v>
      </c>
      <c r="I551" s="101">
        <v>0</v>
      </c>
      <c r="J551" s="101">
        <v>0</v>
      </c>
    </row>
    <row r="552" spans="1:10" ht="15" x14ac:dyDescent="0.2">
      <c r="A552" t="s">
        <v>70</v>
      </c>
      <c r="B552" s="99" t="s">
        <v>161</v>
      </c>
      <c r="C552" s="100">
        <f t="shared" si="12"/>
        <v>11</v>
      </c>
      <c r="D552" s="101">
        <v>0</v>
      </c>
      <c r="E552" s="101">
        <v>0</v>
      </c>
      <c r="F552" s="101">
        <v>0</v>
      </c>
      <c r="G552" s="101">
        <v>0</v>
      </c>
      <c r="H552" s="101">
        <v>0</v>
      </c>
      <c r="I552" s="101">
        <v>0</v>
      </c>
      <c r="J552" s="101">
        <v>0</v>
      </c>
    </row>
    <row r="553" spans="1:10" ht="15" x14ac:dyDescent="0.2">
      <c r="A553" t="s">
        <v>70</v>
      </c>
      <c r="B553" s="102" t="s">
        <v>162</v>
      </c>
      <c r="C553" s="100">
        <f t="shared" si="12"/>
        <v>12</v>
      </c>
      <c r="D553" s="103">
        <v>0</v>
      </c>
      <c r="E553" s="103">
        <v>0</v>
      </c>
      <c r="F553" s="101">
        <v>0</v>
      </c>
      <c r="G553" s="101">
        <v>0</v>
      </c>
      <c r="H553" s="101">
        <v>0</v>
      </c>
      <c r="I553" s="101">
        <v>0</v>
      </c>
      <c r="J553" s="101">
        <v>0</v>
      </c>
    </row>
    <row r="554" spans="1:10" ht="15" x14ac:dyDescent="0.2">
      <c r="A554" t="s">
        <v>80</v>
      </c>
      <c r="B554" s="99" t="s">
        <v>151</v>
      </c>
      <c r="C554" s="100">
        <f t="shared" si="12"/>
        <v>1</v>
      </c>
      <c r="D554" s="101">
        <v>0</v>
      </c>
      <c r="E554" s="101">
        <v>0</v>
      </c>
      <c r="F554" s="101">
        <v>0</v>
      </c>
      <c r="G554" s="101">
        <v>0</v>
      </c>
      <c r="H554" s="101">
        <v>0</v>
      </c>
      <c r="I554" s="101">
        <v>0</v>
      </c>
      <c r="J554" s="101">
        <v>0</v>
      </c>
    </row>
    <row r="555" spans="1:10" ht="15" x14ac:dyDescent="0.2">
      <c r="A555" t="s">
        <v>80</v>
      </c>
      <c r="B555" s="102" t="s">
        <v>152</v>
      </c>
      <c r="C555" s="100">
        <f t="shared" si="12"/>
        <v>2</v>
      </c>
      <c r="D555" s="103">
        <v>0</v>
      </c>
      <c r="E555" s="103">
        <v>0</v>
      </c>
      <c r="F555" s="101">
        <v>0</v>
      </c>
      <c r="G555" s="101">
        <v>0</v>
      </c>
      <c r="H555" s="101">
        <v>0</v>
      </c>
      <c r="I555" s="101">
        <v>0</v>
      </c>
      <c r="J555" s="101">
        <v>0</v>
      </c>
    </row>
    <row r="556" spans="1:10" ht="15" x14ac:dyDescent="0.2">
      <c r="A556" t="s">
        <v>80</v>
      </c>
      <c r="B556" s="99" t="s">
        <v>153</v>
      </c>
      <c r="C556" s="100">
        <f t="shared" si="12"/>
        <v>3</v>
      </c>
      <c r="D556" s="101">
        <v>0</v>
      </c>
      <c r="E556" s="101">
        <v>0</v>
      </c>
      <c r="F556" s="101">
        <v>0</v>
      </c>
      <c r="G556" s="101">
        <v>0</v>
      </c>
      <c r="H556" s="101">
        <v>0</v>
      </c>
      <c r="I556" s="101">
        <v>0</v>
      </c>
      <c r="J556" s="101">
        <v>0</v>
      </c>
    </row>
    <row r="557" spans="1:10" ht="15" x14ac:dyDescent="0.2">
      <c r="A557" t="s">
        <v>80</v>
      </c>
      <c r="B557" s="102" t="s">
        <v>154</v>
      </c>
      <c r="C557" s="100">
        <f t="shared" si="12"/>
        <v>4</v>
      </c>
      <c r="D557" s="103">
        <v>0</v>
      </c>
      <c r="E557" s="103">
        <v>0</v>
      </c>
      <c r="F557" s="101">
        <v>0</v>
      </c>
      <c r="G557" s="101">
        <v>0</v>
      </c>
      <c r="H557" s="101">
        <v>0</v>
      </c>
      <c r="I557" s="101">
        <v>0</v>
      </c>
      <c r="J557" s="101">
        <v>0</v>
      </c>
    </row>
    <row r="558" spans="1:10" ht="15" x14ac:dyDescent="0.2">
      <c r="A558" t="s">
        <v>80</v>
      </c>
      <c r="B558" s="99" t="s">
        <v>155</v>
      </c>
      <c r="C558" s="100">
        <f t="shared" si="12"/>
        <v>5</v>
      </c>
      <c r="D558" s="101">
        <v>0</v>
      </c>
      <c r="E558" s="101">
        <v>0</v>
      </c>
      <c r="F558" s="101">
        <v>0</v>
      </c>
      <c r="G558" s="101">
        <v>0</v>
      </c>
      <c r="H558" s="101">
        <v>4</v>
      </c>
      <c r="I558" s="101">
        <v>40</v>
      </c>
      <c r="J558" s="101">
        <v>0</v>
      </c>
    </row>
    <row r="559" spans="1:10" ht="15" x14ac:dyDescent="0.2">
      <c r="A559" t="s">
        <v>80</v>
      </c>
      <c r="B559" s="102" t="s">
        <v>156</v>
      </c>
      <c r="C559" s="100">
        <f t="shared" si="12"/>
        <v>6</v>
      </c>
      <c r="D559" s="103">
        <v>0</v>
      </c>
      <c r="E559" s="103">
        <v>0</v>
      </c>
      <c r="F559" s="101">
        <v>0</v>
      </c>
      <c r="G559" s="101">
        <v>0</v>
      </c>
      <c r="H559" s="101">
        <v>0</v>
      </c>
      <c r="I559" s="101">
        <v>0</v>
      </c>
      <c r="J559" s="101">
        <v>0</v>
      </c>
    </row>
    <row r="560" spans="1:10" ht="15" x14ac:dyDescent="0.2">
      <c r="A560" t="s">
        <v>80</v>
      </c>
      <c r="B560" s="99" t="s">
        <v>157</v>
      </c>
      <c r="C560" s="100">
        <f t="shared" si="12"/>
        <v>7</v>
      </c>
      <c r="D560" s="101">
        <v>9</v>
      </c>
      <c r="E560" s="101">
        <v>90</v>
      </c>
      <c r="F560" s="101">
        <v>0</v>
      </c>
      <c r="G560" s="101">
        <v>0</v>
      </c>
      <c r="H560" s="101">
        <v>0</v>
      </c>
      <c r="I560" s="101">
        <v>0</v>
      </c>
      <c r="J560" s="101">
        <v>1</v>
      </c>
    </row>
    <row r="561" spans="1:10" ht="15" x14ac:dyDescent="0.2">
      <c r="A561" t="s">
        <v>80</v>
      </c>
      <c r="B561" s="102" t="s">
        <v>158</v>
      </c>
      <c r="C561" s="100">
        <f t="shared" si="12"/>
        <v>8</v>
      </c>
      <c r="D561" s="103">
        <v>0</v>
      </c>
      <c r="E561" s="103">
        <v>0</v>
      </c>
      <c r="F561" s="101">
        <v>0</v>
      </c>
      <c r="G561" s="101">
        <v>0</v>
      </c>
      <c r="H561" s="101">
        <v>0</v>
      </c>
      <c r="I561" s="101">
        <v>0</v>
      </c>
      <c r="J561" s="101">
        <v>0</v>
      </c>
    </row>
    <row r="562" spans="1:10" ht="15" x14ac:dyDescent="0.2">
      <c r="A562" t="s">
        <v>80</v>
      </c>
      <c r="B562" s="99" t="s">
        <v>159</v>
      </c>
      <c r="C562" s="100">
        <f t="shared" si="12"/>
        <v>9</v>
      </c>
      <c r="D562" s="101">
        <v>9</v>
      </c>
      <c r="E562" s="101">
        <v>90</v>
      </c>
      <c r="F562" s="101">
        <v>0</v>
      </c>
      <c r="G562" s="101">
        <v>0</v>
      </c>
      <c r="H562" s="101">
        <v>0</v>
      </c>
      <c r="I562" s="101">
        <v>0</v>
      </c>
      <c r="J562" s="101">
        <v>4</v>
      </c>
    </row>
    <row r="563" spans="1:10" ht="15" x14ac:dyDescent="0.2">
      <c r="A563" t="s">
        <v>80</v>
      </c>
      <c r="B563" s="102" t="s">
        <v>160</v>
      </c>
      <c r="C563" s="100">
        <f t="shared" si="12"/>
        <v>10</v>
      </c>
      <c r="D563" s="103">
        <v>0</v>
      </c>
      <c r="E563" s="103">
        <v>0</v>
      </c>
      <c r="F563" s="101">
        <v>0</v>
      </c>
      <c r="G563" s="101">
        <v>0</v>
      </c>
      <c r="H563" s="101">
        <v>0</v>
      </c>
      <c r="I563" s="101">
        <v>0</v>
      </c>
      <c r="J563" s="101">
        <v>0</v>
      </c>
    </row>
    <row r="564" spans="1:10" ht="15" x14ac:dyDescent="0.2">
      <c r="A564" t="s">
        <v>80</v>
      </c>
      <c r="B564" s="99" t="s">
        <v>161</v>
      </c>
      <c r="C564" s="100">
        <f t="shared" si="12"/>
        <v>11</v>
      </c>
      <c r="D564" s="101">
        <v>0</v>
      </c>
      <c r="E564" s="101">
        <v>0</v>
      </c>
      <c r="F564" s="101">
        <v>0</v>
      </c>
      <c r="G564" s="101">
        <v>0</v>
      </c>
      <c r="H564" s="101">
        <v>0</v>
      </c>
      <c r="I564" s="101">
        <v>0</v>
      </c>
      <c r="J564" s="101">
        <v>0</v>
      </c>
    </row>
    <row r="565" spans="1:10" ht="15" x14ac:dyDescent="0.2">
      <c r="A565" t="s">
        <v>80</v>
      </c>
      <c r="B565" s="102" t="s">
        <v>162</v>
      </c>
      <c r="C565" s="100">
        <f t="shared" si="12"/>
        <v>12</v>
      </c>
      <c r="D565" s="103">
        <v>0</v>
      </c>
      <c r="E565" s="103">
        <v>0</v>
      </c>
      <c r="F565" s="101">
        <v>0</v>
      </c>
      <c r="G565" s="101">
        <v>0</v>
      </c>
      <c r="H565" s="101">
        <v>0</v>
      </c>
      <c r="I565" s="101">
        <v>0</v>
      </c>
      <c r="J565" s="101">
        <v>0</v>
      </c>
    </row>
    <row r="566" spans="1:10" ht="15" x14ac:dyDescent="0.2">
      <c r="A566" t="s">
        <v>77</v>
      </c>
      <c r="B566" s="99" t="s">
        <v>151</v>
      </c>
      <c r="C566" s="100">
        <f t="shared" si="12"/>
        <v>1</v>
      </c>
      <c r="D566" s="101">
        <v>2</v>
      </c>
      <c r="E566" s="101">
        <v>50</v>
      </c>
      <c r="F566" s="101">
        <v>0</v>
      </c>
      <c r="G566" s="101">
        <v>0</v>
      </c>
      <c r="H566" s="101">
        <v>1</v>
      </c>
      <c r="I566" s="101">
        <v>25</v>
      </c>
      <c r="J566" s="101">
        <v>1</v>
      </c>
    </row>
    <row r="567" spans="1:10" ht="15" x14ac:dyDescent="0.2">
      <c r="A567" t="s">
        <v>77</v>
      </c>
      <c r="B567" s="102" t="s">
        <v>152</v>
      </c>
      <c r="C567" s="100">
        <f t="shared" si="12"/>
        <v>2</v>
      </c>
      <c r="D567" s="103">
        <v>0</v>
      </c>
      <c r="E567" s="103">
        <v>0</v>
      </c>
      <c r="F567" s="101">
        <v>0</v>
      </c>
      <c r="G567" s="101">
        <v>0</v>
      </c>
      <c r="H567" s="101">
        <v>1</v>
      </c>
      <c r="I567" s="101">
        <v>25</v>
      </c>
      <c r="J567" s="101">
        <v>0</v>
      </c>
    </row>
    <row r="568" spans="1:10" ht="15" x14ac:dyDescent="0.2">
      <c r="A568" t="s">
        <v>77</v>
      </c>
      <c r="B568" s="99" t="s">
        <v>153</v>
      </c>
      <c r="C568" s="100">
        <f t="shared" si="12"/>
        <v>3</v>
      </c>
      <c r="D568" s="101">
        <v>0</v>
      </c>
      <c r="E568" s="101">
        <v>0</v>
      </c>
      <c r="F568" s="101">
        <v>0</v>
      </c>
      <c r="G568" s="101">
        <v>0</v>
      </c>
      <c r="H568" s="101">
        <v>0</v>
      </c>
      <c r="I568" s="101">
        <v>0</v>
      </c>
      <c r="J568" s="101">
        <v>0</v>
      </c>
    </row>
    <row r="569" spans="1:10" ht="15" x14ac:dyDescent="0.2">
      <c r="A569" t="s">
        <v>77</v>
      </c>
      <c r="B569" s="102" t="s">
        <v>154</v>
      </c>
      <c r="C569" s="100">
        <f t="shared" si="12"/>
        <v>4</v>
      </c>
      <c r="D569" s="103">
        <v>1</v>
      </c>
      <c r="E569" s="103">
        <v>25</v>
      </c>
      <c r="F569" s="101">
        <v>0</v>
      </c>
      <c r="G569" s="101">
        <v>0</v>
      </c>
      <c r="H569" s="101">
        <v>0</v>
      </c>
      <c r="I569" s="101">
        <v>0</v>
      </c>
      <c r="J569" s="101">
        <v>1</v>
      </c>
    </row>
    <row r="570" spans="1:10" ht="15" x14ac:dyDescent="0.2">
      <c r="A570" t="s">
        <v>77</v>
      </c>
      <c r="B570" s="99" t="s">
        <v>155</v>
      </c>
      <c r="C570" s="100">
        <f t="shared" si="12"/>
        <v>5</v>
      </c>
      <c r="D570" s="101">
        <v>0</v>
      </c>
      <c r="E570" s="101">
        <v>0</v>
      </c>
      <c r="F570" s="101">
        <v>0</v>
      </c>
      <c r="G570" s="101">
        <v>0</v>
      </c>
      <c r="H570" s="101">
        <v>1</v>
      </c>
      <c r="I570" s="101">
        <v>25</v>
      </c>
      <c r="J570" s="101">
        <v>0</v>
      </c>
    </row>
    <row r="571" spans="1:10" ht="15" x14ac:dyDescent="0.2">
      <c r="A571" t="s">
        <v>77</v>
      </c>
      <c r="B571" s="102" t="s">
        <v>156</v>
      </c>
      <c r="C571" s="100">
        <f t="shared" si="12"/>
        <v>6</v>
      </c>
      <c r="D571" s="103">
        <v>0</v>
      </c>
      <c r="E571" s="103">
        <v>0</v>
      </c>
      <c r="F571" s="101">
        <v>0</v>
      </c>
      <c r="G571" s="101">
        <v>0</v>
      </c>
      <c r="H571" s="101">
        <v>0</v>
      </c>
      <c r="I571" s="101">
        <v>0</v>
      </c>
      <c r="J571" s="101">
        <v>0</v>
      </c>
    </row>
    <row r="572" spans="1:10" ht="15" x14ac:dyDescent="0.2">
      <c r="A572" t="s">
        <v>77</v>
      </c>
      <c r="B572" s="99" t="s">
        <v>157</v>
      </c>
      <c r="C572" s="100">
        <f t="shared" si="12"/>
        <v>7</v>
      </c>
      <c r="D572" s="101">
        <v>0</v>
      </c>
      <c r="E572" s="101">
        <v>0</v>
      </c>
      <c r="F572" s="101">
        <v>0</v>
      </c>
      <c r="G572" s="101">
        <v>0</v>
      </c>
      <c r="H572" s="101">
        <v>0</v>
      </c>
      <c r="I572" s="101">
        <v>0</v>
      </c>
      <c r="J572" s="101">
        <v>0</v>
      </c>
    </row>
    <row r="573" spans="1:10" ht="15" x14ac:dyDescent="0.2">
      <c r="A573" t="s">
        <v>77</v>
      </c>
      <c r="B573" s="102" t="s">
        <v>158</v>
      </c>
      <c r="C573" s="100">
        <f t="shared" si="12"/>
        <v>8</v>
      </c>
      <c r="D573" s="103">
        <v>0</v>
      </c>
      <c r="E573" s="103">
        <v>0</v>
      </c>
      <c r="F573" s="101">
        <v>0</v>
      </c>
      <c r="G573" s="101">
        <v>0</v>
      </c>
      <c r="H573" s="101">
        <v>0</v>
      </c>
      <c r="I573" s="101">
        <v>0</v>
      </c>
      <c r="J573" s="101">
        <v>0</v>
      </c>
    </row>
    <row r="574" spans="1:10" ht="15" x14ac:dyDescent="0.2">
      <c r="A574" t="s">
        <v>77</v>
      </c>
      <c r="B574" s="99" t="s">
        <v>159</v>
      </c>
      <c r="C574" s="100">
        <f t="shared" si="12"/>
        <v>9</v>
      </c>
      <c r="D574" s="101">
        <v>0</v>
      </c>
      <c r="E574" s="101">
        <v>0</v>
      </c>
      <c r="F574" s="101">
        <v>0</v>
      </c>
      <c r="G574" s="101">
        <v>0</v>
      </c>
      <c r="H574" s="101">
        <v>4</v>
      </c>
      <c r="I574" s="101">
        <v>100</v>
      </c>
      <c r="J574" s="101">
        <v>0</v>
      </c>
    </row>
    <row r="575" spans="1:10" ht="15" x14ac:dyDescent="0.2">
      <c r="A575" t="s">
        <v>77</v>
      </c>
      <c r="B575" s="102" t="s">
        <v>160</v>
      </c>
      <c r="C575" s="100">
        <f t="shared" si="12"/>
        <v>10</v>
      </c>
      <c r="D575" s="103">
        <v>0</v>
      </c>
      <c r="E575" s="103">
        <v>0</v>
      </c>
      <c r="F575" s="101">
        <v>0</v>
      </c>
      <c r="G575" s="101">
        <v>0</v>
      </c>
      <c r="H575" s="101">
        <v>0</v>
      </c>
      <c r="I575" s="101">
        <v>0</v>
      </c>
      <c r="J575" s="101">
        <v>0</v>
      </c>
    </row>
    <row r="576" spans="1:10" ht="15" x14ac:dyDescent="0.2">
      <c r="A576" t="s">
        <v>77</v>
      </c>
      <c r="B576" s="99" t="s">
        <v>161</v>
      </c>
      <c r="C576" s="100">
        <f t="shared" si="12"/>
        <v>11</v>
      </c>
      <c r="D576" s="101">
        <v>0</v>
      </c>
      <c r="E576" s="101">
        <v>0</v>
      </c>
      <c r="F576" s="101">
        <v>0</v>
      </c>
      <c r="G576" s="101">
        <v>0</v>
      </c>
      <c r="H576" s="101">
        <v>0</v>
      </c>
      <c r="I576" s="101">
        <v>0</v>
      </c>
      <c r="J576" s="101">
        <v>0</v>
      </c>
    </row>
    <row r="577" spans="1:10" ht="15" x14ac:dyDescent="0.2">
      <c r="A577" t="s">
        <v>77</v>
      </c>
      <c r="B577" s="102" t="s">
        <v>162</v>
      </c>
      <c r="C577" s="100">
        <f t="shared" si="12"/>
        <v>12</v>
      </c>
      <c r="D577" s="103">
        <v>0</v>
      </c>
      <c r="E577" s="103">
        <v>0</v>
      </c>
      <c r="F577" s="101">
        <v>0</v>
      </c>
      <c r="G577" s="101">
        <v>0</v>
      </c>
      <c r="H577" s="101">
        <v>0</v>
      </c>
      <c r="I577" s="101">
        <v>0</v>
      </c>
      <c r="J577" s="101">
        <v>0</v>
      </c>
    </row>
    <row r="578" spans="1:10" ht="15" x14ac:dyDescent="0.2">
      <c r="A578" t="s">
        <v>52</v>
      </c>
      <c r="B578" s="99" t="s">
        <v>151</v>
      </c>
      <c r="C578" s="100">
        <f t="shared" si="12"/>
        <v>1</v>
      </c>
      <c r="D578" s="101">
        <v>0</v>
      </c>
      <c r="E578" s="101">
        <v>0</v>
      </c>
      <c r="F578" s="101">
        <v>0</v>
      </c>
      <c r="G578" s="101">
        <v>0</v>
      </c>
      <c r="H578" s="101">
        <v>0</v>
      </c>
      <c r="I578" s="101">
        <v>0</v>
      </c>
      <c r="J578" s="101">
        <v>0</v>
      </c>
    </row>
    <row r="579" spans="1:10" ht="15" x14ac:dyDescent="0.2">
      <c r="A579" t="s">
        <v>52</v>
      </c>
      <c r="B579" s="102" t="s">
        <v>152</v>
      </c>
      <c r="C579" s="100">
        <f t="shared" si="12"/>
        <v>2</v>
      </c>
      <c r="D579" s="103">
        <v>0</v>
      </c>
      <c r="E579" s="103">
        <v>0</v>
      </c>
      <c r="F579" s="101">
        <v>0</v>
      </c>
      <c r="G579" s="101">
        <v>0</v>
      </c>
      <c r="H579" s="101">
        <v>0</v>
      </c>
      <c r="I579" s="101">
        <v>0</v>
      </c>
      <c r="J579" s="101">
        <v>0</v>
      </c>
    </row>
    <row r="580" spans="1:10" ht="15" x14ac:dyDescent="0.2">
      <c r="A580" t="s">
        <v>52</v>
      </c>
      <c r="B580" s="99" t="s">
        <v>153</v>
      </c>
      <c r="C580" s="100">
        <f t="shared" si="12"/>
        <v>3</v>
      </c>
      <c r="D580" s="101">
        <v>6</v>
      </c>
      <c r="E580" s="101">
        <v>100</v>
      </c>
      <c r="F580" s="101">
        <v>0</v>
      </c>
      <c r="G580" s="101">
        <v>0</v>
      </c>
      <c r="H580" s="101">
        <v>0</v>
      </c>
      <c r="I580" s="101">
        <v>0</v>
      </c>
      <c r="J580" s="101">
        <v>2</v>
      </c>
    </row>
    <row r="581" spans="1:10" ht="15" x14ac:dyDescent="0.2">
      <c r="A581" t="s">
        <v>52</v>
      </c>
      <c r="B581" s="102" t="s">
        <v>154</v>
      </c>
      <c r="C581" s="100">
        <f t="shared" si="12"/>
        <v>4</v>
      </c>
      <c r="D581" s="103">
        <v>0</v>
      </c>
      <c r="E581" s="103">
        <v>0</v>
      </c>
      <c r="F581" s="101">
        <v>0</v>
      </c>
      <c r="G581" s="101">
        <v>0</v>
      </c>
      <c r="H581" s="101">
        <v>0</v>
      </c>
      <c r="I581" s="101">
        <v>0</v>
      </c>
      <c r="J581" s="101">
        <v>0</v>
      </c>
    </row>
    <row r="582" spans="1:10" ht="15" x14ac:dyDescent="0.2">
      <c r="A582" t="s">
        <v>52</v>
      </c>
      <c r="B582" s="99" t="s">
        <v>155</v>
      </c>
      <c r="C582" s="100">
        <f t="shared" si="12"/>
        <v>5</v>
      </c>
      <c r="D582" s="101">
        <v>0</v>
      </c>
      <c r="E582" s="101">
        <v>0</v>
      </c>
      <c r="F582" s="101">
        <v>0</v>
      </c>
      <c r="G582" s="101">
        <v>0</v>
      </c>
      <c r="H582" s="101">
        <v>0</v>
      </c>
      <c r="I582" s="101">
        <v>0</v>
      </c>
      <c r="J582" s="101">
        <v>0</v>
      </c>
    </row>
    <row r="583" spans="1:10" ht="15" x14ac:dyDescent="0.2">
      <c r="A583" t="s">
        <v>52</v>
      </c>
      <c r="B583" s="102" t="s">
        <v>156</v>
      </c>
      <c r="C583" s="100">
        <f t="shared" si="12"/>
        <v>6</v>
      </c>
      <c r="D583" s="103">
        <v>0</v>
      </c>
      <c r="E583" s="103">
        <v>0</v>
      </c>
      <c r="F583" s="101">
        <v>0</v>
      </c>
      <c r="G583" s="101">
        <v>0</v>
      </c>
      <c r="H583" s="101">
        <v>0</v>
      </c>
      <c r="I583" s="101">
        <v>0</v>
      </c>
      <c r="J583" s="101">
        <v>0</v>
      </c>
    </row>
    <row r="584" spans="1:10" ht="15" x14ac:dyDescent="0.2">
      <c r="A584" t="s">
        <v>52</v>
      </c>
      <c r="B584" s="99" t="s">
        <v>157</v>
      </c>
      <c r="C584" s="100">
        <f t="shared" si="12"/>
        <v>7</v>
      </c>
      <c r="D584" s="101">
        <v>0</v>
      </c>
      <c r="E584" s="101">
        <v>0</v>
      </c>
      <c r="F584" s="101">
        <v>0</v>
      </c>
      <c r="G584" s="101">
        <v>0</v>
      </c>
      <c r="H584" s="101">
        <v>0</v>
      </c>
      <c r="I584" s="101">
        <v>0</v>
      </c>
      <c r="J584" s="101">
        <v>0</v>
      </c>
    </row>
    <row r="585" spans="1:10" ht="15" x14ac:dyDescent="0.2">
      <c r="A585" t="s">
        <v>52</v>
      </c>
      <c r="B585" s="102" t="s">
        <v>158</v>
      </c>
      <c r="C585" s="100">
        <f t="shared" si="12"/>
        <v>8</v>
      </c>
      <c r="D585" s="103">
        <v>0</v>
      </c>
      <c r="E585" s="103">
        <v>0</v>
      </c>
      <c r="F585" s="101">
        <v>0</v>
      </c>
      <c r="G585" s="101">
        <v>0</v>
      </c>
      <c r="H585" s="101">
        <v>0</v>
      </c>
      <c r="I585" s="101">
        <v>0</v>
      </c>
      <c r="J585" s="101">
        <v>0</v>
      </c>
    </row>
    <row r="586" spans="1:10" ht="15" x14ac:dyDescent="0.2">
      <c r="A586" t="s">
        <v>52</v>
      </c>
      <c r="B586" s="99" t="s">
        <v>159</v>
      </c>
      <c r="C586" s="100">
        <f t="shared" ref="C586:C661" si="13">_xlfn.IFS(B586="Janeiro",1,B586="Fevereiro",2,B586="Março",3,B586="Abril",4,B586="Maio",5,B586="Junho",6,B586="Julho",7,B586="Agosto",8,B586="Setembro",9,B586="Outubro",10,B586="Novembro",11,B586="Dezembro",12,TRUE,0)</f>
        <v>9</v>
      </c>
      <c r="D586" s="101">
        <v>0</v>
      </c>
      <c r="E586" s="101">
        <v>0</v>
      </c>
      <c r="F586" s="101">
        <v>0</v>
      </c>
      <c r="G586" s="101">
        <v>0</v>
      </c>
      <c r="H586" s="101">
        <v>0</v>
      </c>
      <c r="I586" s="101">
        <v>0</v>
      </c>
      <c r="J586" s="101">
        <v>0</v>
      </c>
    </row>
    <row r="587" spans="1:10" ht="15" x14ac:dyDescent="0.2">
      <c r="A587" t="s">
        <v>52</v>
      </c>
      <c r="B587" s="102" t="s">
        <v>160</v>
      </c>
      <c r="C587" s="100">
        <f t="shared" si="13"/>
        <v>10</v>
      </c>
      <c r="D587" s="103">
        <v>0</v>
      </c>
      <c r="E587" s="103">
        <v>0</v>
      </c>
      <c r="F587" s="101">
        <v>0</v>
      </c>
      <c r="G587" s="101">
        <v>0</v>
      </c>
      <c r="H587" s="101">
        <v>0</v>
      </c>
      <c r="I587" s="101">
        <v>0</v>
      </c>
      <c r="J587" s="101">
        <v>0</v>
      </c>
    </row>
    <row r="588" spans="1:10" ht="15" x14ac:dyDescent="0.2">
      <c r="A588" t="s">
        <v>52</v>
      </c>
      <c r="B588" s="99" t="s">
        <v>161</v>
      </c>
      <c r="C588" s="100">
        <f t="shared" si="13"/>
        <v>11</v>
      </c>
      <c r="D588" s="101">
        <v>0</v>
      </c>
      <c r="E588" s="101">
        <v>0</v>
      </c>
      <c r="F588" s="101">
        <v>0</v>
      </c>
      <c r="G588" s="101">
        <v>0</v>
      </c>
      <c r="H588" s="101">
        <v>0</v>
      </c>
      <c r="I588" s="101">
        <v>0</v>
      </c>
      <c r="J588" s="101">
        <v>0</v>
      </c>
    </row>
    <row r="589" spans="1:10" ht="15" x14ac:dyDescent="0.2">
      <c r="A589" t="s">
        <v>52</v>
      </c>
      <c r="B589" s="102" t="s">
        <v>162</v>
      </c>
      <c r="C589" s="100">
        <f t="shared" si="13"/>
        <v>12</v>
      </c>
      <c r="D589" s="103">
        <v>0</v>
      </c>
      <c r="E589" s="103">
        <v>0</v>
      </c>
      <c r="F589" s="101">
        <v>0</v>
      </c>
      <c r="G589" s="101">
        <v>0</v>
      </c>
      <c r="H589" s="101">
        <v>0</v>
      </c>
      <c r="I589" s="101">
        <v>0</v>
      </c>
      <c r="J589" s="101">
        <v>0</v>
      </c>
    </row>
    <row r="590" spans="1:10" ht="15" x14ac:dyDescent="0.2">
      <c r="A590" t="s">
        <v>105</v>
      </c>
      <c r="B590" s="99" t="s">
        <v>151</v>
      </c>
      <c r="C590" s="100">
        <f t="shared" si="13"/>
        <v>1</v>
      </c>
      <c r="D590" s="101">
        <v>0</v>
      </c>
      <c r="E590" s="101">
        <v>0</v>
      </c>
      <c r="F590" s="101">
        <v>0</v>
      </c>
      <c r="G590" s="101">
        <v>0</v>
      </c>
      <c r="H590" s="101">
        <v>0</v>
      </c>
      <c r="I590" s="101">
        <v>0</v>
      </c>
      <c r="J590" s="101">
        <v>0</v>
      </c>
    </row>
    <row r="591" spans="1:10" ht="15" x14ac:dyDescent="0.2">
      <c r="A591" t="s">
        <v>105</v>
      </c>
      <c r="B591" s="102" t="s">
        <v>152</v>
      </c>
      <c r="C591" s="100">
        <f t="shared" si="13"/>
        <v>2</v>
      </c>
      <c r="D591" s="103">
        <v>0</v>
      </c>
      <c r="E591" s="103">
        <v>0</v>
      </c>
      <c r="F591" s="101">
        <v>0</v>
      </c>
      <c r="G591" s="101">
        <v>0</v>
      </c>
      <c r="H591" s="101">
        <v>0</v>
      </c>
      <c r="I591" s="101">
        <v>0</v>
      </c>
      <c r="J591" s="101">
        <v>0</v>
      </c>
    </row>
    <row r="592" spans="1:10" ht="15" x14ac:dyDescent="0.2">
      <c r="A592" t="s">
        <v>105</v>
      </c>
      <c r="B592" s="99" t="s">
        <v>153</v>
      </c>
      <c r="C592" s="100">
        <f t="shared" si="13"/>
        <v>3</v>
      </c>
      <c r="D592" s="101">
        <v>0</v>
      </c>
      <c r="E592" s="101">
        <v>0</v>
      </c>
      <c r="F592" s="101">
        <v>0</v>
      </c>
      <c r="G592" s="101">
        <v>0</v>
      </c>
      <c r="H592" s="101">
        <v>0</v>
      </c>
      <c r="I592" s="101">
        <v>0</v>
      </c>
      <c r="J592" s="101">
        <v>0</v>
      </c>
    </row>
    <row r="593" spans="1:10" ht="15" x14ac:dyDescent="0.2">
      <c r="A593" t="s">
        <v>105</v>
      </c>
      <c r="B593" s="102" t="s">
        <v>154</v>
      </c>
      <c r="C593" s="100">
        <f t="shared" si="13"/>
        <v>4</v>
      </c>
      <c r="D593" s="103">
        <v>0</v>
      </c>
      <c r="E593" s="103">
        <v>0</v>
      </c>
      <c r="F593" s="101">
        <v>0</v>
      </c>
      <c r="G593" s="101">
        <v>0</v>
      </c>
      <c r="H593" s="101">
        <v>0</v>
      </c>
      <c r="I593" s="101">
        <v>0</v>
      </c>
      <c r="J593" s="101">
        <v>0</v>
      </c>
    </row>
    <row r="594" spans="1:10" ht="15" x14ac:dyDescent="0.2">
      <c r="A594" t="s">
        <v>105</v>
      </c>
      <c r="B594" s="99" t="s">
        <v>155</v>
      </c>
      <c r="C594" s="100">
        <f t="shared" si="13"/>
        <v>5</v>
      </c>
      <c r="D594" s="101">
        <v>0</v>
      </c>
      <c r="E594" s="101">
        <v>0</v>
      </c>
      <c r="F594" s="101">
        <v>0</v>
      </c>
      <c r="G594" s="101">
        <v>0</v>
      </c>
      <c r="H594" s="101">
        <v>3</v>
      </c>
      <c r="I594" s="101">
        <v>50</v>
      </c>
      <c r="J594" s="101">
        <v>0</v>
      </c>
    </row>
    <row r="595" spans="1:10" ht="15" x14ac:dyDescent="0.2">
      <c r="A595" t="s">
        <v>105</v>
      </c>
      <c r="B595" s="102" t="s">
        <v>156</v>
      </c>
      <c r="C595" s="100">
        <f t="shared" si="13"/>
        <v>6</v>
      </c>
      <c r="D595" s="103">
        <v>0</v>
      </c>
      <c r="E595" s="103">
        <v>0</v>
      </c>
      <c r="F595" s="101">
        <v>0</v>
      </c>
      <c r="G595" s="101">
        <v>0</v>
      </c>
      <c r="H595" s="101">
        <v>0</v>
      </c>
      <c r="I595" s="101">
        <v>0</v>
      </c>
      <c r="J595" s="101">
        <v>0</v>
      </c>
    </row>
    <row r="596" spans="1:10" ht="15" x14ac:dyDescent="0.2">
      <c r="A596" t="s">
        <v>105</v>
      </c>
      <c r="B596" s="99" t="s">
        <v>157</v>
      </c>
      <c r="C596" s="100">
        <f t="shared" si="13"/>
        <v>7</v>
      </c>
      <c r="D596" s="101">
        <v>1</v>
      </c>
      <c r="E596" s="101">
        <v>16</v>
      </c>
      <c r="F596" s="101">
        <v>0</v>
      </c>
      <c r="G596" s="101">
        <v>0</v>
      </c>
      <c r="H596" s="101">
        <v>0</v>
      </c>
      <c r="I596" s="101">
        <v>0</v>
      </c>
      <c r="J596" s="101">
        <v>1</v>
      </c>
    </row>
    <row r="597" spans="1:10" ht="15" x14ac:dyDescent="0.2">
      <c r="A597" t="s">
        <v>105</v>
      </c>
      <c r="B597" s="102" t="s">
        <v>158</v>
      </c>
      <c r="C597" s="100">
        <f t="shared" si="13"/>
        <v>8</v>
      </c>
      <c r="D597" s="103">
        <v>1</v>
      </c>
      <c r="E597" s="103">
        <v>16</v>
      </c>
      <c r="F597" s="101">
        <v>0</v>
      </c>
      <c r="G597" s="101">
        <v>0</v>
      </c>
      <c r="H597" s="101">
        <v>0</v>
      </c>
      <c r="I597" s="101">
        <v>0</v>
      </c>
      <c r="J597" s="101">
        <v>1</v>
      </c>
    </row>
    <row r="598" spans="1:10" ht="15" x14ac:dyDescent="0.2">
      <c r="A598" t="s">
        <v>105</v>
      </c>
      <c r="B598" s="99" t="s">
        <v>159</v>
      </c>
      <c r="C598" s="100">
        <f t="shared" si="13"/>
        <v>9</v>
      </c>
      <c r="D598" s="101">
        <v>0</v>
      </c>
      <c r="E598" s="101">
        <v>0</v>
      </c>
      <c r="F598" s="101">
        <v>0</v>
      </c>
      <c r="G598" s="101">
        <v>0</v>
      </c>
      <c r="H598" s="101">
        <v>0</v>
      </c>
      <c r="I598" s="101">
        <v>0</v>
      </c>
      <c r="J598" s="101">
        <v>0</v>
      </c>
    </row>
    <row r="599" spans="1:10" ht="15" x14ac:dyDescent="0.2">
      <c r="A599" t="s">
        <v>105</v>
      </c>
      <c r="B599" s="102" t="s">
        <v>160</v>
      </c>
      <c r="C599" s="100">
        <f t="shared" si="13"/>
        <v>10</v>
      </c>
      <c r="D599" s="103">
        <v>0</v>
      </c>
      <c r="E599" s="103">
        <v>0</v>
      </c>
      <c r="F599" s="101">
        <v>0</v>
      </c>
      <c r="G599" s="101">
        <v>0</v>
      </c>
      <c r="H599" s="101">
        <v>0</v>
      </c>
      <c r="I599" s="101">
        <v>0</v>
      </c>
      <c r="J599" s="101">
        <v>0</v>
      </c>
    </row>
    <row r="600" spans="1:10" ht="15" x14ac:dyDescent="0.2">
      <c r="A600" t="s">
        <v>105</v>
      </c>
      <c r="B600" s="99" t="s">
        <v>161</v>
      </c>
      <c r="C600" s="100">
        <f t="shared" si="13"/>
        <v>11</v>
      </c>
      <c r="D600" s="101">
        <v>0</v>
      </c>
      <c r="E600" s="101">
        <v>0</v>
      </c>
      <c r="F600" s="101">
        <v>0</v>
      </c>
      <c r="G600" s="101">
        <v>0</v>
      </c>
      <c r="H600" s="101">
        <v>0</v>
      </c>
      <c r="I600" s="101">
        <v>0</v>
      </c>
      <c r="J600" s="101">
        <v>0</v>
      </c>
    </row>
    <row r="601" spans="1:10" ht="15" x14ac:dyDescent="0.2">
      <c r="A601" t="s">
        <v>105</v>
      </c>
      <c r="B601" s="102" t="s">
        <v>162</v>
      </c>
      <c r="C601" s="100">
        <f t="shared" si="13"/>
        <v>12</v>
      </c>
      <c r="D601" s="103">
        <v>0</v>
      </c>
      <c r="E601" s="103">
        <v>0</v>
      </c>
      <c r="F601" s="101">
        <v>0</v>
      </c>
      <c r="G601" s="101">
        <v>0</v>
      </c>
      <c r="H601" s="101">
        <v>0</v>
      </c>
      <c r="I601" s="101">
        <v>0</v>
      </c>
      <c r="J601" s="101">
        <v>0</v>
      </c>
    </row>
    <row r="602" spans="1:10" ht="15" x14ac:dyDescent="0.2">
      <c r="A602" t="s">
        <v>98</v>
      </c>
      <c r="B602" s="99" t="s">
        <v>151</v>
      </c>
      <c r="C602" s="100">
        <f t="shared" si="13"/>
        <v>1</v>
      </c>
      <c r="D602" s="101">
        <v>14</v>
      </c>
      <c r="E602" s="101">
        <v>38</v>
      </c>
      <c r="F602" s="101">
        <v>0</v>
      </c>
      <c r="G602" s="101">
        <v>0</v>
      </c>
      <c r="H602" s="101">
        <v>7</v>
      </c>
      <c r="I602" s="101">
        <v>19</v>
      </c>
      <c r="J602" s="101">
        <v>6</v>
      </c>
    </row>
    <row r="603" spans="1:10" ht="15" x14ac:dyDescent="0.2">
      <c r="A603" t="s">
        <v>98</v>
      </c>
      <c r="B603" s="102" t="s">
        <v>152</v>
      </c>
      <c r="C603" s="100">
        <f t="shared" si="13"/>
        <v>2</v>
      </c>
      <c r="D603" s="103">
        <v>7</v>
      </c>
      <c r="E603" s="103">
        <v>19</v>
      </c>
      <c r="F603" s="101">
        <v>0</v>
      </c>
      <c r="G603" s="101">
        <v>0</v>
      </c>
      <c r="H603" s="101">
        <v>7</v>
      </c>
      <c r="I603" s="101">
        <v>19</v>
      </c>
      <c r="J603" s="101">
        <v>3</v>
      </c>
    </row>
    <row r="604" spans="1:10" ht="15" x14ac:dyDescent="0.2">
      <c r="A604" t="s">
        <v>98</v>
      </c>
      <c r="B604" s="99" t="s">
        <v>153</v>
      </c>
      <c r="C604" s="100">
        <f t="shared" si="13"/>
        <v>3</v>
      </c>
      <c r="D604" s="101">
        <v>7</v>
      </c>
      <c r="E604" s="101">
        <v>19</v>
      </c>
      <c r="F604" s="101">
        <v>1</v>
      </c>
      <c r="G604" s="101">
        <v>0</v>
      </c>
      <c r="H604" s="101">
        <v>0</v>
      </c>
      <c r="I604" s="101">
        <v>0</v>
      </c>
      <c r="J604" s="101">
        <v>3</v>
      </c>
    </row>
    <row r="605" spans="1:10" ht="15" x14ac:dyDescent="0.2">
      <c r="A605" t="s">
        <v>98</v>
      </c>
      <c r="B605" s="102" t="s">
        <v>154</v>
      </c>
      <c r="C605" s="100">
        <f t="shared" si="13"/>
        <v>4</v>
      </c>
      <c r="D605" s="103">
        <v>2</v>
      </c>
      <c r="E605" s="103">
        <v>5</v>
      </c>
      <c r="F605" s="101">
        <v>2</v>
      </c>
      <c r="G605" s="101">
        <v>0</v>
      </c>
      <c r="H605" s="101">
        <v>0</v>
      </c>
      <c r="I605" s="101">
        <v>0</v>
      </c>
      <c r="J605" s="101">
        <v>1</v>
      </c>
    </row>
    <row r="606" spans="1:10" ht="15" x14ac:dyDescent="0.2">
      <c r="A606" t="s">
        <v>98</v>
      </c>
      <c r="B606" s="99" t="s">
        <v>155</v>
      </c>
      <c r="C606" s="100">
        <f t="shared" si="13"/>
        <v>5</v>
      </c>
      <c r="D606" s="101">
        <v>12</v>
      </c>
      <c r="E606" s="101">
        <v>33</v>
      </c>
      <c r="F606" s="101">
        <v>1</v>
      </c>
      <c r="G606" s="101">
        <v>1</v>
      </c>
      <c r="H606" s="101">
        <v>12</v>
      </c>
      <c r="I606" s="101">
        <v>33</v>
      </c>
      <c r="J606" s="101">
        <v>7</v>
      </c>
    </row>
    <row r="607" spans="1:10" ht="15" x14ac:dyDescent="0.2">
      <c r="A607" t="s">
        <v>98</v>
      </c>
      <c r="B607" s="102" t="s">
        <v>156</v>
      </c>
      <c r="C607" s="100">
        <f t="shared" si="13"/>
        <v>6</v>
      </c>
      <c r="D607" s="103">
        <v>9</v>
      </c>
      <c r="E607" s="103">
        <v>25</v>
      </c>
      <c r="F607" s="101">
        <v>2</v>
      </c>
      <c r="G607" s="101">
        <v>1</v>
      </c>
      <c r="H607" s="101">
        <v>0</v>
      </c>
      <c r="I607" s="101">
        <v>0</v>
      </c>
      <c r="J607" s="101">
        <v>6</v>
      </c>
    </row>
    <row r="608" spans="1:10" ht="15" x14ac:dyDescent="0.2">
      <c r="A608" t="s">
        <v>98</v>
      </c>
      <c r="B608" s="99" t="s">
        <v>157</v>
      </c>
      <c r="C608" s="100">
        <f t="shared" si="13"/>
        <v>7</v>
      </c>
      <c r="D608" s="101">
        <v>11</v>
      </c>
      <c r="E608" s="101">
        <v>30</v>
      </c>
      <c r="F608" s="101">
        <v>1</v>
      </c>
      <c r="G608" s="101">
        <v>1</v>
      </c>
      <c r="H608" s="101">
        <v>0</v>
      </c>
      <c r="I608" s="101">
        <v>0</v>
      </c>
      <c r="J608" s="101">
        <v>12</v>
      </c>
    </row>
    <row r="609" spans="1:10" ht="15" x14ac:dyDescent="0.2">
      <c r="A609" t="s">
        <v>98</v>
      </c>
      <c r="B609" s="102" t="s">
        <v>158</v>
      </c>
      <c r="C609" s="100">
        <f t="shared" si="13"/>
        <v>8</v>
      </c>
      <c r="D609" s="103">
        <v>0</v>
      </c>
      <c r="E609" s="103">
        <v>0</v>
      </c>
      <c r="F609" s="101">
        <v>0</v>
      </c>
      <c r="G609" s="101">
        <v>0</v>
      </c>
      <c r="H609" s="101">
        <v>0</v>
      </c>
      <c r="I609" s="101">
        <v>0</v>
      </c>
      <c r="J609" s="101">
        <v>0</v>
      </c>
    </row>
    <row r="610" spans="1:10" ht="15" x14ac:dyDescent="0.2">
      <c r="A610" t="s">
        <v>98</v>
      </c>
      <c r="B610" s="99" t="s">
        <v>159</v>
      </c>
      <c r="C610" s="100">
        <f t="shared" si="13"/>
        <v>9</v>
      </c>
      <c r="D610" s="101">
        <v>1</v>
      </c>
      <c r="E610" s="101">
        <v>2</v>
      </c>
      <c r="F610" s="101">
        <v>0</v>
      </c>
      <c r="G610" s="101">
        <v>0</v>
      </c>
      <c r="H610" s="101">
        <v>0</v>
      </c>
      <c r="I610" s="101">
        <v>0</v>
      </c>
      <c r="J610" s="101">
        <v>4</v>
      </c>
    </row>
    <row r="611" spans="1:10" ht="15" x14ac:dyDescent="0.2">
      <c r="A611" t="s">
        <v>98</v>
      </c>
      <c r="B611" s="102" t="s">
        <v>160</v>
      </c>
      <c r="C611" s="100">
        <f t="shared" si="13"/>
        <v>10</v>
      </c>
      <c r="D611" s="103">
        <v>0</v>
      </c>
      <c r="E611" s="103">
        <v>0</v>
      </c>
      <c r="F611" s="101">
        <v>0</v>
      </c>
      <c r="G611" s="101">
        <v>0</v>
      </c>
      <c r="H611" s="101">
        <v>0</v>
      </c>
      <c r="I611" s="101">
        <v>0</v>
      </c>
      <c r="J611" s="101">
        <v>0</v>
      </c>
    </row>
    <row r="612" spans="1:10" ht="15" x14ac:dyDescent="0.2">
      <c r="A612" t="s">
        <v>98</v>
      </c>
      <c r="B612" s="99" t="s">
        <v>161</v>
      </c>
      <c r="C612" s="100">
        <f t="shared" si="13"/>
        <v>11</v>
      </c>
      <c r="D612" s="101">
        <v>0</v>
      </c>
      <c r="E612" s="101">
        <v>0</v>
      </c>
      <c r="F612" s="101">
        <v>0</v>
      </c>
      <c r="G612" s="101">
        <v>0</v>
      </c>
      <c r="H612" s="101">
        <v>0</v>
      </c>
      <c r="I612" s="101">
        <v>0</v>
      </c>
      <c r="J612" s="101">
        <v>0</v>
      </c>
    </row>
    <row r="613" spans="1:10" ht="15" x14ac:dyDescent="0.2">
      <c r="A613" t="s">
        <v>98</v>
      </c>
      <c r="B613" s="102" t="s">
        <v>162</v>
      </c>
      <c r="C613" s="100">
        <f t="shared" si="13"/>
        <v>12</v>
      </c>
      <c r="D613" s="103">
        <v>0</v>
      </c>
      <c r="E613" s="103">
        <v>0</v>
      </c>
      <c r="F613" s="101">
        <v>0</v>
      </c>
      <c r="G613" s="101">
        <v>0</v>
      </c>
      <c r="H613" s="101">
        <v>0</v>
      </c>
      <c r="I613" s="101">
        <v>0</v>
      </c>
      <c r="J613" s="101">
        <v>0</v>
      </c>
    </row>
    <row r="614" spans="1:10" ht="15" x14ac:dyDescent="0.2">
      <c r="A614" t="s">
        <v>109</v>
      </c>
      <c r="B614" s="99" t="s">
        <v>151</v>
      </c>
      <c r="C614" s="100">
        <f t="shared" si="13"/>
        <v>1</v>
      </c>
      <c r="D614" s="101">
        <v>0</v>
      </c>
      <c r="E614" s="101">
        <v>0</v>
      </c>
      <c r="F614" s="101">
        <v>0</v>
      </c>
      <c r="G614" s="101">
        <v>0</v>
      </c>
      <c r="H614" s="101">
        <v>0</v>
      </c>
      <c r="I614" s="101">
        <v>0</v>
      </c>
      <c r="J614" s="101">
        <v>0</v>
      </c>
    </row>
    <row r="615" spans="1:10" ht="15" x14ac:dyDescent="0.2">
      <c r="A615" t="s">
        <v>109</v>
      </c>
      <c r="B615" s="102" t="s">
        <v>152</v>
      </c>
      <c r="C615" s="100">
        <f t="shared" si="13"/>
        <v>2</v>
      </c>
      <c r="D615" s="103">
        <v>0</v>
      </c>
      <c r="E615" s="103">
        <v>0</v>
      </c>
      <c r="F615" s="101">
        <v>1</v>
      </c>
      <c r="G615" s="101">
        <v>0</v>
      </c>
      <c r="H615" s="101">
        <v>0</v>
      </c>
      <c r="I615" s="101">
        <v>0</v>
      </c>
      <c r="J615" s="101">
        <v>0</v>
      </c>
    </row>
    <row r="616" spans="1:10" ht="15" x14ac:dyDescent="0.2">
      <c r="A616" t="s">
        <v>109</v>
      </c>
      <c r="B616" s="99" t="s">
        <v>153</v>
      </c>
      <c r="C616" s="100">
        <f t="shared" si="13"/>
        <v>3</v>
      </c>
      <c r="D616" s="101">
        <v>0</v>
      </c>
      <c r="E616" s="101">
        <v>0</v>
      </c>
      <c r="F616" s="101">
        <v>0</v>
      </c>
      <c r="G616" s="101">
        <v>0</v>
      </c>
      <c r="H616" s="101">
        <v>0</v>
      </c>
      <c r="I616" s="101">
        <v>0</v>
      </c>
      <c r="J616" s="101">
        <v>0</v>
      </c>
    </row>
    <row r="617" spans="1:10" ht="15" x14ac:dyDescent="0.2">
      <c r="A617" t="s">
        <v>109</v>
      </c>
      <c r="B617" s="102" t="s">
        <v>154</v>
      </c>
      <c r="C617" s="100">
        <f t="shared" si="13"/>
        <v>4</v>
      </c>
      <c r="D617" s="103">
        <v>0</v>
      </c>
      <c r="E617" s="103">
        <v>0</v>
      </c>
      <c r="F617" s="101">
        <v>0</v>
      </c>
      <c r="G617" s="101">
        <v>0</v>
      </c>
      <c r="H617" s="101">
        <v>0</v>
      </c>
      <c r="I617" s="101">
        <v>0</v>
      </c>
      <c r="J617" s="101">
        <v>0</v>
      </c>
    </row>
    <row r="618" spans="1:10" ht="15" x14ac:dyDescent="0.2">
      <c r="A618" t="s">
        <v>109</v>
      </c>
      <c r="B618" s="99" t="s">
        <v>155</v>
      </c>
      <c r="C618" s="100">
        <f t="shared" si="13"/>
        <v>5</v>
      </c>
      <c r="D618" s="101">
        <v>0</v>
      </c>
      <c r="E618" s="101">
        <v>0</v>
      </c>
      <c r="F618" s="101">
        <v>0</v>
      </c>
      <c r="G618" s="101">
        <v>0</v>
      </c>
      <c r="H618" s="101">
        <v>2</v>
      </c>
      <c r="I618" s="101">
        <v>16</v>
      </c>
      <c r="J618" s="101">
        <v>0</v>
      </c>
    </row>
    <row r="619" spans="1:10" ht="15" x14ac:dyDescent="0.2">
      <c r="A619" t="s">
        <v>109</v>
      </c>
      <c r="B619" s="102" t="s">
        <v>156</v>
      </c>
      <c r="C619" s="100">
        <f t="shared" si="13"/>
        <v>6</v>
      </c>
      <c r="D619" s="103">
        <v>0</v>
      </c>
      <c r="E619" s="103">
        <v>0</v>
      </c>
      <c r="F619" s="101">
        <v>0</v>
      </c>
      <c r="G619" s="101">
        <v>0</v>
      </c>
      <c r="H619" s="101">
        <v>0</v>
      </c>
      <c r="I619" s="101">
        <v>0</v>
      </c>
      <c r="J619" s="101">
        <v>0</v>
      </c>
    </row>
    <row r="620" spans="1:10" ht="15" x14ac:dyDescent="0.2">
      <c r="A620" t="s">
        <v>109</v>
      </c>
      <c r="B620" s="99" t="s">
        <v>157</v>
      </c>
      <c r="C620" s="100">
        <f t="shared" si="13"/>
        <v>7</v>
      </c>
      <c r="D620" s="101">
        <v>0</v>
      </c>
      <c r="E620" s="101">
        <v>0</v>
      </c>
      <c r="F620" s="101">
        <v>0</v>
      </c>
      <c r="G620" s="101">
        <v>0</v>
      </c>
      <c r="H620" s="101">
        <v>0</v>
      </c>
      <c r="I620" s="101">
        <v>0</v>
      </c>
      <c r="J620" s="101">
        <v>0</v>
      </c>
    </row>
    <row r="621" spans="1:10" ht="15" x14ac:dyDescent="0.2">
      <c r="A621" t="s">
        <v>109</v>
      </c>
      <c r="B621" s="102" t="s">
        <v>158</v>
      </c>
      <c r="C621" s="100">
        <f t="shared" si="13"/>
        <v>8</v>
      </c>
      <c r="D621" s="103">
        <v>4</v>
      </c>
      <c r="E621" s="103">
        <v>33</v>
      </c>
      <c r="F621" s="101">
        <v>0</v>
      </c>
      <c r="G621" s="101">
        <v>0</v>
      </c>
      <c r="H621" s="101">
        <v>0</v>
      </c>
      <c r="I621" s="101">
        <v>0</v>
      </c>
      <c r="J621" s="101">
        <v>1</v>
      </c>
    </row>
    <row r="622" spans="1:10" ht="15" x14ac:dyDescent="0.2">
      <c r="A622" t="s">
        <v>109</v>
      </c>
      <c r="B622" s="99" t="s">
        <v>159</v>
      </c>
      <c r="C622" s="100">
        <f t="shared" si="13"/>
        <v>9</v>
      </c>
      <c r="D622" s="101">
        <v>0</v>
      </c>
      <c r="E622" s="101">
        <v>0</v>
      </c>
      <c r="F622" s="101">
        <v>1</v>
      </c>
      <c r="G622" s="101">
        <v>0</v>
      </c>
      <c r="H622" s="101">
        <v>0</v>
      </c>
      <c r="I622" s="101">
        <v>0</v>
      </c>
      <c r="J622" s="101">
        <v>0</v>
      </c>
    </row>
    <row r="623" spans="1:10" ht="15" x14ac:dyDescent="0.2">
      <c r="A623" t="s">
        <v>109</v>
      </c>
      <c r="B623" s="102" t="s">
        <v>160</v>
      </c>
      <c r="C623" s="100">
        <f t="shared" si="13"/>
        <v>10</v>
      </c>
      <c r="D623" s="103">
        <v>0</v>
      </c>
      <c r="E623" s="103">
        <v>0</v>
      </c>
      <c r="F623" s="101">
        <v>0</v>
      </c>
      <c r="G623" s="101">
        <v>0</v>
      </c>
      <c r="H623" s="101">
        <v>0</v>
      </c>
      <c r="I623" s="101">
        <v>0</v>
      </c>
      <c r="J623" s="101">
        <v>0</v>
      </c>
    </row>
    <row r="624" spans="1:10" ht="15" x14ac:dyDescent="0.2">
      <c r="A624" t="s">
        <v>109</v>
      </c>
      <c r="B624" s="99" t="s">
        <v>161</v>
      </c>
      <c r="C624" s="100">
        <f t="shared" si="13"/>
        <v>11</v>
      </c>
      <c r="D624" s="101">
        <v>0</v>
      </c>
      <c r="E624" s="101">
        <v>0</v>
      </c>
      <c r="F624" s="101">
        <v>0</v>
      </c>
      <c r="G624" s="101">
        <v>0</v>
      </c>
      <c r="H624" s="101">
        <v>0</v>
      </c>
      <c r="I624" s="101">
        <v>0</v>
      </c>
      <c r="J624" s="101">
        <v>0</v>
      </c>
    </row>
    <row r="625" spans="1:10" ht="15" x14ac:dyDescent="0.2">
      <c r="A625" t="s">
        <v>109</v>
      </c>
      <c r="B625" s="102" t="s">
        <v>162</v>
      </c>
      <c r="C625" s="100">
        <f t="shared" si="13"/>
        <v>12</v>
      </c>
      <c r="D625" s="103">
        <v>0</v>
      </c>
      <c r="E625" s="103">
        <v>0</v>
      </c>
      <c r="F625" s="101">
        <v>0</v>
      </c>
      <c r="G625" s="101">
        <v>0</v>
      </c>
      <c r="H625" s="101">
        <v>0</v>
      </c>
      <c r="I625" s="101">
        <v>0</v>
      </c>
      <c r="J625" s="101">
        <v>0</v>
      </c>
    </row>
    <row r="626" spans="1:10" ht="15" x14ac:dyDescent="0.2">
      <c r="A626" t="s">
        <v>111</v>
      </c>
      <c r="B626" s="99" t="s">
        <v>151</v>
      </c>
      <c r="C626" s="100">
        <f t="shared" ref="C626:C637" si="14">_xlfn.IFS(B626="Janeiro",1,B626="Fevereiro",2,B626="Março",3,B626="Abril",4,B626="Maio",5,B626="Junho",6,B626="Julho",7,B626="Agosto",8,B626="Setembro",9,B626="Outubro",10,B626="Novembro",11,B626="Dezembro",12,TRUE,0)</f>
        <v>1</v>
      </c>
      <c r="D626" s="103">
        <v>0</v>
      </c>
      <c r="E626" s="103">
        <v>0</v>
      </c>
      <c r="F626" s="101">
        <v>0</v>
      </c>
      <c r="G626" s="101"/>
      <c r="H626" s="101">
        <v>0</v>
      </c>
      <c r="I626" s="101">
        <v>0</v>
      </c>
      <c r="J626" s="101">
        <v>0</v>
      </c>
    </row>
    <row r="627" spans="1:10" ht="15" x14ac:dyDescent="0.2">
      <c r="A627" t="s">
        <v>111</v>
      </c>
      <c r="B627" s="102" t="s">
        <v>152</v>
      </c>
      <c r="C627" s="100">
        <f t="shared" si="14"/>
        <v>2</v>
      </c>
      <c r="D627" s="103">
        <v>0</v>
      </c>
      <c r="E627" s="103">
        <v>0</v>
      </c>
      <c r="F627" s="101">
        <v>0</v>
      </c>
      <c r="G627" s="101"/>
      <c r="H627" s="101">
        <v>0</v>
      </c>
      <c r="I627" s="101">
        <v>0</v>
      </c>
      <c r="J627" s="101">
        <v>0</v>
      </c>
    </row>
    <row r="628" spans="1:10" ht="15" x14ac:dyDescent="0.2">
      <c r="A628" t="s">
        <v>111</v>
      </c>
      <c r="B628" s="99" t="s">
        <v>153</v>
      </c>
      <c r="C628" s="100">
        <f t="shared" si="14"/>
        <v>3</v>
      </c>
      <c r="D628" s="103">
        <v>0</v>
      </c>
      <c r="E628" s="103">
        <v>0</v>
      </c>
      <c r="F628" s="101">
        <v>0</v>
      </c>
      <c r="G628" s="101"/>
      <c r="H628" s="101">
        <v>0</v>
      </c>
      <c r="I628" s="101">
        <v>0</v>
      </c>
      <c r="J628" s="101">
        <v>0</v>
      </c>
    </row>
    <row r="629" spans="1:10" ht="15" x14ac:dyDescent="0.2">
      <c r="A629" t="s">
        <v>111</v>
      </c>
      <c r="B629" s="102" t="s">
        <v>154</v>
      </c>
      <c r="C629" s="100">
        <f t="shared" si="14"/>
        <v>4</v>
      </c>
      <c r="D629" s="103">
        <v>0</v>
      </c>
      <c r="E629" s="103">
        <v>0</v>
      </c>
      <c r="F629" s="101">
        <v>0</v>
      </c>
      <c r="G629" s="101"/>
      <c r="H629" s="101">
        <v>0</v>
      </c>
      <c r="I629" s="101">
        <v>0</v>
      </c>
      <c r="J629" s="101">
        <v>0</v>
      </c>
    </row>
    <row r="630" spans="1:10" ht="15" x14ac:dyDescent="0.2">
      <c r="A630" t="s">
        <v>111</v>
      </c>
      <c r="B630" s="99" t="s">
        <v>155</v>
      </c>
      <c r="C630" s="100">
        <f t="shared" si="14"/>
        <v>5</v>
      </c>
      <c r="D630" s="103">
        <v>9</v>
      </c>
      <c r="E630" s="103">
        <v>45</v>
      </c>
      <c r="F630" s="101">
        <v>0</v>
      </c>
      <c r="G630" s="101"/>
      <c r="H630" s="101">
        <v>0</v>
      </c>
      <c r="I630" s="101">
        <v>0</v>
      </c>
      <c r="J630" s="101">
        <v>2</v>
      </c>
    </row>
    <row r="631" spans="1:10" ht="15" x14ac:dyDescent="0.2">
      <c r="A631" t="s">
        <v>111</v>
      </c>
      <c r="B631" s="102" t="s">
        <v>156</v>
      </c>
      <c r="C631" s="100">
        <f t="shared" si="14"/>
        <v>6</v>
      </c>
      <c r="D631" s="103">
        <v>4</v>
      </c>
      <c r="E631" s="103">
        <v>20</v>
      </c>
      <c r="F631" s="101">
        <v>0</v>
      </c>
      <c r="G631" s="101"/>
      <c r="H631" s="101">
        <v>0</v>
      </c>
      <c r="I631" s="101">
        <v>0</v>
      </c>
      <c r="J631" s="101">
        <v>1</v>
      </c>
    </row>
    <row r="632" spans="1:10" ht="15" x14ac:dyDescent="0.2">
      <c r="A632" t="s">
        <v>111</v>
      </c>
      <c r="B632" s="99" t="s">
        <v>157</v>
      </c>
      <c r="C632" s="100">
        <f t="shared" si="14"/>
        <v>7</v>
      </c>
      <c r="D632" s="103">
        <v>3</v>
      </c>
      <c r="E632" s="103">
        <v>15</v>
      </c>
      <c r="F632" s="101">
        <v>0</v>
      </c>
      <c r="G632" s="101"/>
      <c r="H632" s="101">
        <v>0</v>
      </c>
      <c r="I632" s="101">
        <v>0</v>
      </c>
      <c r="J632" s="101">
        <v>1</v>
      </c>
    </row>
    <row r="633" spans="1:10" ht="15" x14ac:dyDescent="0.2">
      <c r="A633" t="s">
        <v>111</v>
      </c>
      <c r="B633" s="102" t="s">
        <v>158</v>
      </c>
      <c r="C633" s="100">
        <f t="shared" si="14"/>
        <v>8</v>
      </c>
      <c r="D633" s="103">
        <v>7</v>
      </c>
      <c r="E633" s="103">
        <v>35</v>
      </c>
      <c r="F633" s="101">
        <v>0</v>
      </c>
      <c r="G633" s="101"/>
      <c r="H633" s="101">
        <v>0</v>
      </c>
      <c r="I633" s="101">
        <v>0</v>
      </c>
      <c r="J633" s="101">
        <v>2</v>
      </c>
    </row>
    <row r="634" spans="1:10" ht="15" x14ac:dyDescent="0.2">
      <c r="A634" t="s">
        <v>111</v>
      </c>
      <c r="B634" s="99" t="s">
        <v>159</v>
      </c>
      <c r="C634" s="100">
        <f t="shared" si="14"/>
        <v>9</v>
      </c>
      <c r="D634" s="103">
        <v>3</v>
      </c>
      <c r="E634" s="103">
        <v>15</v>
      </c>
      <c r="F634" s="101">
        <v>0</v>
      </c>
      <c r="G634" s="101"/>
      <c r="H634" s="101">
        <v>0</v>
      </c>
      <c r="I634" s="101">
        <v>0</v>
      </c>
      <c r="J634" s="101">
        <v>2</v>
      </c>
    </row>
    <row r="635" spans="1:10" ht="15" x14ac:dyDescent="0.2">
      <c r="A635" t="s">
        <v>111</v>
      </c>
      <c r="B635" s="102" t="s">
        <v>160</v>
      </c>
      <c r="C635" s="100">
        <f t="shared" si="14"/>
        <v>10</v>
      </c>
      <c r="D635" s="103">
        <v>0</v>
      </c>
      <c r="E635" s="103">
        <v>0</v>
      </c>
      <c r="F635" s="101">
        <v>0</v>
      </c>
      <c r="G635" s="101"/>
      <c r="H635" s="101">
        <v>0</v>
      </c>
      <c r="I635" s="101">
        <v>0</v>
      </c>
      <c r="J635" s="101">
        <v>0</v>
      </c>
    </row>
    <row r="636" spans="1:10" ht="15" x14ac:dyDescent="0.2">
      <c r="A636" t="s">
        <v>111</v>
      </c>
      <c r="B636" s="99" t="s">
        <v>161</v>
      </c>
      <c r="C636" s="100">
        <f t="shared" si="14"/>
        <v>11</v>
      </c>
      <c r="D636" s="103"/>
      <c r="E636" s="103"/>
      <c r="F636" s="101">
        <v>0</v>
      </c>
      <c r="G636" s="101"/>
      <c r="H636" s="101">
        <v>0</v>
      </c>
      <c r="I636" s="101">
        <v>0</v>
      </c>
      <c r="J636" s="101"/>
    </row>
    <row r="637" spans="1:10" ht="15" x14ac:dyDescent="0.2">
      <c r="A637" t="s">
        <v>111</v>
      </c>
      <c r="B637" s="102" t="s">
        <v>162</v>
      </c>
      <c r="C637" s="100">
        <f t="shared" si="14"/>
        <v>12</v>
      </c>
      <c r="D637" s="103"/>
      <c r="E637" s="103"/>
      <c r="F637" s="101">
        <v>0</v>
      </c>
      <c r="G637" s="101"/>
      <c r="H637" s="101">
        <v>0</v>
      </c>
      <c r="I637" s="101">
        <v>0</v>
      </c>
      <c r="J637" s="101"/>
    </row>
    <row r="638" spans="1:10" ht="15" x14ac:dyDescent="0.2">
      <c r="A638" t="s">
        <v>96</v>
      </c>
      <c r="B638" s="99" t="s">
        <v>151</v>
      </c>
      <c r="C638" s="100">
        <f t="shared" si="13"/>
        <v>1</v>
      </c>
      <c r="D638" s="101">
        <v>0</v>
      </c>
      <c r="E638" s="101">
        <v>0</v>
      </c>
      <c r="F638" s="101">
        <v>0</v>
      </c>
      <c r="G638" s="101">
        <v>0</v>
      </c>
      <c r="H638" s="101">
        <v>0</v>
      </c>
      <c r="I638" s="101">
        <v>0</v>
      </c>
      <c r="J638" s="101">
        <v>0</v>
      </c>
    </row>
    <row r="639" spans="1:10" ht="15" x14ac:dyDescent="0.2">
      <c r="A639" t="s">
        <v>96</v>
      </c>
      <c r="B639" s="102" t="s">
        <v>152</v>
      </c>
      <c r="C639" s="100">
        <f t="shared" si="13"/>
        <v>2</v>
      </c>
      <c r="D639" s="103">
        <v>0</v>
      </c>
      <c r="E639" s="103">
        <v>0</v>
      </c>
      <c r="F639" s="101">
        <v>0</v>
      </c>
      <c r="G639" s="101">
        <v>0</v>
      </c>
      <c r="H639" s="101">
        <v>0</v>
      </c>
      <c r="I639" s="101">
        <v>0</v>
      </c>
      <c r="J639" s="101">
        <v>0</v>
      </c>
    </row>
    <row r="640" spans="1:10" ht="15" x14ac:dyDescent="0.2">
      <c r="A640" t="s">
        <v>96</v>
      </c>
      <c r="B640" s="99" t="s">
        <v>153</v>
      </c>
      <c r="C640" s="100">
        <f t="shared" si="13"/>
        <v>3</v>
      </c>
      <c r="D640" s="101">
        <v>0</v>
      </c>
      <c r="E640" s="101">
        <v>0</v>
      </c>
      <c r="F640" s="101">
        <v>0</v>
      </c>
      <c r="G640" s="101">
        <v>0</v>
      </c>
      <c r="H640" s="101">
        <v>0</v>
      </c>
      <c r="I640" s="101">
        <v>0</v>
      </c>
      <c r="J640" s="101">
        <v>0</v>
      </c>
    </row>
    <row r="641" spans="1:10" ht="15" x14ac:dyDescent="0.2">
      <c r="A641" t="s">
        <v>96</v>
      </c>
      <c r="B641" s="102" t="s">
        <v>154</v>
      </c>
      <c r="C641" s="100">
        <f t="shared" si="13"/>
        <v>4</v>
      </c>
      <c r="D641" s="103">
        <v>0</v>
      </c>
      <c r="E641" s="103">
        <v>0</v>
      </c>
      <c r="F641" s="101">
        <v>0</v>
      </c>
      <c r="G641" s="101">
        <v>0</v>
      </c>
      <c r="H641" s="101">
        <v>0</v>
      </c>
      <c r="I641" s="101">
        <v>0</v>
      </c>
      <c r="J641" s="101">
        <v>0</v>
      </c>
    </row>
    <row r="642" spans="1:10" ht="15" x14ac:dyDescent="0.2">
      <c r="A642" t="s">
        <v>96</v>
      </c>
      <c r="B642" s="99" t="s">
        <v>155</v>
      </c>
      <c r="C642" s="100">
        <f t="shared" si="13"/>
        <v>5</v>
      </c>
      <c r="D642" s="101">
        <v>4</v>
      </c>
      <c r="E642" s="101">
        <v>19</v>
      </c>
      <c r="F642" s="101">
        <v>1</v>
      </c>
      <c r="G642" s="101">
        <v>0</v>
      </c>
      <c r="H642" s="101">
        <v>9</v>
      </c>
      <c r="I642" s="101">
        <v>42</v>
      </c>
      <c r="J642" s="101">
        <v>1</v>
      </c>
    </row>
    <row r="643" spans="1:10" ht="15" x14ac:dyDescent="0.2">
      <c r="A643" t="s">
        <v>96</v>
      </c>
      <c r="B643" s="102" t="s">
        <v>156</v>
      </c>
      <c r="C643" s="100">
        <f t="shared" si="13"/>
        <v>6</v>
      </c>
      <c r="D643" s="103">
        <v>0</v>
      </c>
      <c r="E643" s="103">
        <v>0</v>
      </c>
      <c r="F643" s="101">
        <v>0</v>
      </c>
      <c r="G643" s="101">
        <v>0</v>
      </c>
      <c r="H643" s="101">
        <v>0</v>
      </c>
      <c r="I643" s="101">
        <v>0</v>
      </c>
      <c r="J643" s="101">
        <v>0</v>
      </c>
    </row>
    <row r="644" spans="1:10" ht="15" x14ac:dyDescent="0.2">
      <c r="A644" t="s">
        <v>96</v>
      </c>
      <c r="B644" s="99" t="s">
        <v>157</v>
      </c>
      <c r="C644" s="100">
        <f t="shared" si="13"/>
        <v>7</v>
      </c>
      <c r="D644" s="101">
        <v>0</v>
      </c>
      <c r="E644" s="101">
        <v>0</v>
      </c>
      <c r="F644" s="101">
        <v>0</v>
      </c>
      <c r="G644" s="101">
        <v>0</v>
      </c>
      <c r="H644" s="101">
        <v>0</v>
      </c>
      <c r="I644" s="101">
        <v>0</v>
      </c>
      <c r="J644" s="101">
        <v>0</v>
      </c>
    </row>
    <row r="645" spans="1:10" ht="15" x14ac:dyDescent="0.2">
      <c r="A645" t="s">
        <v>96</v>
      </c>
      <c r="B645" s="102" t="s">
        <v>158</v>
      </c>
      <c r="C645" s="100">
        <f t="shared" si="13"/>
        <v>8</v>
      </c>
      <c r="D645" s="103">
        <v>2</v>
      </c>
      <c r="E645" s="103">
        <v>9</v>
      </c>
      <c r="F645" s="101">
        <v>0</v>
      </c>
      <c r="G645" s="101">
        <v>0</v>
      </c>
      <c r="H645" s="101">
        <v>0</v>
      </c>
      <c r="I645" s="101">
        <v>0</v>
      </c>
      <c r="J645" s="101">
        <v>1</v>
      </c>
    </row>
    <row r="646" spans="1:10" ht="15" x14ac:dyDescent="0.2">
      <c r="A646" t="s">
        <v>96</v>
      </c>
      <c r="B646" s="99" t="s">
        <v>159</v>
      </c>
      <c r="C646" s="100">
        <f t="shared" si="13"/>
        <v>9</v>
      </c>
      <c r="D646" s="101">
        <v>0</v>
      </c>
      <c r="E646" s="101">
        <v>0</v>
      </c>
      <c r="F646" s="101">
        <v>0</v>
      </c>
      <c r="G646" s="101">
        <v>0</v>
      </c>
      <c r="H646" s="101">
        <v>0</v>
      </c>
      <c r="I646" s="101">
        <v>0</v>
      </c>
      <c r="J646" s="101">
        <v>0</v>
      </c>
    </row>
    <row r="647" spans="1:10" ht="15" x14ac:dyDescent="0.2">
      <c r="A647" t="s">
        <v>96</v>
      </c>
      <c r="B647" s="102" t="s">
        <v>160</v>
      </c>
      <c r="C647" s="100">
        <f t="shared" si="13"/>
        <v>10</v>
      </c>
      <c r="D647" s="103">
        <v>0</v>
      </c>
      <c r="E647" s="103">
        <v>0</v>
      </c>
      <c r="F647" s="101">
        <v>0</v>
      </c>
      <c r="G647" s="101">
        <v>0</v>
      </c>
      <c r="H647" s="101">
        <v>0</v>
      </c>
      <c r="I647" s="101">
        <v>0</v>
      </c>
      <c r="J647" s="101">
        <v>0</v>
      </c>
    </row>
    <row r="648" spans="1:10" ht="15" x14ac:dyDescent="0.2">
      <c r="A648" t="s">
        <v>96</v>
      </c>
      <c r="B648" s="99" t="s">
        <v>161</v>
      </c>
      <c r="C648" s="100">
        <f t="shared" si="13"/>
        <v>11</v>
      </c>
      <c r="D648" s="101">
        <v>0</v>
      </c>
      <c r="E648" s="101">
        <v>0</v>
      </c>
      <c r="F648" s="101">
        <v>0</v>
      </c>
      <c r="G648" s="101">
        <v>0</v>
      </c>
      <c r="H648" s="101">
        <v>0</v>
      </c>
      <c r="I648" s="101">
        <v>0</v>
      </c>
      <c r="J648" s="101">
        <v>0</v>
      </c>
    </row>
    <row r="649" spans="1:10" ht="15" x14ac:dyDescent="0.2">
      <c r="A649" t="s">
        <v>96</v>
      </c>
      <c r="B649" s="102" t="s">
        <v>162</v>
      </c>
      <c r="C649" s="100">
        <f t="shared" si="13"/>
        <v>12</v>
      </c>
      <c r="D649" s="103">
        <v>0</v>
      </c>
      <c r="E649" s="103">
        <v>0</v>
      </c>
      <c r="F649" s="101">
        <v>0</v>
      </c>
      <c r="G649" s="101">
        <v>0</v>
      </c>
      <c r="H649" s="101">
        <v>0</v>
      </c>
      <c r="I649" s="101">
        <v>0</v>
      </c>
      <c r="J649" s="101">
        <v>0</v>
      </c>
    </row>
    <row r="650" spans="1:10" ht="15" x14ac:dyDescent="0.2">
      <c r="A650" t="s">
        <v>66</v>
      </c>
      <c r="B650" s="99" t="s">
        <v>151</v>
      </c>
      <c r="C650" s="100">
        <f t="shared" si="13"/>
        <v>1</v>
      </c>
      <c r="D650" s="101">
        <v>0</v>
      </c>
      <c r="E650" s="101">
        <v>0</v>
      </c>
      <c r="F650" s="101">
        <v>0</v>
      </c>
      <c r="G650" s="101">
        <v>0</v>
      </c>
      <c r="H650" s="101">
        <v>0</v>
      </c>
      <c r="I650" s="101">
        <v>0</v>
      </c>
      <c r="J650" s="101">
        <v>0</v>
      </c>
    </row>
    <row r="651" spans="1:10" ht="15" x14ac:dyDescent="0.2">
      <c r="A651" t="s">
        <v>66</v>
      </c>
      <c r="B651" s="102" t="s">
        <v>152</v>
      </c>
      <c r="C651" s="100">
        <f t="shared" si="13"/>
        <v>2</v>
      </c>
      <c r="D651" s="103">
        <v>5</v>
      </c>
      <c r="E651" s="103">
        <v>35</v>
      </c>
      <c r="F651" s="101">
        <v>0</v>
      </c>
      <c r="G651" s="101">
        <v>0</v>
      </c>
      <c r="H651" s="101">
        <v>0</v>
      </c>
      <c r="I651" s="101">
        <v>0</v>
      </c>
      <c r="J651" s="101">
        <v>1</v>
      </c>
    </row>
    <row r="652" spans="1:10" ht="15" x14ac:dyDescent="0.2">
      <c r="A652" t="s">
        <v>66</v>
      </c>
      <c r="B652" s="99" t="s">
        <v>153</v>
      </c>
      <c r="C652" s="100">
        <f t="shared" si="13"/>
        <v>3</v>
      </c>
      <c r="D652" s="101">
        <v>0</v>
      </c>
      <c r="E652" s="101">
        <v>0</v>
      </c>
      <c r="F652" s="101">
        <v>0</v>
      </c>
      <c r="G652" s="101">
        <v>0</v>
      </c>
      <c r="H652" s="101">
        <v>0</v>
      </c>
      <c r="I652" s="101">
        <v>0</v>
      </c>
      <c r="J652" s="101">
        <v>0</v>
      </c>
    </row>
    <row r="653" spans="1:10" ht="15" x14ac:dyDescent="0.2">
      <c r="A653" t="s">
        <v>66</v>
      </c>
      <c r="B653" s="102" t="s">
        <v>154</v>
      </c>
      <c r="C653" s="100">
        <f t="shared" si="13"/>
        <v>4</v>
      </c>
      <c r="D653" s="103">
        <v>0</v>
      </c>
      <c r="E653" s="103">
        <v>0</v>
      </c>
      <c r="F653" s="101">
        <v>0</v>
      </c>
      <c r="G653" s="101">
        <v>0</v>
      </c>
      <c r="H653" s="101">
        <v>0</v>
      </c>
      <c r="I653" s="101">
        <v>0</v>
      </c>
      <c r="J653" s="101">
        <v>0</v>
      </c>
    </row>
    <row r="654" spans="1:10" ht="15" x14ac:dyDescent="0.2">
      <c r="A654" t="s">
        <v>66</v>
      </c>
      <c r="B654" s="99" t="s">
        <v>155</v>
      </c>
      <c r="C654" s="100">
        <f t="shared" si="13"/>
        <v>5</v>
      </c>
      <c r="D654" s="101">
        <v>0</v>
      </c>
      <c r="E654" s="101">
        <v>0</v>
      </c>
      <c r="F654" s="101">
        <v>0</v>
      </c>
      <c r="G654" s="101">
        <v>0</v>
      </c>
      <c r="H654" s="101">
        <v>9</v>
      </c>
      <c r="I654" s="101">
        <v>64</v>
      </c>
      <c r="J654" s="101">
        <v>0</v>
      </c>
    </row>
    <row r="655" spans="1:10" ht="15" x14ac:dyDescent="0.2">
      <c r="A655" t="s">
        <v>66</v>
      </c>
      <c r="B655" s="102" t="s">
        <v>156</v>
      </c>
      <c r="C655" s="100">
        <f t="shared" si="13"/>
        <v>6</v>
      </c>
      <c r="D655" s="103">
        <v>9</v>
      </c>
      <c r="E655" s="103">
        <v>64</v>
      </c>
      <c r="F655" s="101">
        <v>0</v>
      </c>
      <c r="G655" s="101">
        <v>0</v>
      </c>
      <c r="H655" s="101">
        <v>0</v>
      </c>
      <c r="I655" s="101">
        <v>0</v>
      </c>
      <c r="J655" s="101">
        <v>3</v>
      </c>
    </row>
    <row r="656" spans="1:10" ht="15" x14ac:dyDescent="0.2">
      <c r="A656" t="s">
        <v>66</v>
      </c>
      <c r="B656" s="99" t="s">
        <v>157</v>
      </c>
      <c r="C656" s="100">
        <f t="shared" si="13"/>
        <v>7</v>
      </c>
      <c r="D656" s="101">
        <v>0</v>
      </c>
      <c r="E656" s="101">
        <v>0</v>
      </c>
      <c r="F656" s="101">
        <v>0</v>
      </c>
      <c r="G656" s="101">
        <v>0</v>
      </c>
      <c r="H656" s="101">
        <v>0</v>
      </c>
      <c r="I656" s="101">
        <v>0</v>
      </c>
      <c r="J656" s="101">
        <v>0</v>
      </c>
    </row>
    <row r="657" spans="1:10" ht="15" x14ac:dyDescent="0.2">
      <c r="A657" t="s">
        <v>66</v>
      </c>
      <c r="B657" s="102" t="s">
        <v>158</v>
      </c>
      <c r="C657" s="100">
        <f t="shared" si="13"/>
        <v>8</v>
      </c>
      <c r="D657" s="103">
        <v>6</v>
      </c>
      <c r="E657" s="103">
        <v>42</v>
      </c>
      <c r="F657" s="101">
        <v>0</v>
      </c>
      <c r="G657" s="101">
        <v>0</v>
      </c>
      <c r="H657" s="101">
        <v>0</v>
      </c>
      <c r="I657" s="101">
        <v>0</v>
      </c>
      <c r="J657" s="101">
        <v>3</v>
      </c>
    </row>
    <row r="658" spans="1:10" ht="15" x14ac:dyDescent="0.2">
      <c r="A658" t="s">
        <v>66</v>
      </c>
      <c r="B658" s="99" t="s">
        <v>159</v>
      </c>
      <c r="C658" s="100">
        <f t="shared" si="13"/>
        <v>9</v>
      </c>
      <c r="D658" s="101">
        <v>0</v>
      </c>
      <c r="E658" s="101">
        <v>0</v>
      </c>
      <c r="F658" s="101">
        <v>0</v>
      </c>
      <c r="G658" s="101">
        <v>0</v>
      </c>
      <c r="H658" s="101">
        <v>1</v>
      </c>
      <c r="I658" s="101">
        <v>7</v>
      </c>
      <c r="J658" s="101">
        <v>0</v>
      </c>
    </row>
    <row r="659" spans="1:10" ht="15" x14ac:dyDescent="0.2">
      <c r="A659" t="s">
        <v>66</v>
      </c>
      <c r="B659" s="102" t="s">
        <v>160</v>
      </c>
      <c r="C659" s="100">
        <f t="shared" si="13"/>
        <v>10</v>
      </c>
      <c r="D659" s="103">
        <v>0</v>
      </c>
      <c r="E659" s="103">
        <v>0</v>
      </c>
      <c r="F659" s="101">
        <v>0</v>
      </c>
      <c r="G659" s="101">
        <v>0</v>
      </c>
      <c r="H659" s="101">
        <v>0</v>
      </c>
      <c r="I659" s="101">
        <v>0</v>
      </c>
      <c r="J659" s="101">
        <v>0</v>
      </c>
    </row>
    <row r="660" spans="1:10" ht="15" x14ac:dyDescent="0.2">
      <c r="A660" t="s">
        <v>66</v>
      </c>
      <c r="B660" s="99" t="s">
        <v>161</v>
      </c>
      <c r="C660" s="100">
        <f t="shared" si="13"/>
        <v>11</v>
      </c>
      <c r="D660" s="101">
        <v>0</v>
      </c>
      <c r="E660" s="101">
        <v>0</v>
      </c>
      <c r="F660" s="101">
        <v>0</v>
      </c>
      <c r="G660" s="101">
        <v>0</v>
      </c>
      <c r="H660" s="101">
        <v>0</v>
      </c>
      <c r="I660" s="101">
        <v>0</v>
      </c>
      <c r="J660" s="101">
        <v>0</v>
      </c>
    </row>
    <row r="661" spans="1:10" ht="15" x14ac:dyDescent="0.2">
      <c r="A661" t="s">
        <v>66</v>
      </c>
      <c r="B661" s="102" t="s">
        <v>162</v>
      </c>
      <c r="C661" s="100">
        <f t="shared" si="13"/>
        <v>12</v>
      </c>
      <c r="D661" s="103">
        <v>0</v>
      </c>
      <c r="E661" s="103">
        <v>0</v>
      </c>
      <c r="F661" s="101">
        <v>0</v>
      </c>
      <c r="G661" s="101">
        <v>0</v>
      </c>
      <c r="H661" s="101">
        <v>0</v>
      </c>
      <c r="I661" s="101">
        <v>0</v>
      </c>
      <c r="J661" s="101">
        <v>0</v>
      </c>
    </row>
    <row r="662" spans="1:10" ht="15" x14ac:dyDescent="0.2">
      <c r="A662" t="s">
        <v>146</v>
      </c>
      <c r="B662" s="99" t="s">
        <v>151</v>
      </c>
      <c r="C662" s="100">
        <f t="shared" ref="C662:C737" si="15">_xlfn.IFS(B662="Janeiro",1,B662="Fevereiro",2,B662="Março",3,B662="Abril",4,B662="Maio",5,B662="Junho",6,B662="Julho",7,B662="Agosto",8,B662="Setembro",9,B662="Outubro",10,B662="Novembro",11,B662="Dezembro",12,TRUE,0)</f>
        <v>1</v>
      </c>
      <c r="D662" s="101">
        <v>0</v>
      </c>
      <c r="E662" s="101">
        <v>0</v>
      </c>
      <c r="F662" s="101">
        <v>0</v>
      </c>
      <c r="G662" s="101">
        <v>0</v>
      </c>
      <c r="H662" s="101">
        <v>0</v>
      </c>
      <c r="I662" s="101">
        <v>0</v>
      </c>
      <c r="J662" s="101">
        <v>0</v>
      </c>
    </row>
    <row r="663" spans="1:10" ht="15" x14ac:dyDescent="0.2">
      <c r="A663" t="s">
        <v>146</v>
      </c>
      <c r="B663" s="102" t="s">
        <v>152</v>
      </c>
      <c r="C663" s="100">
        <f t="shared" si="15"/>
        <v>2</v>
      </c>
      <c r="D663" s="103">
        <v>0</v>
      </c>
      <c r="E663" s="103">
        <v>0</v>
      </c>
      <c r="F663" s="101">
        <v>0</v>
      </c>
      <c r="G663" s="101">
        <v>0</v>
      </c>
      <c r="H663" s="101">
        <v>0</v>
      </c>
      <c r="I663" s="101">
        <v>0</v>
      </c>
      <c r="J663" s="101">
        <v>0</v>
      </c>
    </row>
    <row r="664" spans="1:10" ht="15" x14ac:dyDescent="0.2">
      <c r="A664" t="s">
        <v>146</v>
      </c>
      <c r="B664" s="99" t="s">
        <v>153</v>
      </c>
      <c r="C664" s="100">
        <f t="shared" si="15"/>
        <v>3</v>
      </c>
      <c r="D664" s="101">
        <v>0</v>
      </c>
      <c r="E664" s="101">
        <v>0</v>
      </c>
      <c r="F664" s="101">
        <v>0</v>
      </c>
      <c r="G664" s="101">
        <v>0</v>
      </c>
      <c r="H664" s="101">
        <v>0</v>
      </c>
      <c r="I664" s="101">
        <v>0</v>
      </c>
      <c r="J664" s="101">
        <v>0</v>
      </c>
    </row>
    <row r="665" spans="1:10" ht="15" x14ac:dyDescent="0.2">
      <c r="A665" t="s">
        <v>146</v>
      </c>
      <c r="B665" s="102" t="s">
        <v>154</v>
      </c>
      <c r="C665" s="100">
        <f t="shared" si="15"/>
        <v>4</v>
      </c>
      <c r="D665" s="103">
        <v>7</v>
      </c>
      <c r="E665" s="103">
        <v>36</v>
      </c>
      <c r="F665" s="101">
        <v>0</v>
      </c>
      <c r="G665" s="101">
        <v>0</v>
      </c>
      <c r="H665" s="101">
        <v>0</v>
      </c>
      <c r="I665" s="101">
        <v>0</v>
      </c>
      <c r="J665" s="101">
        <v>2</v>
      </c>
    </row>
    <row r="666" spans="1:10" ht="15" x14ac:dyDescent="0.2">
      <c r="A666" t="s">
        <v>146</v>
      </c>
      <c r="B666" s="99" t="s">
        <v>155</v>
      </c>
      <c r="C666" s="100">
        <f t="shared" si="15"/>
        <v>5</v>
      </c>
      <c r="D666" s="101">
        <v>4</v>
      </c>
      <c r="E666" s="101">
        <v>21</v>
      </c>
      <c r="F666" s="101">
        <v>0</v>
      </c>
      <c r="G666" s="101">
        <v>0</v>
      </c>
      <c r="H666" s="101">
        <v>0</v>
      </c>
      <c r="I666" s="101">
        <v>0</v>
      </c>
      <c r="J666" s="101">
        <v>1</v>
      </c>
    </row>
    <row r="667" spans="1:10" ht="15" x14ac:dyDescent="0.2">
      <c r="A667" t="s">
        <v>146</v>
      </c>
      <c r="B667" s="102" t="s">
        <v>156</v>
      </c>
      <c r="C667" s="100">
        <f t="shared" si="15"/>
        <v>6</v>
      </c>
      <c r="D667" s="103">
        <v>2</v>
      </c>
      <c r="E667" s="103">
        <v>10</v>
      </c>
      <c r="F667" s="101">
        <v>1</v>
      </c>
      <c r="G667" s="101">
        <v>5</v>
      </c>
      <c r="H667" s="101">
        <v>0</v>
      </c>
      <c r="I667" s="101">
        <v>0</v>
      </c>
      <c r="J667" s="101">
        <v>1</v>
      </c>
    </row>
    <row r="668" spans="1:10" ht="15" x14ac:dyDescent="0.2">
      <c r="A668" t="s">
        <v>146</v>
      </c>
      <c r="B668" s="99" t="s">
        <v>157</v>
      </c>
      <c r="C668" s="100">
        <f t="shared" si="15"/>
        <v>7</v>
      </c>
      <c r="D668" s="101">
        <v>0</v>
      </c>
      <c r="E668" s="101">
        <v>0</v>
      </c>
      <c r="F668" s="101">
        <v>0</v>
      </c>
      <c r="G668" s="101">
        <v>0</v>
      </c>
      <c r="H668" s="101">
        <v>0</v>
      </c>
      <c r="I668" s="101">
        <v>0</v>
      </c>
      <c r="J668" s="101">
        <v>0</v>
      </c>
    </row>
    <row r="669" spans="1:10" ht="15" x14ac:dyDescent="0.2">
      <c r="A669" t="s">
        <v>146</v>
      </c>
      <c r="B669" s="102" t="s">
        <v>158</v>
      </c>
      <c r="C669" s="100">
        <f t="shared" si="15"/>
        <v>8</v>
      </c>
      <c r="D669" s="103">
        <v>0</v>
      </c>
      <c r="E669" s="103">
        <v>0</v>
      </c>
      <c r="F669" s="101">
        <v>0</v>
      </c>
      <c r="G669" s="101">
        <v>0</v>
      </c>
      <c r="H669" s="101">
        <v>0</v>
      </c>
      <c r="I669" s="101">
        <v>0</v>
      </c>
      <c r="J669" s="101">
        <v>0</v>
      </c>
    </row>
    <row r="670" spans="1:10" ht="15" x14ac:dyDescent="0.2">
      <c r="A670" t="s">
        <v>146</v>
      </c>
      <c r="B670" s="99" t="s">
        <v>159</v>
      </c>
      <c r="C670" s="100">
        <f t="shared" si="15"/>
        <v>9</v>
      </c>
      <c r="D670" s="101">
        <v>0</v>
      </c>
      <c r="E670" s="101">
        <v>0</v>
      </c>
      <c r="F670" s="101">
        <v>0</v>
      </c>
      <c r="G670" s="101">
        <v>0</v>
      </c>
      <c r="H670" s="101">
        <v>0</v>
      </c>
      <c r="I670" s="101">
        <v>0</v>
      </c>
      <c r="J670" s="101">
        <v>0</v>
      </c>
    </row>
    <row r="671" spans="1:10" ht="15" x14ac:dyDescent="0.2">
      <c r="A671" t="s">
        <v>146</v>
      </c>
      <c r="B671" s="102" t="s">
        <v>160</v>
      </c>
      <c r="C671" s="100">
        <f t="shared" si="15"/>
        <v>10</v>
      </c>
      <c r="D671" s="103">
        <v>0</v>
      </c>
      <c r="E671" s="103">
        <v>0</v>
      </c>
      <c r="F671" s="101">
        <v>0</v>
      </c>
      <c r="G671" s="101">
        <v>0</v>
      </c>
      <c r="H671" s="101">
        <v>0</v>
      </c>
      <c r="I671" s="101">
        <v>0</v>
      </c>
      <c r="J671" s="101">
        <v>0</v>
      </c>
    </row>
    <row r="672" spans="1:10" ht="15" x14ac:dyDescent="0.2">
      <c r="A672" t="s">
        <v>146</v>
      </c>
      <c r="B672" s="99" t="s">
        <v>161</v>
      </c>
      <c r="C672" s="100">
        <f t="shared" si="15"/>
        <v>11</v>
      </c>
      <c r="D672" s="101">
        <v>0</v>
      </c>
      <c r="E672" s="101">
        <v>0</v>
      </c>
      <c r="F672" s="101">
        <v>0</v>
      </c>
      <c r="G672" s="101">
        <v>0</v>
      </c>
      <c r="H672" s="101">
        <v>0</v>
      </c>
      <c r="I672" s="101">
        <v>0</v>
      </c>
      <c r="J672" s="101">
        <v>0</v>
      </c>
    </row>
    <row r="673" spans="1:10" ht="15" x14ac:dyDescent="0.2">
      <c r="A673" t="s">
        <v>146</v>
      </c>
      <c r="B673" s="102" t="s">
        <v>162</v>
      </c>
      <c r="C673" s="100">
        <f t="shared" si="15"/>
        <v>12</v>
      </c>
      <c r="D673" s="103">
        <v>0</v>
      </c>
      <c r="E673" s="103">
        <v>0</v>
      </c>
      <c r="F673" s="101">
        <v>0</v>
      </c>
      <c r="G673" s="101">
        <v>0</v>
      </c>
      <c r="H673" s="101">
        <v>0</v>
      </c>
      <c r="I673" s="101">
        <v>0</v>
      </c>
      <c r="J673" s="101">
        <v>0</v>
      </c>
    </row>
    <row r="674" spans="1:10" ht="15" x14ac:dyDescent="0.2">
      <c r="A674" t="s">
        <v>131</v>
      </c>
      <c r="B674" s="99" t="s">
        <v>151</v>
      </c>
      <c r="C674" s="100">
        <f t="shared" si="15"/>
        <v>1</v>
      </c>
      <c r="D674" s="101">
        <v>4</v>
      </c>
      <c r="E674" s="101">
        <v>14</v>
      </c>
      <c r="F674" s="101">
        <v>0</v>
      </c>
      <c r="G674" s="101">
        <v>0</v>
      </c>
      <c r="H674" s="101">
        <v>0</v>
      </c>
      <c r="I674" s="101">
        <v>0</v>
      </c>
      <c r="J674" s="101">
        <v>1</v>
      </c>
    </row>
    <row r="675" spans="1:10" ht="15" x14ac:dyDescent="0.2">
      <c r="A675" t="s">
        <v>131</v>
      </c>
      <c r="B675" s="102" t="s">
        <v>152</v>
      </c>
      <c r="C675" s="100">
        <f t="shared" si="15"/>
        <v>2</v>
      </c>
      <c r="D675" s="103">
        <v>5</v>
      </c>
      <c r="E675" s="103">
        <v>17</v>
      </c>
      <c r="F675" s="101">
        <v>1</v>
      </c>
      <c r="G675" s="101">
        <v>1</v>
      </c>
      <c r="H675" s="101">
        <v>0</v>
      </c>
      <c r="I675" s="101">
        <v>0</v>
      </c>
      <c r="J675" s="101">
        <v>2</v>
      </c>
    </row>
    <row r="676" spans="1:10" ht="15" x14ac:dyDescent="0.2">
      <c r="A676" t="s">
        <v>131</v>
      </c>
      <c r="B676" s="99" t="s">
        <v>153</v>
      </c>
      <c r="C676" s="100">
        <f t="shared" si="15"/>
        <v>3</v>
      </c>
      <c r="D676" s="101">
        <v>3</v>
      </c>
      <c r="E676" s="101">
        <v>10</v>
      </c>
      <c r="F676" s="101">
        <v>0</v>
      </c>
      <c r="G676" s="101">
        <v>0</v>
      </c>
      <c r="H676" s="101">
        <v>0</v>
      </c>
      <c r="I676" s="101">
        <v>0</v>
      </c>
      <c r="J676" s="101">
        <v>1</v>
      </c>
    </row>
    <row r="677" spans="1:10" ht="15" x14ac:dyDescent="0.2">
      <c r="A677" t="s">
        <v>131</v>
      </c>
      <c r="B677" s="102" t="s">
        <v>154</v>
      </c>
      <c r="C677" s="100">
        <f t="shared" si="15"/>
        <v>4</v>
      </c>
      <c r="D677" s="103">
        <v>0</v>
      </c>
      <c r="E677" s="103">
        <v>0</v>
      </c>
      <c r="F677" s="101">
        <v>0</v>
      </c>
      <c r="G677" s="101">
        <v>0</v>
      </c>
      <c r="H677" s="101">
        <v>0</v>
      </c>
      <c r="I677" s="101">
        <v>0</v>
      </c>
      <c r="J677" s="101">
        <v>0</v>
      </c>
    </row>
    <row r="678" spans="1:10" ht="15" x14ac:dyDescent="0.2">
      <c r="A678" t="s">
        <v>131</v>
      </c>
      <c r="B678" s="99" t="s">
        <v>155</v>
      </c>
      <c r="C678" s="100">
        <f t="shared" si="15"/>
        <v>5</v>
      </c>
      <c r="D678" s="101">
        <v>6</v>
      </c>
      <c r="E678" s="101">
        <v>21</v>
      </c>
      <c r="F678" s="101">
        <v>0</v>
      </c>
      <c r="G678" s="101">
        <v>0</v>
      </c>
      <c r="H678" s="101">
        <v>1</v>
      </c>
      <c r="I678" s="101">
        <v>3</v>
      </c>
      <c r="J678" s="101">
        <v>2</v>
      </c>
    </row>
    <row r="679" spans="1:10" ht="15" x14ac:dyDescent="0.2">
      <c r="A679" t="s">
        <v>131</v>
      </c>
      <c r="B679" s="102" t="s">
        <v>156</v>
      </c>
      <c r="C679" s="100">
        <f t="shared" si="15"/>
        <v>6</v>
      </c>
      <c r="D679" s="103">
        <v>0</v>
      </c>
      <c r="E679" s="103">
        <v>0</v>
      </c>
      <c r="F679" s="101">
        <v>0</v>
      </c>
      <c r="G679" s="101">
        <v>0</v>
      </c>
      <c r="H679" s="101">
        <v>0</v>
      </c>
      <c r="I679" s="101">
        <v>0</v>
      </c>
      <c r="J679" s="101">
        <v>0</v>
      </c>
    </row>
    <row r="680" spans="1:10" ht="15" x14ac:dyDescent="0.2">
      <c r="A680" t="s">
        <v>131</v>
      </c>
      <c r="B680" s="99" t="s">
        <v>157</v>
      </c>
      <c r="C680" s="100">
        <f t="shared" si="15"/>
        <v>7</v>
      </c>
      <c r="D680" s="101">
        <v>2</v>
      </c>
      <c r="E680" s="101">
        <v>7</v>
      </c>
      <c r="F680" s="101">
        <v>0</v>
      </c>
      <c r="G680" s="101">
        <v>0</v>
      </c>
      <c r="H680" s="101">
        <v>0</v>
      </c>
      <c r="I680" s="101">
        <v>0</v>
      </c>
      <c r="J680" s="101">
        <v>1</v>
      </c>
    </row>
    <row r="681" spans="1:10" ht="15" x14ac:dyDescent="0.2">
      <c r="A681" t="s">
        <v>131</v>
      </c>
      <c r="B681" s="102" t="s">
        <v>158</v>
      </c>
      <c r="C681" s="100">
        <f t="shared" si="15"/>
        <v>8</v>
      </c>
      <c r="D681" s="103">
        <v>2</v>
      </c>
      <c r="E681" s="103">
        <v>7</v>
      </c>
      <c r="F681" s="101">
        <v>1</v>
      </c>
      <c r="G681" s="101">
        <v>1</v>
      </c>
      <c r="H681" s="101">
        <v>0</v>
      </c>
      <c r="I681" s="101">
        <v>0</v>
      </c>
      <c r="J681" s="101">
        <v>1</v>
      </c>
    </row>
    <row r="682" spans="1:10" ht="15" x14ac:dyDescent="0.2">
      <c r="A682" t="s">
        <v>131</v>
      </c>
      <c r="B682" s="99" t="s">
        <v>159</v>
      </c>
      <c r="C682" s="100">
        <f t="shared" si="15"/>
        <v>9</v>
      </c>
      <c r="D682" s="101">
        <v>1</v>
      </c>
      <c r="E682" s="101">
        <v>3</v>
      </c>
      <c r="F682" s="101">
        <v>0</v>
      </c>
      <c r="G682" s="101">
        <v>0</v>
      </c>
      <c r="H682" s="101">
        <v>0</v>
      </c>
      <c r="I682" s="101">
        <v>0</v>
      </c>
      <c r="J682" s="101">
        <v>1</v>
      </c>
    </row>
    <row r="683" spans="1:10" ht="15" x14ac:dyDescent="0.2">
      <c r="A683" t="s">
        <v>131</v>
      </c>
      <c r="B683" s="102" t="s">
        <v>160</v>
      </c>
      <c r="C683" s="100">
        <f t="shared" si="15"/>
        <v>10</v>
      </c>
      <c r="D683" s="103">
        <v>0</v>
      </c>
      <c r="E683" s="103">
        <v>0</v>
      </c>
      <c r="F683" s="101">
        <v>0</v>
      </c>
      <c r="G683" s="101">
        <v>0</v>
      </c>
      <c r="H683" s="101">
        <v>0</v>
      </c>
      <c r="I683" s="101">
        <v>0</v>
      </c>
      <c r="J683" s="101">
        <v>0</v>
      </c>
    </row>
    <row r="684" spans="1:10" ht="15" x14ac:dyDescent="0.2">
      <c r="A684" t="s">
        <v>131</v>
      </c>
      <c r="B684" s="99" t="s">
        <v>161</v>
      </c>
      <c r="C684" s="100">
        <f t="shared" si="15"/>
        <v>11</v>
      </c>
      <c r="D684" s="101">
        <v>0</v>
      </c>
      <c r="E684" s="101">
        <v>0</v>
      </c>
      <c r="F684" s="101">
        <v>0</v>
      </c>
      <c r="G684" s="101">
        <v>0</v>
      </c>
      <c r="H684" s="101">
        <v>0</v>
      </c>
      <c r="I684" s="101">
        <v>0</v>
      </c>
      <c r="J684" s="101">
        <v>0</v>
      </c>
    </row>
    <row r="685" spans="1:10" ht="15" x14ac:dyDescent="0.2">
      <c r="A685" t="s">
        <v>131</v>
      </c>
      <c r="B685" s="102" t="s">
        <v>162</v>
      </c>
      <c r="C685" s="100">
        <f t="shared" si="15"/>
        <v>12</v>
      </c>
      <c r="D685" s="103">
        <v>0</v>
      </c>
      <c r="E685" s="103">
        <v>0</v>
      </c>
      <c r="F685" s="101">
        <v>0</v>
      </c>
      <c r="G685" s="101">
        <v>0</v>
      </c>
      <c r="H685" s="101">
        <v>0</v>
      </c>
      <c r="I685" s="101">
        <v>0</v>
      </c>
      <c r="J685" s="101">
        <v>0</v>
      </c>
    </row>
    <row r="686" spans="1:10" ht="15" x14ac:dyDescent="0.2">
      <c r="A686" t="s">
        <v>301</v>
      </c>
      <c r="B686" s="99" t="s">
        <v>151</v>
      </c>
      <c r="C686" s="100">
        <f t="shared" ref="C686:C697" si="16">_xlfn.IFS(B686="Janeiro",1,B686="Fevereiro",2,B686="Março",3,B686="Abril",4,B686="Maio",5,B686="Junho",6,B686="Julho",7,B686="Agosto",8,B686="Setembro",9,B686="Outubro",10,B686="Novembro",11,B686="Dezembro",12,TRUE,0)</f>
        <v>1</v>
      </c>
      <c r="D686" s="103">
        <v>0</v>
      </c>
      <c r="E686" s="103">
        <v>0</v>
      </c>
      <c r="F686" s="101">
        <v>0</v>
      </c>
      <c r="G686" s="101">
        <v>0</v>
      </c>
      <c r="H686" s="101">
        <v>0</v>
      </c>
      <c r="I686" s="101">
        <v>0</v>
      </c>
      <c r="J686" s="101">
        <v>0</v>
      </c>
    </row>
    <row r="687" spans="1:10" ht="15" x14ac:dyDescent="0.2">
      <c r="A687" t="s">
        <v>301</v>
      </c>
      <c r="B687" s="102" t="s">
        <v>152</v>
      </c>
      <c r="C687" s="100">
        <f t="shared" si="16"/>
        <v>2</v>
      </c>
      <c r="D687" s="103">
        <v>0</v>
      </c>
      <c r="E687" s="103">
        <v>0</v>
      </c>
      <c r="F687" s="101">
        <v>0</v>
      </c>
      <c r="G687" s="101">
        <v>0</v>
      </c>
      <c r="H687" s="101">
        <v>0</v>
      </c>
      <c r="I687" s="101">
        <v>0</v>
      </c>
      <c r="J687" s="101">
        <v>0</v>
      </c>
    </row>
    <row r="688" spans="1:10" ht="15" x14ac:dyDescent="0.2">
      <c r="A688" t="s">
        <v>301</v>
      </c>
      <c r="B688" s="99" t="s">
        <v>153</v>
      </c>
      <c r="C688" s="100">
        <f t="shared" si="16"/>
        <v>3</v>
      </c>
      <c r="D688" s="103">
        <v>0</v>
      </c>
      <c r="E688" s="103">
        <v>0</v>
      </c>
      <c r="F688" s="101">
        <v>0</v>
      </c>
      <c r="G688" s="101">
        <v>0</v>
      </c>
      <c r="H688" s="101">
        <v>0</v>
      </c>
      <c r="I688" s="101">
        <v>0</v>
      </c>
      <c r="J688" s="101">
        <v>0</v>
      </c>
    </row>
    <row r="689" spans="1:10" ht="15" x14ac:dyDescent="0.2">
      <c r="A689" t="s">
        <v>301</v>
      </c>
      <c r="B689" s="102" t="s">
        <v>154</v>
      </c>
      <c r="C689" s="100">
        <f t="shared" si="16"/>
        <v>4</v>
      </c>
      <c r="D689" s="103">
        <v>0</v>
      </c>
      <c r="E689" s="103">
        <v>0</v>
      </c>
      <c r="F689" s="101">
        <v>0</v>
      </c>
      <c r="G689" s="101">
        <v>0</v>
      </c>
      <c r="H689" s="101">
        <v>0</v>
      </c>
      <c r="I689" s="101">
        <v>0</v>
      </c>
      <c r="J689" s="101">
        <v>0</v>
      </c>
    </row>
    <row r="690" spans="1:10" ht="15" x14ac:dyDescent="0.2">
      <c r="A690" t="s">
        <v>301</v>
      </c>
      <c r="B690" s="99" t="s">
        <v>155</v>
      </c>
      <c r="C690" s="100">
        <f t="shared" si="16"/>
        <v>5</v>
      </c>
      <c r="D690" s="103">
        <v>0</v>
      </c>
      <c r="E690" s="103">
        <v>0</v>
      </c>
      <c r="F690" s="101">
        <v>0</v>
      </c>
      <c r="G690" s="101">
        <v>0</v>
      </c>
      <c r="H690" s="101">
        <v>0</v>
      </c>
      <c r="I690" s="101">
        <v>0</v>
      </c>
      <c r="J690" s="101">
        <v>0</v>
      </c>
    </row>
    <row r="691" spans="1:10" ht="15" x14ac:dyDescent="0.2">
      <c r="A691" t="s">
        <v>301</v>
      </c>
      <c r="B691" s="102" t="s">
        <v>156</v>
      </c>
      <c r="C691" s="100">
        <f t="shared" si="16"/>
        <v>6</v>
      </c>
      <c r="D691" s="103">
        <v>0</v>
      </c>
      <c r="E691" s="103">
        <v>0</v>
      </c>
      <c r="F691" s="101">
        <v>0</v>
      </c>
      <c r="G691" s="101">
        <v>0</v>
      </c>
      <c r="H691" s="101">
        <v>0</v>
      </c>
      <c r="I691" s="101">
        <v>0</v>
      </c>
      <c r="J691" s="101">
        <v>0</v>
      </c>
    </row>
    <row r="692" spans="1:10" ht="15" x14ac:dyDescent="0.2">
      <c r="A692" t="s">
        <v>301</v>
      </c>
      <c r="B692" s="99" t="s">
        <v>157</v>
      </c>
      <c r="C692" s="100">
        <f t="shared" si="16"/>
        <v>7</v>
      </c>
      <c r="D692" s="103">
        <v>0</v>
      </c>
      <c r="E692" s="103">
        <v>0</v>
      </c>
      <c r="F692" s="101">
        <v>0</v>
      </c>
      <c r="G692" s="101">
        <v>0</v>
      </c>
      <c r="H692" s="101">
        <v>0</v>
      </c>
      <c r="I692" s="101">
        <v>0</v>
      </c>
      <c r="J692" s="101">
        <v>0</v>
      </c>
    </row>
    <row r="693" spans="1:10" ht="15" x14ac:dyDescent="0.2">
      <c r="A693" t="s">
        <v>301</v>
      </c>
      <c r="B693" s="102" t="s">
        <v>158</v>
      </c>
      <c r="C693" s="100">
        <f t="shared" si="16"/>
        <v>8</v>
      </c>
      <c r="D693" s="103">
        <v>7</v>
      </c>
      <c r="E693" s="103">
        <v>35</v>
      </c>
      <c r="F693" s="101">
        <v>0</v>
      </c>
      <c r="G693" s="101">
        <v>0</v>
      </c>
      <c r="H693" s="101">
        <v>0</v>
      </c>
      <c r="I693" s="101">
        <v>0</v>
      </c>
      <c r="J693" s="101">
        <v>2</v>
      </c>
    </row>
    <row r="694" spans="1:10" ht="15" x14ac:dyDescent="0.2">
      <c r="A694" t="s">
        <v>301</v>
      </c>
      <c r="B694" s="99" t="s">
        <v>159</v>
      </c>
      <c r="C694" s="100">
        <f t="shared" si="16"/>
        <v>9</v>
      </c>
      <c r="D694" s="103">
        <v>6</v>
      </c>
      <c r="E694" s="103">
        <v>30</v>
      </c>
      <c r="F694" s="101">
        <v>0</v>
      </c>
      <c r="G694" s="101">
        <v>0</v>
      </c>
      <c r="H694" s="101">
        <v>0</v>
      </c>
      <c r="I694" s="101">
        <v>0</v>
      </c>
      <c r="J694" s="101">
        <v>2</v>
      </c>
    </row>
    <row r="695" spans="1:10" ht="15" x14ac:dyDescent="0.2">
      <c r="A695" t="s">
        <v>301</v>
      </c>
      <c r="B695" s="102" t="s">
        <v>160</v>
      </c>
      <c r="C695" s="100">
        <f t="shared" si="16"/>
        <v>10</v>
      </c>
      <c r="D695" s="103">
        <v>0</v>
      </c>
      <c r="E695" s="103">
        <v>0</v>
      </c>
      <c r="F695" s="101">
        <v>0</v>
      </c>
      <c r="G695" s="101">
        <v>0</v>
      </c>
      <c r="H695" s="101">
        <v>0</v>
      </c>
      <c r="I695" s="101">
        <v>0</v>
      </c>
      <c r="J695" s="101">
        <v>0</v>
      </c>
    </row>
    <row r="696" spans="1:10" ht="15" x14ac:dyDescent="0.2">
      <c r="A696" t="s">
        <v>301</v>
      </c>
      <c r="B696" s="99" t="s">
        <v>161</v>
      </c>
      <c r="C696" s="100">
        <f t="shared" si="16"/>
        <v>11</v>
      </c>
      <c r="D696" s="103"/>
      <c r="E696" s="103"/>
      <c r="F696" s="101">
        <v>0</v>
      </c>
      <c r="G696" s="101">
        <v>0</v>
      </c>
      <c r="H696" s="101">
        <v>0</v>
      </c>
      <c r="I696" s="101">
        <v>0</v>
      </c>
      <c r="J696" s="101"/>
    </row>
    <row r="697" spans="1:10" ht="15" x14ac:dyDescent="0.2">
      <c r="A697" t="s">
        <v>301</v>
      </c>
      <c r="B697" s="102" t="s">
        <v>162</v>
      </c>
      <c r="C697" s="100">
        <f t="shared" si="16"/>
        <v>12</v>
      </c>
      <c r="D697" s="103"/>
      <c r="E697" s="103"/>
      <c r="F697" s="101">
        <v>0</v>
      </c>
      <c r="G697" s="101">
        <v>0</v>
      </c>
      <c r="H697" s="101">
        <v>0</v>
      </c>
      <c r="I697" s="101">
        <v>0</v>
      </c>
      <c r="J697" s="101"/>
    </row>
    <row r="698" spans="1:10" ht="15" x14ac:dyDescent="0.2">
      <c r="A698" t="s">
        <v>42</v>
      </c>
      <c r="B698" s="99" t="s">
        <v>151</v>
      </c>
      <c r="C698" s="100">
        <f t="shared" si="15"/>
        <v>1</v>
      </c>
      <c r="D698" s="101">
        <v>0</v>
      </c>
      <c r="E698" s="101">
        <v>0</v>
      </c>
      <c r="F698" s="101">
        <v>0</v>
      </c>
      <c r="G698" s="101">
        <v>0</v>
      </c>
      <c r="H698" s="101">
        <v>0</v>
      </c>
      <c r="I698" s="101">
        <v>0</v>
      </c>
      <c r="J698" s="101">
        <v>0</v>
      </c>
    </row>
    <row r="699" spans="1:10" ht="15" x14ac:dyDescent="0.2">
      <c r="A699" t="s">
        <v>42</v>
      </c>
      <c r="B699" s="102" t="s">
        <v>152</v>
      </c>
      <c r="C699" s="100">
        <f t="shared" si="15"/>
        <v>2</v>
      </c>
      <c r="D699" s="103">
        <v>5</v>
      </c>
      <c r="E699" s="103">
        <v>35</v>
      </c>
      <c r="F699" s="101">
        <v>0</v>
      </c>
      <c r="G699" s="101">
        <v>0</v>
      </c>
      <c r="H699" s="101">
        <v>0</v>
      </c>
      <c r="I699" s="101">
        <v>0</v>
      </c>
      <c r="J699" s="101">
        <v>1</v>
      </c>
    </row>
    <row r="700" spans="1:10" ht="15" x14ac:dyDescent="0.2">
      <c r="A700" t="s">
        <v>42</v>
      </c>
      <c r="B700" s="99" t="s">
        <v>153</v>
      </c>
      <c r="C700" s="100">
        <f t="shared" si="15"/>
        <v>3</v>
      </c>
      <c r="D700" s="101">
        <v>0</v>
      </c>
      <c r="E700" s="101">
        <v>0</v>
      </c>
      <c r="F700" s="101">
        <v>0</v>
      </c>
      <c r="G700" s="101">
        <v>0</v>
      </c>
      <c r="H700" s="101">
        <v>0</v>
      </c>
      <c r="I700" s="101">
        <v>0</v>
      </c>
      <c r="J700" s="101">
        <v>0</v>
      </c>
    </row>
    <row r="701" spans="1:10" ht="15" x14ac:dyDescent="0.2">
      <c r="A701" t="s">
        <v>42</v>
      </c>
      <c r="B701" s="102" t="s">
        <v>154</v>
      </c>
      <c r="C701" s="100">
        <f t="shared" si="15"/>
        <v>4</v>
      </c>
      <c r="D701" s="103">
        <v>0</v>
      </c>
      <c r="E701" s="103">
        <v>0</v>
      </c>
      <c r="F701" s="101">
        <v>0</v>
      </c>
      <c r="G701" s="101">
        <v>0</v>
      </c>
      <c r="H701" s="101">
        <v>0</v>
      </c>
      <c r="I701" s="101">
        <v>0</v>
      </c>
      <c r="J701" s="101">
        <v>0</v>
      </c>
    </row>
    <row r="702" spans="1:10" ht="15" x14ac:dyDescent="0.2">
      <c r="A702" t="s">
        <v>42</v>
      </c>
      <c r="B702" s="99" t="s">
        <v>155</v>
      </c>
      <c r="C702" s="100">
        <f t="shared" si="15"/>
        <v>5</v>
      </c>
      <c r="D702" s="101">
        <v>3</v>
      </c>
      <c r="E702" s="101">
        <v>21</v>
      </c>
      <c r="F702" s="101">
        <v>0</v>
      </c>
      <c r="G702" s="101">
        <v>0</v>
      </c>
      <c r="H702" s="101">
        <v>7</v>
      </c>
      <c r="I702" s="101">
        <v>50</v>
      </c>
      <c r="J702" s="101">
        <v>1</v>
      </c>
    </row>
    <row r="703" spans="1:10" ht="15" x14ac:dyDescent="0.2">
      <c r="A703" t="s">
        <v>42</v>
      </c>
      <c r="B703" s="102" t="s">
        <v>156</v>
      </c>
      <c r="C703" s="100">
        <f t="shared" si="15"/>
        <v>6</v>
      </c>
      <c r="D703" s="103">
        <v>0</v>
      </c>
      <c r="E703" s="103">
        <v>0</v>
      </c>
      <c r="F703" s="101">
        <v>0</v>
      </c>
      <c r="G703" s="101">
        <v>0</v>
      </c>
      <c r="H703" s="101">
        <v>0</v>
      </c>
      <c r="I703" s="101">
        <v>0</v>
      </c>
      <c r="J703" s="101">
        <v>0</v>
      </c>
    </row>
    <row r="704" spans="1:10" ht="15" x14ac:dyDescent="0.2">
      <c r="A704" t="s">
        <v>42</v>
      </c>
      <c r="B704" s="99" t="s">
        <v>157</v>
      </c>
      <c r="C704" s="100">
        <f t="shared" si="15"/>
        <v>7</v>
      </c>
      <c r="D704" s="101">
        <v>2</v>
      </c>
      <c r="E704" s="101">
        <v>14</v>
      </c>
      <c r="F704" s="101">
        <v>0</v>
      </c>
      <c r="G704" s="101">
        <v>0</v>
      </c>
      <c r="H704" s="101">
        <v>0</v>
      </c>
      <c r="I704" s="101">
        <v>0</v>
      </c>
      <c r="J704" s="101">
        <v>1</v>
      </c>
    </row>
    <row r="705" spans="1:10" ht="15" x14ac:dyDescent="0.2">
      <c r="A705" t="s">
        <v>42</v>
      </c>
      <c r="B705" s="102" t="s">
        <v>158</v>
      </c>
      <c r="C705" s="100">
        <f t="shared" si="15"/>
        <v>8</v>
      </c>
      <c r="D705" s="103">
        <v>3</v>
      </c>
      <c r="E705" s="103">
        <v>21</v>
      </c>
      <c r="F705" s="101">
        <v>0</v>
      </c>
      <c r="G705" s="101">
        <v>0</v>
      </c>
      <c r="H705" s="101">
        <v>0</v>
      </c>
      <c r="I705" s="101">
        <v>0</v>
      </c>
      <c r="J705" s="101">
        <v>1</v>
      </c>
    </row>
    <row r="706" spans="1:10" ht="15" x14ac:dyDescent="0.2">
      <c r="A706" t="s">
        <v>42</v>
      </c>
      <c r="B706" s="99" t="s">
        <v>159</v>
      </c>
      <c r="C706" s="100">
        <f t="shared" si="15"/>
        <v>9</v>
      </c>
      <c r="D706" s="101">
        <v>5</v>
      </c>
      <c r="E706" s="101">
        <v>35</v>
      </c>
      <c r="F706" s="101">
        <v>0</v>
      </c>
      <c r="G706" s="101">
        <v>0</v>
      </c>
      <c r="H706" s="101">
        <v>0</v>
      </c>
      <c r="I706" s="101">
        <v>0</v>
      </c>
      <c r="J706" s="101">
        <v>2</v>
      </c>
    </row>
    <row r="707" spans="1:10" ht="15" x14ac:dyDescent="0.2">
      <c r="A707" t="s">
        <v>42</v>
      </c>
      <c r="B707" s="102" t="s">
        <v>160</v>
      </c>
      <c r="C707" s="100">
        <f t="shared" si="15"/>
        <v>10</v>
      </c>
      <c r="D707" s="103">
        <v>0</v>
      </c>
      <c r="E707" s="103">
        <v>0</v>
      </c>
      <c r="F707" s="101">
        <v>0</v>
      </c>
      <c r="G707" s="101">
        <v>0</v>
      </c>
      <c r="H707" s="101">
        <v>0</v>
      </c>
      <c r="I707" s="101">
        <v>0</v>
      </c>
      <c r="J707" s="101">
        <v>0</v>
      </c>
    </row>
    <row r="708" spans="1:10" ht="15" x14ac:dyDescent="0.2">
      <c r="A708" t="s">
        <v>42</v>
      </c>
      <c r="B708" s="99" t="s">
        <v>161</v>
      </c>
      <c r="C708" s="100">
        <f t="shared" si="15"/>
        <v>11</v>
      </c>
      <c r="D708" s="101">
        <v>0</v>
      </c>
      <c r="E708" s="101">
        <v>0</v>
      </c>
      <c r="F708" s="101">
        <v>0</v>
      </c>
      <c r="G708" s="101">
        <v>0</v>
      </c>
      <c r="H708" s="101">
        <v>0</v>
      </c>
      <c r="I708" s="101">
        <v>0</v>
      </c>
      <c r="J708" s="101">
        <v>0</v>
      </c>
    </row>
    <row r="709" spans="1:10" ht="15" x14ac:dyDescent="0.2">
      <c r="A709" t="s">
        <v>42</v>
      </c>
      <c r="B709" s="102" t="s">
        <v>162</v>
      </c>
      <c r="C709" s="100">
        <f t="shared" si="15"/>
        <v>12</v>
      </c>
      <c r="D709" s="103">
        <v>0</v>
      </c>
      <c r="E709" s="103">
        <v>0</v>
      </c>
      <c r="F709" s="101">
        <v>0</v>
      </c>
      <c r="G709" s="101">
        <v>0</v>
      </c>
      <c r="H709" s="101">
        <v>0</v>
      </c>
      <c r="I709" s="101">
        <v>0</v>
      </c>
      <c r="J709" s="101">
        <v>0</v>
      </c>
    </row>
    <row r="710" spans="1:10" ht="15" x14ac:dyDescent="0.2">
      <c r="A710" t="s">
        <v>108</v>
      </c>
      <c r="B710" s="99" t="s">
        <v>151</v>
      </c>
      <c r="C710" s="100">
        <f t="shared" si="15"/>
        <v>1</v>
      </c>
      <c r="D710" s="101">
        <v>0</v>
      </c>
      <c r="E710" s="101">
        <v>0</v>
      </c>
      <c r="F710" s="101">
        <v>0</v>
      </c>
      <c r="G710" s="101">
        <v>0</v>
      </c>
      <c r="H710" s="101">
        <v>0</v>
      </c>
      <c r="I710" s="101">
        <v>0</v>
      </c>
      <c r="J710" s="101">
        <v>0</v>
      </c>
    </row>
    <row r="711" spans="1:10" ht="15" x14ac:dyDescent="0.2">
      <c r="A711" t="s">
        <v>108</v>
      </c>
      <c r="B711" s="102" t="s">
        <v>152</v>
      </c>
      <c r="C711" s="100">
        <f t="shared" si="15"/>
        <v>2</v>
      </c>
      <c r="D711" s="103">
        <v>0</v>
      </c>
      <c r="E711" s="103">
        <v>0</v>
      </c>
      <c r="F711" s="101">
        <v>0</v>
      </c>
      <c r="G711" s="101">
        <v>0</v>
      </c>
      <c r="H711" s="101">
        <v>0</v>
      </c>
      <c r="I711" s="101">
        <v>0</v>
      </c>
      <c r="J711" s="101">
        <v>0</v>
      </c>
    </row>
    <row r="712" spans="1:10" ht="15" x14ac:dyDescent="0.2">
      <c r="A712" t="s">
        <v>108</v>
      </c>
      <c r="B712" s="99" t="s">
        <v>153</v>
      </c>
      <c r="C712" s="100">
        <f t="shared" si="15"/>
        <v>3</v>
      </c>
      <c r="D712" s="101">
        <v>0</v>
      </c>
      <c r="E712" s="101">
        <v>0</v>
      </c>
      <c r="F712" s="101">
        <v>0</v>
      </c>
      <c r="G712" s="101">
        <v>0</v>
      </c>
      <c r="H712" s="101">
        <v>0</v>
      </c>
      <c r="I712" s="101">
        <v>0</v>
      </c>
      <c r="J712" s="101">
        <v>0</v>
      </c>
    </row>
    <row r="713" spans="1:10" ht="15" x14ac:dyDescent="0.2">
      <c r="A713" t="s">
        <v>108</v>
      </c>
      <c r="B713" s="102" t="s">
        <v>154</v>
      </c>
      <c r="C713" s="100">
        <f t="shared" si="15"/>
        <v>4</v>
      </c>
      <c r="D713" s="103">
        <v>0</v>
      </c>
      <c r="E713" s="103">
        <v>0</v>
      </c>
      <c r="F713" s="101">
        <v>0</v>
      </c>
      <c r="G713" s="101">
        <v>0</v>
      </c>
      <c r="H713" s="101">
        <v>0</v>
      </c>
      <c r="I713" s="101">
        <v>0</v>
      </c>
      <c r="J713" s="101">
        <v>0</v>
      </c>
    </row>
    <row r="714" spans="1:10" ht="15" x14ac:dyDescent="0.2">
      <c r="A714" t="s">
        <v>108</v>
      </c>
      <c r="B714" s="99" t="s">
        <v>155</v>
      </c>
      <c r="C714" s="100">
        <f t="shared" si="15"/>
        <v>5</v>
      </c>
      <c r="D714" s="101">
        <v>0</v>
      </c>
      <c r="E714" s="101">
        <v>0</v>
      </c>
      <c r="F714" s="101">
        <v>0</v>
      </c>
      <c r="G714" s="101">
        <v>0</v>
      </c>
      <c r="H714" s="101">
        <v>1</v>
      </c>
      <c r="I714" s="101">
        <v>20</v>
      </c>
      <c r="J714" s="101">
        <v>0</v>
      </c>
    </row>
    <row r="715" spans="1:10" ht="15" x14ac:dyDescent="0.2">
      <c r="A715" t="s">
        <v>108</v>
      </c>
      <c r="B715" s="102" t="s">
        <v>156</v>
      </c>
      <c r="C715" s="100">
        <f t="shared" si="15"/>
        <v>6</v>
      </c>
      <c r="D715" s="103">
        <v>0</v>
      </c>
      <c r="E715" s="103">
        <v>0</v>
      </c>
      <c r="F715" s="101">
        <v>0</v>
      </c>
      <c r="G715" s="101">
        <v>0</v>
      </c>
      <c r="H715" s="101">
        <v>0</v>
      </c>
      <c r="I715" s="101">
        <v>0</v>
      </c>
      <c r="J715" s="101">
        <v>0</v>
      </c>
    </row>
    <row r="716" spans="1:10" ht="15" x14ac:dyDescent="0.2">
      <c r="A716" t="s">
        <v>108</v>
      </c>
      <c r="B716" s="99" t="s">
        <v>157</v>
      </c>
      <c r="C716" s="100">
        <f t="shared" si="15"/>
        <v>7</v>
      </c>
      <c r="D716" s="101">
        <v>0</v>
      </c>
      <c r="E716" s="101">
        <v>0</v>
      </c>
      <c r="F716" s="101">
        <v>0</v>
      </c>
      <c r="G716" s="101">
        <v>0</v>
      </c>
      <c r="H716" s="101">
        <v>0</v>
      </c>
      <c r="I716" s="101">
        <v>0</v>
      </c>
      <c r="J716" s="101">
        <v>0</v>
      </c>
    </row>
    <row r="717" spans="1:10" ht="15" x14ac:dyDescent="0.2">
      <c r="A717" t="s">
        <v>108</v>
      </c>
      <c r="B717" s="102" t="s">
        <v>158</v>
      </c>
      <c r="C717" s="100">
        <f t="shared" si="15"/>
        <v>8</v>
      </c>
      <c r="D717" s="103">
        <v>0</v>
      </c>
      <c r="E717" s="103">
        <v>0</v>
      </c>
      <c r="F717" s="101">
        <v>0</v>
      </c>
      <c r="G717" s="101">
        <v>0</v>
      </c>
      <c r="H717" s="101">
        <v>0</v>
      </c>
      <c r="I717" s="101">
        <v>0</v>
      </c>
      <c r="J717" s="101">
        <v>0</v>
      </c>
    </row>
    <row r="718" spans="1:10" ht="15" x14ac:dyDescent="0.2">
      <c r="A718" t="s">
        <v>108</v>
      </c>
      <c r="B718" s="99" t="s">
        <v>159</v>
      </c>
      <c r="C718" s="100">
        <f t="shared" si="15"/>
        <v>9</v>
      </c>
      <c r="D718" s="101">
        <v>0</v>
      </c>
      <c r="E718" s="101">
        <v>0</v>
      </c>
      <c r="F718" s="101">
        <v>0</v>
      </c>
      <c r="G718" s="101">
        <v>0</v>
      </c>
      <c r="H718" s="101">
        <v>0</v>
      </c>
      <c r="I718" s="101">
        <v>0</v>
      </c>
      <c r="J718" s="101">
        <v>0</v>
      </c>
    </row>
    <row r="719" spans="1:10" ht="15" x14ac:dyDescent="0.2">
      <c r="A719" t="s">
        <v>108</v>
      </c>
      <c r="B719" s="102" t="s">
        <v>160</v>
      </c>
      <c r="C719" s="100">
        <f t="shared" si="15"/>
        <v>10</v>
      </c>
      <c r="D719" s="103">
        <v>0</v>
      </c>
      <c r="E719" s="103">
        <v>0</v>
      </c>
      <c r="F719" s="101">
        <v>0</v>
      </c>
      <c r="G719" s="101">
        <v>0</v>
      </c>
      <c r="H719" s="101">
        <v>0</v>
      </c>
      <c r="I719" s="101">
        <v>0</v>
      </c>
      <c r="J719" s="101">
        <v>0</v>
      </c>
    </row>
    <row r="720" spans="1:10" ht="15" x14ac:dyDescent="0.2">
      <c r="A720" t="s">
        <v>108</v>
      </c>
      <c r="B720" s="99" t="s">
        <v>161</v>
      </c>
      <c r="C720" s="100">
        <f t="shared" si="15"/>
        <v>11</v>
      </c>
      <c r="D720" s="101">
        <v>0</v>
      </c>
      <c r="E720" s="101">
        <v>0</v>
      </c>
      <c r="F720" s="101">
        <v>0</v>
      </c>
      <c r="G720" s="101">
        <v>0</v>
      </c>
      <c r="H720" s="101">
        <v>0</v>
      </c>
      <c r="I720" s="101">
        <v>0</v>
      </c>
      <c r="J720" s="101">
        <v>0</v>
      </c>
    </row>
    <row r="721" spans="1:10" ht="15" x14ac:dyDescent="0.2">
      <c r="A721" t="s">
        <v>108</v>
      </c>
      <c r="B721" s="102" t="s">
        <v>162</v>
      </c>
      <c r="C721" s="100">
        <f t="shared" si="15"/>
        <v>12</v>
      </c>
      <c r="D721" s="103">
        <v>0</v>
      </c>
      <c r="E721" s="103">
        <v>0</v>
      </c>
      <c r="F721" s="101">
        <v>0</v>
      </c>
      <c r="G721" s="101">
        <v>0</v>
      </c>
      <c r="H721" s="101">
        <v>0</v>
      </c>
      <c r="I721" s="101">
        <v>0</v>
      </c>
      <c r="J721" s="101">
        <v>0</v>
      </c>
    </row>
    <row r="722" spans="1:10" ht="15" x14ac:dyDescent="0.2">
      <c r="A722" t="s">
        <v>129</v>
      </c>
      <c r="B722" s="99" t="s">
        <v>151</v>
      </c>
      <c r="C722" s="100">
        <f t="shared" si="15"/>
        <v>1</v>
      </c>
      <c r="D722" s="101">
        <v>0</v>
      </c>
      <c r="E722" s="101">
        <v>0</v>
      </c>
      <c r="F722" s="101">
        <v>0</v>
      </c>
      <c r="G722" s="101">
        <v>0</v>
      </c>
      <c r="H722" s="101">
        <v>0</v>
      </c>
      <c r="I722" s="101">
        <v>0</v>
      </c>
      <c r="J722" s="101">
        <v>0</v>
      </c>
    </row>
    <row r="723" spans="1:10" ht="15" x14ac:dyDescent="0.2">
      <c r="A723" t="s">
        <v>129</v>
      </c>
      <c r="B723" s="102" t="s">
        <v>152</v>
      </c>
      <c r="C723" s="100">
        <f t="shared" si="15"/>
        <v>2</v>
      </c>
      <c r="D723" s="103">
        <v>0</v>
      </c>
      <c r="E723" s="103">
        <v>0</v>
      </c>
      <c r="F723" s="101">
        <v>0</v>
      </c>
      <c r="G723" s="101">
        <v>0</v>
      </c>
      <c r="H723" s="101">
        <v>0</v>
      </c>
      <c r="I723" s="101">
        <v>0</v>
      </c>
      <c r="J723" s="101">
        <v>0</v>
      </c>
    </row>
    <row r="724" spans="1:10" ht="15" x14ac:dyDescent="0.2">
      <c r="A724" t="s">
        <v>129</v>
      </c>
      <c r="B724" s="99" t="s">
        <v>153</v>
      </c>
      <c r="C724" s="100">
        <f t="shared" si="15"/>
        <v>3</v>
      </c>
      <c r="D724" s="101">
        <v>0</v>
      </c>
      <c r="E724" s="101">
        <v>0</v>
      </c>
      <c r="F724" s="101">
        <v>0</v>
      </c>
      <c r="G724" s="101">
        <v>0</v>
      </c>
      <c r="H724" s="101">
        <v>0</v>
      </c>
      <c r="I724" s="101">
        <v>0</v>
      </c>
      <c r="J724" s="101">
        <v>0</v>
      </c>
    </row>
    <row r="725" spans="1:10" ht="15" x14ac:dyDescent="0.2">
      <c r="A725" t="s">
        <v>129</v>
      </c>
      <c r="B725" s="102" t="s">
        <v>154</v>
      </c>
      <c r="C725" s="100">
        <f t="shared" si="15"/>
        <v>4</v>
      </c>
      <c r="D725" s="103">
        <v>0</v>
      </c>
      <c r="E725" s="103">
        <v>0</v>
      </c>
      <c r="F725" s="101">
        <v>0</v>
      </c>
      <c r="G725" s="101">
        <v>0</v>
      </c>
      <c r="H725" s="101">
        <v>0</v>
      </c>
      <c r="I725" s="101">
        <v>0</v>
      </c>
      <c r="J725" s="101">
        <v>0</v>
      </c>
    </row>
    <row r="726" spans="1:10" ht="15" x14ac:dyDescent="0.2">
      <c r="A726" t="s">
        <v>129</v>
      </c>
      <c r="B726" s="99" t="s">
        <v>155</v>
      </c>
      <c r="C726" s="100">
        <f t="shared" si="15"/>
        <v>5</v>
      </c>
      <c r="D726" s="101">
        <v>0</v>
      </c>
      <c r="E726" s="101">
        <v>0</v>
      </c>
      <c r="F726" s="101">
        <v>0</v>
      </c>
      <c r="G726" s="101">
        <v>0</v>
      </c>
      <c r="H726" s="101">
        <v>0</v>
      </c>
      <c r="I726" s="101">
        <v>0</v>
      </c>
      <c r="J726" s="101">
        <v>0</v>
      </c>
    </row>
    <row r="727" spans="1:10" ht="15" x14ac:dyDescent="0.2">
      <c r="A727" t="s">
        <v>129</v>
      </c>
      <c r="B727" s="102" t="s">
        <v>156</v>
      </c>
      <c r="C727" s="100">
        <f t="shared" si="15"/>
        <v>6</v>
      </c>
      <c r="D727" s="103">
        <v>0</v>
      </c>
      <c r="E727" s="103">
        <v>0</v>
      </c>
      <c r="F727" s="101">
        <v>0</v>
      </c>
      <c r="G727" s="101">
        <v>0</v>
      </c>
      <c r="H727" s="101">
        <v>0</v>
      </c>
      <c r="I727" s="101">
        <v>0</v>
      </c>
      <c r="J727" s="101">
        <v>0</v>
      </c>
    </row>
    <row r="728" spans="1:10" ht="15" x14ac:dyDescent="0.2">
      <c r="A728" t="s">
        <v>129</v>
      </c>
      <c r="B728" s="99" t="s">
        <v>157</v>
      </c>
      <c r="C728" s="100">
        <f t="shared" si="15"/>
        <v>7</v>
      </c>
      <c r="D728" s="101">
        <v>0</v>
      </c>
      <c r="E728" s="101">
        <v>0</v>
      </c>
      <c r="F728" s="101">
        <v>0</v>
      </c>
      <c r="G728" s="101">
        <v>0</v>
      </c>
      <c r="H728" s="101">
        <v>0</v>
      </c>
      <c r="I728" s="101">
        <v>0</v>
      </c>
      <c r="J728" s="101">
        <v>0</v>
      </c>
    </row>
    <row r="729" spans="1:10" ht="15" x14ac:dyDescent="0.2">
      <c r="A729" t="s">
        <v>129</v>
      </c>
      <c r="B729" s="102" t="s">
        <v>158</v>
      </c>
      <c r="C729" s="100">
        <f t="shared" si="15"/>
        <v>8</v>
      </c>
      <c r="D729" s="103">
        <v>0</v>
      </c>
      <c r="E729" s="103">
        <v>0</v>
      </c>
      <c r="F729" s="101">
        <v>0</v>
      </c>
      <c r="G729" s="101">
        <v>0</v>
      </c>
      <c r="H729" s="101">
        <v>0</v>
      </c>
      <c r="I729" s="101">
        <v>0</v>
      </c>
      <c r="J729" s="101">
        <v>0</v>
      </c>
    </row>
    <row r="730" spans="1:10" ht="15" x14ac:dyDescent="0.2">
      <c r="A730" t="s">
        <v>129</v>
      </c>
      <c r="B730" s="99" t="s">
        <v>159</v>
      </c>
      <c r="C730" s="100">
        <f t="shared" si="15"/>
        <v>9</v>
      </c>
      <c r="D730" s="101">
        <v>0</v>
      </c>
      <c r="E730" s="101">
        <v>0</v>
      </c>
      <c r="F730" s="101">
        <v>0</v>
      </c>
      <c r="G730" s="101">
        <v>0</v>
      </c>
      <c r="H730" s="101">
        <v>0</v>
      </c>
      <c r="I730" s="101">
        <v>0</v>
      </c>
      <c r="J730" s="101">
        <v>0</v>
      </c>
    </row>
    <row r="731" spans="1:10" ht="15" x14ac:dyDescent="0.2">
      <c r="A731" t="s">
        <v>129</v>
      </c>
      <c r="B731" s="102" t="s">
        <v>160</v>
      </c>
      <c r="C731" s="100">
        <f t="shared" si="15"/>
        <v>10</v>
      </c>
      <c r="D731" s="103">
        <v>0</v>
      </c>
      <c r="E731" s="103">
        <v>0</v>
      </c>
      <c r="F731" s="101">
        <v>0</v>
      </c>
      <c r="G731" s="101">
        <v>0</v>
      </c>
      <c r="H731" s="101">
        <v>0</v>
      </c>
      <c r="I731" s="101">
        <v>0</v>
      </c>
      <c r="J731" s="101">
        <v>0</v>
      </c>
    </row>
    <row r="732" spans="1:10" ht="15" x14ac:dyDescent="0.2">
      <c r="A732" t="s">
        <v>129</v>
      </c>
      <c r="B732" s="99" t="s">
        <v>161</v>
      </c>
      <c r="C732" s="100">
        <f t="shared" si="15"/>
        <v>11</v>
      </c>
      <c r="D732" s="101">
        <v>0</v>
      </c>
      <c r="E732" s="101">
        <v>0</v>
      </c>
      <c r="F732" s="101">
        <v>0</v>
      </c>
      <c r="G732" s="101">
        <v>0</v>
      </c>
      <c r="H732" s="101">
        <v>0</v>
      </c>
      <c r="I732" s="101">
        <v>0</v>
      </c>
      <c r="J732" s="101">
        <v>0</v>
      </c>
    </row>
    <row r="733" spans="1:10" ht="15" x14ac:dyDescent="0.2">
      <c r="A733" t="s">
        <v>129</v>
      </c>
      <c r="B733" s="102" t="s">
        <v>162</v>
      </c>
      <c r="C733" s="100">
        <f t="shared" si="15"/>
        <v>12</v>
      </c>
      <c r="D733" s="103">
        <v>0</v>
      </c>
      <c r="E733" s="103">
        <v>0</v>
      </c>
      <c r="F733" s="101">
        <v>0</v>
      </c>
      <c r="G733" s="101">
        <v>0</v>
      </c>
      <c r="H733" s="101">
        <v>0</v>
      </c>
      <c r="I733" s="101">
        <v>0</v>
      </c>
      <c r="J733" s="101">
        <v>0</v>
      </c>
    </row>
    <row r="734" spans="1:10" ht="15" x14ac:dyDescent="0.2">
      <c r="A734" t="s">
        <v>125</v>
      </c>
      <c r="B734" s="99" t="s">
        <v>151</v>
      </c>
      <c r="C734" s="100">
        <f t="shared" si="15"/>
        <v>1</v>
      </c>
      <c r="D734" s="101">
        <v>0</v>
      </c>
      <c r="E734" s="101">
        <v>0</v>
      </c>
      <c r="F734" s="101">
        <v>0</v>
      </c>
      <c r="G734" s="101">
        <v>0</v>
      </c>
      <c r="H734" s="101">
        <v>0</v>
      </c>
      <c r="I734" s="101">
        <v>0</v>
      </c>
      <c r="J734" s="101">
        <v>0</v>
      </c>
    </row>
    <row r="735" spans="1:10" ht="15" x14ac:dyDescent="0.2">
      <c r="A735" t="s">
        <v>125</v>
      </c>
      <c r="B735" s="102" t="s">
        <v>152</v>
      </c>
      <c r="C735" s="100">
        <f t="shared" si="15"/>
        <v>2</v>
      </c>
      <c r="D735" s="103">
        <v>0</v>
      </c>
      <c r="E735" s="103">
        <v>0</v>
      </c>
      <c r="F735" s="101">
        <v>0</v>
      </c>
      <c r="G735" s="101">
        <v>0</v>
      </c>
      <c r="H735" s="101">
        <v>0</v>
      </c>
      <c r="I735" s="101">
        <v>0</v>
      </c>
      <c r="J735" s="101">
        <v>0</v>
      </c>
    </row>
    <row r="736" spans="1:10" ht="15" x14ac:dyDescent="0.2">
      <c r="A736" t="s">
        <v>125</v>
      </c>
      <c r="B736" s="99" t="s">
        <v>153</v>
      </c>
      <c r="C736" s="100">
        <f t="shared" si="15"/>
        <v>3</v>
      </c>
      <c r="D736" s="101">
        <v>3</v>
      </c>
      <c r="E736" s="101">
        <v>27</v>
      </c>
      <c r="F736" s="101">
        <v>0</v>
      </c>
      <c r="G736" s="101">
        <v>0</v>
      </c>
      <c r="H736" s="101">
        <v>0</v>
      </c>
      <c r="I736" s="101">
        <v>0</v>
      </c>
      <c r="J736" s="101">
        <v>1</v>
      </c>
    </row>
    <row r="737" spans="1:10" ht="15" x14ac:dyDescent="0.2">
      <c r="A737" t="s">
        <v>125</v>
      </c>
      <c r="B737" s="102" t="s">
        <v>154</v>
      </c>
      <c r="C737" s="100">
        <f t="shared" si="15"/>
        <v>4</v>
      </c>
      <c r="D737" s="103">
        <v>0</v>
      </c>
      <c r="E737" s="103">
        <v>0</v>
      </c>
      <c r="F737" s="101">
        <v>0</v>
      </c>
      <c r="G737" s="101">
        <v>0</v>
      </c>
      <c r="H737" s="101">
        <v>0</v>
      </c>
      <c r="I737" s="101">
        <v>0</v>
      </c>
      <c r="J737" s="101">
        <v>0</v>
      </c>
    </row>
    <row r="738" spans="1:10" ht="15" x14ac:dyDescent="0.2">
      <c r="A738" t="s">
        <v>125</v>
      </c>
      <c r="B738" s="99" t="s">
        <v>155</v>
      </c>
      <c r="C738" s="100">
        <f t="shared" ref="C738:C757" si="17">_xlfn.IFS(B738="Janeiro",1,B738="Fevereiro",2,B738="Março",3,B738="Abril",4,B738="Maio",5,B738="Junho",6,B738="Julho",7,B738="Agosto",8,B738="Setembro",9,B738="Outubro",10,B738="Novembro",11,B738="Dezembro",12,TRUE,0)</f>
        <v>5</v>
      </c>
      <c r="D738" s="101">
        <v>0</v>
      </c>
      <c r="E738" s="101">
        <v>0</v>
      </c>
      <c r="F738" s="101">
        <v>0</v>
      </c>
      <c r="G738" s="101">
        <v>0</v>
      </c>
      <c r="H738" s="101">
        <v>2</v>
      </c>
      <c r="I738" s="101">
        <v>18</v>
      </c>
      <c r="J738" s="101">
        <v>0</v>
      </c>
    </row>
    <row r="739" spans="1:10" ht="15" x14ac:dyDescent="0.2">
      <c r="A739" t="s">
        <v>125</v>
      </c>
      <c r="B739" s="102" t="s">
        <v>156</v>
      </c>
      <c r="C739" s="100">
        <f t="shared" si="17"/>
        <v>6</v>
      </c>
      <c r="D739" s="103">
        <v>0</v>
      </c>
      <c r="E739" s="103">
        <v>0</v>
      </c>
      <c r="F739" s="101">
        <v>0</v>
      </c>
      <c r="G739" s="101">
        <v>0</v>
      </c>
      <c r="H739" s="101">
        <v>0</v>
      </c>
      <c r="I739" s="101">
        <v>0</v>
      </c>
      <c r="J739" s="101">
        <v>0</v>
      </c>
    </row>
    <row r="740" spans="1:10" ht="15" x14ac:dyDescent="0.2">
      <c r="A740" t="s">
        <v>125</v>
      </c>
      <c r="B740" s="99" t="s">
        <v>157</v>
      </c>
      <c r="C740" s="100">
        <f t="shared" si="17"/>
        <v>7</v>
      </c>
      <c r="D740" s="101">
        <v>8</v>
      </c>
      <c r="E740" s="101">
        <v>72</v>
      </c>
      <c r="F740" s="101">
        <v>1</v>
      </c>
      <c r="G740" s="101">
        <v>5</v>
      </c>
      <c r="H740" s="101">
        <v>0</v>
      </c>
      <c r="I740" s="101">
        <v>0</v>
      </c>
      <c r="J740" s="101">
        <v>3</v>
      </c>
    </row>
    <row r="741" spans="1:10" ht="15" x14ac:dyDescent="0.2">
      <c r="A741" t="s">
        <v>125</v>
      </c>
      <c r="B741" s="102" t="s">
        <v>158</v>
      </c>
      <c r="C741" s="100">
        <f t="shared" si="17"/>
        <v>8</v>
      </c>
      <c r="D741" s="103">
        <v>0</v>
      </c>
      <c r="E741" s="103">
        <v>0</v>
      </c>
      <c r="F741" s="101">
        <v>0</v>
      </c>
      <c r="G741" s="101">
        <v>0</v>
      </c>
      <c r="H741" s="101">
        <v>0</v>
      </c>
      <c r="I741" s="101">
        <v>0</v>
      </c>
      <c r="J741" s="101">
        <v>0</v>
      </c>
    </row>
    <row r="742" spans="1:10" ht="15" x14ac:dyDescent="0.2">
      <c r="A742" t="s">
        <v>125</v>
      </c>
      <c r="B742" s="99" t="s">
        <v>159</v>
      </c>
      <c r="C742" s="100">
        <f t="shared" si="17"/>
        <v>9</v>
      </c>
      <c r="D742" s="101">
        <v>3</v>
      </c>
      <c r="E742" s="101">
        <v>27</v>
      </c>
      <c r="F742" s="101">
        <v>0</v>
      </c>
      <c r="G742" s="101">
        <v>0</v>
      </c>
      <c r="H742" s="101">
        <v>0</v>
      </c>
      <c r="I742" s="101">
        <v>0</v>
      </c>
      <c r="J742" s="101">
        <v>1</v>
      </c>
    </row>
    <row r="743" spans="1:10" ht="15" x14ac:dyDescent="0.2">
      <c r="A743" t="s">
        <v>125</v>
      </c>
      <c r="B743" s="102" t="s">
        <v>160</v>
      </c>
      <c r="C743" s="100">
        <f t="shared" si="17"/>
        <v>10</v>
      </c>
      <c r="D743" s="103">
        <v>0</v>
      </c>
      <c r="E743" s="103">
        <v>0</v>
      </c>
      <c r="F743" s="101">
        <v>0</v>
      </c>
      <c r="G743" s="101">
        <v>0</v>
      </c>
      <c r="H743" s="101">
        <v>0</v>
      </c>
      <c r="I743" s="101">
        <v>0</v>
      </c>
      <c r="J743" s="101">
        <v>0</v>
      </c>
    </row>
    <row r="744" spans="1:10" ht="15" x14ac:dyDescent="0.2">
      <c r="A744" t="s">
        <v>125</v>
      </c>
      <c r="B744" s="99" t="s">
        <v>161</v>
      </c>
      <c r="C744" s="100">
        <f t="shared" si="17"/>
        <v>11</v>
      </c>
      <c r="D744" s="101">
        <v>0</v>
      </c>
      <c r="E744" s="101">
        <v>0</v>
      </c>
      <c r="F744" s="101">
        <v>0</v>
      </c>
      <c r="G744" s="101">
        <v>0</v>
      </c>
      <c r="H744" s="101">
        <v>0</v>
      </c>
      <c r="I744" s="101">
        <v>0</v>
      </c>
      <c r="J744" s="101">
        <v>0</v>
      </c>
    </row>
    <row r="745" spans="1:10" ht="15" x14ac:dyDescent="0.2">
      <c r="A745" t="s">
        <v>125</v>
      </c>
      <c r="B745" s="102" t="s">
        <v>162</v>
      </c>
      <c r="C745" s="100">
        <f t="shared" si="17"/>
        <v>12</v>
      </c>
      <c r="D745" s="103">
        <v>0</v>
      </c>
      <c r="E745" s="103">
        <v>0</v>
      </c>
      <c r="F745" s="101">
        <v>0</v>
      </c>
      <c r="G745" s="101">
        <v>0</v>
      </c>
      <c r="H745" s="101">
        <v>0</v>
      </c>
      <c r="I745" s="101">
        <v>0</v>
      </c>
      <c r="J745" s="101">
        <v>0</v>
      </c>
    </row>
    <row r="746" spans="1:10" ht="15" x14ac:dyDescent="0.2">
      <c r="A746" t="s">
        <v>313</v>
      </c>
      <c r="B746" s="99" t="s">
        <v>151</v>
      </c>
      <c r="C746" s="100">
        <f t="shared" si="17"/>
        <v>1</v>
      </c>
      <c r="D746" s="103">
        <v>0</v>
      </c>
      <c r="E746" s="103">
        <v>0</v>
      </c>
      <c r="F746" s="101">
        <v>0</v>
      </c>
      <c r="G746" s="101">
        <v>0</v>
      </c>
      <c r="H746" s="101">
        <v>0</v>
      </c>
      <c r="I746" s="101">
        <v>0</v>
      </c>
      <c r="J746" s="101">
        <v>0</v>
      </c>
    </row>
    <row r="747" spans="1:10" ht="15" x14ac:dyDescent="0.2">
      <c r="A747" t="s">
        <v>313</v>
      </c>
      <c r="B747" s="102" t="s">
        <v>152</v>
      </c>
      <c r="C747" s="100">
        <f t="shared" si="17"/>
        <v>2</v>
      </c>
      <c r="D747" s="103">
        <v>0</v>
      </c>
      <c r="E747" s="103">
        <v>0</v>
      </c>
      <c r="F747" s="101">
        <v>0</v>
      </c>
      <c r="G747" s="101">
        <v>0</v>
      </c>
      <c r="H747" s="101">
        <v>0</v>
      </c>
      <c r="I747" s="101">
        <v>0</v>
      </c>
      <c r="J747" s="101">
        <v>0</v>
      </c>
    </row>
    <row r="748" spans="1:10" ht="15" x14ac:dyDescent="0.2">
      <c r="A748" t="s">
        <v>313</v>
      </c>
      <c r="B748" s="99" t="s">
        <v>153</v>
      </c>
      <c r="C748" s="100">
        <f t="shared" si="17"/>
        <v>3</v>
      </c>
      <c r="D748" s="103">
        <v>0</v>
      </c>
      <c r="E748" s="103">
        <v>0</v>
      </c>
      <c r="F748" s="101">
        <v>0</v>
      </c>
      <c r="G748" s="101">
        <v>0</v>
      </c>
      <c r="H748" s="101">
        <v>0</v>
      </c>
      <c r="I748" s="101">
        <v>0</v>
      </c>
      <c r="J748" s="101">
        <v>0</v>
      </c>
    </row>
    <row r="749" spans="1:10" ht="15" x14ac:dyDescent="0.2">
      <c r="A749" t="s">
        <v>313</v>
      </c>
      <c r="B749" s="102" t="s">
        <v>154</v>
      </c>
      <c r="C749" s="100">
        <f t="shared" si="17"/>
        <v>4</v>
      </c>
      <c r="D749" s="103">
        <v>0</v>
      </c>
      <c r="E749" s="103">
        <v>0</v>
      </c>
      <c r="F749" s="101">
        <v>0</v>
      </c>
      <c r="G749" s="101">
        <v>0</v>
      </c>
      <c r="H749" s="101">
        <v>0</v>
      </c>
      <c r="I749" s="101">
        <v>0</v>
      </c>
      <c r="J749" s="101">
        <v>0</v>
      </c>
    </row>
    <row r="750" spans="1:10" ht="15" x14ac:dyDescent="0.2">
      <c r="A750" t="s">
        <v>313</v>
      </c>
      <c r="B750" s="99" t="s">
        <v>155</v>
      </c>
      <c r="C750" s="100">
        <f t="shared" si="17"/>
        <v>5</v>
      </c>
      <c r="D750" s="103">
        <v>0</v>
      </c>
      <c r="E750" s="103">
        <v>0</v>
      </c>
      <c r="F750" s="101">
        <v>0</v>
      </c>
      <c r="G750" s="101">
        <v>0</v>
      </c>
      <c r="H750" s="101">
        <v>0</v>
      </c>
      <c r="I750" s="101">
        <v>0</v>
      </c>
      <c r="J750" s="101">
        <v>0</v>
      </c>
    </row>
    <row r="751" spans="1:10" ht="15" x14ac:dyDescent="0.2">
      <c r="A751" t="s">
        <v>313</v>
      </c>
      <c r="B751" s="102" t="s">
        <v>156</v>
      </c>
      <c r="C751" s="100">
        <f t="shared" si="17"/>
        <v>6</v>
      </c>
      <c r="D751" s="103">
        <v>0</v>
      </c>
      <c r="E751" s="103">
        <v>0</v>
      </c>
      <c r="F751" s="101">
        <v>0</v>
      </c>
      <c r="G751" s="101">
        <v>0</v>
      </c>
      <c r="H751" s="101">
        <v>0</v>
      </c>
      <c r="I751" s="101">
        <v>0</v>
      </c>
      <c r="J751" s="101">
        <v>0</v>
      </c>
    </row>
    <row r="752" spans="1:10" ht="15" x14ac:dyDescent="0.2">
      <c r="A752" t="s">
        <v>313</v>
      </c>
      <c r="B752" s="99" t="s">
        <v>157</v>
      </c>
      <c r="C752" s="100">
        <f t="shared" si="17"/>
        <v>7</v>
      </c>
      <c r="D752" s="103">
        <v>0</v>
      </c>
      <c r="E752" s="103">
        <v>0</v>
      </c>
      <c r="F752" s="101">
        <v>0</v>
      </c>
      <c r="G752" s="101">
        <v>0</v>
      </c>
      <c r="H752" s="101">
        <v>0</v>
      </c>
      <c r="I752" s="101">
        <v>0</v>
      </c>
      <c r="J752" s="101">
        <v>0</v>
      </c>
    </row>
    <row r="753" spans="1:10" ht="15" x14ac:dyDescent="0.2">
      <c r="A753" t="s">
        <v>313</v>
      </c>
      <c r="B753" s="102" t="s">
        <v>158</v>
      </c>
      <c r="C753" s="100">
        <f t="shared" si="17"/>
        <v>8</v>
      </c>
      <c r="D753" s="103">
        <v>0</v>
      </c>
      <c r="E753" s="103">
        <v>0</v>
      </c>
      <c r="F753" s="101">
        <v>0</v>
      </c>
      <c r="G753" s="101">
        <v>0</v>
      </c>
      <c r="H753" s="101">
        <v>0</v>
      </c>
      <c r="I753" s="101">
        <v>0</v>
      </c>
      <c r="J753" s="101">
        <v>0</v>
      </c>
    </row>
    <row r="754" spans="1:10" ht="15" x14ac:dyDescent="0.2">
      <c r="A754" t="s">
        <v>313</v>
      </c>
      <c r="B754" s="99" t="s">
        <v>159</v>
      </c>
      <c r="C754" s="100">
        <f t="shared" si="17"/>
        <v>9</v>
      </c>
      <c r="D754" s="103">
        <v>0</v>
      </c>
      <c r="E754" s="103">
        <v>0</v>
      </c>
      <c r="F754" s="101">
        <v>0</v>
      </c>
      <c r="G754" s="101">
        <v>0</v>
      </c>
      <c r="H754" s="101">
        <v>0</v>
      </c>
      <c r="I754" s="101">
        <v>0</v>
      </c>
      <c r="J754" s="101">
        <v>0</v>
      </c>
    </row>
    <row r="755" spans="1:10" ht="15" x14ac:dyDescent="0.2">
      <c r="A755" t="s">
        <v>313</v>
      </c>
      <c r="B755" s="102" t="s">
        <v>160</v>
      </c>
      <c r="C755" s="100">
        <f t="shared" si="17"/>
        <v>10</v>
      </c>
      <c r="D755" s="103">
        <v>0</v>
      </c>
      <c r="E755" s="103">
        <v>0</v>
      </c>
      <c r="F755" s="101">
        <v>0</v>
      </c>
      <c r="G755" s="101">
        <v>0</v>
      </c>
      <c r="H755" s="101">
        <v>0</v>
      </c>
      <c r="I755" s="101">
        <v>0</v>
      </c>
      <c r="J755" s="101">
        <v>0</v>
      </c>
    </row>
    <row r="756" spans="1:10" ht="15" x14ac:dyDescent="0.2">
      <c r="A756" t="s">
        <v>313</v>
      </c>
      <c r="B756" s="99" t="s">
        <v>161</v>
      </c>
      <c r="C756" s="100">
        <f t="shared" si="17"/>
        <v>11</v>
      </c>
      <c r="D756" s="103">
        <v>0</v>
      </c>
      <c r="E756" s="103">
        <v>0</v>
      </c>
      <c r="F756" s="101">
        <v>0</v>
      </c>
      <c r="G756" s="101">
        <v>0</v>
      </c>
      <c r="H756" s="101">
        <v>0</v>
      </c>
      <c r="I756" s="101">
        <v>0</v>
      </c>
      <c r="J756" s="101">
        <v>0</v>
      </c>
    </row>
    <row r="757" spans="1:10" ht="15" x14ac:dyDescent="0.2">
      <c r="A757" t="s">
        <v>313</v>
      </c>
      <c r="B757" s="102" t="s">
        <v>162</v>
      </c>
      <c r="C757" s="100">
        <f t="shared" si="17"/>
        <v>12</v>
      </c>
      <c r="D757" s="103">
        <v>0</v>
      </c>
      <c r="E757" s="103">
        <v>0</v>
      </c>
      <c r="F757" s="101">
        <v>0</v>
      </c>
      <c r="G757" s="101">
        <v>0</v>
      </c>
      <c r="H757" s="101">
        <v>0</v>
      </c>
      <c r="I757" s="101">
        <v>0</v>
      </c>
      <c r="J757" s="101">
        <v>0</v>
      </c>
    </row>
  </sheetData>
  <sheetProtection formatCells="0" formatColumns="0" formatRows="0" insertColumns="0" insertRows="0" selectLockedCells="1"/>
  <phoneticPr fontId="6" type="noConversion"/>
  <pageMargins left="0.511811024" right="0.511811024" top="0.78740157499999996" bottom="0.78740157499999996" header="0.31496062000000002" footer="0.31496062000000002"/>
  <pageSetup paperSize="9"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
  <sheetViews>
    <sheetView workbookViewId="0">
      <selection activeCell="E7" sqref="E7"/>
    </sheetView>
  </sheetViews>
  <sheetFormatPr defaultRowHeight="14.25" x14ac:dyDescent="0.2"/>
  <cols>
    <col min="1" max="1" width="18.625" bestFit="1" customWidth="1"/>
    <col min="2" max="2" width="9.625" bestFit="1" customWidth="1"/>
    <col min="3" max="3" width="6.25" bestFit="1" customWidth="1"/>
    <col min="4" max="4" width="12" bestFit="1" customWidth="1"/>
    <col min="5" max="5" width="10.75" bestFit="1" customWidth="1"/>
  </cols>
  <sheetData>
    <row r="1" spans="1:5" x14ac:dyDescent="0.2">
      <c r="A1" s="38" t="s">
        <v>164</v>
      </c>
      <c r="B1" s="38" t="s">
        <v>165</v>
      </c>
      <c r="C1" s="38" t="s">
        <v>166</v>
      </c>
      <c r="D1" s="38" t="s">
        <v>241</v>
      </c>
      <c r="E1" s="38" t="s">
        <v>270</v>
      </c>
    </row>
    <row r="2" spans="1:5" ht="15" x14ac:dyDescent="0.2">
      <c r="A2" s="62" t="s">
        <v>283</v>
      </c>
      <c r="B2" s="63" t="s">
        <v>155</v>
      </c>
      <c r="C2" s="64">
        <v>2020</v>
      </c>
      <c r="D2" s="64" t="s">
        <v>242</v>
      </c>
      <c r="E2" s="61" t="s">
        <v>284</v>
      </c>
    </row>
    <row r="3" spans="1:5" ht="15" x14ac:dyDescent="0.2">
      <c r="A3" s="62" t="s">
        <v>285</v>
      </c>
      <c r="B3" s="63" t="s">
        <v>155</v>
      </c>
      <c r="C3" s="64">
        <v>2020</v>
      </c>
      <c r="D3" s="64" t="s">
        <v>242</v>
      </c>
      <c r="E3" s="61" t="s">
        <v>284</v>
      </c>
    </row>
    <row r="4" spans="1:5" ht="15" x14ac:dyDescent="0.2">
      <c r="A4" s="62" t="s">
        <v>289</v>
      </c>
      <c r="B4" s="63" t="s">
        <v>159</v>
      </c>
      <c r="C4" s="64">
        <v>2020</v>
      </c>
      <c r="D4" s="64" t="s">
        <v>242</v>
      </c>
      <c r="E4" s="61" t="s">
        <v>284</v>
      </c>
    </row>
    <row r="5" spans="1:5" ht="15" x14ac:dyDescent="0.2">
      <c r="A5" s="62" t="s">
        <v>317</v>
      </c>
      <c r="B5" s="63" t="s">
        <v>160</v>
      </c>
      <c r="C5" s="64">
        <v>2020</v>
      </c>
      <c r="D5" s="64" t="s">
        <v>242</v>
      </c>
      <c r="E5" s="61" t="s">
        <v>284</v>
      </c>
    </row>
    <row r="6" spans="1:5" ht="15" x14ac:dyDescent="0.2">
      <c r="A6" s="62"/>
      <c r="B6" s="63"/>
      <c r="C6" s="64"/>
      <c r="D6" s="64"/>
      <c r="E6" s="61"/>
    </row>
    <row r="7" spans="1:5" ht="15" x14ac:dyDescent="0.2">
      <c r="A7" s="62"/>
      <c r="B7" s="63"/>
      <c r="C7" s="64"/>
      <c r="D7" s="64"/>
      <c r="E7" s="61"/>
    </row>
  </sheetData>
  <pageMargins left="0.511811024" right="0.511811024" top="0.78740157499999996" bottom="0.78740157499999996" header="0.31496062000000002" footer="0.3149606200000000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757"/>
  <sheetViews>
    <sheetView showGridLines="0" zoomScale="85" zoomScaleNormal="85" workbookViewId="0">
      <pane xSplit="1" ySplit="1" topLeftCell="K2" activePane="bottomRight" state="frozen"/>
      <selection pane="topRight" activeCell="B1" sqref="B1"/>
      <selection pane="bottomLeft" activeCell="A2" sqref="A2"/>
      <selection pane="bottomRight" activeCell="M8" sqref="M8"/>
    </sheetView>
  </sheetViews>
  <sheetFormatPr defaultColWidth="8.75" defaultRowHeight="14.25" x14ac:dyDescent="0.2"/>
  <cols>
    <col min="1" max="1" width="31.25" style="6" customWidth="1"/>
    <col min="2" max="2" width="9.125" style="6" bestFit="1" customWidth="1"/>
    <col min="3" max="3" width="24.625" style="6" customWidth="1"/>
    <col min="4" max="4" width="11.75" style="6" bestFit="1" customWidth="1"/>
    <col min="5" max="5" width="16.125" style="6" bestFit="1" customWidth="1"/>
    <col min="6" max="6" width="22.125" style="6" customWidth="1"/>
    <col min="7" max="7" width="21.875" style="6" customWidth="1"/>
    <col min="8" max="8" width="26.5" style="35" customWidth="1"/>
    <col min="9" max="9" width="11.125" style="6" customWidth="1"/>
    <col min="10" max="10" width="23.875" style="97" customWidth="1"/>
    <col min="11" max="11" width="23.125" style="56" customWidth="1"/>
    <col min="12" max="12" width="23.25" style="6" customWidth="1"/>
    <col min="13" max="13" width="25.625" style="6" customWidth="1"/>
    <col min="14" max="14" width="12.5" bestFit="1" customWidth="1"/>
    <col min="15" max="15" width="36.25" customWidth="1"/>
    <col min="16" max="16" width="15.75" customWidth="1"/>
    <col min="17" max="17" width="41.125" customWidth="1"/>
    <col min="18" max="18" width="12.25" style="6" customWidth="1"/>
    <col min="19" max="19" width="42.875" style="6" customWidth="1"/>
    <col min="20" max="16384" width="8.75" style="111"/>
  </cols>
  <sheetData>
    <row r="1" spans="1:19" s="110" customFormat="1" ht="15.75" x14ac:dyDescent="0.25">
      <c r="A1" s="36" t="s">
        <v>0</v>
      </c>
      <c r="B1" s="36" t="s">
        <v>165</v>
      </c>
      <c r="C1" s="36" t="s">
        <v>1</v>
      </c>
      <c r="D1" s="37" t="s">
        <v>167</v>
      </c>
      <c r="E1" s="36" t="s">
        <v>4</v>
      </c>
      <c r="F1" s="37" t="s">
        <v>168</v>
      </c>
      <c r="G1" s="108" t="s">
        <v>233</v>
      </c>
      <c r="H1" s="108" t="s">
        <v>238</v>
      </c>
      <c r="I1" s="108" t="s">
        <v>240</v>
      </c>
      <c r="J1" s="96" t="s">
        <v>252</v>
      </c>
      <c r="K1" s="57" t="s">
        <v>249</v>
      </c>
      <c r="L1" s="108" t="s">
        <v>250</v>
      </c>
      <c r="M1" s="108" t="s">
        <v>251</v>
      </c>
      <c r="N1" s="113" t="s">
        <v>186</v>
      </c>
      <c r="O1" s="113" t="s">
        <v>187</v>
      </c>
      <c r="P1" s="113" t="s">
        <v>188</v>
      </c>
      <c r="Q1" s="113" t="s">
        <v>189</v>
      </c>
      <c r="R1" s="108" t="s">
        <v>256</v>
      </c>
      <c r="S1" s="108" t="s">
        <v>271</v>
      </c>
    </row>
    <row r="2" spans="1:19" s="110" customFormat="1" ht="15" x14ac:dyDescent="0.2">
      <c r="A2" s="114" t="s">
        <v>316</v>
      </c>
      <c r="B2" s="100" t="s">
        <v>151</v>
      </c>
      <c r="C2" s="115">
        <v>0</v>
      </c>
      <c r="D2" s="100">
        <f>(C2/12)*1</f>
        <v>0</v>
      </c>
      <c r="E2" s="103">
        <f>'Monitoramento Acumulado Geral'!Q2</f>
        <v>0</v>
      </c>
      <c r="F2" s="100">
        <f>E2</f>
        <v>0</v>
      </c>
      <c r="G2" s="102" t="str">
        <f t="shared" ref="G2:G13" si="0">_xlfn.IFS(F2&gt;D2,"Farol Verde",F2&gt;=D2*0.85,"Farol Amarelo",F2&lt;D2*0.85,"Farol Vermelho","Verdadeiro",0)</f>
        <v>Farol Amarelo</v>
      </c>
      <c r="H2" s="116">
        <f t="shared" ref="H2:H13" si="1">IF(D2-F2&lt;0,0,D2-F2)</f>
        <v>0</v>
      </c>
      <c r="I2" s="100">
        <f t="shared" ref="I2:I13" si="2">_xlfn.IFS(B2="Janeiro",1,B2="Fevereiro",2,B2="Março",3,B2="Abril",4,B2="Maio",5,B2="Junho",6,B2="Julho",7,B2="Agosto",8,B2="Setembro",9,B2="Outubro",10,B2="Novembro",11,B2="Dezembro",12,TRUE,0)</f>
        <v>1</v>
      </c>
      <c r="J2" s="117">
        <v>0</v>
      </c>
      <c r="K2" s="118">
        <f>'Monitoramento Acumulado Geral'!P2</f>
        <v>0</v>
      </c>
      <c r="L2" s="100">
        <f>J2/12</f>
        <v>0</v>
      </c>
      <c r="M2" s="100">
        <f>K2</f>
        <v>0</v>
      </c>
      <c r="N2" s="115"/>
      <c r="O2" s="116" t="e">
        <f t="shared" ref="O2:O13" si="3">P2/N2</f>
        <v>#DIV/0!</v>
      </c>
      <c r="P2" s="115"/>
      <c r="Q2" s="116" t="e">
        <f t="shared" ref="Q2:Q12" si="4">R2/P2</f>
        <v>#DIV/0!</v>
      </c>
      <c r="R2" s="115"/>
      <c r="S2" s="100" t="e">
        <f t="shared" ref="S2:S13" si="5">R2/N2</f>
        <v>#DIV/0!</v>
      </c>
    </row>
    <row r="3" spans="1:19" s="110" customFormat="1" ht="15" x14ac:dyDescent="0.2">
      <c r="A3" s="114" t="s">
        <v>316</v>
      </c>
      <c r="B3" s="100" t="s">
        <v>152</v>
      </c>
      <c r="C3" s="115">
        <v>0</v>
      </c>
      <c r="D3" s="100">
        <f>(C3/12)*2</f>
        <v>0</v>
      </c>
      <c r="E3" s="103">
        <f>'Monitoramento Acumulado Geral'!Q3</f>
        <v>0</v>
      </c>
      <c r="F3" s="100">
        <f>SUM(E2:E3)</f>
        <v>0</v>
      </c>
      <c r="G3" s="102" t="str">
        <f t="shared" si="0"/>
        <v>Farol Amarelo</v>
      </c>
      <c r="H3" s="116">
        <f t="shared" si="1"/>
        <v>0</v>
      </c>
      <c r="I3" s="100">
        <f t="shared" si="2"/>
        <v>2</v>
      </c>
      <c r="J3" s="117">
        <v>0</v>
      </c>
      <c r="K3" s="118">
        <f>'Monitoramento Acumulado Geral'!P3</f>
        <v>0</v>
      </c>
      <c r="L3" s="100">
        <f>L2+L2</f>
        <v>0</v>
      </c>
      <c r="M3" s="100">
        <f>M2+K3</f>
        <v>0</v>
      </c>
      <c r="N3" s="115"/>
      <c r="O3" s="116" t="e">
        <f t="shared" si="3"/>
        <v>#DIV/0!</v>
      </c>
      <c r="P3" s="115"/>
      <c r="Q3" s="116" t="e">
        <f t="shared" si="4"/>
        <v>#DIV/0!</v>
      </c>
      <c r="R3" s="115"/>
      <c r="S3" s="100" t="e">
        <f t="shared" si="5"/>
        <v>#DIV/0!</v>
      </c>
    </row>
    <row r="4" spans="1:19" s="110" customFormat="1" ht="15" x14ac:dyDescent="0.2">
      <c r="A4" s="114" t="s">
        <v>316</v>
      </c>
      <c r="B4" s="100" t="s">
        <v>153</v>
      </c>
      <c r="C4" s="115">
        <v>0</v>
      </c>
      <c r="D4" s="100">
        <f>(C4/12)*3</f>
        <v>0</v>
      </c>
      <c r="E4" s="103">
        <f>'Monitoramento Acumulado Geral'!Q4</f>
        <v>0</v>
      </c>
      <c r="F4" s="100">
        <f>SUM(E2:E4)</f>
        <v>0</v>
      </c>
      <c r="G4" s="102" t="str">
        <f t="shared" si="0"/>
        <v>Farol Amarelo</v>
      </c>
      <c r="H4" s="116">
        <f t="shared" si="1"/>
        <v>0</v>
      </c>
      <c r="I4" s="100">
        <f t="shared" si="2"/>
        <v>3</v>
      </c>
      <c r="J4" s="117">
        <v>0</v>
      </c>
      <c r="K4" s="118">
        <f>'Monitoramento Acumulado Geral'!P4</f>
        <v>0</v>
      </c>
      <c r="L4" s="100">
        <f>$L2+L3</f>
        <v>0</v>
      </c>
      <c r="M4" s="100">
        <f t="shared" ref="M4:M13" si="6">M3+K4</f>
        <v>0</v>
      </c>
      <c r="N4" s="115"/>
      <c r="O4" s="116" t="e">
        <f t="shared" si="3"/>
        <v>#DIV/0!</v>
      </c>
      <c r="P4" s="115"/>
      <c r="Q4" s="116" t="e">
        <f t="shared" si="4"/>
        <v>#DIV/0!</v>
      </c>
      <c r="R4" s="115"/>
      <c r="S4" s="100" t="e">
        <f t="shared" si="5"/>
        <v>#DIV/0!</v>
      </c>
    </row>
    <row r="5" spans="1:19" s="110" customFormat="1" ht="15" x14ac:dyDescent="0.2">
      <c r="A5" s="114" t="s">
        <v>316</v>
      </c>
      <c r="B5" s="100" t="s">
        <v>154</v>
      </c>
      <c r="C5" s="115">
        <v>0</v>
      </c>
      <c r="D5" s="100">
        <f>(C5/12)*4</f>
        <v>0</v>
      </c>
      <c r="E5" s="103">
        <f>'Monitoramento Acumulado Geral'!Q5</f>
        <v>0</v>
      </c>
      <c r="F5" s="100">
        <f>SUM(E2:E5)</f>
        <v>0</v>
      </c>
      <c r="G5" s="102" t="str">
        <f t="shared" si="0"/>
        <v>Farol Amarelo</v>
      </c>
      <c r="H5" s="116">
        <f t="shared" si="1"/>
        <v>0</v>
      </c>
      <c r="I5" s="100">
        <f t="shared" si="2"/>
        <v>4</v>
      </c>
      <c r="J5" s="117">
        <v>0</v>
      </c>
      <c r="K5" s="118">
        <f>'Monitoramento Acumulado Geral'!P5</f>
        <v>0</v>
      </c>
      <c r="L5" s="100">
        <f>$L2+L4</f>
        <v>0</v>
      </c>
      <c r="M5" s="100">
        <f t="shared" si="6"/>
        <v>0</v>
      </c>
      <c r="N5" s="115"/>
      <c r="O5" s="116" t="e">
        <f t="shared" si="3"/>
        <v>#DIV/0!</v>
      </c>
      <c r="P5" s="115"/>
      <c r="Q5" s="116" t="e">
        <f t="shared" si="4"/>
        <v>#DIV/0!</v>
      </c>
      <c r="R5" s="115"/>
      <c r="S5" s="100" t="e">
        <f t="shared" si="5"/>
        <v>#DIV/0!</v>
      </c>
    </row>
    <row r="6" spans="1:19" s="110" customFormat="1" ht="15" x14ac:dyDescent="0.2">
      <c r="A6" s="114" t="s">
        <v>316</v>
      </c>
      <c r="B6" s="100" t="s">
        <v>155</v>
      </c>
      <c r="C6" s="115">
        <v>0</v>
      </c>
      <c r="D6" s="100">
        <f>(C6/12)*5</f>
        <v>0</v>
      </c>
      <c r="E6" s="103">
        <f>'Monitoramento Acumulado Geral'!Q6</f>
        <v>0</v>
      </c>
      <c r="F6" s="100">
        <f>SUM(E2:E6)</f>
        <v>0</v>
      </c>
      <c r="G6" s="102" t="str">
        <f t="shared" si="0"/>
        <v>Farol Amarelo</v>
      </c>
      <c r="H6" s="116">
        <f t="shared" si="1"/>
        <v>0</v>
      </c>
      <c r="I6" s="100">
        <f t="shared" si="2"/>
        <v>5</v>
      </c>
      <c r="J6" s="117">
        <v>0</v>
      </c>
      <c r="K6" s="118">
        <f>'Monitoramento Acumulado Geral'!P6</f>
        <v>0</v>
      </c>
      <c r="L6" s="100">
        <f>L2+L5</f>
        <v>0</v>
      </c>
      <c r="M6" s="100">
        <f t="shared" si="6"/>
        <v>0</v>
      </c>
      <c r="N6" s="115"/>
      <c r="O6" s="116" t="e">
        <f t="shared" si="3"/>
        <v>#DIV/0!</v>
      </c>
      <c r="P6" s="115"/>
      <c r="Q6" s="116" t="e">
        <f t="shared" si="4"/>
        <v>#DIV/0!</v>
      </c>
      <c r="R6" s="115"/>
      <c r="S6" s="100" t="e">
        <f t="shared" si="5"/>
        <v>#DIV/0!</v>
      </c>
    </row>
    <row r="7" spans="1:19" s="110" customFormat="1" ht="15" x14ac:dyDescent="0.2">
      <c r="A7" s="114" t="s">
        <v>316</v>
      </c>
      <c r="B7" s="100" t="s">
        <v>156</v>
      </c>
      <c r="C7" s="115">
        <v>0</v>
      </c>
      <c r="D7" s="100">
        <f>(C7/12)*6</f>
        <v>0</v>
      </c>
      <c r="E7" s="103">
        <f>'Monitoramento Acumulado Geral'!Q7</f>
        <v>0</v>
      </c>
      <c r="F7" s="100">
        <f>SUM(E2:E7)</f>
        <v>0</v>
      </c>
      <c r="G7" s="102" t="str">
        <f t="shared" si="0"/>
        <v>Farol Amarelo</v>
      </c>
      <c r="H7" s="116">
        <f t="shared" si="1"/>
        <v>0</v>
      </c>
      <c r="I7" s="100">
        <f t="shared" si="2"/>
        <v>6</v>
      </c>
      <c r="J7" s="117">
        <v>0</v>
      </c>
      <c r="K7" s="118">
        <f>'Monitoramento Acumulado Geral'!P7</f>
        <v>0</v>
      </c>
      <c r="L7" s="100">
        <f>$L2+L6</f>
        <v>0</v>
      </c>
      <c r="M7" s="100">
        <f t="shared" si="6"/>
        <v>0</v>
      </c>
      <c r="N7" s="115"/>
      <c r="O7" s="116" t="e">
        <f t="shared" si="3"/>
        <v>#DIV/0!</v>
      </c>
      <c r="P7" s="115"/>
      <c r="Q7" s="116" t="e">
        <f t="shared" si="4"/>
        <v>#DIV/0!</v>
      </c>
      <c r="R7" s="115"/>
      <c r="S7" s="100" t="e">
        <f t="shared" si="5"/>
        <v>#DIV/0!</v>
      </c>
    </row>
    <row r="8" spans="1:19" s="110" customFormat="1" ht="15" x14ac:dyDescent="0.2">
      <c r="A8" s="114" t="s">
        <v>316</v>
      </c>
      <c r="B8" s="100" t="s">
        <v>157</v>
      </c>
      <c r="C8" s="115">
        <v>0</v>
      </c>
      <c r="D8" s="100">
        <f>(C8/12)*7</f>
        <v>0</v>
      </c>
      <c r="E8" s="103">
        <f>'Monitoramento Acumulado Geral'!Q8</f>
        <v>0</v>
      </c>
      <c r="F8" s="100">
        <f>SUM(E2:E8)</f>
        <v>0</v>
      </c>
      <c r="G8" s="102" t="str">
        <f t="shared" si="0"/>
        <v>Farol Amarelo</v>
      </c>
      <c r="H8" s="116">
        <f t="shared" si="1"/>
        <v>0</v>
      </c>
      <c r="I8" s="100">
        <f t="shared" si="2"/>
        <v>7</v>
      </c>
      <c r="J8" s="117">
        <v>0</v>
      </c>
      <c r="K8" s="118">
        <f>'Monitoramento Acumulado Geral'!P8</f>
        <v>0</v>
      </c>
      <c r="L8" s="100">
        <f>$L2+L7</f>
        <v>0</v>
      </c>
      <c r="M8" s="100">
        <f t="shared" si="6"/>
        <v>0</v>
      </c>
      <c r="N8" s="115"/>
      <c r="O8" s="116" t="e">
        <f t="shared" si="3"/>
        <v>#DIV/0!</v>
      </c>
      <c r="P8" s="115"/>
      <c r="Q8" s="116" t="e">
        <f t="shared" si="4"/>
        <v>#DIV/0!</v>
      </c>
      <c r="R8" s="115"/>
      <c r="S8" s="100" t="e">
        <f t="shared" si="5"/>
        <v>#DIV/0!</v>
      </c>
    </row>
    <row r="9" spans="1:19" s="110" customFormat="1" ht="15" x14ac:dyDescent="0.2">
      <c r="A9" s="114" t="s">
        <v>316</v>
      </c>
      <c r="B9" s="100" t="s">
        <v>158</v>
      </c>
      <c r="C9" s="115">
        <v>0</v>
      </c>
      <c r="D9" s="100">
        <f>(C9/12)*8</f>
        <v>0</v>
      </c>
      <c r="E9" s="103">
        <f>'Monitoramento Acumulado Geral'!Q9</f>
        <v>240</v>
      </c>
      <c r="F9" s="100">
        <f>SUM(E2:E9)</f>
        <v>240</v>
      </c>
      <c r="G9" s="102" t="str">
        <f t="shared" si="0"/>
        <v>Farol Verde</v>
      </c>
      <c r="H9" s="116">
        <f t="shared" si="1"/>
        <v>0</v>
      </c>
      <c r="I9" s="100">
        <f t="shared" si="2"/>
        <v>8</v>
      </c>
      <c r="J9" s="117">
        <v>0</v>
      </c>
      <c r="K9" s="118">
        <f>'Monitoramento Acumulado Geral'!P9</f>
        <v>1</v>
      </c>
      <c r="L9" s="100">
        <f>L2+L8</f>
        <v>0</v>
      </c>
      <c r="M9" s="100">
        <f t="shared" si="6"/>
        <v>1</v>
      </c>
      <c r="N9" s="115"/>
      <c r="O9" s="116" t="e">
        <f t="shared" si="3"/>
        <v>#DIV/0!</v>
      </c>
      <c r="P9" s="115"/>
      <c r="Q9" s="116" t="e">
        <f t="shared" si="4"/>
        <v>#DIV/0!</v>
      </c>
      <c r="R9" s="115"/>
      <c r="S9" s="100" t="e">
        <f t="shared" si="5"/>
        <v>#DIV/0!</v>
      </c>
    </row>
    <row r="10" spans="1:19" s="110" customFormat="1" ht="15" x14ac:dyDescent="0.2">
      <c r="A10" s="114" t="s">
        <v>316</v>
      </c>
      <c r="B10" s="100" t="s">
        <v>159</v>
      </c>
      <c r="C10" s="115">
        <v>0</v>
      </c>
      <c r="D10" s="100">
        <f>(C10/12)*9</f>
        <v>0</v>
      </c>
      <c r="E10" s="103">
        <f>'Monitoramento Acumulado Geral'!Q10</f>
        <v>0</v>
      </c>
      <c r="F10" s="100">
        <f>SUM(E2:E10)</f>
        <v>240</v>
      </c>
      <c r="G10" s="102" t="str">
        <f t="shared" si="0"/>
        <v>Farol Verde</v>
      </c>
      <c r="H10" s="116">
        <f t="shared" si="1"/>
        <v>0</v>
      </c>
      <c r="I10" s="100">
        <f t="shared" si="2"/>
        <v>9</v>
      </c>
      <c r="J10" s="117">
        <v>0</v>
      </c>
      <c r="K10" s="118">
        <f>'Monitoramento Acumulado Geral'!P10</f>
        <v>0</v>
      </c>
      <c r="L10" s="100">
        <f>$L2+L9</f>
        <v>0</v>
      </c>
      <c r="M10" s="100">
        <f t="shared" si="6"/>
        <v>1</v>
      </c>
      <c r="N10" s="115"/>
      <c r="O10" s="116" t="e">
        <f t="shared" si="3"/>
        <v>#DIV/0!</v>
      </c>
      <c r="P10" s="115"/>
      <c r="Q10" s="116" t="e">
        <f t="shared" si="4"/>
        <v>#DIV/0!</v>
      </c>
      <c r="R10" s="115"/>
      <c r="S10" s="100" t="e">
        <f t="shared" si="5"/>
        <v>#DIV/0!</v>
      </c>
    </row>
    <row r="11" spans="1:19" s="110" customFormat="1" ht="15" x14ac:dyDescent="0.2">
      <c r="A11" s="114" t="s">
        <v>316</v>
      </c>
      <c r="B11" s="100" t="s">
        <v>160</v>
      </c>
      <c r="C11" s="115">
        <v>0</v>
      </c>
      <c r="D11" s="100">
        <f>(C11/12)*10</f>
        <v>0</v>
      </c>
      <c r="E11" s="103">
        <f>'Monitoramento Acumulado Geral'!Q11</f>
        <v>0</v>
      </c>
      <c r="F11" s="100">
        <f>SUM(E2:E11)</f>
        <v>240</v>
      </c>
      <c r="G11" s="102" t="str">
        <f t="shared" si="0"/>
        <v>Farol Verde</v>
      </c>
      <c r="H11" s="116">
        <f t="shared" si="1"/>
        <v>0</v>
      </c>
      <c r="I11" s="100">
        <f t="shared" si="2"/>
        <v>10</v>
      </c>
      <c r="J11" s="117">
        <v>0</v>
      </c>
      <c r="K11" s="118">
        <f>'Monitoramento Acumulado Geral'!P11</f>
        <v>0</v>
      </c>
      <c r="L11" s="100">
        <f>$L2+L10</f>
        <v>0</v>
      </c>
      <c r="M11" s="100">
        <f t="shared" si="6"/>
        <v>1</v>
      </c>
      <c r="N11" s="115"/>
      <c r="O11" s="116" t="e">
        <f t="shared" si="3"/>
        <v>#DIV/0!</v>
      </c>
      <c r="P11" s="115"/>
      <c r="Q11" s="116" t="e">
        <f t="shared" si="4"/>
        <v>#DIV/0!</v>
      </c>
      <c r="R11" s="115"/>
      <c r="S11" s="100" t="e">
        <f t="shared" si="5"/>
        <v>#DIV/0!</v>
      </c>
    </row>
    <row r="12" spans="1:19" s="110" customFormat="1" ht="15" x14ac:dyDescent="0.2">
      <c r="A12" s="114" t="s">
        <v>316</v>
      </c>
      <c r="B12" s="100" t="s">
        <v>161</v>
      </c>
      <c r="C12" s="115">
        <v>0</v>
      </c>
      <c r="D12" s="100">
        <f>(C12/12)*11</f>
        <v>0</v>
      </c>
      <c r="E12" s="103">
        <f>'Monitoramento Acumulado Geral'!Q12</f>
        <v>0</v>
      </c>
      <c r="F12" s="100">
        <f>SUM(E2:E12)</f>
        <v>240</v>
      </c>
      <c r="G12" s="102" t="str">
        <f t="shared" si="0"/>
        <v>Farol Verde</v>
      </c>
      <c r="H12" s="116">
        <f t="shared" si="1"/>
        <v>0</v>
      </c>
      <c r="I12" s="100">
        <f t="shared" si="2"/>
        <v>11</v>
      </c>
      <c r="J12" s="117">
        <v>0</v>
      </c>
      <c r="K12" s="118">
        <f>'Monitoramento Acumulado Geral'!P12</f>
        <v>0</v>
      </c>
      <c r="L12" s="100">
        <f>L2+L11</f>
        <v>0</v>
      </c>
      <c r="M12" s="100">
        <f t="shared" si="6"/>
        <v>1</v>
      </c>
      <c r="N12" s="115"/>
      <c r="O12" s="116" t="e">
        <f t="shared" si="3"/>
        <v>#DIV/0!</v>
      </c>
      <c r="P12" s="115"/>
      <c r="Q12" s="116" t="e">
        <f t="shared" si="4"/>
        <v>#DIV/0!</v>
      </c>
      <c r="R12" s="115"/>
      <c r="S12" s="100" t="e">
        <f t="shared" si="5"/>
        <v>#DIV/0!</v>
      </c>
    </row>
    <row r="13" spans="1:19" s="110" customFormat="1" ht="15" x14ac:dyDescent="0.2">
      <c r="A13" s="114" t="s">
        <v>316</v>
      </c>
      <c r="B13" s="100" t="s">
        <v>162</v>
      </c>
      <c r="C13" s="115">
        <v>0</v>
      </c>
      <c r="D13" s="100">
        <f>(C13/12)*12</f>
        <v>0</v>
      </c>
      <c r="E13" s="103">
        <f>'Monitoramento Acumulado Geral'!Q13</f>
        <v>0</v>
      </c>
      <c r="F13" s="100">
        <f>SUM(E2:E13)</f>
        <v>240</v>
      </c>
      <c r="G13" s="102" t="str">
        <f t="shared" si="0"/>
        <v>Farol Verde</v>
      </c>
      <c r="H13" s="116">
        <f t="shared" si="1"/>
        <v>0</v>
      </c>
      <c r="I13" s="100">
        <f t="shared" si="2"/>
        <v>12</v>
      </c>
      <c r="J13" s="117">
        <v>0</v>
      </c>
      <c r="K13" s="118">
        <f>'Monitoramento Acumulado Geral'!P13</f>
        <v>0</v>
      </c>
      <c r="L13" s="100">
        <f>$L2+L12</f>
        <v>0</v>
      </c>
      <c r="M13" s="100">
        <f t="shared" si="6"/>
        <v>1</v>
      </c>
      <c r="N13" s="115"/>
      <c r="O13" s="116" t="e">
        <f t="shared" si="3"/>
        <v>#DIV/0!</v>
      </c>
      <c r="P13" s="115"/>
      <c r="Q13" s="116" t="e">
        <f>R13/P13</f>
        <v>#DIV/0!</v>
      </c>
      <c r="R13" s="115"/>
      <c r="S13" s="100" t="e">
        <f t="shared" si="5"/>
        <v>#DIV/0!</v>
      </c>
    </row>
    <row r="14" spans="1:19" ht="15" x14ac:dyDescent="0.2">
      <c r="A14" s="114" t="s">
        <v>83</v>
      </c>
      <c r="B14" s="100" t="s">
        <v>151</v>
      </c>
      <c r="C14" s="115">
        <v>16700</v>
      </c>
      <c r="D14" s="100">
        <f>(C14/12)*1</f>
        <v>1391.6666666666667</v>
      </c>
      <c r="E14" s="103">
        <f>'Monitoramento Acumulado Geral'!Q14</f>
        <v>1892</v>
      </c>
      <c r="F14" s="100">
        <f>E14</f>
        <v>1892</v>
      </c>
      <c r="G14" s="102" t="str">
        <f>_xlfn.IFS(F14&gt;D14,"Farol Verde",F14&gt;=D14*0.85,"Farol Amarelo",F14&lt;D14*0.85,"Farol Vermelho","Verdadeiro",0)</f>
        <v>Farol Verde</v>
      </c>
      <c r="H14" s="116">
        <f t="shared" ref="H14:H77" si="7">IF(D14-F14&lt;0,0,D14-F14)</f>
        <v>0</v>
      </c>
      <c r="I14" s="100">
        <f t="shared" ref="I14:I77" si="8">_xlfn.IFS(B14="Janeiro",1,B14="Fevereiro",2,B14="Março",3,B14="Abril",4,B14="Maio",5,B14="Junho",6,B14="Julho",7,B14="Agosto",8,B14="Setembro",9,B14="Outubro",10,B14="Novembro",11,B14="Dezembro",12,TRUE,0)</f>
        <v>1</v>
      </c>
      <c r="J14" s="117">
        <v>14</v>
      </c>
      <c r="K14" s="118">
        <f>'Monitoramento Acumulado Geral'!P14</f>
        <v>4</v>
      </c>
      <c r="L14" s="100">
        <f>J14/12</f>
        <v>1.1666666666666667</v>
      </c>
      <c r="M14" s="100">
        <f>K14</f>
        <v>4</v>
      </c>
      <c r="N14" s="115">
        <v>0</v>
      </c>
      <c r="O14" s="116" t="e">
        <f>P14/N14</f>
        <v>#DIV/0!</v>
      </c>
      <c r="P14" s="115">
        <v>0</v>
      </c>
      <c r="Q14" s="116" t="e">
        <f>R14/P14</f>
        <v>#DIV/0!</v>
      </c>
      <c r="R14" s="115">
        <v>0</v>
      </c>
      <c r="S14" s="100" t="e">
        <f>R14/N14</f>
        <v>#DIV/0!</v>
      </c>
    </row>
    <row r="15" spans="1:19" ht="15" x14ac:dyDescent="0.2">
      <c r="A15" s="114" t="s">
        <v>83</v>
      </c>
      <c r="B15" s="100" t="s">
        <v>152</v>
      </c>
      <c r="C15" s="115">
        <v>16700</v>
      </c>
      <c r="D15" s="100">
        <f>(C15/12)*2</f>
        <v>2783.3333333333335</v>
      </c>
      <c r="E15" s="103">
        <f>'Monitoramento Acumulado Geral'!Q15</f>
        <v>5605</v>
      </c>
      <c r="F15" s="100">
        <f>SUM(E14:E15)</f>
        <v>7497</v>
      </c>
      <c r="G15" s="102" t="str">
        <f t="shared" ref="G15:G78" si="9">_xlfn.IFS(F15&gt;D15,"Farol Verde",F15&gt;=D15*0.85,"Farol Amarelo",F15&lt;D15*0.85,"Farol Vermelho","Verdadeiro",0)</f>
        <v>Farol Verde</v>
      </c>
      <c r="H15" s="116">
        <f t="shared" si="7"/>
        <v>0</v>
      </c>
      <c r="I15" s="100">
        <f t="shared" si="8"/>
        <v>2</v>
      </c>
      <c r="J15" s="117">
        <v>14</v>
      </c>
      <c r="K15" s="118">
        <f>'Monitoramento Acumulado Geral'!P15</f>
        <v>5</v>
      </c>
      <c r="L15" s="100">
        <f>$L$14+L14</f>
        <v>2.3333333333333335</v>
      </c>
      <c r="M15" s="100">
        <f>M14+K15</f>
        <v>9</v>
      </c>
      <c r="N15" s="115">
        <v>0</v>
      </c>
      <c r="O15" s="116" t="e">
        <f t="shared" ref="O15:O78" si="10">P15/N15</f>
        <v>#DIV/0!</v>
      </c>
      <c r="P15" s="115">
        <v>0</v>
      </c>
      <c r="Q15" s="116" t="e">
        <f t="shared" ref="Q15:Q78" si="11">R15/P15</f>
        <v>#DIV/0!</v>
      </c>
      <c r="R15" s="115">
        <v>0</v>
      </c>
      <c r="S15" s="100" t="e">
        <f t="shared" ref="S15:S78" si="12">R15/N15</f>
        <v>#DIV/0!</v>
      </c>
    </row>
    <row r="16" spans="1:19" ht="15" x14ac:dyDescent="0.2">
      <c r="A16" s="114" t="s">
        <v>83</v>
      </c>
      <c r="B16" s="100" t="s">
        <v>153</v>
      </c>
      <c r="C16" s="115">
        <v>16700</v>
      </c>
      <c r="D16" s="100">
        <f>(C16/12)*3</f>
        <v>4175</v>
      </c>
      <c r="E16" s="103">
        <f>'Monitoramento Acumulado Geral'!Q16</f>
        <v>0</v>
      </c>
      <c r="F16" s="100">
        <f>SUM(E14:E16)</f>
        <v>7497</v>
      </c>
      <c r="G16" s="102" t="str">
        <f t="shared" si="9"/>
        <v>Farol Verde</v>
      </c>
      <c r="H16" s="116">
        <f t="shared" si="7"/>
        <v>0</v>
      </c>
      <c r="I16" s="100">
        <f t="shared" si="8"/>
        <v>3</v>
      </c>
      <c r="J16" s="117">
        <v>14</v>
      </c>
      <c r="K16" s="118">
        <f>'Monitoramento Acumulado Geral'!P16</f>
        <v>0</v>
      </c>
      <c r="L16" s="100">
        <f t="shared" ref="L16:L25" si="13">$L$14+L15</f>
        <v>3.5</v>
      </c>
      <c r="M16" s="100">
        <f>M15+K16</f>
        <v>9</v>
      </c>
      <c r="N16" s="115">
        <v>0</v>
      </c>
      <c r="O16" s="116" t="e">
        <f t="shared" si="10"/>
        <v>#DIV/0!</v>
      </c>
      <c r="P16" s="115">
        <v>0</v>
      </c>
      <c r="Q16" s="116" t="e">
        <f t="shared" si="11"/>
        <v>#DIV/0!</v>
      </c>
      <c r="R16" s="115">
        <v>0</v>
      </c>
      <c r="S16" s="100" t="e">
        <f t="shared" si="12"/>
        <v>#DIV/0!</v>
      </c>
    </row>
    <row r="17" spans="1:19" ht="15" x14ac:dyDescent="0.2">
      <c r="A17" s="114" t="s">
        <v>83</v>
      </c>
      <c r="B17" s="100" t="s">
        <v>154</v>
      </c>
      <c r="C17" s="115">
        <v>16700</v>
      </c>
      <c r="D17" s="100">
        <f>(C17/12)*4</f>
        <v>5566.666666666667</v>
      </c>
      <c r="E17" s="103">
        <f>'Monitoramento Acumulado Geral'!Q17</f>
        <v>0</v>
      </c>
      <c r="F17" s="100">
        <f>SUM(E14:E17)</f>
        <v>7497</v>
      </c>
      <c r="G17" s="102" t="str">
        <f t="shared" si="9"/>
        <v>Farol Verde</v>
      </c>
      <c r="H17" s="116">
        <f t="shared" si="7"/>
        <v>0</v>
      </c>
      <c r="I17" s="100">
        <f t="shared" si="8"/>
        <v>4</v>
      </c>
      <c r="J17" s="117">
        <v>14</v>
      </c>
      <c r="K17" s="118">
        <f>'Monitoramento Acumulado Geral'!P17</f>
        <v>0</v>
      </c>
      <c r="L17" s="100">
        <f t="shared" si="13"/>
        <v>4.666666666666667</v>
      </c>
      <c r="M17" s="100">
        <f t="shared" ref="M17:M25" si="14">M16+K17</f>
        <v>9</v>
      </c>
      <c r="N17" s="115">
        <v>0</v>
      </c>
      <c r="O17" s="116" t="e">
        <f t="shared" si="10"/>
        <v>#DIV/0!</v>
      </c>
      <c r="P17" s="115">
        <v>0</v>
      </c>
      <c r="Q17" s="116" t="e">
        <f t="shared" si="11"/>
        <v>#DIV/0!</v>
      </c>
      <c r="R17" s="115">
        <v>0</v>
      </c>
      <c r="S17" s="100" t="e">
        <f t="shared" si="12"/>
        <v>#DIV/0!</v>
      </c>
    </row>
    <row r="18" spans="1:19" ht="15" x14ac:dyDescent="0.2">
      <c r="A18" s="114" t="s">
        <v>83</v>
      </c>
      <c r="B18" s="100" t="s">
        <v>155</v>
      </c>
      <c r="C18" s="115">
        <v>16700</v>
      </c>
      <c r="D18" s="100">
        <f>(C18/12)*5</f>
        <v>6958.3333333333339</v>
      </c>
      <c r="E18" s="103">
        <f>'Monitoramento Acumulado Geral'!Q18</f>
        <v>0</v>
      </c>
      <c r="F18" s="100">
        <f>SUM(E14:E18)</f>
        <v>7497</v>
      </c>
      <c r="G18" s="102" t="str">
        <f t="shared" si="9"/>
        <v>Farol Verde</v>
      </c>
      <c r="H18" s="116">
        <f t="shared" si="7"/>
        <v>0</v>
      </c>
      <c r="I18" s="100">
        <f t="shared" si="8"/>
        <v>5</v>
      </c>
      <c r="J18" s="117">
        <v>14</v>
      </c>
      <c r="K18" s="118">
        <f>'Monitoramento Acumulado Geral'!P18</f>
        <v>0</v>
      </c>
      <c r="L18" s="100">
        <f t="shared" si="13"/>
        <v>5.8333333333333339</v>
      </c>
      <c r="M18" s="100">
        <f t="shared" si="14"/>
        <v>9</v>
      </c>
      <c r="N18" s="115">
        <v>0</v>
      </c>
      <c r="O18" s="116" t="e">
        <f t="shared" si="10"/>
        <v>#DIV/0!</v>
      </c>
      <c r="P18" s="115">
        <v>0</v>
      </c>
      <c r="Q18" s="116" t="e">
        <f t="shared" si="11"/>
        <v>#DIV/0!</v>
      </c>
      <c r="R18" s="115">
        <v>0</v>
      </c>
      <c r="S18" s="100" t="e">
        <f t="shared" si="12"/>
        <v>#DIV/0!</v>
      </c>
    </row>
    <row r="19" spans="1:19" ht="15" x14ac:dyDescent="0.2">
      <c r="A19" s="114" t="s">
        <v>83</v>
      </c>
      <c r="B19" s="100" t="s">
        <v>156</v>
      </c>
      <c r="C19" s="115">
        <v>16700</v>
      </c>
      <c r="D19" s="100">
        <f>(C19/12)*6</f>
        <v>8350</v>
      </c>
      <c r="E19" s="103">
        <f>'Monitoramento Acumulado Geral'!Q19</f>
        <v>2220</v>
      </c>
      <c r="F19" s="100">
        <f>SUM(E14:E19)</f>
        <v>9717</v>
      </c>
      <c r="G19" s="102" t="str">
        <f t="shared" si="9"/>
        <v>Farol Verde</v>
      </c>
      <c r="H19" s="116">
        <f t="shared" si="7"/>
        <v>0</v>
      </c>
      <c r="I19" s="100">
        <f t="shared" si="8"/>
        <v>6</v>
      </c>
      <c r="J19" s="117">
        <v>14</v>
      </c>
      <c r="K19" s="118">
        <f>'Monitoramento Acumulado Geral'!P19</f>
        <v>1</v>
      </c>
      <c r="L19" s="100">
        <f t="shared" si="13"/>
        <v>7.0000000000000009</v>
      </c>
      <c r="M19" s="100">
        <f t="shared" si="14"/>
        <v>10</v>
      </c>
      <c r="N19" s="115">
        <v>2</v>
      </c>
      <c r="O19" s="116">
        <f t="shared" si="10"/>
        <v>1</v>
      </c>
      <c r="P19" s="115">
        <v>2</v>
      </c>
      <c r="Q19" s="116">
        <f t="shared" si="11"/>
        <v>0.5</v>
      </c>
      <c r="R19" s="115">
        <v>1</v>
      </c>
      <c r="S19" s="100">
        <f t="shared" si="12"/>
        <v>0.5</v>
      </c>
    </row>
    <row r="20" spans="1:19" ht="15" x14ac:dyDescent="0.2">
      <c r="A20" s="114" t="s">
        <v>83</v>
      </c>
      <c r="B20" s="100" t="s">
        <v>157</v>
      </c>
      <c r="C20" s="115">
        <v>16700</v>
      </c>
      <c r="D20" s="100">
        <f>(C20/12)*7</f>
        <v>9741.6666666666679</v>
      </c>
      <c r="E20" s="103">
        <f>'Monitoramento Acumulado Geral'!Q20</f>
        <v>1800</v>
      </c>
      <c r="F20" s="100">
        <f>SUM(E14:E20)</f>
        <v>11517</v>
      </c>
      <c r="G20" s="102" t="str">
        <f t="shared" si="9"/>
        <v>Farol Verde</v>
      </c>
      <c r="H20" s="116">
        <f t="shared" si="7"/>
        <v>0</v>
      </c>
      <c r="I20" s="100">
        <f t="shared" si="8"/>
        <v>7</v>
      </c>
      <c r="J20" s="117">
        <v>14</v>
      </c>
      <c r="K20" s="118">
        <f>'Monitoramento Acumulado Geral'!P20</f>
        <v>2</v>
      </c>
      <c r="L20" s="100">
        <f t="shared" si="13"/>
        <v>8.1666666666666679</v>
      </c>
      <c r="M20" s="100">
        <f t="shared" si="14"/>
        <v>12</v>
      </c>
      <c r="N20" s="115"/>
      <c r="O20" s="116" t="e">
        <f t="shared" si="10"/>
        <v>#DIV/0!</v>
      </c>
      <c r="P20" s="115"/>
      <c r="Q20" s="116" t="e">
        <f t="shared" si="11"/>
        <v>#DIV/0!</v>
      </c>
      <c r="R20" s="115"/>
      <c r="S20" s="100" t="e">
        <f t="shared" si="12"/>
        <v>#DIV/0!</v>
      </c>
    </row>
    <row r="21" spans="1:19" ht="15" x14ac:dyDescent="0.2">
      <c r="A21" s="114" t="s">
        <v>83</v>
      </c>
      <c r="B21" s="100" t="s">
        <v>158</v>
      </c>
      <c r="C21" s="115">
        <v>16700</v>
      </c>
      <c r="D21" s="100">
        <f>(C21/12)*8</f>
        <v>11133.333333333334</v>
      </c>
      <c r="E21" s="103">
        <f>'Monitoramento Acumulado Geral'!Q21</f>
        <v>0</v>
      </c>
      <c r="F21" s="100">
        <f>SUM(E14:E21)</f>
        <v>11517</v>
      </c>
      <c r="G21" s="102" t="str">
        <f t="shared" si="9"/>
        <v>Farol Verde</v>
      </c>
      <c r="H21" s="116">
        <f t="shared" si="7"/>
        <v>0</v>
      </c>
      <c r="I21" s="100">
        <f t="shared" si="8"/>
        <v>8</v>
      </c>
      <c r="J21" s="117">
        <v>14</v>
      </c>
      <c r="K21" s="118">
        <f>'Monitoramento Acumulado Geral'!P21</f>
        <v>0</v>
      </c>
      <c r="L21" s="100">
        <f t="shared" si="13"/>
        <v>9.3333333333333339</v>
      </c>
      <c r="M21" s="100">
        <f t="shared" si="14"/>
        <v>12</v>
      </c>
      <c r="N21" s="115"/>
      <c r="O21" s="116" t="e">
        <f t="shared" si="10"/>
        <v>#DIV/0!</v>
      </c>
      <c r="P21" s="115"/>
      <c r="Q21" s="116" t="e">
        <f t="shared" si="11"/>
        <v>#DIV/0!</v>
      </c>
      <c r="R21" s="115"/>
      <c r="S21" s="100" t="e">
        <f t="shared" si="12"/>
        <v>#DIV/0!</v>
      </c>
    </row>
    <row r="22" spans="1:19" ht="15" x14ac:dyDescent="0.2">
      <c r="A22" s="114" t="s">
        <v>83</v>
      </c>
      <c r="B22" s="100" t="s">
        <v>159</v>
      </c>
      <c r="C22" s="115">
        <v>16700</v>
      </c>
      <c r="D22" s="100">
        <f>(C22/12)*9</f>
        <v>12525</v>
      </c>
      <c r="E22" s="103">
        <f>'Monitoramento Acumulado Geral'!Q22</f>
        <v>0</v>
      </c>
      <c r="F22" s="100">
        <f>SUM(E14:E22)</f>
        <v>11517</v>
      </c>
      <c r="G22" s="102" t="str">
        <f t="shared" si="9"/>
        <v>Farol Amarelo</v>
      </c>
      <c r="H22" s="116">
        <f t="shared" si="7"/>
        <v>1008</v>
      </c>
      <c r="I22" s="100">
        <f t="shared" si="8"/>
        <v>9</v>
      </c>
      <c r="J22" s="117">
        <v>14</v>
      </c>
      <c r="K22" s="118">
        <f>'Monitoramento Acumulado Geral'!P22</f>
        <v>0</v>
      </c>
      <c r="L22" s="100">
        <f t="shared" si="13"/>
        <v>10.5</v>
      </c>
      <c r="M22" s="100">
        <f t="shared" si="14"/>
        <v>12</v>
      </c>
      <c r="N22" s="115"/>
      <c r="O22" s="116" t="e">
        <f t="shared" si="10"/>
        <v>#DIV/0!</v>
      </c>
      <c r="P22" s="115"/>
      <c r="Q22" s="116" t="e">
        <f t="shared" si="11"/>
        <v>#DIV/0!</v>
      </c>
      <c r="R22" s="115"/>
      <c r="S22" s="100" t="e">
        <f t="shared" si="12"/>
        <v>#DIV/0!</v>
      </c>
    </row>
    <row r="23" spans="1:19" ht="15" x14ac:dyDescent="0.2">
      <c r="A23" s="114" t="s">
        <v>83</v>
      </c>
      <c r="B23" s="100" t="s">
        <v>160</v>
      </c>
      <c r="C23" s="115">
        <v>16700</v>
      </c>
      <c r="D23" s="100">
        <f>(C23/12)*10</f>
        <v>13916.666666666668</v>
      </c>
      <c r="E23" s="103">
        <f>'Monitoramento Acumulado Geral'!Q23</f>
        <v>0</v>
      </c>
      <c r="F23" s="100">
        <f>SUM(E14:E23)</f>
        <v>11517</v>
      </c>
      <c r="G23" s="102" t="str">
        <f t="shared" si="9"/>
        <v>Farol Vermelho</v>
      </c>
      <c r="H23" s="116">
        <f t="shared" si="7"/>
        <v>2399.6666666666679</v>
      </c>
      <c r="I23" s="100">
        <f t="shared" si="8"/>
        <v>10</v>
      </c>
      <c r="J23" s="117">
        <v>14</v>
      </c>
      <c r="K23" s="118">
        <f>'Monitoramento Acumulado Geral'!P23</f>
        <v>0</v>
      </c>
      <c r="L23" s="100">
        <f t="shared" si="13"/>
        <v>11.666666666666666</v>
      </c>
      <c r="M23" s="100">
        <f t="shared" si="14"/>
        <v>12</v>
      </c>
      <c r="N23" s="115"/>
      <c r="O23" s="116" t="e">
        <f t="shared" si="10"/>
        <v>#DIV/0!</v>
      </c>
      <c r="P23" s="115"/>
      <c r="Q23" s="116" t="e">
        <f t="shared" si="11"/>
        <v>#DIV/0!</v>
      </c>
      <c r="R23" s="115"/>
      <c r="S23" s="100" t="e">
        <f t="shared" si="12"/>
        <v>#DIV/0!</v>
      </c>
    </row>
    <row r="24" spans="1:19" ht="15" x14ac:dyDescent="0.2">
      <c r="A24" s="114" t="s">
        <v>83</v>
      </c>
      <c r="B24" s="100" t="s">
        <v>161</v>
      </c>
      <c r="C24" s="115">
        <v>16700</v>
      </c>
      <c r="D24" s="100">
        <f>(C24/12)*11</f>
        <v>15308.333333333334</v>
      </c>
      <c r="E24" s="103">
        <f>'Monitoramento Acumulado Geral'!Q24</f>
        <v>0</v>
      </c>
      <c r="F24" s="100">
        <f>SUM(E14:E24)</f>
        <v>11517</v>
      </c>
      <c r="G24" s="102" t="str">
        <f t="shared" si="9"/>
        <v>Farol Vermelho</v>
      </c>
      <c r="H24" s="116">
        <f t="shared" si="7"/>
        <v>3791.3333333333339</v>
      </c>
      <c r="I24" s="100">
        <f t="shared" si="8"/>
        <v>11</v>
      </c>
      <c r="J24" s="117">
        <v>14</v>
      </c>
      <c r="K24" s="118">
        <f>'Monitoramento Acumulado Geral'!P24</f>
        <v>0</v>
      </c>
      <c r="L24" s="100">
        <f t="shared" si="13"/>
        <v>12.833333333333332</v>
      </c>
      <c r="M24" s="100">
        <f t="shared" si="14"/>
        <v>12</v>
      </c>
      <c r="N24" s="115"/>
      <c r="O24" s="116" t="e">
        <f t="shared" si="10"/>
        <v>#DIV/0!</v>
      </c>
      <c r="P24" s="115"/>
      <c r="Q24" s="116" t="e">
        <f t="shared" si="11"/>
        <v>#DIV/0!</v>
      </c>
      <c r="R24" s="115"/>
      <c r="S24" s="100" t="e">
        <f t="shared" si="12"/>
        <v>#DIV/0!</v>
      </c>
    </row>
    <row r="25" spans="1:19" ht="15" x14ac:dyDescent="0.2">
      <c r="A25" s="114" t="s">
        <v>83</v>
      </c>
      <c r="B25" s="100" t="s">
        <v>162</v>
      </c>
      <c r="C25" s="115">
        <v>16700</v>
      </c>
      <c r="D25" s="100">
        <f>(C25/12)*12</f>
        <v>16700</v>
      </c>
      <c r="E25" s="103">
        <f>'Monitoramento Acumulado Geral'!Q25</f>
        <v>0</v>
      </c>
      <c r="F25" s="100">
        <f>SUM(E14:E25)</f>
        <v>11517</v>
      </c>
      <c r="G25" s="102" t="str">
        <f t="shared" si="9"/>
        <v>Farol Vermelho</v>
      </c>
      <c r="H25" s="116">
        <f t="shared" si="7"/>
        <v>5183</v>
      </c>
      <c r="I25" s="100">
        <f t="shared" si="8"/>
        <v>12</v>
      </c>
      <c r="J25" s="117">
        <v>14</v>
      </c>
      <c r="K25" s="118">
        <f>'Monitoramento Acumulado Geral'!P25</f>
        <v>0</v>
      </c>
      <c r="L25" s="100">
        <f t="shared" si="13"/>
        <v>13.999999999999998</v>
      </c>
      <c r="M25" s="100">
        <f t="shared" si="14"/>
        <v>12</v>
      </c>
      <c r="N25" s="115"/>
      <c r="O25" s="116" t="e">
        <f t="shared" si="10"/>
        <v>#DIV/0!</v>
      </c>
      <c r="P25" s="115"/>
      <c r="Q25" s="116" t="e">
        <f t="shared" si="11"/>
        <v>#DIV/0!</v>
      </c>
      <c r="R25" s="115"/>
      <c r="S25" s="100" t="e">
        <f t="shared" si="12"/>
        <v>#DIV/0!</v>
      </c>
    </row>
    <row r="26" spans="1:19" ht="15" x14ac:dyDescent="0.2">
      <c r="A26" s="114" t="s">
        <v>94</v>
      </c>
      <c r="B26" s="100" t="s">
        <v>151</v>
      </c>
      <c r="C26" s="115">
        <v>2000</v>
      </c>
      <c r="D26" s="100">
        <f>(C26/12)*1</f>
        <v>166.66666666666666</v>
      </c>
      <c r="E26" s="103">
        <f>'Monitoramento Acumulado Geral'!Q26</f>
        <v>244</v>
      </c>
      <c r="F26" s="100">
        <f>E26</f>
        <v>244</v>
      </c>
      <c r="G26" s="102" t="str">
        <f t="shared" si="9"/>
        <v>Farol Verde</v>
      </c>
      <c r="H26" s="116">
        <f t="shared" si="7"/>
        <v>0</v>
      </c>
      <c r="I26" s="100">
        <f t="shared" si="8"/>
        <v>1</v>
      </c>
      <c r="J26" s="117">
        <v>7</v>
      </c>
      <c r="K26" s="118">
        <f>'Monitoramento Acumulado Geral'!P26</f>
        <v>1</v>
      </c>
      <c r="L26" s="100">
        <f>J26/12</f>
        <v>0.58333333333333337</v>
      </c>
      <c r="M26" s="100">
        <f>K26</f>
        <v>1</v>
      </c>
      <c r="N26" s="115">
        <v>0</v>
      </c>
      <c r="O26" s="116" t="e">
        <f t="shared" si="10"/>
        <v>#DIV/0!</v>
      </c>
      <c r="P26" s="115">
        <v>0</v>
      </c>
      <c r="Q26" s="116" t="e">
        <f t="shared" si="11"/>
        <v>#DIV/0!</v>
      </c>
      <c r="R26" s="115">
        <v>0</v>
      </c>
      <c r="S26" s="100" t="e">
        <f t="shared" si="12"/>
        <v>#DIV/0!</v>
      </c>
    </row>
    <row r="27" spans="1:19" ht="15" x14ac:dyDescent="0.2">
      <c r="A27" s="114" t="s">
        <v>94</v>
      </c>
      <c r="B27" s="100" t="s">
        <v>152</v>
      </c>
      <c r="C27" s="115">
        <v>2000</v>
      </c>
      <c r="D27" s="100">
        <f>(C27/12)*2</f>
        <v>333.33333333333331</v>
      </c>
      <c r="E27" s="103">
        <f>'Monitoramento Acumulado Geral'!Q27</f>
        <v>0</v>
      </c>
      <c r="F27" s="100">
        <f>SUM(E26:E27)</f>
        <v>244</v>
      </c>
      <c r="G27" s="102" t="str">
        <f t="shared" si="9"/>
        <v>Farol Vermelho</v>
      </c>
      <c r="H27" s="116">
        <f t="shared" si="7"/>
        <v>89.333333333333314</v>
      </c>
      <c r="I27" s="100">
        <f t="shared" si="8"/>
        <v>2</v>
      </c>
      <c r="J27" s="117">
        <v>7</v>
      </c>
      <c r="K27" s="118">
        <f>'Monitoramento Acumulado Geral'!P27</f>
        <v>0</v>
      </c>
      <c r="L27" s="100">
        <f>L26+L26</f>
        <v>1.1666666666666667</v>
      </c>
      <c r="M27" s="100">
        <f>M26+K27</f>
        <v>1</v>
      </c>
      <c r="N27" s="115">
        <v>0</v>
      </c>
      <c r="O27" s="116" t="e">
        <f t="shared" si="10"/>
        <v>#DIV/0!</v>
      </c>
      <c r="P27" s="115">
        <v>0</v>
      </c>
      <c r="Q27" s="116" t="e">
        <f t="shared" si="11"/>
        <v>#DIV/0!</v>
      </c>
      <c r="R27" s="115">
        <v>0</v>
      </c>
      <c r="S27" s="100" t="e">
        <f t="shared" si="12"/>
        <v>#DIV/0!</v>
      </c>
    </row>
    <row r="28" spans="1:19" ht="15" x14ac:dyDescent="0.2">
      <c r="A28" s="114" t="s">
        <v>94</v>
      </c>
      <c r="B28" s="100" t="s">
        <v>153</v>
      </c>
      <c r="C28" s="115">
        <v>2000</v>
      </c>
      <c r="D28" s="100">
        <f>(C28/12)*3</f>
        <v>500</v>
      </c>
      <c r="E28" s="103">
        <f>'Monitoramento Acumulado Geral'!Q28</f>
        <v>0</v>
      </c>
      <c r="F28" s="100">
        <f>SUM(E26:E28)</f>
        <v>244</v>
      </c>
      <c r="G28" s="102" t="str">
        <f t="shared" si="9"/>
        <v>Farol Vermelho</v>
      </c>
      <c r="H28" s="116">
        <f t="shared" si="7"/>
        <v>256</v>
      </c>
      <c r="I28" s="100">
        <f t="shared" si="8"/>
        <v>3</v>
      </c>
      <c r="J28" s="117">
        <v>7</v>
      </c>
      <c r="K28" s="118">
        <f>'Monitoramento Acumulado Geral'!P28</f>
        <v>0</v>
      </c>
      <c r="L28" s="100">
        <f>$L26+L27</f>
        <v>1.75</v>
      </c>
      <c r="M28" s="100">
        <f t="shared" ref="M28:M37" si="15">M27+K28</f>
        <v>1</v>
      </c>
      <c r="N28" s="115">
        <v>0</v>
      </c>
      <c r="O28" s="116" t="e">
        <f t="shared" si="10"/>
        <v>#DIV/0!</v>
      </c>
      <c r="P28" s="115">
        <v>0</v>
      </c>
      <c r="Q28" s="116" t="e">
        <f t="shared" si="11"/>
        <v>#DIV/0!</v>
      </c>
      <c r="R28" s="115">
        <v>0</v>
      </c>
      <c r="S28" s="100" t="e">
        <f t="shared" si="12"/>
        <v>#DIV/0!</v>
      </c>
    </row>
    <row r="29" spans="1:19" ht="15" x14ac:dyDescent="0.2">
      <c r="A29" s="114" t="s">
        <v>94</v>
      </c>
      <c r="B29" s="100" t="s">
        <v>154</v>
      </c>
      <c r="C29" s="115">
        <v>2000</v>
      </c>
      <c r="D29" s="100">
        <f>(C29/12)*4</f>
        <v>666.66666666666663</v>
      </c>
      <c r="E29" s="103">
        <f>'Monitoramento Acumulado Geral'!Q29</f>
        <v>122</v>
      </c>
      <c r="F29" s="100">
        <f>SUM(E26:E29)</f>
        <v>366</v>
      </c>
      <c r="G29" s="102" t="str">
        <f t="shared" si="9"/>
        <v>Farol Vermelho</v>
      </c>
      <c r="H29" s="116">
        <f t="shared" si="7"/>
        <v>300.66666666666663</v>
      </c>
      <c r="I29" s="100">
        <f t="shared" si="8"/>
        <v>4</v>
      </c>
      <c r="J29" s="117">
        <v>7</v>
      </c>
      <c r="K29" s="118">
        <f>'Monitoramento Acumulado Geral'!P29</f>
        <v>1</v>
      </c>
      <c r="L29" s="100">
        <f>$L26+L28</f>
        <v>2.3333333333333335</v>
      </c>
      <c r="M29" s="100">
        <f t="shared" si="15"/>
        <v>2</v>
      </c>
      <c r="N29" s="115">
        <v>0</v>
      </c>
      <c r="O29" s="116" t="e">
        <f t="shared" si="10"/>
        <v>#DIV/0!</v>
      </c>
      <c r="P29" s="115">
        <v>0</v>
      </c>
      <c r="Q29" s="116" t="e">
        <f t="shared" si="11"/>
        <v>#DIV/0!</v>
      </c>
      <c r="R29" s="115">
        <v>0</v>
      </c>
      <c r="S29" s="100" t="e">
        <f t="shared" si="12"/>
        <v>#DIV/0!</v>
      </c>
    </row>
    <row r="30" spans="1:19" ht="15" x14ac:dyDescent="0.2">
      <c r="A30" s="114" t="s">
        <v>94</v>
      </c>
      <c r="B30" s="100" t="s">
        <v>155</v>
      </c>
      <c r="C30" s="115">
        <v>2000</v>
      </c>
      <c r="D30" s="100">
        <f>(C30/12)*5</f>
        <v>833.33333333333326</v>
      </c>
      <c r="E30" s="103">
        <f>'Monitoramento Acumulado Geral'!Q30</f>
        <v>0</v>
      </c>
      <c r="F30" s="100">
        <f>SUM(E26:E30)</f>
        <v>366</v>
      </c>
      <c r="G30" s="102" t="str">
        <f t="shared" si="9"/>
        <v>Farol Vermelho</v>
      </c>
      <c r="H30" s="116">
        <f t="shared" si="7"/>
        <v>467.33333333333326</v>
      </c>
      <c r="I30" s="100">
        <f t="shared" si="8"/>
        <v>5</v>
      </c>
      <c r="J30" s="117">
        <v>7</v>
      </c>
      <c r="K30" s="118">
        <f>'Monitoramento Acumulado Geral'!P30</f>
        <v>0</v>
      </c>
      <c r="L30" s="100">
        <f>L26+L29</f>
        <v>2.916666666666667</v>
      </c>
      <c r="M30" s="100">
        <f t="shared" si="15"/>
        <v>2</v>
      </c>
      <c r="N30" s="115">
        <v>0</v>
      </c>
      <c r="O30" s="116" t="e">
        <f t="shared" si="10"/>
        <v>#DIV/0!</v>
      </c>
      <c r="P30" s="115">
        <v>0</v>
      </c>
      <c r="Q30" s="116" t="e">
        <f t="shared" si="11"/>
        <v>#DIV/0!</v>
      </c>
      <c r="R30" s="115">
        <v>0</v>
      </c>
      <c r="S30" s="100" t="e">
        <f t="shared" si="12"/>
        <v>#DIV/0!</v>
      </c>
    </row>
    <row r="31" spans="1:19" ht="15" x14ac:dyDescent="0.2">
      <c r="A31" s="114" t="s">
        <v>94</v>
      </c>
      <c r="B31" s="100" t="s">
        <v>156</v>
      </c>
      <c r="C31" s="115">
        <v>2000</v>
      </c>
      <c r="D31" s="100">
        <f>(C31/12)*6</f>
        <v>1000</v>
      </c>
      <c r="E31" s="103">
        <f>'Monitoramento Acumulado Geral'!Q31</f>
        <v>1</v>
      </c>
      <c r="F31" s="100">
        <f>SUM(E26:E31)</f>
        <v>367</v>
      </c>
      <c r="G31" s="102" t="str">
        <f t="shared" si="9"/>
        <v>Farol Vermelho</v>
      </c>
      <c r="H31" s="116">
        <f t="shared" si="7"/>
        <v>633</v>
      </c>
      <c r="I31" s="100">
        <f t="shared" si="8"/>
        <v>6</v>
      </c>
      <c r="J31" s="117">
        <v>7</v>
      </c>
      <c r="K31" s="118">
        <f>'Monitoramento Acumulado Geral'!P31</f>
        <v>2</v>
      </c>
      <c r="L31" s="100">
        <f>$L26+L30</f>
        <v>3.5000000000000004</v>
      </c>
      <c r="M31" s="100">
        <f t="shared" si="15"/>
        <v>4</v>
      </c>
      <c r="N31" s="115">
        <v>3</v>
      </c>
      <c r="O31" s="116">
        <f t="shared" si="10"/>
        <v>1</v>
      </c>
      <c r="P31" s="115">
        <v>3</v>
      </c>
      <c r="Q31" s="116">
        <f t="shared" si="11"/>
        <v>0.33333333333333331</v>
      </c>
      <c r="R31" s="115">
        <v>1</v>
      </c>
      <c r="S31" s="100">
        <f t="shared" si="12"/>
        <v>0.33333333333333331</v>
      </c>
    </row>
    <row r="32" spans="1:19" ht="15" x14ac:dyDescent="0.2">
      <c r="A32" s="114" t="s">
        <v>94</v>
      </c>
      <c r="B32" s="100" t="s">
        <v>157</v>
      </c>
      <c r="C32" s="115">
        <v>2000</v>
      </c>
      <c r="D32" s="100">
        <f>(C32/12)*7</f>
        <v>1166.6666666666665</v>
      </c>
      <c r="E32" s="103">
        <f>'Monitoramento Acumulado Geral'!Q32</f>
        <v>0</v>
      </c>
      <c r="F32" s="100">
        <f>SUM(E26:E32)</f>
        <v>367</v>
      </c>
      <c r="G32" s="102" t="str">
        <f t="shared" si="9"/>
        <v>Farol Vermelho</v>
      </c>
      <c r="H32" s="116">
        <f t="shared" si="7"/>
        <v>799.66666666666652</v>
      </c>
      <c r="I32" s="100">
        <f t="shared" si="8"/>
        <v>7</v>
      </c>
      <c r="J32" s="117">
        <v>7</v>
      </c>
      <c r="K32" s="118">
        <f>'Monitoramento Acumulado Geral'!P32</f>
        <v>0</v>
      </c>
      <c r="L32" s="100">
        <f>$L26+L31</f>
        <v>4.0833333333333339</v>
      </c>
      <c r="M32" s="100">
        <f t="shared" si="15"/>
        <v>4</v>
      </c>
      <c r="N32" s="115"/>
      <c r="O32" s="116" t="e">
        <f t="shared" si="10"/>
        <v>#DIV/0!</v>
      </c>
      <c r="P32" s="115"/>
      <c r="Q32" s="116" t="e">
        <f t="shared" si="11"/>
        <v>#DIV/0!</v>
      </c>
      <c r="R32" s="115"/>
      <c r="S32" s="100" t="e">
        <f t="shared" si="12"/>
        <v>#DIV/0!</v>
      </c>
    </row>
    <row r="33" spans="1:19" ht="15" x14ac:dyDescent="0.2">
      <c r="A33" s="114" t="s">
        <v>94</v>
      </c>
      <c r="B33" s="100" t="s">
        <v>158</v>
      </c>
      <c r="C33" s="115">
        <v>2000</v>
      </c>
      <c r="D33" s="100">
        <f>(C33/12)*8</f>
        <v>1333.3333333333333</v>
      </c>
      <c r="E33" s="103">
        <f>'Monitoramento Acumulado Geral'!Q33</f>
        <v>0</v>
      </c>
      <c r="F33" s="100">
        <f>SUM(E26:E33)</f>
        <v>367</v>
      </c>
      <c r="G33" s="102" t="str">
        <f t="shared" si="9"/>
        <v>Farol Vermelho</v>
      </c>
      <c r="H33" s="116">
        <f t="shared" si="7"/>
        <v>966.33333333333326</v>
      </c>
      <c r="I33" s="100">
        <f t="shared" si="8"/>
        <v>8</v>
      </c>
      <c r="J33" s="117">
        <v>7</v>
      </c>
      <c r="K33" s="118">
        <f>'Monitoramento Acumulado Geral'!P33</f>
        <v>0</v>
      </c>
      <c r="L33" s="100">
        <f>L26+L32</f>
        <v>4.666666666666667</v>
      </c>
      <c r="M33" s="100">
        <f t="shared" si="15"/>
        <v>4</v>
      </c>
      <c r="N33" s="115"/>
      <c r="O33" s="116" t="e">
        <f t="shared" si="10"/>
        <v>#DIV/0!</v>
      </c>
      <c r="P33" s="115"/>
      <c r="Q33" s="116" t="e">
        <f t="shared" si="11"/>
        <v>#DIV/0!</v>
      </c>
      <c r="R33" s="115"/>
      <c r="S33" s="100" t="e">
        <f t="shared" si="12"/>
        <v>#DIV/0!</v>
      </c>
    </row>
    <row r="34" spans="1:19" ht="15" x14ac:dyDescent="0.2">
      <c r="A34" s="114" t="s">
        <v>94</v>
      </c>
      <c r="B34" s="100" t="s">
        <v>159</v>
      </c>
      <c r="C34" s="115">
        <v>2000</v>
      </c>
      <c r="D34" s="100">
        <f>(C34/12)*9</f>
        <v>1500</v>
      </c>
      <c r="E34" s="103">
        <f>'Monitoramento Acumulado Geral'!Q34</f>
        <v>3900</v>
      </c>
      <c r="F34" s="100">
        <f>SUM(E26:E34)</f>
        <v>4267</v>
      </c>
      <c r="G34" s="102" t="str">
        <f t="shared" si="9"/>
        <v>Farol Verde</v>
      </c>
      <c r="H34" s="116">
        <f t="shared" si="7"/>
        <v>0</v>
      </c>
      <c r="I34" s="100">
        <f t="shared" si="8"/>
        <v>9</v>
      </c>
      <c r="J34" s="117">
        <v>7</v>
      </c>
      <c r="K34" s="118">
        <f>'Monitoramento Acumulado Geral'!P34</f>
        <v>3</v>
      </c>
      <c r="L34" s="100">
        <f>$L26+L33</f>
        <v>5.25</v>
      </c>
      <c r="M34" s="100">
        <f t="shared" si="15"/>
        <v>7</v>
      </c>
      <c r="N34" s="115"/>
      <c r="O34" s="116" t="e">
        <f t="shared" si="10"/>
        <v>#DIV/0!</v>
      </c>
      <c r="P34" s="115"/>
      <c r="Q34" s="116" t="e">
        <f t="shared" si="11"/>
        <v>#DIV/0!</v>
      </c>
      <c r="R34" s="115"/>
      <c r="S34" s="100" t="e">
        <f t="shared" si="12"/>
        <v>#DIV/0!</v>
      </c>
    </row>
    <row r="35" spans="1:19" ht="15" x14ac:dyDescent="0.2">
      <c r="A35" s="114" t="s">
        <v>94</v>
      </c>
      <c r="B35" s="100" t="s">
        <v>160</v>
      </c>
      <c r="C35" s="115">
        <v>2000</v>
      </c>
      <c r="D35" s="100">
        <f>(C35/12)*10</f>
        <v>1666.6666666666665</v>
      </c>
      <c r="E35" s="103">
        <f>'Monitoramento Acumulado Geral'!Q35</f>
        <v>0</v>
      </c>
      <c r="F35" s="100">
        <f>SUM(E26:E35)</f>
        <v>4267</v>
      </c>
      <c r="G35" s="102" t="str">
        <f t="shared" si="9"/>
        <v>Farol Verde</v>
      </c>
      <c r="H35" s="116">
        <f t="shared" si="7"/>
        <v>0</v>
      </c>
      <c r="I35" s="100">
        <f t="shared" si="8"/>
        <v>10</v>
      </c>
      <c r="J35" s="117">
        <v>7</v>
      </c>
      <c r="K35" s="118">
        <f>'Monitoramento Acumulado Geral'!P35</f>
        <v>0</v>
      </c>
      <c r="L35" s="100">
        <f>$L26+L34</f>
        <v>5.833333333333333</v>
      </c>
      <c r="M35" s="100">
        <f t="shared" si="15"/>
        <v>7</v>
      </c>
      <c r="N35" s="115"/>
      <c r="O35" s="116" t="e">
        <f t="shared" si="10"/>
        <v>#DIV/0!</v>
      </c>
      <c r="P35" s="115"/>
      <c r="Q35" s="116" t="e">
        <f t="shared" si="11"/>
        <v>#DIV/0!</v>
      </c>
      <c r="R35" s="115"/>
      <c r="S35" s="100" t="e">
        <f t="shared" si="12"/>
        <v>#DIV/0!</v>
      </c>
    </row>
    <row r="36" spans="1:19" ht="15" x14ac:dyDescent="0.2">
      <c r="A36" s="114" t="s">
        <v>94</v>
      </c>
      <c r="B36" s="100" t="s">
        <v>161</v>
      </c>
      <c r="C36" s="115">
        <v>2000</v>
      </c>
      <c r="D36" s="100">
        <f>(C36/12)*11</f>
        <v>1833.3333333333333</v>
      </c>
      <c r="E36" s="103">
        <f>'Monitoramento Acumulado Geral'!Q36</f>
        <v>0</v>
      </c>
      <c r="F36" s="100">
        <f>SUM(E26:E36)</f>
        <v>4267</v>
      </c>
      <c r="G36" s="102" t="str">
        <f t="shared" si="9"/>
        <v>Farol Verde</v>
      </c>
      <c r="H36" s="116">
        <f t="shared" si="7"/>
        <v>0</v>
      </c>
      <c r="I36" s="100">
        <f t="shared" si="8"/>
        <v>11</v>
      </c>
      <c r="J36" s="117">
        <v>7</v>
      </c>
      <c r="K36" s="118">
        <f>'Monitoramento Acumulado Geral'!P36</f>
        <v>0</v>
      </c>
      <c r="L36" s="100">
        <f>L26+L35</f>
        <v>6.4166666666666661</v>
      </c>
      <c r="M36" s="100">
        <f t="shared" si="15"/>
        <v>7</v>
      </c>
      <c r="N36" s="115"/>
      <c r="O36" s="116" t="e">
        <f t="shared" si="10"/>
        <v>#DIV/0!</v>
      </c>
      <c r="P36" s="115"/>
      <c r="Q36" s="116" t="e">
        <f t="shared" si="11"/>
        <v>#DIV/0!</v>
      </c>
      <c r="R36" s="115"/>
      <c r="S36" s="100" t="e">
        <f t="shared" si="12"/>
        <v>#DIV/0!</v>
      </c>
    </row>
    <row r="37" spans="1:19" ht="15" x14ac:dyDescent="0.2">
      <c r="A37" s="114" t="s">
        <v>94</v>
      </c>
      <c r="B37" s="100" t="s">
        <v>162</v>
      </c>
      <c r="C37" s="115">
        <v>2000</v>
      </c>
      <c r="D37" s="100">
        <f>(C37/12)*12</f>
        <v>2000</v>
      </c>
      <c r="E37" s="103">
        <f>'Monitoramento Acumulado Geral'!Q37</f>
        <v>0</v>
      </c>
      <c r="F37" s="100">
        <f>SUM(E26:E37)</f>
        <v>4267</v>
      </c>
      <c r="G37" s="102" t="str">
        <f t="shared" si="9"/>
        <v>Farol Verde</v>
      </c>
      <c r="H37" s="116">
        <f t="shared" si="7"/>
        <v>0</v>
      </c>
      <c r="I37" s="100">
        <f t="shared" si="8"/>
        <v>12</v>
      </c>
      <c r="J37" s="117">
        <v>7</v>
      </c>
      <c r="K37" s="118">
        <f>'Monitoramento Acumulado Geral'!P37</f>
        <v>0</v>
      </c>
      <c r="L37" s="100">
        <f>$L26+L36</f>
        <v>6.9999999999999991</v>
      </c>
      <c r="M37" s="100">
        <f t="shared" si="15"/>
        <v>7</v>
      </c>
      <c r="N37" s="115"/>
      <c r="O37" s="116" t="e">
        <f t="shared" si="10"/>
        <v>#DIV/0!</v>
      </c>
      <c r="P37" s="115"/>
      <c r="Q37" s="116" t="e">
        <f>R37/P37</f>
        <v>#DIV/0!</v>
      </c>
      <c r="R37" s="115"/>
      <c r="S37" s="100" t="e">
        <f t="shared" si="12"/>
        <v>#DIV/0!</v>
      </c>
    </row>
    <row r="38" spans="1:19" ht="15" x14ac:dyDescent="0.2">
      <c r="A38" s="114" t="s">
        <v>55</v>
      </c>
      <c r="B38" s="100" t="s">
        <v>151</v>
      </c>
      <c r="C38" s="115">
        <v>19817.25</v>
      </c>
      <c r="D38" s="100">
        <f>(C38/12)*1</f>
        <v>1651.4375</v>
      </c>
      <c r="E38" s="103">
        <f>'Monitoramento Acumulado Geral'!Q38</f>
        <v>0</v>
      </c>
      <c r="F38" s="100">
        <f>E38</f>
        <v>0</v>
      </c>
      <c r="G38" s="102" t="str">
        <f t="shared" si="9"/>
        <v>Farol Vermelho</v>
      </c>
      <c r="H38" s="116">
        <f t="shared" si="7"/>
        <v>1651.4375</v>
      </c>
      <c r="I38" s="100">
        <f t="shared" si="8"/>
        <v>1</v>
      </c>
      <c r="J38" s="117">
        <v>9</v>
      </c>
      <c r="K38" s="118">
        <f>'Monitoramento Acumulado Geral'!P38</f>
        <v>0</v>
      </c>
      <c r="L38" s="100">
        <f>J38/12</f>
        <v>0.75</v>
      </c>
      <c r="M38" s="100">
        <f>K38</f>
        <v>0</v>
      </c>
      <c r="N38" s="115">
        <v>0</v>
      </c>
      <c r="O38" s="116" t="e">
        <f t="shared" si="10"/>
        <v>#DIV/0!</v>
      </c>
      <c r="P38" s="115">
        <v>0</v>
      </c>
      <c r="Q38" s="116" t="e">
        <f t="shared" si="11"/>
        <v>#DIV/0!</v>
      </c>
      <c r="R38" s="115">
        <v>0</v>
      </c>
      <c r="S38" s="100" t="e">
        <f t="shared" si="12"/>
        <v>#DIV/0!</v>
      </c>
    </row>
    <row r="39" spans="1:19" ht="15" x14ac:dyDescent="0.2">
      <c r="A39" s="114" t="s">
        <v>55</v>
      </c>
      <c r="B39" s="100" t="s">
        <v>152</v>
      </c>
      <c r="C39" s="115">
        <v>19817.25</v>
      </c>
      <c r="D39" s="100">
        <f>(C39/12)*2</f>
        <v>3302.875</v>
      </c>
      <c r="E39" s="103">
        <f>'Monitoramento Acumulado Geral'!Q39</f>
        <v>900</v>
      </c>
      <c r="F39" s="100">
        <f>SUM(E38:E39)</f>
        <v>900</v>
      </c>
      <c r="G39" s="102" t="str">
        <f t="shared" si="9"/>
        <v>Farol Vermelho</v>
      </c>
      <c r="H39" s="116">
        <f t="shared" si="7"/>
        <v>2402.875</v>
      </c>
      <c r="I39" s="100">
        <f t="shared" si="8"/>
        <v>2</v>
      </c>
      <c r="J39" s="117">
        <v>9</v>
      </c>
      <c r="K39" s="118">
        <f>'Monitoramento Acumulado Geral'!P39</f>
        <v>1</v>
      </c>
      <c r="L39" s="100">
        <f>L38+L38</f>
        <v>1.5</v>
      </c>
      <c r="M39" s="100">
        <f>M38+K39</f>
        <v>1</v>
      </c>
      <c r="N39" s="115">
        <v>0</v>
      </c>
      <c r="O39" s="116" t="e">
        <f t="shared" si="10"/>
        <v>#DIV/0!</v>
      </c>
      <c r="P39" s="115">
        <v>0</v>
      </c>
      <c r="Q39" s="116" t="e">
        <f t="shared" si="11"/>
        <v>#DIV/0!</v>
      </c>
      <c r="R39" s="115">
        <v>0</v>
      </c>
      <c r="S39" s="100" t="e">
        <f t="shared" si="12"/>
        <v>#DIV/0!</v>
      </c>
    </row>
    <row r="40" spans="1:19" ht="15" x14ac:dyDescent="0.2">
      <c r="A40" s="114" t="s">
        <v>55</v>
      </c>
      <c r="B40" s="100" t="s">
        <v>153</v>
      </c>
      <c r="C40" s="115">
        <v>19817.25</v>
      </c>
      <c r="D40" s="100">
        <f>(C40/12)*3</f>
        <v>4954.3125</v>
      </c>
      <c r="E40" s="103">
        <f>'Monitoramento Acumulado Geral'!Q40</f>
        <v>3464.08</v>
      </c>
      <c r="F40" s="100">
        <f>SUM(E38:E40)</f>
        <v>4364.08</v>
      </c>
      <c r="G40" s="102" t="str">
        <f t="shared" si="9"/>
        <v>Farol Amarelo</v>
      </c>
      <c r="H40" s="116">
        <f t="shared" si="7"/>
        <v>590.23250000000007</v>
      </c>
      <c r="I40" s="100">
        <f t="shared" si="8"/>
        <v>3</v>
      </c>
      <c r="J40" s="117">
        <v>9</v>
      </c>
      <c r="K40" s="118">
        <f>'Monitoramento Acumulado Geral'!P40</f>
        <v>2</v>
      </c>
      <c r="L40" s="100">
        <f>$L38+L39</f>
        <v>2.25</v>
      </c>
      <c r="M40" s="100">
        <f t="shared" ref="M40:M49" si="16">M39+K40</f>
        <v>3</v>
      </c>
      <c r="N40" s="115">
        <v>0</v>
      </c>
      <c r="O40" s="116" t="e">
        <f t="shared" si="10"/>
        <v>#DIV/0!</v>
      </c>
      <c r="P40" s="115">
        <v>0</v>
      </c>
      <c r="Q40" s="116" t="e">
        <f t="shared" si="11"/>
        <v>#DIV/0!</v>
      </c>
      <c r="R40" s="115">
        <v>0</v>
      </c>
      <c r="S40" s="100" t="e">
        <f t="shared" si="12"/>
        <v>#DIV/0!</v>
      </c>
    </row>
    <row r="41" spans="1:19" ht="15" x14ac:dyDescent="0.2">
      <c r="A41" s="114" t="s">
        <v>55</v>
      </c>
      <c r="B41" s="100" t="s">
        <v>154</v>
      </c>
      <c r="C41" s="115">
        <v>19817.25</v>
      </c>
      <c r="D41" s="100">
        <f>(C41/12)*4</f>
        <v>6605.75</v>
      </c>
      <c r="E41" s="103">
        <f>'Monitoramento Acumulado Geral'!Q41</f>
        <v>1454</v>
      </c>
      <c r="F41" s="100">
        <f>SUM(E38:E41)</f>
        <v>5818.08</v>
      </c>
      <c r="G41" s="102" t="str">
        <f t="shared" si="9"/>
        <v>Farol Amarelo</v>
      </c>
      <c r="H41" s="116">
        <f t="shared" si="7"/>
        <v>787.67000000000007</v>
      </c>
      <c r="I41" s="100">
        <f t="shared" si="8"/>
        <v>4</v>
      </c>
      <c r="J41" s="117">
        <v>9</v>
      </c>
      <c r="K41" s="118">
        <f>'Monitoramento Acumulado Geral'!P41</f>
        <v>1</v>
      </c>
      <c r="L41" s="100">
        <f>$L38+L40</f>
        <v>3</v>
      </c>
      <c r="M41" s="100">
        <f t="shared" si="16"/>
        <v>4</v>
      </c>
      <c r="N41" s="115">
        <v>0</v>
      </c>
      <c r="O41" s="116" t="e">
        <f t="shared" si="10"/>
        <v>#DIV/0!</v>
      </c>
      <c r="P41" s="115">
        <v>0</v>
      </c>
      <c r="Q41" s="116" t="e">
        <f t="shared" si="11"/>
        <v>#DIV/0!</v>
      </c>
      <c r="R41" s="115">
        <v>0</v>
      </c>
      <c r="S41" s="100" t="e">
        <f t="shared" si="12"/>
        <v>#DIV/0!</v>
      </c>
    </row>
    <row r="42" spans="1:19" ht="15" x14ac:dyDescent="0.2">
      <c r="A42" s="114" t="s">
        <v>55</v>
      </c>
      <c r="B42" s="100" t="s">
        <v>155</v>
      </c>
      <c r="C42" s="115">
        <v>19817.25</v>
      </c>
      <c r="D42" s="100">
        <f>(C42/12)*5</f>
        <v>8257.1875</v>
      </c>
      <c r="E42" s="103">
        <f>'Monitoramento Acumulado Geral'!Q42</f>
        <v>0</v>
      </c>
      <c r="F42" s="100">
        <f>SUM(E38:E42)</f>
        <v>5818.08</v>
      </c>
      <c r="G42" s="102" t="str">
        <f t="shared" si="9"/>
        <v>Farol Vermelho</v>
      </c>
      <c r="H42" s="116">
        <f t="shared" si="7"/>
        <v>2439.1075000000001</v>
      </c>
      <c r="I42" s="100">
        <f t="shared" si="8"/>
        <v>5</v>
      </c>
      <c r="J42" s="117">
        <v>9</v>
      </c>
      <c r="K42" s="118">
        <f>'Monitoramento Acumulado Geral'!P42</f>
        <v>0</v>
      </c>
      <c r="L42" s="100">
        <f>L38+L41</f>
        <v>3.75</v>
      </c>
      <c r="M42" s="100">
        <f t="shared" si="16"/>
        <v>4</v>
      </c>
      <c r="N42" s="115">
        <v>2</v>
      </c>
      <c r="O42" s="116">
        <f t="shared" si="10"/>
        <v>0</v>
      </c>
      <c r="P42" s="115">
        <v>0</v>
      </c>
      <c r="Q42" s="116" t="e">
        <f t="shared" si="11"/>
        <v>#DIV/0!</v>
      </c>
      <c r="R42" s="115">
        <v>0</v>
      </c>
      <c r="S42" s="100">
        <f t="shared" si="12"/>
        <v>0</v>
      </c>
    </row>
    <row r="43" spans="1:19" ht="15" x14ac:dyDescent="0.2">
      <c r="A43" s="114" t="s">
        <v>55</v>
      </c>
      <c r="B43" s="100" t="s">
        <v>156</v>
      </c>
      <c r="C43" s="115">
        <v>19817.25</v>
      </c>
      <c r="D43" s="100">
        <f>(C43/12)*6</f>
        <v>9908.625</v>
      </c>
      <c r="E43" s="103">
        <f>'Monitoramento Acumulado Geral'!Q43</f>
        <v>300</v>
      </c>
      <c r="F43" s="100">
        <f>SUM(E38:E43)</f>
        <v>6118.08</v>
      </c>
      <c r="G43" s="102" t="str">
        <f t="shared" si="9"/>
        <v>Farol Vermelho</v>
      </c>
      <c r="H43" s="116">
        <f t="shared" si="7"/>
        <v>3790.5450000000001</v>
      </c>
      <c r="I43" s="100">
        <f t="shared" si="8"/>
        <v>6</v>
      </c>
      <c r="J43" s="117">
        <v>9</v>
      </c>
      <c r="K43" s="118">
        <f>'Monitoramento Acumulado Geral'!P43</f>
        <v>1</v>
      </c>
      <c r="L43" s="100">
        <f>$L38+L42</f>
        <v>4.5</v>
      </c>
      <c r="M43" s="100">
        <f t="shared" si="16"/>
        <v>5</v>
      </c>
      <c r="N43" s="115">
        <v>4</v>
      </c>
      <c r="O43" s="116">
        <f t="shared" si="10"/>
        <v>1</v>
      </c>
      <c r="P43" s="115">
        <v>4</v>
      </c>
      <c r="Q43" s="116">
        <f t="shared" si="11"/>
        <v>0.25</v>
      </c>
      <c r="R43" s="115">
        <v>1</v>
      </c>
      <c r="S43" s="100">
        <f t="shared" si="12"/>
        <v>0.25</v>
      </c>
    </row>
    <row r="44" spans="1:19" ht="15" x14ac:dyDescent="0.2">
      <c r="A44" s="114" t="s">
        <v>55</v>
      </c>
      <c r="B44" s="100" t="s">
        <v>157</v>
      </c>
      <c r="C44" s="115">
        <v>19817.25</v>
      </c>
      <c r="D44" s="100">
        <f>(C44/12)*7</f>
        <v>11560.0625</v>
      </c>
      <c r="E44" s="103">
        <f>'Monitoramento Acumulado Geral'!Q44</f>
        <v>14140</v>
      </c>
      <c r="F44" s="100">
        <f>SUM(E38:E44)</f>
        <v>20258.080000000002</v>
      </c>
      <c r="G44" s="102" t="str">
        <f t="shared" si="9"/>
        <v>Farol Verde</v>
      </c>
      <c r="H44" s="116">
        <f t="shared" si="7"/>
        <v>0</v>
      </c>
      <c r="I44" s="100">
        <f t="shared" si="8"/>
        <v>7</v>
      </c>
      <c r="J44" s="117">
        <v>9</v>
      </c>
      <c r="K44" s="118">
        <f>'Monitoramento Acumulado Geral'!P44</f>
        <v>5</v>
      </c>
      <c r="L44" s="100">
        <f>$L38+L43</f>
        <v>5.25</v>
      </c>
      <c r="M44" s="100">
        <f t="shared" si="16"/>
        <v>10</v>
      </c>
      <c r="N44" s="115"/>
      <c r="O44" s="116" t="e">
        <f t="shared" si="10"/>
        <v>#DIV/0!</v>
      </c>
      <c r="P44" s="115"/>
      <c r="Q44" s="116" t="e">
        <f t="shared" si="11"/>
        <v>#DIV/0!</v>
      </c>
      <c r="R44" s="115"/>
      <c r="S44" s="100" t="e">
        <f t="shared" si="12"/>
        <v>#DIV/0!</v>
      </c>
    </row>
    <row r="45" spans="1:19" ht="15" x14ac:dyDescent="0.2">
      <c r="A45" s="114" t="s">
        <v>55</v>
      </c>
      <c r="B45" s="100" t="s">
        <v>158</v>
      </c>
      <c r="C45" s="115">
        <v>19817.25</v>
      </c>
      <c r="D45" s="100">
        <f>(C45/12)*8</f>
        <v>13211.5</v>
      </c>
      <c r="E45" s="103">
        <f>'Monitoramento Acumulado Geral'!Q45</f>
        <v>0</v>
      </c>
      <c r="F45" s="100">
        <f>SUM(E38:E45)</f>
        <v>20258.080000000002</v>
      </c>
      <c r="G45" s="102" t="str">
        <f t="shared" si="9"/>
        <v>Farol Verde</v>
      </c>
      <c r="H45" s="116">
        <f t="shared" si="7"/>
        <v>0</v>
      </c>
      <c r="I45" s="100">
        <f t="shared" si="8"/>
        <v>8</v>
      </c>
      <c r="J45" s="117">
        <v>9</v>
      </c>
      <c r="K45" s="118">
        <f>'Monitoramento Acumulado Geral'!P45</f>
        <v>0</v>
      </c>
      <c r="L45" s="100">
        <f>L38+L44</f>
        <v>6</v>
      </c>
      <c r="M45" s="100">
        <f t="shared" si="16"/>
        <v>10</v>
      </c>
      <c r="N45" s="115"/>
      <c r="O45" s="116" t="e">
        <f t="shared" si="10"/>
        <v>#DIV/0!</v>
      </c>
      <c r="P45" s="115"/>
      <c r="Q45" s="116" t="e">
        <f t="shared" si="11"/>
        <v>#DIV/0!</v>
      </c>
      <c r="R45" s="115"/>
      <c r="S45" s="100" t="e">
        <f t="shared" si="12"/>
        <v>#DIV/0!</v>
      </c>
    </row>
    <row r="46" spans="1:19" ht="15" x14ac:dyDescent="0.2">
      <c r="A46" s="114" t="s">
        <v>55</v>
      </c>
      <c r="B46" s="100" t="s">
        <v>159</v>
      </c>
      <c r="C46" s="115">
        <v>19817.25</v>
      </c>
      <c r="D46" s="100">
        <f>(C46/12)*9</f>
        <v>14862.9375</v>
      </c>
      <c r="E46" s="103">
        <f>'Monitoramento Acumulado Geral'!Q46</f>
        <v>500</v>
      </c>
      <c r="F46" s="100">
        <f>SUM(E38:E46)</f>
        <v>20758.080000000002</v>
      </c>
      <c r="G46" s="102" t="str">
        <f t="shared" si="9"/>
        <v>Farol Verde</v>
      </c>
      <c r="H46" s="116">
        <f t="shared" si="7"/>
        <v>0</v>
      </c>
      <c r="I46" s="100">
        <f t="shared" si="8"/>
        <v>9</v>
      </c>
      <c r="J46" s="117">
        <v>9</v>
      </c>
      <c r="K46" s="118">
        <f>'Monitoramento Acumulado Geral'!P46</f>
        <v>1</v>
      </c>
      <c r="L46" s="100">
        <f>$L38+L45</f>
        <v>6.75</v>
      </c>
      <c r="M46" s="100">
        <f t="shared" si="16"/>
        <v>11</v>
      </c>
      <c r="N46" s="115"/>
      <c r="O46" s="116" t="e">
        <f t="shared" si="10"/>
        <v>#DIV/0!</v>
      </c>
      <c r="P46" s="115"/>
      <c r="Q46" s="116" t="e">
        <f t="shared" si="11"/>
        <v>#DIV/0!</v>
      </c>
      <c r="R46" s="115"/>
      <c r="S46" s="100" t="e">
        <f t="shared" si="12"/>
        <v>#DIV/0!</v>
      </c>
    </row>
    <row r="47" spans="1:19" ht="15" x14ac:dyDescent="0.2">
      <c r="A47" s="114" t="s">
        <v>55</v>
      </c>
      <c r="B47" s="100" t="s">
        <v>160</v>
      </c>
      <c r="C47" s="115">
        <v>19817.25</v>
      </c>
      <c r="D47" s="100">
        <f>(C47/12)*10</f>
        <v>16514.375</v>
      </c>
      <c r="E47" s="103">
        <f>'Monitoramento Acumulado Geral'!Q47</f>
        <v>0</v>
      </c>
      <c r="F47" s="100">
        <f>SUM(E38:E47)</f>
        <v>20758.080000000002</v>
      </c>
      <c r="G47" s="102" t="str">
        <f t="shared" si="9"/>
        <v>Farol Verde</v>
      </c>
      <c r="H47" s="116">
        <f t="shared" si="7"/>
        <v>0</v>
      </c>
      <c r="I47" s="100">
        <f t="shared" si="8"/>
        <v>10</v>
      </c>
      <c r="J47" s="117">
        <v>9</v>
      </c>
      <c r="K47" s="118">
        <f>'Monitoramento Acumulado Geral'!P47</f>
        <v>0</v>
      </c>
      <c r="L47" s="100">
        <f>$L38+L46</f>
        <v>7.5</v>
      </c>
      <c r="M47" s="100">
        <f t="shared" si="16"/>
        <v>11</v>
      </c>
      <c r="N47" s="115"/>
      <c r="O47" s="116" t="e">
        <f t="shared" si="10"/>
        <v>#DIV/0!</v>
      </c>
      <c r="P47" s="115"/>
      <c r="Q47" s="116" t="e">
        <f t="shared" si="11"/>
        <v>#DIV/0!</v>
      </c>
      <c r="R47" s="115"/>
      <c r="S47" s="100" t="e">
        <f t="shared" si="12"/>
        <v>#DIV/0!</v>
      </c>
    </row>
    <row r="48" spans="1:19" ht="15" x14ac:dyDescent="0.2">
      <c r="A48" s="114" t="s">
        <v>55</v>
      </c>
      <c r="B48" s="100" t="s">
        <v>161</v>
      </c>
      <c r="C48" s="115">
        <v>19817.25</v>
      </c>
      <c r="D48" s="100">
        <f>(C48/12)*11</f>
        <v>18165.8125</v>
      </c>
      <c r="E48" s="103">
        <f>'Monitoramento Acumulado Geral'!Q48</f>
        <v>0</v>
      </c>
      <c r="F48" s="100">
        <f>SUM(E38:E48)</f>
        <v>20758.080000000002</v>
      </c>
      <c r="G48" s="102" t="str">
        <f t="shared" si="9"/>
        <v>Farol Verde</v>
      </c>
      <c r="H48" s="116">
        <f t="shared" si="7"/>
        <v>0</v>
      </c>
      <c r="I48" s="100">
        <f t="shared" si="8"/>
        <v>11</v>
      </c>
      <c r="J48" s="117">
        <v>9</v>
      </c>
      <c r="K48" s="118">
        <f>'Monitoramento Acumulado Geral'!P48</f>
        <v>0</v>
      </c>
      <c r="L48" s="100">
        <f>L38+L47</f>
        <v>8.25</v>
      </c>
      <c r="M48" s="100">
        <f t="shared" si="16"/>
        <v>11</v>
      </c>
      <c r="N48" s="115"/>
      <c r="O48" s="116" t="e">
        <f t="shared" si="10"/>
        <v>#DIV/0!</v>
      </c>
      <c r="P48" s="115"/>
      <c r="Q48" s="116" t="e">
        <f t="shared" si="11"/>
        <v>#DIV/0!</v>
      </c>
      <c r="R48" s="115"/>
      <c r="S48" s="100" t="e">
        <f t="shared" si="12"/>
        <v>#DIV/0!</v>
      </c>
    </row>
    <row r="49" spans="1:19" ht="15" x14ac:dyDescent="0.2">
      <c r="A49" s="114" t="s">
        <v>55</v>
      </c>
      <c r="B49" s="100" t="s">
        <v>162</v>
      </c>
      <c r="C49" s="115">
        <v>19817.25</v>
      </c>
      <c r="D49" s="100">
        <f>(C49/12)*12</f>
        <v>19817.25</v>
      </c>
      <c r="E49" s="103">
        <f>'Monitoramento Acumulado Geral'!Q49</f>
        <v>0</v>
      </c>
      <c r="F49" s="100">
        <f>SUM(E38:E49)</f>
        <v>20758.080000000002</v>
      </c>
      <c r="G49" s="102" t="str">
        <f t="shared" si="9"/>
        <v>Farol Verde</v>
      </c>
      <c r="H49" s="116">
        <f t="shared" si="7"/>
        <v>0</v>
      </c>
      <c r="I49" s="100">
        <f t="shared" si="8"/>
        <v>12</v>
      </c>
      <c r="J49" s="117">
        <v>9</v>
      </c>
      <c r="K49" s="118">
        <f>'Monitoramento Acumulado Geral'!P49</f>
        <v>0</v>
      </c>
      <c r="L49" s="100">
        <f>$L38+L48</f>
        <v>9</v>
      </c>
      <c r="M49" s="100">
        <f t="shared" si="16"/>
        <v>11</v>
      </c>
      <c r="N49" s="115"/>
      <c r="O49" s="116" t="e">
        <f t="shared" si="10"/>
        <v>#DIV/0!</v>
      </c>
      <c r="P49" s="115"/>
      <c r="Q49" s="116" t="e">
        <f t="shared" si="11"/>
        <v>#DIV/0!</v>
      </c>
      <c r="R49" s="115"/>
      <c r="S49" s="100" t="e">
        <f t="shared" si="12"/>
        <v>#DIV/0!</v>
      </c>
    </row>
    <row r="50" spans="1:19" ht="15" x14ac:dyDescent="0.2">
      <c r="A50" s="114" t="s">
        <v>142</v>
      </c>
      <c r="B50" s="100" t="s">
        <v>151</v>
      </c>
      <c r="C50" s="115">
        <v>50000</v>
      </c>
      <c r="D50" s="100">
        <f>(C50/12)*1</f>
        <v>4166.666666666667</v>
      </c>
      <c r="E50" s="103">
        <f>'Monitoramento Acumulado Geral'!Q50</f>
        <v>1305</v>
      </c>
      <c r="F50" s="100">
        <f>E50</f>
        <v>1305</v>
      </c>
      <c r="G50" s="102" t="str">
        <f t="shared" si="9"/>
        <v>Farol Vermelho</v>
      </c>
      <c r="H50" s="116">
        <f t="shared" si="7"/>
        <v>2861.666666666667</v>
      </c>
      <c r="I50" s="100">
        <f t="shared" si="8"/>
        <v>1</v>
      </c>
      <c r="J50" s="117">
        <v>15</v>
      </c>
      <c r="K50" s="118">
        <f>'Monitoramento Acumulado Geral'!P50</f>
        <v>1</v>
      </c>
      <c r="L50" s="100">
        <f>J50/12</f>
        <v>1.25</v>
      </c>
      <c r="M50" s="100">
        <f>K50</f>
        <v>1</v>
      </c>
      <c r="N50" s="115">
        <v>0</v>
      </c>
      <c r="O50" s="116" t="e">
        <f t="shared" si="10"/>
        <v>#DIV/0!</v>
      </c>
      <c r="P50" s="115">
        <v>0</v>
      </c>
      <c r="Q50" s="116" t="e">
        <f t="shared" si="11"/>
        <v>#DIV/0!</v>
      </c>
      <c r="R50" s="115">
        <v>0</v>
      </c>
      <c r="S50" s="100" t="e">
        <f t="shared" si="12"/>
        <v>#DIV/0!</v>
      </c>
    </row>
    <row r="51" spans="1:19" ht="15" x14ac:dyDescent="0.2">
      <c r="A51" s="114" t="s">
        <v>142</v>
      </c>
      <c r="B51" s="100" t="s">
        <v>152</v>
      </c>
      <c r="C51" s="115">
        <v>50000</v>
      </c>
      <c r="D51" s="100">
        <f>(C51/12)*2</f>
        <v>8333.3333333333339</v>
      </c>
      <c r="E51" s="103">
        <f>'Monitoramento Acumulado Geral'!Q51</f>
        <v>6368.8</v>
      </c>
      <c r="F51" s="100">
        <f>SUM(E50:E51)</f>
        <v>7673.8</v>
      </c>
      <c r="G51" s="102" t="str">
        <f t="shared" si="9"/>
        <v>Farol Amarelo</v>
      </c>
      <c r="H51" s="116">
        <f t="shared" si="7"/>
        <v>659.53333333333376</v>
      </c>
      <c r="I51" s="100">
        <f t="shared" si="8"/>
        <v>2</v>
      </c>
      <c r="J51" s="117">
        <v>15</v>
      </c>
      <c r="K51" s="118">
        <f>'Monitoramento Acumulado Geral'!P51</f>
        <v>3</v>
      </c>
      <c r="L51" s="100">
        <f>L50+L50</f>
        <v>2.5</v>
      </c>
      <c r="M51" s="100">
        <f>M50+K51</f>
        <v>4</v>
      </c>
      <c r="N51" s="115">
        <v>0</v>
      </c>
      <c r="O51" s="116" t="e">
        <f t="shared" si="10"/>
        <v>#DIV/0!</v>
      </c>
      <c r="P51" s="115">
        <v>0</v>
      </c>
      <c r="Q51" s="116" t="e">
        <f t="shared" si="11"/>
        <v>#DIV/0!</v>
      </c>
      <c r="R51" s="115">
        <v>0</v>
      </c>
      <c r="S51" s="100" t="e">
        <f t="shared" si="12"/>
        <v>#DIV/0!</v>
      </c>
    </row>
    <row r="52" spans="1:19" ht="15" x14ac:dyDescent="0.2">
      <c r="A52" s="114" t="s">
        <v>142</v>
      </c>
      <c r="B52" s="100" t="s">
        <v>153</v>
      </c>
      <c r="C52" s="115">
        <v>50000</v>
      </c>
      <c r="D52" s="100">
        <f>(C52/12)*3</f>
        <v>12500</v>
      </c>
      <c r="E52" s="103">
        <f>'Monitoramento Acumulado Geral'!Q52</f>
        <v>3500</v>
      </c>
      <c r="F52" s="100">
        <f>SUM(E50:E52)</f>
        <v>11173.8</v>
      </c>
      <c r="G52" s="102" t="str">
        <f t="shared" si="9"/>
        <v>Farol Amarelo</v>
      </c>
      <c r="H52" s="116">
        <f t="shared" si="7"/>
        <v>1326.2000000000007</v>
      </c>
      <c r="I52" s="100">
        <f t="shared" si="8"/>
        <v>3</v>
      </c>
      <c r="J52" s="117">
        <v>15</v>
      </c>
      <c r="K52" s="118">
        <f>'Monitoramento Acumulado Geral'!P52</f>
        <v>1</v>
      </c>
      <c r="L52" s="100">
        <f>$L50+L51</f>
        <v>3.75</v>
      </c>
      <c r="M52" s="100">
        <f t="shared" ref="M52:M61" si="17">M51+K52</f>
        <v>5</v>
      </c>
      <c r="N52" s="115">
        <v>0</v>
      </c>
      <c r="O52" s="116" t="e">
        <f t="shared" si="10"/>
        <v>#DIV/0!</v>
      </c>
      <c r="P52" s="115">
        <v>0</v>
      </c>
      <c r="Q52" s="116" t="e">
        <f t="shared" si="11"/>
        <v>#DIV/0!</v>
      </c>
      <c r="R52" s="115">
        <v>0</v>
      </c>
      <c r="S52" s="100" t="e">
        <f t="shared" si="12"/>
        <v>#DIV/0!</v>
      </c>
    </row>
    <row r="53" spans="1:19" ht="15" x14ac:dyDescent="0.2">
      <c r="A53" s="114" t="s">
        <v>142</v>
      </c>
      <c r="B53" s="100" t="s">
        <v>154</v>
      </c>
      <c r="C53" s="115">
        <v>50000</v>
      </c>
      <c r="D53" s="100">
        <f>(C53/12)*4</f>
        <v>16666.666666666668</v>
      </c>
      <c r="E53" s="103">
        <f>'Monitoramento Acumulado Geral'!Q53</f>
        <v>0</v>
      </c>
      <c r="F53" s="100">
        <f>SUM(E50:E53)</f>
        <v>11173.8</v>
      </c>
      <c r="G53" s="102" t="str">
        <f t="shared" si="9"/>
        <v>Farol Vermelho</v>
      </c>
      <c r="H53" s="116">
        <f t="shared" si="7"/>
        <v>5492.8666666666686</v>
      </c>
      <c r="I53" s="100">
        <f t="shared" si="8"/>
        <v>4</v>
      </c>
      <c r="J53" s="117">
        <v>15</v>
      </c>
      <c r="K53" s="118">
        <f>'Monitoramento Acumulado Geral'!P53</f>
        <v>0</v>
      </c>
      <c r="L53" s="100">
        <f>$L50+L52</f>
        <v>5</v>
      </c>
      <c r="M53" s="100">
        <f t="shared" si="17"/>
        <v>5</v>
      </c>
      <c r="N53" s="115">
        <v>0</v>
      </c>
      <c r="O53" s="116" t="e">
        <f t="shared" si="10"/>
        <v>#DIV/0!</v>
      </c>
      <c r="P53" s="115">
        <v>0</v>
      </c>
      <c r="Q53" s="116" t="e">
        <f t="shared" si="11"/>
        <v>#DIV/0!</v>
      </c>
      <c r="R53" s="115">
        <v>0</v>
      </c>
      <c r="S53" s="100" t="e">
        <f t="shared" si="12"/>
        <v>#DIV/0!</v>
      </c>
    </row>
    <row r="54" spans="1:19" ht="15" x14ac:dyDescent="0.2">
      <c r="A54" s="114" t="s">
        <v>142</v>
      </c>
      <c r="B54" s="100" t="s">
        <v>155</v>
      </c>
      <c r="C54" s="115">
        <v>50000</v>
      </c>
      <c r="D54" s="100">
        <f>(C54/12)*5</f>
        <v>20833.333333333336</v>
      </c>
      <c r="E54" s="103">
        <f>'Monitoramento Acumulado Geral'!Q54</f>
        <v>6900</v>
      </c>
      <c r="F54" s="100">
        <f>SUM(E50:E54)</f>
        <v>18073.8</v>
      </c>
      <c r="G54" s="102" t="str">
        <f t="shared" si="9"/>
        <v>Farol Amarelo</v>
      </c>
      <c r="H54" s="116">
        <f t="shared" si="7"/>
        <v>2759.5333333333365</v>
      </c>
      <c r="I54" s="100">
        <f t="shared" si="8"/>
        <v>5</v>
      </c>
      <c r="J54" s="117">
        <v>15</v>
      </c>
      <c r="K54" s="118">
        <f>'Monitoramento Acumulado Geral'!P54</f>
        <v>2</v>
      </c>
      <c r="L54" s="100">
        <f>L50+L53</f>
        <v>6.25</v>
      </c>
      <c r="M54" s="100">
        <f t="shared" si="17"/>
        <v>7</v>
      </c>
      <c r="N54" s="115">
        <v>28</v>
      </c>
      <c r="O54" s="116">
        <f t="shared" si="10"/>
        <v>0.39285714285714285</v>
      </c>
      <c r="P54" s="115">
        <v>11</v>
      </c>
      <c r="Q54" s="116">
        <f t="shared" si="11"/>
        <v>9.0909090909090912E-2</v>
      </c>
      <c r="R54" s="115">
        <v>1</v>
      </c>
      <c r="S54" s="100">
        <f t="shared" si="12"/>
        <v>3.5714285714285712E-2</v>
      </c>
    </row>
    <row r="55" spans="1:19" ht="15" x14ac:dyDescent="0.2">
      <c r="A55" s="114" t="s">
        <v>142</v>
      </c>
      <c r="B55" s="100" t="s">
        <v>156</v>
      </c>
      <c r="C55" s="115">
        <v>50000</v>
      </c>
      <c r="D55" s="100">
        <f>(C55/12)*6</f>
        <v>25000</v>
      </c>
      <c r="E55" s="103">
        <f>'Monitoramento Acumulado Geral'!Q55</f>
        <v>2200</v>
      </c>
      <c r="F55" s="100">
        <f>SUM(E50:E55)</f>
        <v>20273.8</v>
      </c>
      <c r="G55" s="102" t="str">
        <f t="shared" si="9"/>
        <v>Farol Vermelho</v>
      </c>
      <c r="H55" s="116">
        <f t="shared" si="7"/>
        <v>4726.2000000000007</v>
      </c>
      <c r="I55" s="100">
        <f t="shared" si="8"/>
        <v>6</v>
      </c>
      <c r="J55" s="117">
        <v>15</v>
      </c>
      <c r="K55" s="118">
        <f>'Monitoramento Acumulado Geral'!P55</f>
        <v>1</v>
      </c>
      <c r="L55" s="100">
        <f>$L50+L54</f>
        <v>7.5</v>
      </c>
      <c r="M55" s="100">
        <f t="shared" si="17"/>
        <v>8</v>
      </c>
      <c r="N55" s="115"/>
      <c r="O55" s="116" t="e">
        <f>P55/N55</f>
        <v>#DIV/0!</v>
      </c>
      <c r="P55" s="115"/>
      <c r="Q55" s="116" t="e">
        <f t="shared" si="11"/>
        <v>#DIV/0!</v>
      </c>
      <c r="R55" s="115"/>
      <c r="S55" s="100" t="e">
        <f t="shared" si="12"/>
        <v>#DIV/0!</v>
      </c>
    </row>
    <row r="56" spans="1:19" ht="15" x14ac:dyDescent="0.2">
      <c r="A56" s="114" t="s">
        <v>142</v>
      </c>
      <c r="B56" s="100" t="s">
        <v>157</v>
      </c>
      <c r="C56" s="115">
        <v>50000</v>
      </c>
      <c r="D56" s="100">
        <f>(C56/12)*7</f>
        <v>29166.666666666668</v>
      </c>
      <c r="E56" s="103">
        <f>'Monitoramento Acumulado Geral'!Q56</f>
        <v>0</v>
      </c>
      <c r="F56" s="100">
        <f>SUM(E50:E56)</f>
        <v>20273.8</v>
      </c>
      <c r="G56" s="102" t="str">
        <f t="shared" si="9"/>
        <v>Farol Vermelho</v>
      </c>
      <c r="H56" s="116">
        <f t="shared" si="7"/>
        <v>8892.8666666666686</v>
      </c>
      <c r="I56" s="100">
        <f t="shared" si="8"/>
        <v>7</v>
      </c>
      <c r="J56" s="117">
        <v>15</v>
      </c>
      <c r="K56" s="118">
        <f>'Monitoramento Acumulado Geral'!P56</f>
        <v>0</v>
      </c>
      <c r="L56" s="100">
        <f>$L50+L55</f>
        <v>8.75</v>
      </c>
      <c r="M56" s="100">
        <f t="shared" si="17"/>
        <v>8</v>
      </c>
      <c r="N56" s="115"/>
      <c r="O56" s="116" t="e">
        <f t="shared" si="10"/>
        <v>#DIV/0!</v>
      </c>
      <c r="P56" s="115"/>
      <c r="Q56" s="116" t="e">
        <f t="shared" si="11"/>
        <v>#DIV/0!</v>
      </c>
      <c r="R56" s="115"/>
      <c r="S56" s="100" t="e">
        <f t="shared" si="12"/>
        <v>#DIV/0!</v>
      </c>
    </row>
    <row r="57" spans="1:19" ht="15" x14ac:dyDescent="0.2">
      <c r="A57" s="114" t="s">
        <v>142</v>
      </c>
      <c r="B57" s="100" t="s">
        <v>158</v>
      </c>
      <c r="C57" s="115">
        <v>50000</v>
      </c>
      <c r="D57" s="100">
        <f>(C57/12)*8</f>
        <v>33333.333333333336</v>
      </c>
      <c r="E57" s="103">
        <f>'Monitoramento Acumulado Geral'!Q57</f>
        <v>20777.5</v>
      </c>
      <c r="F57" s="100">
        <f>SUM(E50:E57)</f>
        <v>41051.300000000003</v>
      </c>
      <c r="G57" s="102" t="str">
        <f t="shared" si="9"/>
        <v>Farol Verde</v>
      </c>
      <c r="H57" s="116">
        <f t="shared" si="7"/>
        <v>0</v>
      </c>
      <c r="I57" s="100">
        <f t="shared" si="8"/>
        <v>8</v>
      </c>
      <c r="J57" s="117">
        <v>15</v>
      </c>
      <c r="K57" s="118">
        <f>'Monitoramento Acumulado Geral'!P57</f>
        <v>9</v>
      </c>
      <c r="L57" s="100">
        <f>L50+L56</f>
        <v>10</v>
      </c>
      <c r="M57" s="100">
        <f t="shared" si="17"/>
        <v>17</v>
      </c>
      <c r="N57" s="115"/>
      <c r="O57" s="116" t="e">
        <f t="shared" si="10"/>
        <v>#DIV/0!</v>
      </c>
      <c r="P57" s="115"/>
      <c r="Q57" s="116" t="e">
        <f t="shared" si="11"/>
        <v>#DIV/0!</v>
      </c>
      <c r="R57" s="115"/>
      <c r="S57" s="100" t="e">
        <f t="shared" si="12"/>
        <v>#DIV/0!</v>
      </c>
    </row>
    <row r="58" spans="1:19" ht="15" x14ac:dyDescent="0.2">
      <c r="A58" s="114" t="s">
        <v>142</v>
      </c>
      <c r="B58" s="100" t="s">
        <v>159</v>
      </c>
      <c r="C58" s="115">
        <v>50000</v>
      </c>
      <c r="D58" s="100">
        <f>(C58/12)*9</f>
        <v>37500</v>
      </c>
      <c r="E58" s="103">
        <f>'Monitoramento Acumulado Geral'!Q58</f>
        <v>11000</v>
      </c>
      <c r="F58" s="100">
        <f>SUM(E50:E58)</f>
        <v>52051.3</v>
      </c>
      <c r="G58" s="102" t="str">
        <f t="shared" si="9"/>
        <v>Farol Verde</v>
      </c>
      <c r="H58" s="116">
        <f t="shared" si="7"/>
        <v>0</v>
      </c>
      <c r="I58" s="100">
        <f t="shared" si="8"/>
        <v>9</v>
      </c>
      <c r="J58" s="117">
        <v>15</v>
      </c>
      <c r="K58" s="118">
        <f>'Monitoramento Acumulado Geral'!P58</f>
        <v>6</v>
      </c>
      <c r="L58" s="100">
        <f>$L50+L57</f>
        <v>11.25</v>
      </c>
      <c r="M58" s="100">
        <f t="shared" si="17"/>
        <v>23</v>
      </c>
      <c r="N58" s="115"/>
      <c r="O58" s="116" t="e">
        <f t="shared" si="10"/>
        <v>#DIV/0!</v>
      </c>
      <c r="P58" s="115"/>
      <c r="Q58" s="116" t="e">
        <f t="shared" si="11"/>
        <v>#DIV/0!</v>
      </c>
      <c r="R58" s="115"/>
      <c r="S58" s="100" t="e">
        <f t="shared" si="12"/>
        <v>#DIV/0!</v>
      </c>
    </row>
    <row r="59" spans="1:19" ht="15" x14ac:dyDescent="0.2">
      <c r="A59" s="114" t="s">
        <v>142</v>
      </c>
      <c r="B59" s="100" t="s">
        <v>160</v>
      </c>
      <c r="C59" s="115">
        <v>50000</v>
      </c>
      <c r="D59" s="100">
        <f>(C59/12)*10</f>
        <v>41666.666666666672</v>
      </c>
      <c r="E59" s="103">
        <f>'Monitoramento Acumulado Geral'!Q59</f>
        <v>0</v>
      </c>
      <c r="F59" s="100">
        <f>SUM(E50:E59)</f>
        <v>52051.3</v>
      </c>
      <c r="G59" s="102" t="str">
        <f t="shared" si="9"/>
        <v>Farol Verde</v>
      </c>
      <c r="H59" s="116">
        <f t="shared" si="7"/>
        <v>0</v>
      </c>
      <c r="I59" s="100">
        <f t="shared" si="8"/>
        <v>10</v>
      </c>
      <c r="J59" s="117">
        <v>15</v>
      </c>
      <c r="K59" s="118">
        <f>'Monitoramento Acumulado Geral'!P59</f>
        <v>0</v>
      </c>
      <c r="L59" s="100">
        <f>$L50+L58</f>
        <v>12.5</v>
      </c>
      <c r="M59" s="100">
        <f t="shared" si="17"/>
        <v>23</v>
      </c>
      <c r="N59" s="115"/>
      <c r="O59" s="116" t="e">
        <f t="shared" si="10"/>
        <v>#DIV/0!</v>
      </c>
      <c r="P59" s="115"/>
      <c r="Q59" s="116" t="e">
        <f t="shared" si="11"/>
        <v>#DIV/0!</v>
      </c>
      <c r="R59" s="115"/>
      <c r="S59" s="100" t="e">
        <f t="shared" si="12"/>
        <v>#DIV/0!</v>
      </c>
    </row>
    <row r="60" spans="1:19" ht="15" x14ac:dyDescent="0.2">
      <c r="A60" s="114" t="s">
        <v>142</v>
      </c>
      <c r="B60" s="100" t="s">
        <v>161</v>
      </c>
      <c r="C60" s="115">
        <v>50000</v>
      </c>
      <c r="D60" s="100">
        <f>(C60/12)*11</f>
        <v>45833.333333333336</v>
      </c>
      <c r="E60" s="103">
        <f>'Monitoramento Acumulado Geral'!Q60</f>
        <v>0</v>
      </c>
      <c r="F60" s="100">
        <f>SUM(E50:E60)</f>
        <v>52051.3</v>
      </c>
      <c r="G60" s="102" t="str">
        <f t="shared" si="9"/>
        <v>Farol Verde</v>
      </c>
      <c r="H60" s="116">
        <f t="shared" si="7"/>
        <v>0</v>
      </c>
      <c r="I60" s="100">
        <f t="shared" si="8"/>
        <v>11</v>
      </c>
      <c r="J60" s="117">
        <v>15</v>
      </c>
      <c r="K60" s="118">
        <f>'Monitoramento Acumulado Geral'!P60</f>
        <v>0</v>
      </c>
      <c r="L60" s="100">
        <f>L50+L59</f>
        <v>13.75</v>
      </c>
      <c r="M60" s="100">
        <f t="shared" si="17"/>
        <v>23</v>
      </c>
      <c r="N60" s="115"/>
      <c r="O60" s="116" t="e">
        <f t="shared" si="10"/>
        <v>#DIV/0!</v>
      </c>
      <c r="P60" s="115"/>
      <c r="Q60" s="116" t="e">
        <f t="shared" si="11"/>
        <v>#DIV/0!</v>
      </c>
      <c r="R60" s="115"/>
      <c r="S60" s="100" t="e">
        <f t="shared" si="12"/>
        <v>#DIV/0!</v>
      </c>
    </row>
    <row r="61" spans="1:19" ht="15" x14ac:dyDescent="0.2">
      <c r="A61" s="114" t="s">
        <v>142</v>
      </c>
      <c r="B61" s="100" t="s">
        <v>162</v>
      </c>
      <c r="C61" s="115">
        <v>50000</v>
      </c>
      <c r="D61" s="100">
        <f>(C61/12)*12</f>
        <v>50000</v>
      </c>
      <c r="E61" s="103">
        <f>'Monitoramento Acumulado Geral'!Q61</f>
        <v>0</v>
      </c>
      <c r="F61" s="100">
        <f>SUM(E50:E61)</f>
        <v>52051.3</v>
      </c>
      <c r="G61" s="102" t="str">
        <f t="shared" si="9"/>
        <v>Farol Verde</v>
      </c>
      <c r="H61" s="116">
        <f t="shared" si="7"/>
        <v>0</v>
      </c>
      <c r="I61" s="100">
        <f t="shared" si="8"/>
        <v>12</v>
      </c>
      <c r="J61" s="117">
        <v>15</v>
      </c>
      <c r="K61" s="118">
        <f>'Monitoramento Acumulado Geral'!P61</f>
        <v>0</v>
      </c>
      <c r="L61" s="100">
        <f>$L50+L60</f>
        <v>15</v>
      </c>
      <c r="M61" s="100">
        <f t="shared" si="17"/>
        <v>23</v>
      </c>
      <c r="N61" s="115"/>
      <c r="O61" s="116" t="e">
        <f t="shared" si="10"/>
        <v>#DIV/0!</v>
      </c>
      <c r="P61" s="115"/>
      <c r="Q61" s="116" t="e">
        <f t="shared" si="11"/>
        <v>#DIV/0!</v>
      </c>
      <c r="R61" s="115"/>
      <c r="S61" s="100" t="e">
        <f t="shared" si="12"/>
        <v>#DIV/0!</v>
      </c>
    </row>
    <row r="62" spans="1:19" ht="15" x14ac:dyDescent="0.2">
      <c r="A62" s="114" t="s">
        <v>65</v>
      </c>
      <c r="B62" s="100" t="s">
        <v>151</v>
      </c>
      <c r="C62" s="115">
        <v>12000</v>
      </c>
      <c r="D62" s="100">
        <f>(C62/12)*1</f>
        <v>1000</v>
      </c>
      <c r="E62" s="103">
        <f>'Monitoramento Acumulado Geral'!Q62</f>
        <v>4500</v>
      </c>
      <c r="F62" s="100">
        <f>E62</f>
        <v>4500</v>
      </c>
      <c r="G62" s="102" t="str">
        <f t="shared" si="9"/>
        <v>Farol Verde</v>
      </c>
      <c r="H62" s="116">
        <f t="shared" si="7"/>
        <v>0</v>
      </c>
      <c r="I62" s="100">
        <f t="shared" si="8"/>
        <v>1</v>
      </c>
      <c r="J62" s="117">
        <v>12</v>
      </c>
      <c r="K62" s="118">
        <f>'Monitoramento Acumulado Geral'!P62</f>
        <v>2</v>
      </c>
      <c r="L62" s="100">
        <f>J62/12</f>
        <v>1</v>
      </c>
      <c r="M62" s="100">
        <f>K62</f>
        <v>2</v>
      </c>
      <c r="N62" s="115">
        <v>0</v>
      </c>
      <c r="O62" s="116" t="e">
        <f t="shared" si="10"/>
        <v>#DIV/0!</v>
      </c>
      <c r="P62" s="115">
        <v>0</v>
      </c>
      <c r="Q62" s="116" t="e">
        <f t="shared" si="11"/>
        <v>#DIV/0!</v>
      </c>
      <c r="R62" s="115">
        <v>0</v>
      </c>
      <c r="S62" s="100" t="e">
        <f t="shared" si="12"/>
        <v>#DIV/0!</v>
      </c>
    </row>
    <row r="63" spans="1:19" ht="15" x14ac:dyDescent="0.2">
      <c r="A63" s="114" t="s">
        <v>65</v>
      </c>
      <c r="B63" s="100" t="s">
        <v>152</v>
      </c>
      <c r="C63" s="115">
        <v>12000</v>
      </c>
      <c r="D63" s="100">
        <f>(C63/12)*2</f>
        <v>2000</v>
      </c>
      <c r="E63" s="103">
        <f>'Monitoramento Acumulado Geral'!Q63</f>
        <v>0</v>
      </c>
      <c r="F63" s="100">
        <f>SUM(E62:E63)</f>
        <v>4500</v>
      </c>
      <c r="G63" s="102" t="str">
        <f t="shared" si="9"/>
        <v>Farol Verde</v>
      </c>
      <c r="H63" s="116">
        <f t="shared" si="7"/>
        <v>0</v>
      </c>
      <c r="I63" s="100">
        <f t="shared" si="8"/>
        <v>2</v>
      </c>
      <c r="J63" s="117">
        <v>12</v>
      </c>
      <c r="K63" s="118">
        <f>'Monitoramento Acumulado Geral'!P63</f>
        <v>0</v>
      </c>
      <c r="L63" s="100">
        <f>L62+L62</f>
        <v>2</v>
      </c>
      <c r="M63" s="100">
        <f>M62+K63</f>
        <v>2</v>
      </c>
      <c r="N63" s="115">
        <v>0</v>
      </c>
      <c r="O63" s="116" t="e">
        <f t="shared" si="10"/>
        <v>#DIV/0!</v>
      </c>
      <c r="P63" s="115">
        <v>0</v>
      </c>
      <c r="Q63" s="116" t="e">
        <f t="shared" si="11"/>
        <v>#DIV/0!</v>
      </c>
      <c r="R63" s="115">
        <v>0</v>
      </c>
      <c r="S63" s="100" t="e">
        <f t="shared" si="12"/>
        <v>#DIV/0!</v>
      </c>
    </row>
    <row r="64" spans="1:19" ht="15" x14ac:dyDescent="0.2">
      <c r="A64" s="114" t="s">
        <v>65</v>
      </c>
      <c r="B64" s="100" t="s">
        <v>153</v>
      </c>
      <c r="C64" s="115">
        <v>12000</v>
      </c>
      <c r="D64" s="100">
        <f>(C64/12)*3</f>
        <v>3000</v>
      </c>
      <c r="E64" s="103">
        <f>'Monitoramento Acumulado Geral'!Q64</f>
        <v>700</v>
      </c>
      <c r="F64" s="100">
        <f>SUM(E62:E64)</f>
        <v>5200</v>
      </c>
      <c r="G64" s="102" t="str">
        <f t="shared" si="9"/>
        <v>Farol Verde</v>
      </c>
      <c r="H64" s="116">
        <f t="shared" si="7"/>
        <v>0</v>
      </c>
      <c r="I64" s="100">
        <f t="shared" si="8"/>
        <v>3</v>
      </c>
      <c r="J64" s="117">
        <v>12</v>
      </c>
      <c r="K64" s="118">
        <f>'Monitoramento Acumulado Geral'!P64</f>
        <v>2</v>
      </c>
      <c r="L64" s="100">
        <f>$L62+L63</f>
        <v>3</v>
      </c>
      <c r="M64" s="100">
        <f t="shared" ref="M64:M73" si="18">M63+K64</f>
        <v>4</v>
      </c>
      <c r="N64" s="115">
        <v>0</v>
      </c>
      <c r="O64" s="116" t="e">
        <f t="shared" si="10"/>
        <v>#DIV/0!</v>
      </c>
      <c r="P64" s="115">
        <v>0</v>
      </c>
      <c r="Q64" s="116" t="e">
        <f t="shared" si="11"/>
        <v>#DIV/0!</v>
      </c>
      <c r="R64" s="115">
        <v>0</v>
      </c>
      <c r="S64" s="100" t="e">
        <f t="shared" si="12"/>
        <v>#DIV/0!</v>
      </c>
    </row>
    <row r="65" spans="1:19" ht="15" x14ac:dyDescent="0.2">
      <c r="A65" s="114" t="s">
        <v>65</v>
      </c>
      <c r="B65" s="100" t="s">
        <v>154</v>
      </c>
      <c r="C65" s="115">
        <v>12000</v>
      </c>
      <c r="D65" s="100">
        <f>(C65/12)*4</f>
        <v>4000</v>
      </c>
      <c r="E65" s="103">
        <f>'Monitoramento Acumulado Geral'!Q65</f>
        <v>0</v>
      </c>
      <c r="F65" s="100">
        <f>SUM(E62:E65)</f>
        <v>5200</v>
      </c>
      <c r="G65" s="102" t="str">
        <f t="shared" si="9"/>
        <v>Farol Verde</v>
      </c>
      <c r="H65" s="116">
        <f t="shared" si="7"/>
        <v>0</v>
      </c>
      <c r="I65" s="100">
        <f t="shared" si="8"/>
        <v>4</v>
      </c>
      <c r="J65" s="117">
        <v>12</v>
      </c>
      <c r="K65" s="118">
        <f>'Monitoramento Acumulado Geral'!P65</f>
        <v>0</v>
      </c>
      <c r="L65" s="100">
        <f>$L62+L64</f>
        <v>4</v>
      </c>
      <c r="M65" s="100">
        <f t="shared" si="18"/>
        <v>4</v>
      </c>
      <c r="N65" s="115">
        <v>0</v>
      </c>
      <c r="O65" s="116" t="e">
        <f t="shared" si="10"/>
        <v>#DIV/0!</v>
      </c>
      <c r="P65" s="115">
        <v>0</v>
      </c>
      <c r="Q65" s="116" t="e">
        <f t="shared" si="11"/>
        <v>#DIV/0!</v>
      </c>
      <c r="R65" s="115">
        <v>0</v>
      </c>
      <c r="S65" s="100" t="e">
        <f t="shared" si="12"/>
        <v>#DIV/0!</v>
      </c>
    </row>
    <row r="66" spans="1:19" ht="15" x14ac:dyDescent="0.2">
      <c r="A66" s="114" t="s">
        <v>65</v>
      </c>
      <c r="B66" s="100" t="s">
        <v>155</v>
      </c>
      <c r="C66" s="115">
        <v>12000</v>
      </c>
      <c r="D66" s="100">
        <f>(C66/12)*5</f>
        <v>5000</v>
      </c>
      <c r="E66" s="103">
        <f>'Monitoramento Acumulado Geral'!Q66</f>
        <v>0</v>
      </c>
      <c r="F66" s="100">
        <f>SUM(E62:E66)</f>
        <v>5200</v>
      </c>
      <c r="G66" s="102" t="str">
        <f t="shared" si="9"/>
        <v>Farol Verde</v>
      </c>
      <c r="H66" s="116">
        <f t="shared" si="7"/>
        <v>0</v>
      </c>
      <c r="I66" s="100">
        <f t="shared" si="8"/>
        <v>5</v>
      </c>
      <c r="J66" s="117">
        <v>12</v>
      </c>
      <c r="K66" s="118">
        <f>'Monitoramento Acumulado Geral'!P66</f>
        <v>0</v>
      </c>
      <c r="L66" s="100">
        <f>L62+L65</f>
        <v>5</v>
      </c>
      <c r="M66" s="100">
        <f t="shared" si="18"/>
        <v>4</v>
      </c>
      <c r="N66" s="115">
        <v>8</v>
      </c>
      <c r="O66" s="116">
        <f t="shared" si="10"/>
        <v>1</v>
      </c>
      <c r="P66" s="115">
        <v>8</v>
      </c>
      <c r="Q66" s="116">
        <f t="shared" si="11"/>
        <v>0.125</v>
      </c>
      <c r="R66" s="115">
        <v>1</v>
      </c>
      <c r="S66" s="100">
        <f t="shared" si="12"/>
        <v>0.125</v>
      </c>
    </row>
    <row r="67" spans="1:19" ht="15" x14ac:dyDescent="0.2">
      <c r="A67" s="114" t="s">
        <v>65</v>
      </c>
      <c r="B67" s="100" t="s">
        <v>156</v>
      </c>
      <c r="C67" s="115">
        <v>12000</v>
      </c>
      <c r="D67" s="100">
        <f>(C67/12)*6</f>
        <v>6000</v>
      </c>
      <c r="E67" s="103">
        <f>'Monitoramento Acumulado Geral'!Q67</f>
        <v>1184</v>
      </c>
      <c r="F67" s="100">
        <f>SUM(E62:E67)</f>
        <v>6384</v>
      </c>
      <c r="G67" s="102" t="str">
        <f t="shared" si="9"/>
        <v>Farol Verde</v>
      </c>
      <c r="H67" s="116">
        <f t="shared" si="7"/>
        <v>0</v>
      </c>
      <c r="I67" s="100">
        <f t="shared" si="8"/>
        <v>6</v>
      </c>
      <c r="J67" s="117">
        <v>12</v>
      </c>
      <c r="K67" s="118">
        <f>'Monitoramento Acumulado Geral'!P67</f>
        <v>2</v>
      </c>
      <c r="L67" s="100">
        <f>$L62+L66</f>
        <v>6</v>
      </c>
      <c r="M67" s="100">
        <f t="shared" si="18"/>
        <v>6</v>
      </c>
      <c r="N67" s="115">
        <v>16</v>
      </c>
      <c r="O67" s="116">
        <f t="shared" si="10"/>
        <v>0.25</v>
      </c>
      <c r="P67" s="115">
        <v>4</v>
      </c>
      <c r="Q67" s="116">
        <f t="shared" si="11"/>
        <v>0.25</v>
      </c>
      <c r="R67" s="115">
        <v>1</v>
      </c>
      <c r="S67" s="100">
        <f t="shared" si="12"/>
        <v>6.25E-2</v>
      </c>
    </row>
    <row r="68" spans="1:19" ht="15" x14ac:dyDescent="0.2">
      <c r="A68" s="114" t="s">
        <v>65</v>
      </c>
      <c r="B68" s="100" t="s">
        <v>157</v>
      </c>
      <c r="C68" s="115">
        <v>12000</v>
      </c>
      <c r="D68" s="100">
        <f>(C68/12)*7</f>
        <v>7000</v>
      </c>
      <c r="E68" s="103">
        <f>'Monitoramento Acumulado Geral'!Q68</f>
        <v>1297.9000000000001</v>
      </c>
      <c r="F68" s="100">
        <f>SUM(E62:E68)</f>
        <v>7681.9</v>
      </c>
      <c r="G68" s="102" t="str">
        <f t="shared" si="9"/>
        <v>Farol Verde</v>
      </c>
      <c r="H68" s="116">
        <f t="shared" si="7"/>
        <v>0</v>
      </c>
      <c r="I68" s="100">
        <f t="shared" si="8"/>
        <v>7</v>
      </c>
      <c r="J68" s="117">
        <v>12</v>
      </c>
      <c r="K68" s="118">
        <f>'Monitoramento Acumulado Geral'!P68</f>
        <v>3</v>
      </c>
      <c r="L68" s="100">
        <f>$L62+L67</f>
        <v>7</v>
      </c>
      <c r="M68" s="100">
        <f t="shared" si="18"/>
        <v>9</v>
      </c>
      <c r="N68" s="115"/>
      <c r="O68" s="116" t="e">
        <f t="shared" si="10"/>
        <v>#DIV/0!</v>
      </c>
      <c r="P68" s="115"/>
      <c r="Q68" s="116" t="e">
        <f t="shared" si="11"/>
        <v>#DIV/0!</v>
      </c>
      <c r="R68" s="115"/>
      <c r="S68" s="100" t="e">
        <f t="shared" si="12"/>
        <v>#DIV/0!</v>
      </c>
    </row>
    <row r="69" spans="1:19" ht="15" x14ac:dyDescent="0.2">
      <c r="A69" s="114" t="s">
        <v>65</v>
      </c>
      <c r="B69" s="100" t="s">
        <v>158</v>
      </c>
      <c r="C69" s="115">
        <v>12000</v>
      </c>
      <c r="D69" s="100">
        <f>(C69/12)*8</f>
        <v>8000</v>
      </c>
      <c r="E69" s="103">
        <f>'Monitoramento Acumulado Geral'!Q69</f>
        <v>297.89999999999998</v>
      </c>
      <c r="F69" s="100">
        <f>SUM(E62:E69)</f>
        <v>7979.7999999999993</v>
      </c>
      <c r="G69" s="102" t="str">
        <f t="shared" si="9"/>
        <v>Farol Amarelo</v>
      </c>
      <c r="H69" s="116">
        <f t="shared" si="7"/>
        <v>20.200000000000728</v>
      </c>
      <c r="I69" s="100">
        <f t="shared" si="8"/>
        <v>8</v>
      </c>
      <c r="J69" s="117">
        <v>12</v>
      </c>
      <c r="K69" s="118">
        <f>'Monitoramento Acumulado Geral'!P69</f>
        <v>1</v>
      </c>
      <c r="L69" s="100">
        <f>L62+L68</f>
        <v>8</v>
      </c>
      <c r="M69" s="100">
        <f t="shared" si="18"/>
        <v>10</v>
      </c>
      <c r="N69" s="115"/>
      <c r="O69" s="116" t="e">
        <f t="shared" si="10"/>
        <v>#DIV/0!</v>
      </c>
      <c r="P69" s="115"/>
      <c r="Q69" s="116" t="e">
        <f t="shared" si="11"/>
        <v>#DIV/0!</v>
      </c>
      <c r="R69" s="115"/>
      <c r="S69" s="100" t="e">
        <f t="shared" si="12"/>
        <v>#DIV/0!</v>
      </c>
    </row>
    <row r="70" spans="1:19" ht="15" x14ac:dyDescent="0.2">
      <c r="A70" s="114" t="s">
        <v>65</v>
      </c>
      <c r="B70" s="100" t="s">
        <v>159</v>
      </c>
      <c r="C70" s="115">
        <v>12000</v>
      </c>
      <c r="D70" s="100">
        <f>(C70/12)*9</f>
        <v>9000</v>
      </c>
      <c r="E70" s="103">
        <f>'Monitoramento Acumulado Geral'!Q70</f>
        <v>4575</v>
      </c>
      <c r="F70" s="100">
        <f>SUM(E62:E70)</f>
        <v>12554.8</v>
      </c>
      <c r="G70" s="102" t="str">
        <f t="shared" si="9"/>
        <v>Farol Verde</v>
      </c>
      <c r="H70" s="116">
        <f t="shared" si="7"/>
        <v>0</v>
      </c>
      <c r="I70" s="100">
        <f t="shared" si="8"/>
        <v>9</v>
      </c>
      <c r="J70" s="117">
        <v>12</v>
      </c>
      <c r="K70" s="118">
        <f>'Monitoramento Acumulado Geral'!P70</f>
        <v>4</v>
      </c>
      <c r="L70" s="100">
        <f>$L62+L69</f>
        <v>9</v>
      </c>
      <c r="M70" s="100">
        <f t="shared" si="18"/>
        <v>14</v>
      </c>
      <c r="N70" s="115"/>
      <c r="O70" s="116" t="e">
        <f t="shared" si="10"/>
        <v>#DIV/0!</v>
      </c>
      <c r="P70" s="115"/>
      <c r="Q70" s="116" t="e">
        <f t="shared" si="11"/>
        <v>#DIV/0!</v>
      </c>
      <c r="R70" s="115"/>
      <c r="S70" s="100" t="e">
        <f t="shared" si="12"/>
        <v>#DIV/0!</v>
      </c>
    </row>
    <row r="71" spans="1:19" ht="15" x14ac:dyDescent="0.2">
      <c r="A71" s="114" t="s">
        <v>65</v>
      </c>
      <c r="B71" s="100" t="s">
        <v>160</v>
      </c>
      <c r="C71" s="115">
        <v>12000</v>
      </c>
      <c r="D71" s="100">
        <f>(C71/12)*10</f>
        <v>10000</v>
      </c>
      <c r="E71" s="103">
        <f>'Monitoramento Acumulado Geral'!Q71</f>
        <v>0</v>
      </c>
      <c r="F71" s="100">
        <f>SUM(E62:E71)</f>
        <v>12554.8</v>
      </c>
      <c r="G71" s="102" t="str">
        <f t="shared" si="9"/>
        <v>Farol Verde</v>
      </c>
      <c r="H71" s="116">
        <f t="shared" si="7"/>
        <v>0</v>
      </c>
      <c r="I71" s="100">
        <f t="shared" si="8"/>
        <v>10</v>
      </c>
      <c r="J71" s="117">
        <v>12</v>
      </c>
      <c r="K71" s="118">
        <f>'Monitoramento Acumulado Geral'!P71</f>
        <v>0</v>
      </c>
      <c r="L71" s="100">
        <f>$L62+L70</f>
        <v>10</v>
      </c>
      <c r="M71" s="100">
        <f t="shared" si="18"/>
        <v>14</v>
      </c>
      <c r="N71" s="115"/>
      <c r="O71" s="116" t="e">
        <f t="shared" si="10"/>
        <v>#DIV/0!</v>
      </c>
      <c r="P71" s="115"/>
      <c r="Q71" s="116" t="e">
        <f t="shared" si="11"/>
        <v>#DIV/0!</v>
      </c>
      <c r="R71" s="115"/>
      <c r="S71" s="100" t="e">
        <f t="shared" si="12"/>
        <v>#DIV/0!</v>
      </c>
    </row>
    <row r="72" spans="1:19" ht="15" x14ac:dyDescent="0.2">
      <c r="A72" s="114" t="s">
        <v>65</v>
      </c>
      <c r="B72" s="100" t="s">
        <v>161</v>
      </c>
      <c r="C72" s="115">
        <v>12000</v>
      </c>
      <c r="D72" s="100">
        <f>(C72/12)*11</f>
        <v>11000</v>
      </c>
      <c r="E72" s="103">
        <f>'Monitoramento Acumulado Geral'!Q72</f>
        <v>0</v>
      </c>
      <c r="F72" s="100">
        <f>SUM(E62:E72)</f>
        <v>12554.8</v>
      </c>
      <c r="G72" s="102" t="str">
        <f t="shared" si="9"/>
        <v>Farol Verde</v>
      </c>
      <c r="H72" s="116">
        <f t="shared" si="7"/>
        <v>0</v>
      </c>
      <c r="I72" s="100">
        <f t="shared" si="8"/>
        <v>11</v>
      </c>
      <c r="J72" s="117">
        <v>12</v>
      </c>
      <c r="K72" s="118">
        <f>'Monitoramento Acumulado Geral'!P72</f>
        <v>0</v>
      </c>
      <c r="L72" s="100">
        <f>L62+L71</f>
        <v>11</v>
      </c>
      <c r="M72" s="100">
        <f t="shared" si="18"/>
        <v>14</v>
      </c>
      <c r="N72" s="115"/>
      <c r="O72" s="116" t="e">
        <f t="shared" si="10"/>
        <v>#DIV/0!</v>
      </c>
      <c r="P72" s="115"/>
      <c r="Q72" s="116" t="e">
        <f t="shared" si="11"/>
        <v>#DIV/0!</v>
      </c>
      <c r="R72" s="115"/>
      <c r="S72" s="100" t="e">
        <f t="shared" si="12"/>
        <v>#DIV/0!</v>
      </c>
    </row>
    <row r="73" spans="1:19" ht="15" x14ac:dyDescent="0.2">
      <c r="A73" s="114" t="s">
        <v>65</v>
      </c>
      <c r="B73" s="100" t="s">
        <v>162</v>
      </c>
      <c r="C73" s="115">
        <v>12000</v>
      </c>
      <c r="D73" s="100">
        <f>(C73/12)*12</f>
        <v>12000</v>
      </c>
      <c r="E73" s="103">
        <f>'Monitoramento Acumulado Geral'!Q73</f>
        <v>0</v>
      </c>
      <c r="F73" s="100">
        <f>SUM(E62:E73)</f>
        <v>12554.8</v>
      </c>
      <c r="G73" s="102" t="str">
        <f t="shared" si="9"/>
        <v>Farol Verde</v>
      </c>
      <c r="H73" s="116">
        <f t="shared" si="7"/>
        <v>0</v>
      </c>
      <c r="I73" s="100">
        <f t="shared" si="8"/>
        <v>12</v>
      </c>
      <c r="J73" s="117">
        <v>12</v>
      </c>
      <c r="K73" s="118">
        <f>'Monitoramento Acumulado Geral'!P73</f>
        <v>0</v>
      </c>
      <c r="L73" s="100">
        <f>$L62+L72</f>
        <v>12</v>
      </c>
      <c r="M73" s="100">
        <f t="shared" si="18"/>
        <v>14</v>
      </c>
      <c r="N73" s="115"/>
      <c r="O73" s="116" t="e">
        <f t="shared" si="10"/>
        <v>#DIV/0!</v>
      </c>
      <c r="P73" s="115"/>
      <c r="Q73" s="116" t="e">
        <f t="shared" si="11"/>
        <v>#DIV/0!</v>
      </c>
      <c r="R73" s="115"/>
      <c r="S73" s="100" t="e">
        <f t="shared" si="12"/>
        <v>#DIV/0!</v>
      </c>
    </row>
    <row r="74" spans="1:19" ht="15" x14ac:dyDescent="0.2">
      <c r="A74" s="114" t="s">
        <v>41</v>
      </c>
      <c r="B74" s="100" t="s">
        <v>151</v>
      </c>
      <c r="C74" s="115">
        <v>65000</v>
      </c>
      <c r="D74" s="100">
        <f>(C74/12)*1</f>
        <v>5416.666666666667</v>
      </c>
      <c r="E74" s="103">
        <f>'Monitoramento Acumulado Geral'!Q74</f>
        <v>9015</v>
      </c>
      <c r="F74" s="100">
        <f>E74</f>
        <v>9015</v>
      </c>
      <c r="G74" s="102" t="str">
        <f t="shared" si="9"/>
        <v>Farol Verde</v>
      </c>
      <c r="H74" s="116">
        <f t="shared" si="7"/>
        <v>0</v>
      </c>
      <c r="I74" s="100">
        <f t="shared" si="8"/>
        <v>1</v>
      </c>
      <c r="J74" s="117">
        <v>710</v>
      </c>
      <c r="K74" s="118">
        <f>'Monitoramento Acumulado Geral'!P74</f>
        <v>405</v>
      </c>
      <c r="L74" s="100">
        <f>J74/12</f>
        <v>59.166666666666664</v>
      </c>
      <c r="M74" s="100">
        <f>K74</f>
        <v>405</v>
      </c>
      <c r="N74" s="115">
        <v>0</v>
      </c>
      <c r="O74" s="116" t="e">
        <f t="shared" si="10"/>
        <v>#DIV/0!</v>
      </c>
      <c r="P74" s="115">
        <v>0</v>
      </c>
      <c r="Q74" s="116" t="e">
        <f t="shared" si="11"/>
        <v>#DIV/0!</v>
      </c>
      <c r="R74" s="115">
        <v>0</v>
      </c>
      <c r="S74" s="100" t="e">
        <f t="shared" si="12"/>
        <v>#DIV/0!</v>
      </c>
    </row>
    <row r="75" spans="1:19" ht="15" x14ac:dyDescent="0.2">
      <c r="A75" s="114" t="s">
        <v>41</v>
      </c>
      <c r="B75" s="100" t="s">
        <v>152</v>
      </c>
      <c r="C75" s="115">
        <v>65000</v>
      </c>
      <c r="D75" s="100">
        <f>(C75/12)*2</f>
        <v>10833.333333333334</v>
      </c>
      <c r="E75" s="103">
        <f>'Monitoramento Acumulado Geral'!Q75</f>
        <v>10340</v>
      </c>
      <c r="F75" s="100">
        <f>SUM(E74:E75)</f>
        <v>19355</v>
      </c>
      <c r="G75" s="102" t="str">
        <f t="shared" si="9"/>
        <v>Farol Verde</v>
      </c>
      <c r="H75" s="116">
        <f t="shared" si="7"/>
        <v>0</v>
      </c>
      <c r="I75" s="100">
        <f t="shared" si="8"/>
        <v>2</v>
      </c>
      <c r="J75" s="117">
        <v>710</v>
      </c>
      <c r="K75" s="118">
        <f>'Monitoramento Acumulado Geral'!P75</f>
        <v>342</v>
      </c>
      <c r="L75" s="100">
        <f>L74+L74</f>
        <v>118.33333333333333</v>
      </c>
      <c r="M75" s="100">
        <f>M74+K75</f>
        <v>747</v>
      </c>
      <c r="N75" s="115">
        <v>0</v>
      </c>
      <c r="O75" s="116" t="e">
        <f t="shared" si="10"/>
        <v>#DIV/0!</v>
      </c>
      <c r="P75" s="115">
        <v>0</v>
      </c>
      <c r="Q75" s="116" t="e">
        <f t="shared" si="11"/>
        <v>#DIV/0!</v>
      </c>
      <c r="R75" s="115">
        <v>0</v>
      </c>
      <c r="S75" s="100" t="e">
        <f t="shared" si="12"/>
        <v>#DIV/0!</v>
      </c>
    </row>
    <row r="76" spans="1:19" ht="15" x14ac:dyDescent="0.2">
      <c r="A76" s="114" t="s">
        <v>41</v>
      </c>
      <c r="B76" s="100" t="s">
        <v>153</v>
      </c>
      <c r="C76" s="115">
        <v>65000</v>
      </c>
      <c r="D76" s="100">
        <f>(C76/12)*3</f>
        <v>16250</v>
      </c>
      <c r="E76" s="103">
        <f>'Monitoramento Acumulado Geral'!Q76</f>
        <v>2600</v>
      </c>
      <c r="F76" s="100">
        <f>SUM(E74:E76)</f>
        <v>21955</v>
      </c>
      <c r="G76" s="102" t="str">
        <f t="shared" si="9"/>
        <v>Farol Verde</v>
      </c>
      <c r="H76" s="116">
        <f t="shared" si="7"/>
        <v>0</v>
      </c>
      <c r="I76" s="100">
        <f t="shared" si="8"/>
        <v>3</v>
      </c>
      <c r="J76" s="117">
        <v>710</v>
      </c>
      <c r="K76" s="118">
        <f>'Monitoramento Acumulado Geral'!P76</f>
        <v>98</v>
      </c>
      <c r="L76" s="100">
        <f>$L74+L75</f>
        <v>177.5</v>
      </c>
      <c r="M76" s="100">
        <f t="shared" ref="M76:M85" si="19">M75+K76</f>
        <v>845</v>
      </c>
      <c r="N76" s="115">
        <v>0</v>
      </c>
      <c r="O76" s="116" t="e">
        <f t="shared" si="10"/>
        <v>#DIV/0!</v>
      </c>
      <c r="P76" s="115">
        <v>0</v>
      </c>
      <c r="Q76" s="116" t="e">
        <f t="shared" si="11"/>
        <v>#DIV/0!</v>
      </c>
      <c r="R76" s="115">
        <v>0</v>
      </c>
      <c r="S76" s="100" t="e">
        <f t="shared" si="12"/>
        <v>#DIV/0!</v>
      </c>
    </row>
    <row r="77" spans="1:19" ht="15" x14ac:dyDescent="0.2">
      <c r="A77" s="114" t="s">
        <v>41</v>
      </c>
      <c r="B77" s="100" t="s">
        <v>154</v>
      </c>
      <c r="C77" s="115">
        <v>65000</v>
      </c>
      <c r="D77" s="100">
        <f>(C77/12)*4</f>
        <v>21666.666666666668</v>
      </c>
      <c r="E77" s="103">
        <f>'Monitoramento Acumulado Geral'!Q77</f>
        <v>4240</v>
      </c>
      <c r="F77" s="100">
        <f>SUM(E74:E77)</f>
        <v>26195</v>
      </c>
      <c r="G77" s="102" t="str">
        <f t="shared" si="9"/>
        <v>Farol Verde</v>
      </c>
      <c r="H77" s="116">
        <f t="shared" si="7"/>
        <v>0</v>
      </c>
      <c r="I77" s="100">
        <f t="shared" si="8"/>
        <v>4</v>
      </c>
      <c r="J77" s="117">
        <v>710</v>
      </c>
      <c r="K77" s="118">
        <f>'Monitoramento Acumulado Geral'!P77</f>
        <v>4</v>
      </c>
      <c r="L77" s="100">
        <f>$L74+L76</f>
        <v>236.66666666666666</v>
      </c>
      <c r="M77" s="100">
        <f t="shared" si="19"/>
        <v>849</v>
      </c>
      <c r="N77" s="115">
        <v>0</v>
      </c>
      <c r="O77" s="116" t="e">
        <f t="shared" si="10"/>
        <v>#DIV/0!</v>
      </c>
      <c r="P77" s="115">
        <v>0</v>
      </c>
      <c r="Q77" s="116" t="e">
        <f t="shared" si="11"/>
        <v>#DIV/0!</v>
      </c>
      <c r="R77" s="115">
        <v>0</v>
      </c>
      <c r="S77" s="100" t="e">
        <f t="shared" si="12"/>
        <v>#DIV/0!</v>
      </c>
    </row>
    <row r="78" spans="1:19" ht="15" x14ac:dyDescent="0.2">
      <c r="A78" s="114" t="s">
        <v>41</v>
      </c>
      <c r="B78" s="100" t="s">
        <v>155</v>
      </c>
      <c r="C78" s="115">
        <v>65000</v>
      </c>
      <c r="D78" s="100">
        <f>(C78/12)*5</f>
        <v>27083.333333333336</v>
      </c>
      <c r="E78" s="103">
        <f>'Monitoramento Acumulado Geral'!Q78</f>
        <v>5510</v>
      </c>
      <c r="F78" s="100">
        <f>SUM(E74:E78)</f>
        <v>31705</v>
      </c>
      <c r="G78" s="102" t="str">
        <f t="shared" si="9"/>
        <v>Farol Verde</v>
      </c>
      <c r="H78" s="116">
        <f t="shared" ref="H78:H153" si="20">IF(D78-F78&lt;0,0,D78-F78)</f>
        <v>0</v>
      </c>
      <c r="I78" s="100">
        <f t="shared" ref="I78:I153" si="21">_xlfn.IFS(B78="Janeiro",1,B78="Fevereiro",2,B78="Março",3,B78="Abril",4,B78="Maio",5,B78="Junho",6,B78="Julho",7,B78="Agosto",8,B78="Setembro",9,B78="Outubro",10,B78="Novembro",11,B78="Dezembro",12,TRUE,0)</f>
        <v>5</v>
      </c>
      <c r="J78" s="117">
        <v>710</v>
      </c>
      <c r="K78" s="118">
        <f>'Monitoramento Acumulado Geral'!P78</f>
        <v>12</v>
      </c>
      <c r="L78" s="100">
        <f>L74+L77</f>
        <v>295.83333333333331</v>
      </c>
      <c r="M78" s="100">
        <f t="shared" si="19"/>
        <v>861</v>
      </c>
      <c r="N78" s="115">
        <v>0</v>
      </c>
      <c r="O78" s="116" t="e">
        <f t="shared" si="10"/>
        <v>#DIV/0!</v>
      </c>
      <c r="P78" s="115">
        <v>0</v>
      </c>
      <c r="Q78" s="116" t="e">
        <f t="shared" si="11"/>
        <v>#DIV/0!</v>
      </c>
      <c r="R78" s="115">
        <v>0</v>
      </c>
      <c r="S78" s="100" t="e">
        <f t="shared" si="12"/>
        <v>#DIV/0!</v>
      </c>
    </row>
    <row r="79" spans="1:19" ht="15" x14ac:dyDescent="0.2">
      <c r="A79" s="114" t="s">
        <v>41</v>
      </c>
      <c r="B79" s="100" t="s">
        <v>156</v>
      </c>
      <c r="C79" s="115">
        <v>65000</v>
      </c>
      <c r="D79" s="100">
        <f>(C79/12)*6</f>
        <v>32500</v>
      </c>
      <c r="E79" s="103">
        <f>'Monitoramento Acumulado Geral'!Q79</f>
        <v>5025</v>
      </c>
      <c r="F79" s="100">
        <f>SUM(E74:E79)</f>
        <v>36730</v>
      </c>
      <c r="G79" s="102" t="str">
        <f t="shared" ref="G79:G154" si="22">_xlfn.IFS(F79&gt;D79,"Farol Verde",F79&gt;=D79*0.85,"Farol Amarelo",F79&lt;D79*0.85,"Farol Vermelho","Verdadeiro",0)</f>
        <v>Farol Verde</v>
      </c>
      <c r="H79" s="116">
        <f t="shared" si="20"/>
        <v>0</v>
      </c>
      <c r="I79" s="100">
        <f t="shared" si="21"/>
        <v>6</v>
      </c>
      <c r="J79" s="117">
        <v>710</v>
      </c>
      <c r="K79" s="118">
        <f>'Monitoramento Acumulado Geral'!P79</f>
        <v>13</v>
      </c>
      <c r="L79" s="100">
        <f>$L74+L78</f>
        <v>355</v>
      </c>
      <c r="M79" s="100">
        <f t="shared" si="19"/>
        <v>874</v>
      </c>
      <c r="N79" s="115"/>
      <c r="O79" s="116" t="e">
        <f t="shared" ref="O79:O154" si="23">P79/N79</f>
        <v>#DIV/0!</v>
      </c>
      <c r="P79" s="115"/>
      <c r="Q79" s="116" t="e">
        <f t="shared" ref="Q79:Q154" si="24">R79/P79</f>
        <v>#DIV/0!</v>
      </c>
      <c r="R79" s="115"/>
      <c r="S79" s="100" t="e">
        <f t="shared" ref="S79:S154" si="25">R79/N79</f>
        <v>#DIV/0!</v>
      </c>
    </row>
    <row r="80" spans="1:19" ht="15" x14ac:dyDescent="0.2">
      <c r="A80" s="114" t="s">
        <v>41</v>
      </c>
      <c r="B80" s="100" t="s">
        <v>157</v>
      </c>
      <c r="C80" s="115">
        <v>65000</v>
      </c>
      <c r="D80" s="100">
        <f>(C80/12)*7</f>
        <v>37916.666666666672</v>
      </c>
      <c r="E80" s="103">
        <f>'Monitoramento Acumulado Geral'!Q80</f>
        <v>9853.4</v>
      </c>
      <c r="F80" s="100">
        <f>SUM(E74:E80)</f>
        <v>46583.4</v>
      </c>
      <c r="G80" s="102" t="str">
        <f t="shared" si="22"/>
        <v>Farol Verde</v>
      </c>
      <c r="H80" s="116">
        <f t="shared" si="20"/>
        <v>0</v>
      </c>
      <c r="I80" s="100">
        <f t="shared" si="21"/>
        <v>7</v>
      </c>
      <c r="J80" s="117">
        <v>710</v>
      </c>
      <c r="K80" s="118">
        <f>'Monitoramento Acumulado Geral'!P80</f>
        <v>16</v>
      </c>
      <c r="L80" s="100">
        <f>$L74+L79</f>
        <v>414.16666666666669</v>
      </c>
      <c r="M80" s="100">
        <f t="shared" si="19"/>
        <v>890</v>
      </c>
      <c r="N80" s="115"/>
      <c r="O80" s="116" t="e">
        <f t="shared" si="23"/>
        <v>#DIV/0!</v>
      </c>
      <c r="P80" s="115"/>
      <c r="Q80" s="116" t="e">
        <f t="shared" si="24"/>
        <v>#DIV/0!</v>
      </c>
      <c r="R80" s="115"/>
      <c r="S80" s="100" t="e">
        <f t="shared" si="25"/>
        <v>#DIV/0!</v>
      </c>
    </row>
    <row r="81" spans="1:19" ht="15" x14ac:dyDescent="0.2">
      <c r="A81" s="114" t="s">
        <v>41</v>
      </c>
      <c r="B81" s="100" t="s">
        <v>158</v>
      </c>
      <c r="C81" s="115">
        <v>65000</v>
      </c>
      <c r="D81" s="100">
        <f>(C81/12)*8</f>
        <v>43333.333333333336</v>
      </c>
      <c r="E81" s="103">
        <f>'Monitoramento Acumulado Geral'!Q81</f>
        <v>3702</v>
      </c>
      <c r="F81" s="100">
        <f>SUM(E74:E81)</f>
        <v>50285.4</v>
      </c>
      <c r="G81" s="102" t="str">
        <f t="shared" si="22"/>
        <v>Farol Verde</v>
      </c>
      <c r="H81" s="116">
        <f t="shared" si="20"/>
        <v>0</v>
      </c>
      <c r="I81" s="100">
        <f t="shared" si="21"/>
        <v>8</v>
      </c>
      <c r="J81" s="117">
        <v>710</v>
      </c>
      <c r="K81" s="118">
        <f>'Monitoramento Acumulado Geral'!P81</f>
        <v>10</v>
      </c>
      <c r="L81" s="100">
        <f>L74+L80</f>
        <v>473.33333333333337</v>
      </c>
      <c r="M81" s="100">
        <f t="shared" si="19"/>
        <v>900</v>
      </c>
      <c r="N81" s="115"/>
      <c r="O81" s="116" t="e">
        <f t="shared" si="23"/>
        <v>#DIV/0!</v>
      </c>
      <c r="P81" s="115"/>
      <c r="Q81" s="116" t="e">
        <f t="shared" si="24"/>
        <v>#DIV/0!</v>
      </c>
      <c r="R81" s="115"/>
      <c r="S81" s="100" t="e">
        <f t="shared" si="25"/>
        <v>#DIV/0!</v>
      </c>
    </row>
    <row r="82" spans="1:19" ht="15" x14ac:dyDescent="0.2">
      <c r="A82" s="114" t="s">
        <v>41</v>
      </c>
      <c r="B82" s="100" t="s">
        <v>159</v>
      </c>
      <c r="C82" s="115">
        <v>65000</v>
      </c>
      <c r="D82" s="100">
        <f>(C82/12)*9</f>
        <v>48750</v>
      </c>
      <c r="E82" s="103">
        <f>'Monitoramento Acumulado Geral'!Q82</f>
        <v>3922</v>
      </c>
      <c r="F82" s="100">
        <f>SUM(E74:E82)</f>
        <v>54207.4</v>
      </c>
      <c r="G82" s="102" t="str">
        <f t="shared" si="22"/>
        <v>Farol Verde</v>
      </c>
      <c r="H82" s="116">
        <f t="shared" si="20"/>
        <v>0</v>
      </c>
      <c r="I82" s="100">
        <f t="shared" si="21"/>
        <v>9</v>
      </c>
      <c r="J82" s="117">
        <v>710</v>
      </c>
      <c r="K82" s="118">
        <f>'Monitoramento Acumulado Geral'!P82</f>
        <v>5</v>
      </c>
      <c r="L82" s="100">
        <f>$L74+L81</f>
        <v>532.5</v>
      </c>
      <c r="M82" s="100">
        <f t="shared" si="19"/>
        <v>905</v>
      </c>
      <c r="N82" s="115"/>
      <c r="O82" s="116" t="e">
        <f t="shared" si="23"/>
        <v>#DIV/0!</v>
      </c>
      <c r="P82" s="115"/>
      <c r="Q82" s="116" t="e">
        <f t="shared" si="24"/>
        <v>#DIV/0!</v>
      </c>
      <c r="R82" s="115"/>
      <c r="S82" s="100" t="e">
        <f t="shared" si="25"/>
        <v>#DIV/0!</v>
      </c>
    </row>
    <row r="83" spans="1:19" ht="15" x14ac:dyDescent="0.2">
      <c r="A83" s="114" t="s">
        <v>41</v>
      </c>
      <c r="B83" s="100" t="s">
        <v>160</v>
      </c>
      <c r="C83" s="115">
        <v>65000</v>
      </c>
      <c r="D83" s="100">
        <f>(C83/12)*10</f>
        <v>54166.666666666672</v>
      </c>
      <c r="E83" s="103">
        <f>'Monitoramento Acumulado Geral'!Q83</f>
        <v>0</v>
      </c>
      <c r="F83" s="100">
        <f>SUM(E74:E83)</f>
        <v>54207.4</v>
      </c>
      <c r="G83" s="102" t="str">
        <f t="shared" si="22"/>
        <v>Farol Verde</v>
      </c>
      <c r="H83" s="116">
        <f t="shared" si="20"/>
        <v>0</v>
      </c>
      <c r="I83" s="100">
        <f t="shared" si="21"/>
        <v>10</v>
      </c>
      <c r="J83" s="117">
        <v>710</v>
      </c>
      <c r="K83" s="118">
        <f>'Monitoramento Acumulado Geral'!P83</f>
        <v>0</v>
      </c>
      <c r="L83" s="100">
        <f>$L74+L82</f>
        <v>591.66666666666663</v>
      </c>
      <c r="M83" s="100">
        <f t="shared" si="19"/>
        <v>905</v>
      </c>
      <c r="N83" s="115"/>
      <c r="O83" s="116" t="e">
        <f t="shared" si="23"/>
        <v>#DIV/0!</v>
      </c>
      <c r="P83" s="115"/>
      <c r="Q83" s="116" t="e">
        <f t="shared" si="24"/>
        <v>#DIV/0!</v>
      </c>
      <c r="R83" s="115"/>
      <c r="S83" s="100" t="e">
        <f t="shared" si="25"/>
        <v>#DIV/0!</v>
      </c>
    </row>
    <row r="84" spans="1:19" ht="15" x14ac:dyDescent="0.2">
      <c r="A84" s="114" t="s">
        <v>41</v>
      </c>
      <c r="B84" s="100" t="s">
        <v>161</v>
      </c>
      <c r="C84" s="115">
        <v>65000</v>
      </c>
      <c r="D84" s="100">
        <f>(C84/12)*11</f>
        <v>59583.333333333336</v>
      </c>
      <c r="E84" s="103">
        <f>'Monitoramento Acumulado Geral'!Q84</f>
        <v>0</v>
      </c>
      <c r="F84" s="100">
        <f>SUM(E74:E84)</f>
        <v>54207.4</v>
      </c>
      <c r="G84" s="102" t="str">
        <f t="shared" si="22"/>
        <v>Farol Amarelo</v>
      </c>
      <c r="H84" s="116">
        <f t="shared" si="20"/>
        <v>5375.9333333333343</v>
      </c>
      <c r="I84" s="100">
        <f t="shared" si="21"/>
        <v>11</v>
      </c>
      <c r="J84" s="117">
        <v>710</v>
      </c>
      <c r="K84" s="118">
        <f>'Monitoramento Acumulado Geral'!P84</f>
        <v>0</v>
      </c>
      <c r="L84" s="100">
        <f>L74+L83</f>
        <v>650.83333333333326</v>
      </c>
      <c r="M84" s="100">
        <f t="shared" si="19"/>
        <v>905</v>
      </c>
      <c r="N84" s="115"/>
      <c r="O84" s="116" t="e">
        <f t="shared" si="23"/>
        <v>#DIV/0!</v>
      </c>
      <c r="P84" s="115"/>
      <c r="Q84" s="116" t="e">
        <f t="shared" si="24"/>
        <v>#DIV/0!</v>
      </c>
      <c r="R84" s="115"/>
      <c r="S84" s="100" t="e">
        <f t="shared" si="25"/>
        <v>#DIV/0!</v>
      </c>
    </row>
    <row r="85" spans="1:19" ht="15" x14ac:dyDescent="0.2">
      <c r="A85" s="114" t="s">
        <v>41</v>
      </c>
      <c r="B85" s="100" t="s">
        <v>162</v>
      </c>
      <c r="C85" s="115">
        <v>65000</v>
      </c>
      <c r="D85" s="100">
        <f>(C85/12)*12</f>
        <v>65000</v>
      </c>
      <c r="E85" s="103">
        <f>'Monitoramento Acumulado Geral'!Q85</f>
        <v>0</v>
      </c>
      <c r="F85" s="100">
        <f>SUM(E74:E85)</f>
        <v>54207.4</v>
      </c>
      <c r="G85" s="102" t="str">
        <f t="shared" si="22"/>
        <v>Farol Vermelho</v>
      </c>
      <c r="H85" s="116">
        <f t="shared" si="20"/>
        <v>10792.599999999999</v>
      </c>
      <c r="I85" s="100">
        <f t="shared" si="21"/>
        <v>12</v>
      </c>
      <c r="J85" s="117">
        <v>710</v>
      </c>
      <c r="K85" s="118">
        <f>'Monitoramento Acumulado Geral'!P85</f>
        <v>0</v>
      </c>
      <c r="L85" s="100">
        <f>$L74+L84</f>
        <v>709.99999999999989</v>
      </c>
      <c r="M85" s="100">
        <f t="shared" si="19"/>
        <v>905</v>
      </c>
      <c r="N85" s="115"/>
      <c r="O85" s="116" t="e">
        <f t="shared" si="23"/>
        <v>#DIV/0!</v>
      </c>
      <c r="P85" s="115"/>
      <c r="Q85" s="116" t="e">
        <f t="shared" si="24"/>
        <v>#DIV/0!</v>
      </c>
      <c r="R85" s="115"/>
      <c r="S85" s="100" t="e">
        <f t="shared" si="25"/>
        <v>#DIV/0!</v>
      </c>
    </row>
    <row r="86" spans="1:19" ht="15" x14ac:dyDescent="0.2">
      <c r="A86" s="114" t="s">
        <v>62</v>
      </c>
      <c r="B86" s="100" t="s">
        <v>151</v>
      </c>
      <c r="C86" s="115">
        <v>9000</v>
      </c>
      <c r="D86" s="100">
        <f>(C86/12)*1</f>
        <v>750</v>
      </c>
      <c r="E86" s="103">
        <f>'Monitoramento Acumulado Geral'!Q86</f>
        <v>0</v>
      </c>
      <c r="F86" s="100">
        <f>E86</f>
        <v>0</v>
      </c>
      <c r="G86" s="102" t="str">
        <f t="shared" si="22"/>
        <v>Farol Vermelho</v>
      </c>
      <c r="H86" s="116">
        <f t="shared" si="20"/>
        <v>750</v>
      </c>
      <c r="I86" s="100">
        <f t="shared" si="21"/>
        <v>1</v>
      </c>
      <c r="J86" s="117">
        <v>5</v>
      </c>
      <c r="K86" s="118">
        <f>'Monitoramento Acumulado Geral'!P86</f>
        <v>0</v>
      </c>
      <c r="L86" s="100">
        <f>J86/12</f>
        <v>0.41666666666666669</v>
      </c>
      <c r="M86" s="100">
        <f>K86</f>
        <v>0</v>
      </c>
      <c r="N86" s="115">
        <v>0</v>
      </c>
      <c r="O86" s="116" t="e">
        <f t="shared" si="23"/>
        <v>#DIV/0!</v>
      </c>
      <c r="P86" s="115">
        <v>0</v>
      </c>
      <c r="Q86" s="116" t="e">
        <f t="shared" si="24"/>
        <v>#DIV/0!</v>
      </c>
      <c r="R86" s="115">
        <v>0</v>
      </c>
      <c r="S86" s="100" t="e">
        <f t="shared" si="25"/>
        <v>#DIV/0!</v>
      </c>
    </row>
    <row r="87" spans="1:19" ht="15" x14ac:dyDescent="0.2">
      <c r="A87" s="114" t="s">
        <v>62</v>
      </c>
      <c r="B87" s="100" t="s">
        <v>152</v>
      </c>
      <c r="C87" s="115">
        <v>9000</v>
      </c>
      <c r="D87" s="100">
        <f>(C87/12)*2</f>
        <v>1500</v>
      </c>
      <c r="E87" s="103">
        <f>'Monitoramento Acumulado Geral'!Q87</f>
        <v>600</v>
      </c>
      <c r="F87" s="100">
        <f>SUM(E86:E87)</f>
        <v>600</v>
      </c>
      <c r="G87" s="102" t="str">
        <f t="shared" si="22"/>
        <v>Farol Vermelho</v>
      </c>
      <c r="H87" s="116">
        <f t="shared" si="20"/>
        <v>900</v>
      </c>
      <c r="I87" s="100">
        <f t="shared" si="21"/>
        <v>2</v>
      </c>
      <c r="J87" s="117">
        <v>5</v>
      </c>
      <c r="K87" s="118">
        <f>'Monitoramento Acumulado Geral'!P87</f>
        <v>1</v>
      </c>
      <c r="L87" s="100">
        <f>L86+L86</f>
        <v>0.83333333333333337</v>
      </c>
      <c r="M87" s="100">
        <f>M86+K87</f>
        <v>1</v>
      </c>
      <c r="N87" s="115">
        <v>0</v>
      </c>
      <c r="O87" s="116" t="e">
        <f t="shared" si="23"/>
        <v>#DIV/0!</v>
      </c>
      <c r="P87" s="115">
        <v>0</v>
      </c>
      <c r="Q87" s="116" t="e">
        <f t="shared" si="24"/>
        <v>#DIV/0!</v>
      </c>
      <c r="R87" s="115">
        <v>0</v>
      </c>
      <c r="S87" s="100" t="e">
        <f t="shared" si="25"/>
        <v>#DIV/0!</v>
      </c>
    </row>
    <row r="88" spans="1:19" ht="15" x14ac:dyDescent="0.2">
      <c r="A88" s="114" t="s">
        <v>62</v>
      </c>
      <c r="B88" s="100" t="s">
        <v>153</v>
      </c>
      <c r="C88" s="115">
        <v>9000</v>
      </c>
      <c r="D88" s="100">
        <f>(C88/12)*3</f>
        <v>2250</v>
      </c>
      <c r="E88" s="103">
        <f>'Monitoramento Acumulado Geral'!Q88</f>
        <v>0</v>
      </c>
      <c r="F88" s="100">
        <f>SUM(E86:E88)</f>
        <v>600</v>
      </c>
      <c r="G88" s="102" t="str">
        <f t="shared" si="22"/>
        <v>Farol Vermelho</v>
      </c>
      <c r="H88" s="116">
        <f t="shared" si="20"/>
        <v>1650</v>
      </c>
      <c r="I88" s="100">
        <f t="shared" si="21"/>
        <v>3</v>
      </c>
      <c r="J88" s="117">
        <v>5</v>
      </c>
      <c r="K88" s="118">
        <f>'Monitoramento Acumulado Geral'!P88</f>
        <v>0</v>
      </c>
      <c r="L88" s="100">
        <f>$L86+L87</f>
        <v>1.25</v>
      </c>
      <c r="M88" s="100">
        <f t="shared" ref="M88:M97" si="26">M87+K88</f>
        <v>1</v>
      </c>
      <c r="N88" s="115">
        <v>0</v>
      </c>
      <c r="O88" s="116" t="e">
        <f t="shared" si="23"/>
        <v>#DIV/0!</v>
      </c>
      <c r="P88" s="115">
        <v>0</v>
      </c>
      <c r="Q88" s="116" t="e">
        <f t="shared" si="24"/>
        <v>#DIV/0!</v>
      </c>
      <c r="R88" s="115">
        <v>0</v>
      </c>
      <c r="S88" s="100" t="e">
        <f t="shared" si="25"/>
        <v>#DIV/0!</v>
      </c>
    </row>
    <row r="89" spans="1:19" ht="15" x14ac:dyDescent="0.2">
      <c r="A89" s="114" t="s">
        <v>62</v>
      </c>
      <c r="B89" s="100" t="s">
        <v>154</v>
      </c>
      <c r="C89" s="115">
        <v>9000</v>
      </c>
      <c r="D89" s="100">
        <f>(C89/12)*4</f>
        <v>3000</v>
      </c>
      <c r="E89" s="103">
        <f>'Monitoramento Acumulado Geral'!Q89</f>
        <v>0</v>
      </c>
      <c r="F89" s="100">
        <f>SUM(E86:E89)</f>
        <v>600</v>
      </c>
      <c r="G89" s="102" t="str">
        <f t="shared" si="22"/>
        <v>Farol Vermelho</v>
      </c>
      <c r="H89" s="116">
        <f t="shared" si="20"/>
        <v>2400</v>
      </c>
      <c r="I89" s="100">
        <f t="shared" si="21"/>
        <v>4</v>
      </c>
      <c r="J89" s="117">
        <v>5</v>
      </c>
      <c r="K89" s="118">
        <f>'Monitoramento Acumulado Geral'!P89</f>
        <v>0</v>
      </c>
      <c r="L89" s="100">
        <f>$L86+L88</f>
        <v>1.6666666666666667</v>
      </c>
      <c r="M89" s="100">
        <f t="shared" si="26"/>
        <v>1</v>
      </c>
      <c r="N89" s="115">
        <v>0</v>
      </c>
      <c r="O89" s="116" t="e">
        <f t="shared" si="23"/>
        <v>#DIV/0!</v>
      </c>
      <c r="P89" s="115">
        <v>0</v>
      </c>
      <c r="Q89" s="116" t="e">
        <f t="shared" si="24"/>
        <v>#DIV/0!</v>
      </c>
      <c r="R89" s="115">
        <v>0</v>
      </c>
      <c r="S89" s="100" t="e">
        <f t="shared" si="25"/>
        <v>#DIV/0!</v>
      </c>
    </row>
    <row r="90" spans="1:19" ht="15" x14ac:dyDescent="0.2">
      <c r="A90" s="114" t="s">
        <v>62</v>
      </c>
      <c r="B90" s="100" t="s">
        <v>155</v>
      </c>
      <c r="C90" s="115">
        <v>9000</v>
      </c>
      <c r="D90" s="100">
        <f>(C90/12)*5</f>
        <v>3750</v>
      </c>
      <c r="E90" s="103">
        <f>'Monitoramento Acumulado Geral'!Q90</f>
        <v>0</v>
      </c>
      <c r="F90" s="100">
        <f>SUM(E86:E90)</f>
        <v>600</v>
      </c>
      <c r="G90" s="102" t="str">
        <f t="shared" si="22"/>
        <v>Farol Vermelho</v>
      </c>
      <c r="H90" s="116">
        <f t="shared" si="20"/>
        <v>3150</v>
      </c>
      <c r="I90" s="100">
        <f t="shared" si="21"/>
        <v>5</v>
      </c>
      <c r="J90" s="117">
        <v>5</v>
      </c>
      <c r="K90" s="118">
        <f>'Monitoramento Acumulado Geral'!P90</f>
        <v>0</v>
      </c>
      <c r="L90" s="100">
        <f>L86+L89</f>
        <v>2.0833333333333335</v>
      </c>
      <c r="M90" s="100">
        <f t="shared" si="26"/>
        <v>1</v>
      </c>
      <c r="N90" s="115">
        <v>0</v>
      </c>
      <c r="O90" s="116" t="e">
        <f t="shared" si="23"/>
        <v>#DIV/0!</v>
      </c>
      <c r="P90" s="115">
        <v>0</v>
      </c>
      <c r="Q90" s="116" t="e">
        <f t="shared" si="24"/>
        <v>#DIV/0!</v>
      </c>
      <c r="R90" s="115">
        <v>0</v>
      </c>
      <c r="S90" s="100" t="e">
        <f t="shared" si="25"/>
        <v>#DIV/0!</v>
      </c>
    </row>
    <row r="91" spans="1:19" ht="15" x14ac:dyDescent="0.2">
      <c r="A91" s="114" t="s">
        <v>62</v>
      </c>
      <c r="B91" s="100" t="s">
        <v>156</v>
      </c>
      <c r="C91" s="115">
        <v>9000</v>
      </c>
      <c r="D91" s="100">
        <f>(C91/12)*6</f>
        <v>4500</v>
      </c>
      <c r="E91" s="103">
        <f>'Monitoramento Acumulado Geral'!Q91</f>
        <v>0</v>
      </c>
      <c r="F91" s="100">
        <f>SUM(E86:E91)</f>
        <v>600</v>
      </c>
      <c r="G91" s="102" t="str">
        <f t="shared" si="22"/>
        <v>Farol Vermelho</v>
      </c>
      <c r="H91" s="116">
        <f t="shared" si="20"/>
        <v>3900</v>
      </c>
      <c r="I91" s="100">
        <f t="shared" si="21"/>
        <v>6</v>
      </c>
      <c r="J91" s="117">
        <v>5</v>
      </c>
      <c r="K91" s="118">
        <f>'Monitoramento Acumulado Geral'!P91</f>
        <v>0</v>
      </c>
      <c r="L91" s="100">
        <f>$L86+L90</f>
        <v>2.5</v>
      </c>
      <c r="M91" s="100">
        <f t="shared" si="26"/>
        <v>1</v>
      </c>
      <c r="N91" s="115">
        <v>5</v>
      </c>
      <c r="O91" s="116">
        <f t="shared" si="23"/>
        <v>0</v>
      </c>
      <c r="P91" s="115">
        <v>0</v>
      </c>
      <c r="Q91" s="116" t="e">
        <f t="shared" si="24"/>
        <v>#DIV/0!</v>
      </c>
      <c r="R91" s="115">
        <v>0</v>
      </c>
      <c r="S91" s="100">
        <f t="shared" si="25"/>
        <v>0</v>
      </c>
    </row>
    <row r="92" spans="1:19" ht="15" x14ac:dyDescent="0.2">
      <c r="A92" s="114" t="s">
        <v>62</v>
      </c>
      <c r="B92" s="100" t="s">
        <v>157</v>
      </c>
      <c r="C92" s="115">
        <v>9000</v>
      </c>
      <c r="D92" s="100">
        <f>(C92/12)*7</f>
        <v>5250</v>
      </c>
      <c r="E92" s="103">
        <f>'Monitoramento Acumulado Geral'!Q92</f>
        <v>0</v>
      </c>
      <c r="F92" s="100">
        <f>SUM(E86:E92)</f>
        <v>600</v>
      </c>
      <c r="G92" s="102" t="str">
        <f t="shared" si="22"/>
        <v>Farol Vermelho</v>
      </c>
      <c r="H92" s="116">
        <f t="shared" si="20"/>
        <v>4650</v>
      </c>
      <c r="I92" s="100">
        <f t="shared" si="21"/>
        <v>7</v>
      </c>
      <c r="J92" s="117">
        <v>5</v>
      </c>
      <c r="K92" s="118">
        <f>'Monitoramento Acumulado Geral'!P92</f>
        <v>0</v>
      </c>
      <c r="L92" s="100">
        <f>$L86+L91</f>
        <v>2.9166666666666665</v>
      </c>
      <c r="M92" s="100">
        <f t="shared" si="26"/>
        <v>1</v>
      </c>
      <c r="N92" s="115"/>
      <c r="O92" s="116" t="e">
        <f t="shared" si="23"/>
        <v>#DIV/0!</v>
      </c>
      <c r="P92" s="115"/>
      <c r="Q92" s="116" t="e">
        <f t="shared" si="24"/>
        <v>#DIV/0!</v>
      </c>
      <c r="R92" s="115"/>
      <c r="S92" s="100" t="e">
        <f t="shared" si="25"/>
        <v>#DIV/0!</v>
      </c>
    </row>
    <row r="93" spans="1:19" ht="15" x14ac:dyDescent="0.2">
      <c r="A93" s="114" t="s">
        <v>62</v>
      </c>
      <c r="B93" s="100" t="s">
        <v>158</v>
      </c>
      <c r="C93" s="115">
        <v>9000</v>
      </c>
      <c r="D93" s="100">
        <f>(C93/12)*8</f>
        <v>6000</v>
      </c>
      <c r="E93" s="103">
        <f>'Monitoramento Acumulado Geral'!Q93</f>
        <v>0</v>
      </c>
      <c r="F93" s="100">
        <f>SUM(E86:E93)</f>
        <v>600</v>
      </c>
      <c r="G93" s="102" t="str">
        <f t="shared" si="22"/>
        <v>Farol Vermelho</v>
      </c>
      <c r="H93" s="116">
        <f t="shared" si="20"/>
        <v>5400</v>
      </c>
      <c r="I93" s="100">
        <f t="shared" si="21"/>
        <v>8</v>
      </c>
      <c r="J93" s="117">
        <v>5</v>
      </c>
      <c r="K93" s="118">
        <f>'Monitoramento Acumulado Geral'!P93</f>
        <v>0</v>
      </c>
      <c r="L93" s="100">
        <f>L86+L92</f>
        <v>3.333333333333333</v>
      </c>
      <c r="M93" s="100">
        <f t="shared" si="26"/>
        <v>1</v>
      </c>
      <c r="N93" s="115"/>
      <c r="O93" s="116" t="e">
        <f t="shared" si="23"/>
        <v>#DIV/0!</v>
      </c>
      <c r="P93" s="115"/>
      <c r="Q93" s="116" t="e">
        <f t="shared" si="24"/>
        <v>#DIV/0!</v>
      </c>
      <c r="R93" s="115"/>
      <c r="S93" s="100" t="e">
        <f t="shared" si="25"/>
        <v>#DIV/0!</v>
      </c>
    </row>
    <row r="94" spans="1:19" ht="15" x14ac:dyDescent="0.2">
      <c r="A94" s="114" t="s">
        <v>62</v>
      </c>
      <c r="B94" s="100" t="s">
        <v>159</v>
      </c>
      <c r="C94" s="115">
        <v>9000</v>
      </c>
      <c r="D94" s="100">
        <f>(C94/12)*9</f>
        <v>6750</v>
      </c>
      <c r="E94" s="103">
        <f>'Monitoramento Acumulado Geral'!Q94</f>
        <v>0</v>
      </c>
      <c r="F94" s="100">
        <f>SUM(E86:E94)</f>
        <v>600</v>
      </c>
      <c r="G94" s="102" t="str">
        <f t="shared" si="22"/>
        <v>Farol Vermelho</v>
      </c>
      <c r="H94" s="116">
        <f t="shared" si="20"/>
        <v>6150</v>
      </c>
      <c r="I94" s="100">
        <f t="shared" si="21"/>
        <v>9</v>
      </c>
      <c r="J94" s="117">
        <v>5</v>
      </c>
      <c r="K94" s="118">
        <f>'Monitoramento Acumulado Geral'!P94</f>
        <v>0</v>
      </c>
      <c r="L94" s="100">
        <f>$L86+L93</f>
        <v>3.7499999999999996</v>
      </c>
      <c r="M94" s="100">
        <f t="shared" si="26"/>
        <v>1</v>
      </c>
      <c r="N94" s="115"/>
      <c r="O94" s="116" t="e">
        <f t="shared" si="23"/>
        <v>#DIV/0!</v>
      </c>
      <c r="P94" s="115"/>
      <c r="Q94" s="116" t="e">
        <f t="shared" si="24"/>
        <v>#DIV/0!</v>
      </c>
      <c r="R94" s="115"/>
      <c r="S94" s="100" t="e">
        <f t="shared" si="25"/>
        <v>#DIV/0!</v>
      </c>
    </row>
    <row r="95" spans="1:19" ht="15" x14ac:dyDescent="0.2">
      <c r="A95" s="114" t="s">
        <v>62</v>
      </c>
      <c r="B95" s="100" t="s">
        <v>160</v>
      </c>
      <c r="C95" s="115">
        <v>9000</v>
      </c>
      <c r="D95" s="100">
        <f>(C95/12)*10</f>
        <v>7500</v>
      </c>
      <c r="E95" s="103">
        <f>'Monitoramento Acumulado Geral'!Q95</f>
        <v>0</v>
      </c>
      <c r="F95" s="100">
        <f>SUM(E86:E95)</f>
        <v>600</v>
      </c>
      <c r="G95" s="102" t="str">
        <f t="shared" si="22"/>
        <v>Farol Vermelho</v>
      </c>
      <c r="H95" s="116">
        <f t="shared" si="20"/>
        <v>6900</v>
      </c>
      <c r="I95" s="100">
        <f t="shared" si="21"/>
        <v>10</v>
      </c>
      <c r="J95" s="117">
        <v>5</v>
      </c>
      <c r="K95" s="118">
        <f>'Monitoramento Acumulado Geral'!P95</f>
        <v>0</v>
      </c>
      <c r="L95" s="100">
        <f>$L86+L94</f>
        <v>4.1666666666666661</v>
      </c>
      <c r="M95" s="100">
        <f t="shared" si="26"/>
        <v>1</v>
      </c>
      <c r="N95" s="115"/>
      <c r="O95" s="116" t="e">
        <f t="shared" si="23"/>
        <v>#DIV/0!</v>
      </c>
      <c r="P95" s="115"/>
      <c r="Q95" s="116" t="e">
        <f t="shared" si="24"/>
        <v>#DIV/0!</v>
      </c>
      <c r="R95" s="115"/>
      <c r="S95" s="100" t="e">
        <f t="shared" si="25"/>
        <v>#DIV/0!</v>
      </c>
    </row>
    <row r="96" spans="1:19" ht="15" x14ac:dyDescent="0.2">
      <c r="A96" s="114" t="s">
        <v>62</v>
      </c>
      <c r="B96" s="100" t="s">
        <v>161</v>
      </c>
      <c r="C96" s="115">
        <v>9000</v>
      </c>
      <c r="D96" s="100">
        <f>(C96/12)*11</f>
        <v>8250</v>
      </c>
      <c r="E96" s="103">
        <f>'Monitoramento Acumulado Geral'!Q96</f>
        <v>0</v>
      </c>
      <c r="F96" s="100">
        <f>SUM(E86:E96)</f>
        <v>600</v>
      </c>
      <c r="G96" s="102" t="str">
        <f t="shared" si="22"/>
        <v>Farol Vermelho</v>
      </c>
      <c r="H96" s="116">
        <f t="shared" si="20"/>
        <v>7650</v>
      </c>
      <c r="I96" s="100">
        <f t="shared" si="21"/>
        <v>11</v>
      </c>
      <c r="J96" s="117">
        <v>5</v>
      </c>
      <c r="K96" s="118">
        <f>'Monitoramento Acumulado Geral'!P96</f>
        <v>0</v>
      </c>
      <c r="L96" s="100">
        <f>L86+L95</f>
        <v>4.583333333333333</v>
      </c>
      <c r="M96" s="100">
        <f t="shared" si="26"/>
        <v>1</v>
      </c>
      <c r="N96" s="115"/>
      <c r="O96" s="116" t="e">
        <f t="shared" si="23"/>
        <v>#DIV/0!</v>
      </c>
      <c r="P96" s="115"/>
      <c r="Q96" s="116" t="e">
        <f t="shared" si="24"/>
        <v>#DIV/0!</v>
      </c>
      <c r="R96" s="115"/>
      <c r="S96" s="100" t="e">
        <f t="shared" si="25"/>
        <v>#DIV/0!</v>
      </c>
    </row>
    <row r="97" spans="1:19" ht="15" x14ac:dyDescent="0.2">
      <c r="A97" s="114" t="s">
        <v>62</v>
      </c>
      <c r="B97" s="100" t="s">
        <v>162</v>
      </c>
      <c r="C97" s="115">
        <v>9000</v>
      </c>
      <c r="D97" s="100">
        <f>(C97/12)*12</f>
        <v>9000</v>
      </c>
      <c r="E97" s="103">
        <f>'Monitoramento Acumulado Geral'!Q97</f>
        <v>0</v>
      </c>
      <c r="F97" s="100">
        <f>SUM(E86:E97)</f>
        <v>600</v>
      </c>
      <c r="G97" s="102" t="str">
        <f t="shared" si="22"/>
        <v>Farol Vermelho</v>
      </c>
      <c r="H97" s="116">
        <f t="shared" si="20"/>
        <v>8400</v>
      </c>
      <c r="I97" s="100">
        <f t="shared" si="21"/>
        <v>12</v>
      </c>
      <c r="J97" s="117">
        <v>5</v>
      </c>
      <c r="K97" s="118">
        <f>'Monitoramento Acumulado Geral'!P97</f>
        <v>0</v>
      </c>
      <c r="L97" s="100">
        <f>$L86+L96</f>
        <v>5</v>
      </c>
      <c r="M97" s="100">
        <f t="shared" si="26"/>
        <v>1</v>
      </c>
      <c r="N97" s="115"/>
      <c r="O97" s="116" t="e">
        <f t="shared" si="23"/>
        <v>#DIV/0!</v>
      </c>
      <c r="P97" s="115"/>
      <c r="Q97" s="116" t="e">
        <f t="shared" si="24"/>
        <v>#DIV/0!</v>
      </c>
      <c r="R97" s="115"/>
      <c r="S97" s="100" t="e">
        <f t="shared" si="25"/>
        <v>#DIV/0!</v>
      </c>
    </row>
    <row r="98" spans="1:19" ht="15" x14ac:dyDescent="0.2">
      <c r="A98" s="114" t="s">
        <v>114</v>
      </c>
      <c r="B98" s="100" t="s">
        <v>151</v>
      </c>
      <c r="C98" s="115">
        <v>100000</v>
      </c>
      <c r="D98" s="100">
        <f>(C98/12)*1</f>
        <v>8333.3333333333339</v>
      </c>
      <c r="E98" s="103">
        <f>'Monitoramento Acumulado Geral'!Q98</f>
        <v>0</v>
      </c>
      <c r="F98" s="100">
        <f>E98</f>
        <v>0</v>
      </c>
      <c r="G98" s="102" t="str">
        <f t="shared" si="22"/>
        <v>Farol Vermelho</v>
      </c>
      <c r="H98" s="116">
        <f t="shared" si="20"/>
        <v>8333.3333333333339</v>
      </c>
      <c r="I98" s="100">
        <f t="shared" si="21"/>
        <v>1</v>
      </c>
      <c r="J98" s="117">
        <v>15</v>
      </c>
      <c r="K98" s="118">
        <f>'Monitoramento Acumulado Geral'!P98</f>
        <v>0</v>
      </c>
      <c r="L98" s="100">
        <f>J98/12</f>
        <v>1.25</v>
      </c>
      <c r="M98" s="100">
        <f>K98</f>
        <v>0</v>
      </c>
      <c r="N98" s="115">
        <v>0</v>
      </c>
      <c r="O98" s="116" t="e">
        <f t="shared" si="23"/>
        <v>#DIV/0!</v>
      </c>
      <c r="P98" s="115">
        <v>0</v>
      </c>
      <c r="Q98" s="116" t="e">
        <f t="shared" si="24"/>
        <v>#DIV/0!</v>
      </c>
      <c r="R98" s="115">
        <v>0</v>
      </c>
      <c r="S98" s="100" t="e">
        <f t="shared" si="25"/>
        <v>#DIV/0!</v>
      </c>
    </row>
    <row r="99" spans="1:19" ht="15" x14ac:dyDescent="0.2">
      <c r="A99" s="114" t="s">
        <v>114</v>
      </c>
      <c r="B99" s="100" t="s">
        <v>152</v>
      </c>
      <c r="C99" s="115">
        <v>100000</v>
      </c>
      <c r="D99" s="100">
        <f>(C99/12)*2</f>
        <v>16666.666666666668</v>
      </c>
      <c r="E99" s="103">
        <f>'Monitoramento Acumulado Geral'!Q99</f>
        <v>4750</v>
      </c>
      <c r="F99" s="100">
        <f>SUM(E98:E99)</f>
        <v>4750</v>
      </c>
      <c r="G99" s="102" t="str">
        <f t="shared" si="22"/>
        <v>Farol Vermelho</v>
      </c>
      <c r="H99" s="116">
        <f t="shared" si="20"/>
        <v>11916.666666666668</v>
      </c>
      <c r="I99" s="100">
        <f t="shared" si="21"/>
        <v>2</v>
      </c>
      <c r="J99" s="117">
        <v>15</v>
      </c>
      <c r="K99" s="118">
        <f>'Monitoramento Acumulado Geral'!P99</f>
        <v>2</v>
      </c>
      <c r="L99" s="100">
        <f>L98+L98</f>
        <v>2.5</v>
      </c>
      <c r="M99" s="100">
        <f>M98+K99</f>
        <v>2</v>
      </c>
      <c r="N99" s="115">
        <v>0</v>
      </c>
      <c r="O99" s="116" t="e">
        <f t="shared" si="23"/>
        <v>#DIV/0!</v>
      </c>
      <c r="P99" s="115">
        <v>0</v>
      </c>
      <c r="Q99" s="116" t="e">
        <f t="shared" si="24"/>
        <v>#DIV/0!</v>
      </c>
      <c r="R99" s="115">
        <v>0</v>
      </c>
      <c r="S99" s="100" t="e">
        <f t="shared" si="25"/>
        <v>#DIV/0!</v>
      </c>
    </row>
    <row r="100" spans="1:19" ht="15" x14ac:dyDescent="0.2">
      <c r="A100" s="114" t="s">
        <v>114</v>
      </c>
      <c r="B100" s="100" t="s">
        <v>153</v>
      </c>
      <c r="C100" s="115">
        <v>100000</v>
      </c>
      <c r="D100" s="100">
        <f>(C100/12)*3</f>
        <v>25000</v>
      </c>
      <c r="E100" s="103">
        <f>'Monitoramento Acumulado Geral'!Q100</f>
        <v>0</v>
      </c>
      <c r="F100" s="100">
        <f>SUM(E98:E100)</f>
        <v>4750</v>
      </c>
      <c r="G100" s="102" t="str">
        <f t="shared" si="22"/>
        <v>Farol Vermelho</v>
      </c>
      <c r="H100" s="116">
        <f t="shared" si="20"/>
        <v>20250</v>
      </c>
      <c r="I100" s="100">
        <f t="shared" si="21"/>
        <v>3</v>
      </c>
      <c r="J100" s="117">
        <v>15</v>
      </c>
      <c r="K100" s="118">
        <f>'Monitoramento Acumulado Geral'!P100</f>
        <v>0</v>
      </c>
      <c r="L100" s="100">
        <f>$L98+L99</f>
        <v>3.75</v>
      </c>
      <c r="M100" s="100">
        <f t="shared" ref="M100:M109" si="27">M99+K100</f>
        <v>2</v>
      </c>
      <c r="N100" s="115">
        <v>0</v>
      </c>
      <c r="O100" s="116" t="e">
        <f t="shared" si="23"/>
        <v>#DIV/0!</v>
      </c>
      <c r="P100" s="115">
        <v>0</v>
      </c>
      <c r="Q100" s="116" t="e">
        <f t="shared" si="24"/>
        <v>#DIV/0!</v>
      </c>
      <c r="R100" s="115">
        <v>0</v>
      </c>
      <c r="S100" s="100" t="e">
        <f t="shared" si="25"/>
        <v>#DIV/0!</v>
      </c>
    </row>
    <row r="101" spans="1:19" ht="15" x14ac:dyDescent="0.2">
      <c r="A101" s="114" t="s">
        <v>114</v>
      </c>
      <c r="B101" s="100" t="s">
        <v>154</v>
      </c>
      <c r="C101" s="115">
        <v>100000</v>
      </c>
      <c r="D101" s="100">
        <f>(C101/12)*4</f>
        <v>33333.333333333336</v>
      </c>
      <c r="E101" s="103">
        <f>'Monitoramento Acumulado Geral'!Q101</f>
        <v>0</v>
      </c>
      <c r="F101" s="100">
        <f>SUM(E98:E101)</f>
        <v>4750</v>
      </c>
      <c r="G101" s="102" t="str">
        <f t="shared" si="22"/>
        <v>Farol Vermelho</v>
      </c>
      <c r="H101" s="116">
        <f t="shared" si="20"/>
        <v>28583.333333333336</v>
      </c>
      <c r="I101" s="100">
        <f t="shared" si="21"/>
        <v>4</v>
      </c>
      <c r="J101" s="117">
        <v>15</v>
      </c>
      <c r="K101" s="118">
        <f>'Monitoramento Acumulado Geral'!P101</f>
        <v>0</v>
      </c>
      <c r="L101" s="100">
        <f>$L98+L100</f>
        <v>5</v>
      </c>
      <c r="M101" s="100">
        <f t="shared" si="27"/>
        <v>2</v>
      </c>
      <c r="N101" s="115">
        <v>0</v>
      </c>
      <c r="O101" s="116" t="e">
        <f t="shared" si="23"/>
        <v>#DIV/0!</v>
      </c>
      <c r="P101" s="115">
        <v>0</v>
      </c>
      <c r="Q101" s="116" t="e">
        <f t="shared" si="24"/>
        <v>#DIV/0!</v>
      </c>
      <c r="R101" s="115">
        <v>0</v>
      </c>
      <c r="S101" s="100" t="e">
        <f t="shared" si="25"/>
        <v>#DIV/0!</v>
      </c>
    </row>
    <row r="102" spans="1:19" ht="15" x14ac:dyDescent="0.2">
      <c r="A102" s="114" t="s">
        <v>114</v>
      </c>
      <c r="B102" s="100" t="s">
        <v>155</v>
      </c>
      <c r="C102" s="115">
        <v>100000</v>
      </c>
      <c r="D102" s="100">
        <f>(C102/12)*5</f>
        <v>41666.666666666672</v>
      </c>
      <c r="E102" s="103">
        <f>'Monitoramento Acumulado Geral'!Q102</f>
        <v>14306.91</v>
      </c>
      <c r="F102" s="100">
        <f>SUM(E98:E102)</f>
        <v>19056.91</v>
      </c>
      <c r="G102" s="102" t="str">
        <f t="shared" si="22"/>
        <v>Farol Vermelho</v>
      </c>
      <c r="H102" s="116">
        <f t="shared" si="20"/>
        <v>22609.756666666672</v>
      </c>
      <c r="I102" s="100">
        <f t="shared" si="21"/>
        <v>5</v>
      </c>
      <c r="J102" s="117">
        <v>15</v>
      </c>
      <c r="K102" s="118">
        <f>'Monitoramento Acumulado Geral'!P102</f>
        <v>5</v>
      </c>
      <c r="L102" s="100">
        <f>L98+L101</f>
        <v>6.25</v>
      </c>
      <c r="M102" s="100">
        <f t="shared" si="27"/>
        <v>7</v>
      </c>
      <c r="N102" s="115">
        <v>0</v>
      </c>
      <c r="O102" s="116" t="e">
        <f t="shared" si="23"/>
        <v>#DIV/0!</v>
      </c>
      <c r="P102" s="115">
        <v>0</v>
      </c>
      <c r="Q102" s="116" t="e">
        <f t="shared" si="24"/>
        <v>#DIV/0!</v>
      </c>
      <c r="R102" s="115">
        <v>0</v>
      </c>
      <c r="S102" s="100" t="e">
        <f t="shared" si="25"/>
        <v>#DIV/0!</v>
      </c>
    </row>
    <row r="103" spans="1:19" ht="15" x14ac:dyDescent="0.2">
      <c r="A103" s="114" t="s">
        <v>114</v>
      </c>
      <c r="B103" s="100" t="s">
        <v>156</v>
      </c>
      <c r="C103" s="115">
        <v>100000</v>
      </c>
      <c r="D103" s="100">
        <f>(C103/12)*6</f>
        <v>50000</v>
      </c>
      <c r="E103" s="103">
        <f>'Monitoramento Acumulado Geral'!Q103</f>
        <v>37297.32</v>
      </c>
      <c r="F103" s="100">
        <f>SUM(E98:E103)</f>
        <v>56354.229999999996</v>
      </c>
      <c r="G103" s="102" t="str">
        <f t="shared" si="22"/>
        <v>Farol Verde</v>
      </c>
      <c r="H103" s="116">
        <f t="shared" si="20"/>
        <v>0</v>
      </c>
      <c r="I103" s="100">
        <f t="shared" si="21"/>
        <v>6</v>
      </c>
      <c r="J103" s="117">
        <v>15</v>
      </c>
      <c r="K103" s="118">
        <f>'Monitoramento Acumulado Geral'!P103</f>
        <v>7</v>
      </c>
      <c r="L103" s="100">
        <f>$L98+L102</f>
        <v>7.5</v>
      </c>
      <c r="M103" s="100">
        <f t="shared" si="27"/>
        <v>14</v>
      </c>
      <c r="N103" s="115">
        <v>99</v>
      </c>
      <c r="O103" s="116">
        <f t="shared" si="23"/>
        <v>0.20202020202020202</v>
      </c>
      <c r="P103" s="115">
        <v>20</v>
      </c>
      <c r="Q103" s="116">
        <f t="shared" si="24"/>
        <v>0.25</v>
      </c>
      <c r="R103" s="115">
        <v>5</v>
      </c>
      <c r="S103" s="100">
        <f t="shared" si="25"/>
        <v>5.0505050505050504E-2</v>
      </c>
    </row>
    <row r="104" spans="1:19" ht="15" x14ac:dyDescent="0.2">
      <c r="A104" s="114" t="s">
        <v>114</v>
      </c>
      <c r="B104" s="100" t="s">
        <v>157</v>
      </c>
      <c r="C104" s="115">
        <v>100000</v>
      </c>
      <c r="D104" s="100">
        <f>(C104/12)*7</f>
        <v>58333.333333333336</v>
      </c>
      <c r="E104" s="103">
        <f>'Monitoramento Acumulado Geral'!Q104</f>
        <v>14600</v>
      </c>
      <c r="F104" s="100">
        <f>SUM(E98:E104)</f>
        <v>70954.23</v>
      </c>
      <c r="G104" s="102" t="str">
        <f t="shared" si="22"/>
        <v>Farol Verde</v>
      </c>
      <c r="H104" s="116">
        <f t="shared" si="20"/>
        <v>0</v>
      </c>
      <c r="I104" s="100">
        <f t="shared" si="21"/>
        <v>7</v>
      </c>
      <c r="J104" s="117">
        <v>15</v>
      </c>
      <c r="K104" s="118">
        <f>'Monitoramento Acumulado Geral'!P104</f>
        <v>1</v>
      </c>
      <c r="L104" s="100">
        <f>$L98+L103</f>
        <v>8.75</v>
      </c>
      <c r="M104" s="100">
        <f t="shared" si="27"/>
        <v>15</v>
      </c>
      <c r="N104" s="115"/>
      <c r="O104" s="116" t="e">
        <f t="shared" si="23"/>
        <v>#DIV/0!</v>
      </c>
      <c r="P104" s="115"/>
      <c r="Q104" s="116" t="e">
        <f t="shared" si="24"/>
        <v>#DIV/0!</v>
      </c>
      <c r="R104" s="115"/>
      <c r="S104" s="100" t="e">
        <f t="shared" si="25"/>
        <v>#DIV/0!</v>
      </c>
    </row>
    <row r="105" spans="1:19" ht="15" x14ac:dyDescent="0.2">
      <c r="A105" s="114" t="s">
        <v>114</v>
      </c>
      <c r="B105" s="100" t="s">
        <v>158</v>
      </c>
      <c r="C105" s="115">
        <v>100000</v>
      </c>
      <c r="D105" s="100">
        <f>(C105/12)*8</f>
        <v>66666.666666666672</v>
      </c>
      <c r="E105" s="103">
        <f>'Monitoramento Acumulado Geral'!Q105</f>
        <v>14200</v>
      </c>
      <c r="F105" s="100">
        <f>SUM(E98:E105)</f>
        <v>85154.23</v>
      </c>
      <c r="G105" s="102" t="str">
        <f t="shared" si="22"/>
        <v>Farol Verde</v>
      </c>
      <c r="H105" s="116">
        <f t="shared" si="20"/>
        <v>0</v>
      </c>
      <c r="I105" s="100">
        <f t="shared" si="21"/>
        <v>8</v>
      </c>
      <c r="J105" s="117">
        <v>15</v>
      </c>
      <c r="K105" s="118">
        <f>'Monitoramento Acumulado Geral'!P105</f>
        <v>3</v>
      </c>
      <c r="L105" s="100">
        <f>L98+L104</f>
        <v>10</v>
      </c>
      <c r="M105" s="100">
        <f t="shared" si="27"/>
        <v>18</v>
      </c>
      <c r="N105" s="115"/>
      <c r="O105" s="116" t="e">
        <f t="shared" si="23"/>
        <v>#DIV/0!</v>
      </c>
      <c r="P105" s="115"/>
      <c r="Q105" s="116" t="e">
        <f t="shared" si="24"/>
        <v>#DIV/0!</v>
      </c>
      <c r="R105" s="115"/>
      <c r="S105" s="100" t="e">
        <f t="shared" si="25"/>
        <v>#DIV/0!</v>
      </c>
    </row>
    <row r="106" spans="1:19" ht="15" x14ac:dyDescent="0.2">
      <c r="A106" s="114" t="s">
        <v>114</v>
      </c>
      <c r="B106" s="100" t="s">
        <v>159</v>
      </c>
      <c r="C106" s="115">
        <v>100000</v>
      </c>
      <c r="D106" s="100">
        <f>(C106/12)*9</f>
        <v>75000</v>
      </c>
      <c r="E106" s="103">
        <f>'Monitoramento Acumulado Geral'!Q106</f>
        <v>33500</v>
      </c>
      <c r="F106" s="100">
        <f>SUM(E98:E106)</f>
        <v>118654.23</v>
      </c>
      <c r="G106" s="102" t="str">
        <f t="shared" si="22"/>
        <v>Farol Verde</v>
      </c>
      <c r="H106" s="116">
        <f t="shared" si="20"/>
        <v>0</v>
      </c>
      <c r="I106" s="100">
        <f t="shared" si="21"/>
        <v>9</v>
      </c>
      <c r="J106" s="117">
        <v>15</v>
      </c>
      <c r="K106" s="118">
        <f>'Monitoramento Acumulado Geral'!P106</f>
        <v>6</v>
      </c>
      <c r="L106" s="100">
        <f>$L98+L105</f>
        <v>11.25</v>
      </c>
      <c r="M106" s="100">
        <f t="shared" si="27"/>
        <v>24</v>
      </c>
      <c r="N106" s="115"/>
      <c r="O106" s="116" t="e">
        <f t="shared" si="23"/>
        <v>#DIV/0!</v>
      </c>
      <c r="P106" s="115"/>
      <c r="Q106" s="116" t="e">
        <f t="shared" si="24"/>
        <v>#DIV/0!</v>
      </c>
      <c r="R106" s="115"/>
      <c r="S106" s="100" t="e">
        <f t="shared" si="25"/>
        <v>#DIV/0!</v>
      </c>
    </row>
    <row r="107" spans="1:19" ht="15" x14ac:dyDescent="0.2">
      <c r="A107" s="114" t="s">
        <v>114</v>
      </c>
      <c r="B107" s="100" t="s">
        <v>160</v>
      </c>
      <c r="C107" s="115">
        <v>100000</v>
      </c>
      <c r="D107" s="100">
        <f>(C107/12)*10</f>
        <v>83333.333333333343</v>
      </c>
      <c r="E107" s="103">
        <f>'Monitoramento Acumulado Geral'!Q107</f>
        <v>0</v>
      </c>
      <c r="F107" s="100">
        <f>SUM(E98:E107)</f>
        <v>118654.23</v>
      </c>
      <c r="G107" s="102" t="str">
        <f t="shared" si="22"/>
        <v>Farol Verde</v>
      </c>
      <c r="H107" s="116">
        <f t="shared" si="20"/>
        <v>0</v>
      </c>
      <c r="I107" s="100">
        <f t="shared" si="21"/>
        <v>10</v>
      </c>
      <c r="J107" s="117">
        <v>15</v>
      </c>
      <c r="K107" s="118">
        <f>'Monitoramento Acumulado Geral'!P107</f>
        <v>0</v>
      </c>
      <c r="L107" s="100">
        <f>$L98+L106</f>
        <v>12.5</v>
      </c>
      <c r="M107" s="100">
        <f t="shared" si="27"/>
        <v>24</v>
      </c>
      <c r="N107" s="115"/>
      <c r="O107" s="116" t="e">
        <f t="shared" si="23"/>
        <v>#DIV/0!</v>
      </c>
      <c r="P107" s="115"/>
      <c r="Q107" s="116" t="e">
        <f t="shared" si="24"/>
        <v>#DIV/0!</v>
      </c>
      <c r="R107" s="115"/>
      <c r="S107" s="100" t="e">
        <f t="shared" si="25"/>
        <v>#DIV/0!</v>
      </c>
    </row>
    <row r="108" spans="1:19" ht="15" x14ac:dyDescent="0.2">
      <c r="A108" s="114" t="s">
        <v>114</v>
      </c>
      <c r="B108" s="100" t="s">
        <v>161</v>
      </c>
      <c r="C108" s="115">
        <v>100000</v>
      </c>
      <c r="D108" s="100">
        <f>(C108/12)*11</f>
        <v>91666.666666666672</v>
      </c>
      <c r="E108" s="103">
        <f>'Monitoramento Acumulado Geral'!Q108</f>
        <v>0</v>
      </c>
      <c r="F108" s="100">
        <f>SUM(E98:E108)</f>
        <v>118654.23</v>
      </c>
      <c r="G108" s="102" t="str">
        <f t="shared" si="22"/>
        <v>Farol Verde</v>
      </c>
      <c r="H108" s="116">
        <f t="shared" si="20"/>
        <v>0</v>
      </c>
      <c r="I108" s="100">
        <f t="shared" si="21"/>
        <v>11</v>
      </c>
      <c r="J108" s="117">
        <v>15</v>
      </c>
      <c r="K108" s="118">
        <f>'Monitoramento Acumulado Geral'!P108</f>
        <v>0</v>
      </c>
      <c r="L108" s="100">
        <f>L98+L107</f>
        <v>13.75</v>
      </c>
      <c r="M108" s="100">
        <f t="shared" si="27"/>
        <v>24</v>
      </c>
      <c r="N108" s="115"/>
      <c r="O108" s="116" t="e">
        <f t="shared" si="23"/>
        <v>#DIV/0!</v>
      </c>
      <c r="P108" s="115"/>
      <c r="Q108" s="116" t="e">
        <f t="shared" si="24"/>
        <v>#DIV/0!</v>
      </c>
      <c r="R108" s="115"/>
      <c r="S108" s="100" t="e">
        <f t="shared" si="25"/>
        <v>#DIV/0!</v>
      </c>
    </row>
    <row r="109" spans="1:19" ht="15" x14ac:dyDescent="0.2">
      <c r="A109" s="114" t="s">
        <v>114</v>
      </c>
      <c r="B109" s="100" t="s">
        <v>162</v>
      </c>
      <c r="C109" s="115">
        <v>100000</v>
      </c>
      <c r="D109" s="100">
        <f>(C109/12)*12</f>
        <v>100000</v>
      </c>
      <c r="E109" s="103">
        <f>'Monitoramento Acumulado Geral'!Q109</f>
        <v>0</v>
      </c>
      <c r="F109" s="100">
        <f>SUM(E98:E109)</f>
        <v>118654.23</v>
      </c>
      <c r="G109" s="102" t="str">
        <f t="shared" si="22"/>
        <v>Farol Verde</v>
      </c>
      <c r="H109" s="116">
        <f t="shared" si="20"/>
        <v>0</v>
      </c>
      <c r="I109" s="100">
        <f t="shared" si="21"/>
        <v>12</v>
      </c>
      <c r="J109" s="117">
        <v>15</v>
      </c>
      <c r="K109" s="118">
        <f>'Monitoramento Acumulado Geral'!P109</f>
        <v>0</v>
      </c>
      <c r="L109" s="100">
        <f>$L98+L108</f>
        <v>15</v>
      </c>
      <c r="M109" s="100">
        <f t="shared" si="27"/>
        <v>24</v>
      </c>
      <c r="N109" s="115"/>
      <c r="O109" s="116" t="e">
        <f t="shared" si="23"/>
        <v>#DIV/0!</v>
      </c>
      <c r="P109" s="115"/>
      <c r="Q109" s="116" t="e">
        <f t="shared" si="24"/>
        <v>#DIV/0!</v>
      </c>
      <c r="R109" s="115"/>
      <c r="S109" s="100" t="e">
        <f t="shared" si="25"/>
        <v>#DIV/0!</v>
      </c>
    </row>
    <row r="110" spans="1:19" ht="15" x14ac:dyDescent="0.2">
      <c r="A110" s="114" t="s">
        <v>47</v>
      </c>
      <c r="B110" s="100" t="s">
        <v>151</v>
      </c>
      <c r="C110" s="115">
        <v>27305.1</v>
      </c>
      <c r="D110" s="100">
        <f>(C110/12)*1</f>
        <v>2275.4249999999997</v>
      </c>
      <c r="E110" s="103">
        <f>'Monitoramento Acumulado Geral'!Q110</f>
        <v>2880</v>
      </c>
      <c r="F110" s="100">
        <f>E110</f>
        <v>2880</v>
      </c>
      <c r="G110" s="102" t="str">
        <f t="shared" si="22"/>
        <v>Farol Verde</v>
      </c>
      <c r="H110" s="116">
        <f t="shared" si="20"/>
        <v>0</v>
      </c>
      <c r="I110" s="100">
        <f t="shared" si="21"/>
        <v>1</v>
      </c>
      <c r="J110" s="117">
        <v>100</v>
      </c>
      <c r="K110" s="118">
        <f>'Monitoramento Acumulado Geral'!P110</f>
        <v>9</v>
      </c>
      <c r="L110" s="100">
        <f>J110/12</f>
        <v>8.3333333333333339</v>
      </c>
      <c r="M110" s="100">
        <f>K110</f>
        <v>9</v>
      </c>
      <c r="N110" s="115">
        <v>0</v>
      </c>
      <c r="O110" s="116" t="e">
        <f t="shared" si="23"/>
        <v>#DIV/0!</v>
      </c>
      <c r="P110" s="115">
        <v>0</v>
      </c>
      <c r="Q110" s="116" t="e">
        <f t="shared" si="24"/>
        <v>#DIV/0!</v>
      </c>
      <c r="R110" s="115">
        <v>0</v>
      </c>
      <c r="S110" s="100" t="e">
        <f t="shared" si="25"/>
        <v>#DIV/0!</v>
      </c>
    </row>
    <row r="111" spans="1:19" ht="15" x14ac:dyDescent="0.2">
      <c r="A111" s="114" t="s">
        <v>47</v>
      </c>
      <c r="B111" s="100" t="s">
        <v>152</v>
      </c>
      <c r="C111" s="115">
        <v>27305.1</v>
      </c>
      <c r="D111" s="100">
        <f>(C111/12)*2</f>
        <v>4550.8499999999995</v>
      </c>
      <c r="E111" s="103">
        <f>'Monitoramento Acumulado Geral'!Q111</f>
        <v>3071</v>
      </c>
      <c r="F111" s="100">
        <f>SUM(E110:E111)</f>
        <v>5951</v>
      </c>
      <c r="G111" s="102" t="str">
        <f t="shared" si="22"/>
        <v>Farol Verde</v>
      </c>
      <c r="H111" s="116">
        <f t="shared" si="20"/>
        <v>0</v>
      </c>
      <c r="I111" s="100">
        <f t="shared" si="21"/>
        <v>2</v>
      </c>
      <c r="J111" s="117">
        <v>100</v>
      </c>
      <c r="K111" s="118">
        <f>'Monitoramento Acumulado Geral'!P111</f>
        <v>16</v>
      </c>
      <c r="L111" s="100">
        <f>L110+L110</f>
        <v>16.666666666666668</v>
      </c>
      <c r="M111" s="100">
        <f>M110+K111</f>
        <v>25</v>
      </c>
      <c r="N111" s="115">
        <v>0</v>
      </c>
      <c r="O111" s="116" t="e">
        <f t="shared" si="23"/>
        <v>#DIV/0!</v>
      </c>
      <c r="P111" s="115">
        <v>0</v>
      </c>
      <c r="Q111" s="116" t="e">
        <f t="shared" si="24"/>
        <v>#DIV/0!</v>
      </c>
      <c r="R111" s="115">
        <v>0</v>
      </c>
      <c r="S111" s="100" t="e">
        <f t="shared" si="25"/>
        <v>#DIV/0!</v>
      </c>
    </row>
    <row r="112" spans="1:19" ht="15" x14ac:dyDescent="0.2">
      <c r="A112" s="114" t="s">
        <v>47</v>
      </c>
      <c r="B112" s="100" t="s">
        <v>153</v>
      </c>
      <c r="C112" s="115">
        <v>27305.1</v>
      </c>
      <c r="D112" s="100">
        <f>(C112/12)*3</f>
        <v>6826.2749999999996</v>
      </c>
      <c r="E112" s="103">
        <f>'Monitoramento Acumulado Geral'!Q112</f>
        <v>240</v>
      </c>
      <c r="F112" s="100">
        <f>SUM(E110:E112)</f>
        <v>6191</v>
      </c>
      <c r="G112" s="102" t="str">
        <f t="shared" si="22"/>
        <v>Farol Amarelo</v>
      </c>
      <c r="H112" s="116">
        <f t="shared" si="20"/>
        <v>635.27499999999964</v>
      </c>
      <c r="I112" s="100">
        <f t="shared" si="21"/>
        <v>3</v>
      </c>
      <c r="J112" s="117">
        <v>100</v>
      </c>
      <c r="K112" s="118">
        <f>'Monitoramento Acumulado Geral'!P112</f>
        <v>2</v>
      </c>
      <c r="L112" s="100">
        <f>$L110+L111</f>
        <v>25</v>
      </c>
      <c r="M112" s="100">
        <f t="shared" ref="M112:M121" si="28">M111+K112</f>
        <v>27</v>
      </c>
      <c r="N112" s="115">
        <v>0</v>
      </c>
      <c r="O112" s="116" t="e">
        <f t="shared" si="23"/>
        <v>#DIV/0!</v>
      </c>
      <c r="P112" s="115">
        <v>0</v>
      </c>
      <c r="Q112" s="116" t="e">
        <f t="shared" si="24"/>
        <v>#DIV/0!</v>
      </c>
      <c r="R112" s="115">
        <v>0</v>
      </c>
      <c r="S112" s="100" t="e">
        <f t="shared" si="25"/>
        <v>#DIV/0!</v>
      </c>
    </row>
    <row r="113" spans="1:19" ht="15" x14ac:dyDescent="0.2">
      <c r="A113" s="114" t="s">
        <v>47</v>
      </c>
      <c r="B113" s="100" t="s">
        <v>154</v>
      </c>
      <c r="C113" s="115">
        <v>27305.1</v>
      </c>
      <c r="D113" s="100">
        <f>(C113/12)*4</f>
        <v>9101.6999999999989</v>
      </c>
      <c r="E113" s="103">
        <f>'Monitoramento Acumulado Geral'!Q113</f>
        <v>1425</v>
      </c>
      <c r="F113" s="100">
        <f>SUM(E110:E113)</f>
        <v>7616</v>
      </c>
      <c r="G113" s="102" t="str">
        <f t="shared" si="22"/>
        <v>Farol Vermelho</v>
      </c>
      <c r="H113" s="116">
        <f t="shared" si="20"/>
        <v>1485.6999999999989</v>
      </c>
      <c r="I113" s="100">
        <f t="shared" si="21"/>
        <v>4</v>
      </c>
      <c r="J113" s="117">
        <v>100</v>
      </c>
      <c r="K113" s="118">
        <f>'Monitoramento Acumulado Geral'!P113</f>
        <v>15</v>
      </c>
      <c r="L113" s="100">
        <f>$L110+L112</f>
        <v>33.333333333333336</v>
      </c>
      <c r="M113" s="100">
        <f t="shared" si="28"/>
        <v>42</v>
      </c>
      <c r="N113" s="115">
        <v>0</v>
      </c>
      <c r="O113" s="116" t="e">
        <f t="shared" si="23"/>
        <v>#DIV/0!</v>
      </c>
      <c r="P113" s="115">
        <v>0</v>
      </c>
      <c r="Q113" s="116" t="e">
        <f t="shared" si="24"/>
        <v>#DIV/0!</v>
      </c>
      <c r="R113" s="115">
        <v>0</v>
      </c>
      <c r="S113" s="100" t="e">
        <f t="shared" si="25"/>
        <v>#DIV/0!</v>
      </c>
    </row>
    <row r="114" spans="1:19" ht="15" x14ac:dyDescent="0.2">
      <c r="A114" s="114" t="s">
        <v>47</v>
      </c>
      <c r="B114" s="100" t="s">
        <v>155</v>
      </c>
      <c r="C114" s="115">
        <v>27305.1</v>
      </c>
      <c r="D114" s="100">
        <f>(C114/12)*5</f>
        <v>11377.124999999998</v>
      </c>
      <c r="E114" s="103">
        <f>'Monitoramento Acumulado Geral'!Q114</f>
        <v>2668</v>
      </c>
      <c r="F114" s="100">
        <f>SUM(E110:E114)</f>
        <v>10284</v>
      </c>
      <c r="G114" s="102" t="str">
        <f t="shared" si="22"/>
        <v>Farol Amarelo</v>
      </c>
      <c r="H114" s="116">
        <f t="shared" si="20"/>
        <v>1093.1249999999982</v>
      </c>
      <c r="I114" s="100">
        <f t="shared" si="21"/>
        <v>5</v>
      </c>
      <c r="J114" s="117">
        <v>100</v>
      </c>
      <c r="K114" s="118">
        <f>'Monitoramento Acumulado Geral'!P114</f>
        <v>18</v>
      </c>
      <c r="L114" s="100">
        <f>L110+L113</f>
        <v>41.666666666666671</v>
      </c>
      <c r="M114" s="100">
        <f t="shared" si="28"/>
        <v>60</v>
      </c>
      <c r="N114" s="115">
        <v>0</v>
      </c>
      <c r="O114" s="116" t="e">
        <f t="shared" si="23"/>
        <v>#DIV/0!</v>
      </c>
      <c r="P114" s="115">
        <v>0</v>
      </c>
      <c r="Q114" s="116" t="e">
        <f t="shared" si="24"/>
        <v>#DIV/0!</v>
      </c>
      <c r="R114" s="115">
        <v>0</v>
      </c>
      <c r="S114" s="100" t="e">
        <f t="shared" si="25"/>
        <v>#DIV/0!</v>
      </c>
    </row>
    <row r="115" spans="1:19" ht="15" x14ac:dyDescent="0.2">
      <c r="A115" s="114" t="s">
        <v>47</v>
      </c>
      <c r="B115" s="100" t="s">
        <v>156</v>
      </c>
      <c r="C115" s="115">
        <v>27305.1</v>
      </c>
      <c r="D115" s="100">
        <f>(C115/12)*6</f>
        <v>13652.55</v>
      </c>
      <c r="E115" s="103">
        <f>'Monitoramento Acumulado Geral'!Q115</f>
        <v>1844</v>
      </c>
      <c r="F115" s="100">
        <f>SUM(E110:E115)</f>
        <v>12128</v>
      </c>
      <c r="G115" s="102" t="str">
        <f t="shared" si="22"/>
        <v>Farol Amarelo</v>
      </c>
      <c r="H115" s="116">
        <f t="shared" si="20"/>
        <v>1524.5499999999993</v>
      </c>
      <c r="I115" s="100">
        <f t="shared" si="21"/>
        <v>6</v>
      </c>
      <c r="J115" s="117">
        <v>100</v>
      </c>
      <c r="K115" s="118">
        <f>'Monitoramento Acumulado Geral'!P115</f>
        <v>15</v>
      </c>
      <c r="L115" s="100">
        <f>$L110+L114</f>
        <v>50.000000000000007</v>
      </c>
      <c r="M115" s="100">
        <f t="shared" si="28"/>
        <v>75</v>
      </c>
      <c r="N115" s="115"/>
      <c r="O115" s="116" t="e">
        <f t="shared" si="23"/>
        <v>#DIV/0!</v>
      </c>
      <c r="P115" s="115"/>
      <c r="Q115" s="116" t="e">
        <f t="shared" si="24"/>
        <v>#DIV/0!</v>
      </c>
      <c r="R115" s="115"/>
      <c r="S115" s="100" t="e">
        <f t="shared" si="25"/>
        <v>#DIV/0!</v>
      </c>
    </row>
    <row r="116" spans="1:19" ht="15" x14ac:dyDescent="0.2">
      <c r="A116" s="114" t="s">
        <v>47</v>
      </c>
      <c r="B116" s="100" t="s">
        <v>157</v>
      </c>
      <c r="C116" s="115">
        <v>27305.1</v>
      </c>
      <c r="D116" s="100">
        <f>(C116/12)*7</f>
        <v>15927.974999999999</v>
      </c>
      <c r="E116" s="103">
        <f>'Monitoramento Acumulado Geral'!Q116</f>
        <v>4069.2</v>
      </c>
      <c r="F116" s="100">
        <f>SUM(E110:E116)</f>
        <v>16197.2</v>
      </c>
      <c r="G116" s="102" t="str">
        <f t="shared" si="22"/>
        <v>Farol Verde</v>
      </c>
      <c r="H116" s="116">
        <f t="shared" si="20"/>
        <v>0</v>
      </c>
      <c r="I116" s="100">
        <f t="shared" si="21"/>
        <v>7</v>
      </c>
      <c r="J116" s="117">
        <v>100</v>
      </c>
      <c r="K116" s="118">
        <f>'Monitoramento Acumulado Geral'!P116</f>
        <v>31</v>
      </c>
      <c r="L116" s="100">
        <f>$L110+L115</f>
        <v>58.333333333333343</v>
      </c>
      <c r="M116" s="100">
        <f t="shared" si="28"/>
        <v>106</v>
      </c>
      <c r="N116" s="115"/>
      <c r="O116" s="116" t="e">
        <f t="shared" si="23"/>
        <v>#DIV/0!</v>
      </c>
      <c r="P116" s="115"/>
      <c r="Q116" s="116" t="e">
        <f t="shared" si="24"/>
        <v>#DIV/0!</v>
      </c>
      <c r="R116" s="115"/>
      <c r="S116" s="100" t="e">
        <f t="shared" si="25"/>
        <v>#DIV/0!</v>
      </c>
    </row>
    <row r="117" spans="1:19" ht="15" x14ac:dyDescent="0.2">
      <c r="A117" s="114" t="s">
        <v>47</v>
      </c>
      <c r="B117" s="100" t="s">
        <v>158</v>
      </c>
      <c r="C117" s="115">
        <v>27305.1</v>
      </c>
      <c r="D117" s="100">
        <f>(C117/12)*8</f>
        <v>18203.399999999998</v>
      </c>
      <c r="E117" s="103">
        <f>'Monitoramento Acumulado Geral'!Q117</f>
        <v>4940</v>
      </c>
      <c r="F117" s="100">
        <f>SUM(E110:E117)</f>
        <v>21137.200000000001</v>
      </c>
      <c r="G117" s="102" t="str">
        <f t="shared" si="22"/>
        <v>Farol Verde</v>
      </c>
      <c r="H117" s="116">
        <f t="shared" si="20"/>
        <v>0</v>
      </c>
      <c r="I117" s="100">
        <f t="shared" si="21"/>
        <v>8</v>
      </c>
      <c r="J117" s="117">
        <v>100</v>
      </c>
      <c r="K117" s="118">
        <f>'Monitoramento Acumulado Geral'!P117</f>
        <v>24</v>
      </c>
      <c r="L117" s="100">
        <f>L110+L116</f>
        <v>66.666666666666671</v>
      </c>
      <c r="M117" s="100">
        <f t="shared" si="28"/>
        <v>130</v>
      </c>
      <c r="N117" s="115"/>
      <c r="O117" s="116" t="e">
        <f t="shared" si="23"/>
        <v>#DIV/0!</v>
      </c>
      <c r="P117" s="115"/>
      <c r="Q117" s="116" t="e">
        <f t="shared" si="24"/>
        <v>#DIV/0!</v>
      </c>
      <c r="R117" s="115"/>
      <c r="S117" s="100" t="e">
        <f t="shared" si="25"/>
        <v>#DIV/0!</v>
      </c>
    </row>
    <row r="118" spans="1:19" ht="15" x14ac:dyDescent="0.2">
      <c r="A118" s="114" t="s">
        <v>47</v>
      </c>
      <c r="B118" s="100" t="s">
        <v>159</v>
      </c>
      <c r="C118" s="115">
        <v>27305.1</v>
      </c>
      <c r="D118" s="100">
        <f>(C118/12)*9</f>
        <v>20478.824999999997</v>
      </c>
      <c r="E118" s="103">
        <f>'Monitoramento Acumulado Geral'!Q118</f>
        <v>8184</v>
      </c>
      <c r="F118" s="100">
        <f>SUM(E110:E118)</f>
        <v>29321.200000000001</v>
      </c>
      <c r="G118" s="102" t="str">
        <f t="shared" si="22"/>
        <v>Farol Verde</v>
      </c>
      <c r="H118" s="116">
        <f t="shared" si="20"/>
        <v>0</v>
      </c>
      <c r="I118" s="100">
        <f t="shared" si="21"/>
        <v>9</v>
      </c>
      <c r="J118" s="117">
        <v>100</v>
      </c>
      <c r="K118" s="118">
        <f>'Monitoramento Acumulado Geral'!P118</f>
        <v>77</v>
      </c>
      <c r="L118" s="100">
        <f>$L110+L117</f>
        <v>75</v>
      </c>
      <c r="M118" s="100">
        <f t="shared" si="28"/>
        <v>207</v>
      </c>
      <c r="N118" s="115"/>
      <c r="O118" s="116" t="e">
        <f t="shared" si="23"/>
        <v>#DIV/0!</v>
      </c>
      <c r="P118" s="115"/>
      <c r="Q118" s="116" t="e">
        <f t="shared" si="24"/>
        <v>#DIV/0!</v>
      </c>
      <c r="R118" s="115"/>
      <c r="S118" s="100" t="e">
        <f t="shared" si="25"/>
        <v>#DIV/0!</v>
      </c>
    </row>
    <row r="119" spans="1:19" ht="15" x14ac:dyDescent="0.2">
      <c r="A119" s="114" t="s">
        <v>47</v>
      </c>
      <c r="B119" s="100" t="s">
        <v>160</v>
      </c>
      <c r="C119" s="115">
        <v>27305.1</v>
      </c>
      <c r="D119" s="100">
        <f>(C119/12)*10</f>
        <v>22754.249999999996</v>
      </c>
      <c r="E119" s="103">
        <f>'Monitoramento Acumulado Geral'!Q119</f>
        <v>0</v>
      </c>
      <c r="F119" s="100">
        <f>SUM(E110:E119)</f>
        <v>29321.200000000001</v>
      </c>
      <c r="G119" s="102" t="str">
        <f t="shared" si="22"/>
        <v>Farol Verde</v>
      </c>
      <c r="H119" s="116">
        <f t="shared" si="20"/>
        <v>0</v>
      </c>
      <c r="I119" s="100">
        <f t="shared" si="21"/>
        <v>10</v>
      </c>
      <c r="J119" s="117">
        <v>100</v>
      </c>
      <c r="K119" s="118">
        <f>'Monitoramento Acumulado Geral'!P119</f>
        <v>0</v>
      </c>
      <c r="L119" s="100">
        <f>$L110+L118</f>
        <v>83.333333333333329</v>
      </c>
      <c r="M119" s="100">
        <f t="shared" si="28"/>
        <v>207</v>
      </c>
      <c r="N119" s="115"/>
      <c r="O119" s="116" t="e">
        <f t="shared" si="23"/>
        <v>#DIV/0!</v>
      </c>
      <c r="P119" s="115"/>
      <c r="Q119" s="116" t="e">
        <f t="shared" si="24"/>
        <v>#DIV/0!</v>
      </c>
      <c r="R119" s="115"/>
      <c r="S119" s="100" t="e">
        <f t="shared" si="25"/>
        <v>#DIV/0!</v>
      </c>
    </row>
    <row r="120" spans="1:19" ht="15" x14ac:dyDescent="0.2">
      <c r="A120" s="114" t="s">
        <v>47</v>
      </c>
      <c r="B120" s="100" t="s">
        <v>161</v>
      </c>
      <c r="C120" s="115">
        <v>27305.1</v>
      </c>
      <c r="D120" s="100">
        <f>(C120/12)*11</f>
        <v>25029.674999999996</v>
      </c>
      <c r="E120" s="103">
        <f>'Monitoramento Acumulado Geral'!Q120</f>
        <v>0</v>
      </c>
      <c r="F120" s="100">
        <f>SUM(E110:E120)</f>
        <v>29321.200000000001</v>
      </c>
      <c r="G120" s="102" t="str">
        <f t="shared" si="22"/>
        <v>Farol Verde</v>
      </c>
      <c r="H120" s="116">
        <f t="shared" si="20"/>
        <v>0</v>
      </c>
      <c r="I120" s="100">
        <f t="shared" si="21"/>
        <v>11</v>
      </c>
      <c r="J120" s="117">
        <v>100</v>
      </c>
      <c r="K120" s="118">
        <f>'Monitoramento Acumulado Geral'!P120</f>
        <v>0</v>
      </c>
      <c r="L120" s="100">
        <f>L110+L119</f>
        <v>91.666666666666657</v>
      </c>
      <c r="M120" s="100">
        <f t="shared" si="28"/>
        <v>207</v>
      </c>
      <c r="N120" s="115"/>
      <c r="O120" s="116" t="e">
        <f t="shared" si="23"/>
        <v>#DIV/0!</v>
      </c>
      <c r="P120" s="115"/>
      <c r="Q120" s="116" t="e">
        <f t="shared" si="24"/>
        <v>#DIV/0!</v>
      </c>
      <c r="R120" s="115"/>
      <c r="S120" s="100" t="e">
        <f t="shared" si="25"/>
        <v>#DIV/0!</v>
      </c>
    </row>
    <row r="121" spans="1:19" ht="15" x14ac:dyDescent="0.2">
      <c r="A121" s="114" t="s">
        <v>47</v>
      </c>
      <c r="B121" s="100" t="s">
        <v>162</v>
      </c>
      <c r="C121" s="115">
        <v>27305.1</v>
      </c>
      <c r="D121" s="100">
        <f>(C121/12)*12</f>
        <v>27305.1</v>
      </c>
      <c r="E121" s="103">
        <f>'Monitoramento Acumulado Geral'!Q121</f>
        <v>0</v>
      </c>
      <c r="F121" s="100">
        <f>SUM(E110:E121)</f>
        <v>29321.200000000001</v>
      </c>
      <c r="G121" s="102" t="str">
        <f t="shared" si="22"/>
        <v>Farol Verde</v>
      </c>
      <c r="H121" s="116">
        <f t="shared" si="20"/>
        <v>0</v>
      </c>
      <c r="I121" s="100">
        <f t="shared" si="21"/>
        <v>12</v>
      </c>
      <c r="J121" s="117">
        <v>100</v>
      </c>
      <c r="K121" s="118">
        <f>'Monitoramento Acumulado Geral'!P121</f>
        <v>0</v>
      </c>
      <c r="L121" s="100">
        <f>$L110+L120</f>
        <v>99.999999999999986</v>
      </c>
      <c r="M121" s="100">
        <f t="shared" si="28"/>
        <v>207</v>
      </c>
      <c r="N121" s="115"/>
      <c r="O121" s="116" t="e">
        <f t="shared" si="23"/>
        <v>#DIV/0!</v>
      </c>
      <c r="P121" s="115"/>
      <c r="Q121" s="116" t="e">
        <f t="shared" si="24"/>
        <v>#DIV/0!</v>
      </c>
      <c r="R121" s="115"/>
      <c r="S121" s="100" t="e">
        <f t="shared" si="25"/>
        <v>#DIV/0!</v>
      </c>
    </row>
    <row r="122" spans="1:19" ht="15" x14ac:dyDescent="0.2">
      <c r="A122" s="114" t="s">
        <v>302</v>
      </c>
      <c r="B122" s="100" t="s">
        <v>151</v>
      </c>
      <c r="C122" s="115">
        <v>0</v>
      </c>
      <c r="D122" s="100">
        <f>(C122/12)*1</f>
        <v>0</v>
      </c>
      <c r="E122" s="103">
        <f>'Monitoramento Acumulado Geral'!Q122</f>
        <v>0</v>
      </c>
      <c r="F122" s="100">
        <f>E122</f>
        <v>0</v>
      </c>
      <c r="G122" s="102" t="str">
        <f t="shared" ref="G122:G133" si="29">_xlfn.IFS(F122&gt;D122,"Farol Verde",F122&gt;=D122*0.85,"Farol Amarelo",F122&lt;D122*0.85,"Farol Vermelho","Verdadeiro",0)</f>
        <v>Farol Amarelo</v>
      </c>
      <c r="H122" s="116">
        <f t="shared" ref="H122:H133" si="30">IF(D122-F122&lt;0,0,D122-F122)</f>
        <v>0</v>
      </c>
      <c r="I122" s="100">
        <f t="shared" ref="I122:I133" si="31">_xlfn.IFS(B122="Janeiro",1,B122="Fevereiro",2,B122="Março",3,B122="Abril",4,B122="Maio",5,B122="Junho",6,B122="Julho",7,B122="Agosto",8,B122="Setembro",9,B122="Outubro",10,B122="Novembro",11,B122="Dezembro",12,TRUE,0)</f>
        <v>1</v>
      </c>
      <c r="J122" s="117">
        <v>0</v>
      </c>
      <c r="K122" s="118">
        <f>'Monitoramento Acumulado Geral'!P122</f>
        <v>0</v>
      </c>
      <c r="L122" s="100">
        <f>J122/12</f>
        <v>0</v>
      </c>
      <c r="M122" s="100">
        <f>K122</f>
        <v>0</v>
      </c>
      <c r="N122" s="115">
        <v>0</v>
      </c>
      <c r="O122" s="116" t="e">
        <f t="shared" si="23"/>
        <v>#DIV/0!</v>
      </c>
      <c r="P122" s="115">
        <v>0</v>
      </c>
      <c r="Q122" s="116" t="e">
        <f t="shared" si="24"/>
        <v>#DIV/0!</v>
      </c>
      <c r="R122" s="115">
        <v>0</v>
      </c>
      <c r="S122" s="100" t="e">
        <f t="shared" si="25"/>
        <v>#DIV/0!</v>
      </c>
    </row>
    <row r="123" spans="1:19" ht="15" x14ac:dyDescent="0.2">
      <c r="A123" s="114" t="s">
        <v>302</v>
      </c>
      <c r="B123" s="100" t="s">
        <v>152</v>
      </c>
      <c r="C123" s="115">
        <v>0</v>
      </c>
      <c r="D123" s="100">
        <f>(C123/12)*2</f>
        <v>0</v>
      </c>
      <c r="E123" s="103">
        <f>'Monitoramento Acumulado Geral'!Q123</f>
        <v>0</v>
      </c>
      <c r="F123" s="100">
        <f>SUM(E122:E123)</f>
        <v>0</v>
      </c>
      <c r="G123" s="102" t="str">
        <f t="shared" si="29"/>
        <v>Farol Amarelo</v>
      </c>
      <c r="H123" s="116">
        <f t="shared" si="30"/>
        <v>0</v>
      </c>
      <c r="I123" s="100">
        <f t="shared" si="31"/>
        <v>2</v>
      </c>
      <c r="J123" s="117">
        <v>0</v>
      </c>
      <c r="K123" s="118">
        <f>'Monitoramento Acumulado Geral'!P123</f>
        <v>0</v>
      </c>
      <c r="L123" s="100">
        <f>L122+L122</f>
        <v>0</v>
      </c>
      <c r="M123" s="100">
        <f>M122+K123</f>
        <v>0</v>
      </c>
      <c r="N123" s="115">
        <v>0</v>
      </c>
      <c r="O123" s="116" t="e">
        <f t="shared" si="23"/>
        <v>#DIV/0!</v>
      </c>
      <c r="P123" s="115">
        <v>0</v>
      </c>
      <c r="Q123" s="116" t="e">
        <f t="shared" si="24"/>
        <v>#DIV/0!</v>
      </c>
      <c r="R123" s="115">
        <v>0</v>
      </c>
      <c r="S123" s="100" t="e">
        <f t="shared" si="25"/>
        <v>#DIV/0!</v>
      </c>
    </row>
    <row r="124" spans="1:19" ht="15" x14ac:dyDescent="0.2">
      <c r="A124" s="114" t="s">
        <v>302</v>
      </c>
      <c r="B124" s="100" t="s">
        <v>153</v>
      </c>
      <c r="C124" s="115">
        <v>0</v>
      </c>
      <c r="D124" s="100">
        <f>(C124/12)*3</f>
        <v>0</v>
      </c>
      <c r="E124" s="103">
        <f>'Monitoramento Acumulado Geral'!Q124</f>
        <v>0</v>
      </c>
      <c r="F124" s="100">
        <f>SUM(E122:E124)</f>
        <v>0</v>
      </c>
      <c r="G124" s="102" t="str">
        <f t="shared" si="29"/>
        <v>Farol Amarelo</v>
      </c>
      <c r="H124" s="116">
        <f t="shared" si="30"/>
        <v>0</v>
      </c>
      <c r="I124" s="100">
        <f t="shared" si="31"/>
        <v>3</v>
      </c>
      <c r="J124" s="117">
        <v>0</v>
      </c>
      <c r="K124" s="118">
        <f>'Monitoramento Acumulado Geral'!P124</f>
        <v>0</v>
      </c>
      <c r="L124" s="100">
        <f>$L122+L123</f>
        <v>0</v>
      </c>
      <c r="M124" s="100">
        <f t="shared" ref="M124:M133" si="32">M123+K124</f>
        <v>0</v>
      </c>
      <c r="N124" s="115">
        <v>0</v>
      </c>
      <c r="O124" s="116" t="e">
        <f t="shared" si="23"/>
        <v>#DIV/0!</v>
      </c>
      <c r="P124" s="115">
        <v>0</v>
      </c>
      <c r="Q124" s="116" t="e">
        <f t="shared" si="24"/>
        <v>#DIV/0!</v>
      </c>
      <c r="R124" s="115">
        <v>0</v>
      </c>
      <c r="S124" s="100" t="e">
        <f t="shared" si="25"/>
        <v>#DIV/0!</v>
      </c>
    </row>
    <row r="125" spans="1:19" ht="15" x14ac:dyDescent="0.2">
      <c r="A125" s="114" t="s">
        <v>302</v>
      </c>
      <c r="B125" s="100" t="s">
        <v>154</v>
      </c>
      <c r="C125" s="115">
        <v>0</v>
      </c>
      <c r="D125" s="100">
        <f>(C125/12)*4</f>
        <v>0</v>
      </c>
      <c r="E125" s="103">
        <f>'Monitoramento Acumulado Geral'!Q125</f>
        <v>0</v>
      </c>
      <c r="F125" s="100">
        <f>SUM(E122:E125)</f>
        <v>0</v>
      </c>
      <c r="G125" s="102" t="str">
        <f t="shared" si="29"/>
        <v>Farol Amarelo</v>
      </c>
      <c r="H125" s="116">
        <f t="shared" si="30"/>
        <v>0</v>
      </c>
      <c r="I125" s="100">
        <f t="shared" si="31"/>
        <v>4</v>
      </c>
      <c r="J125" s="117">
        <v>0</v>
      </c>
      <c r="K125" s="118">
        <f>'Monitoramento Acumulado Geral'!P125</f>
        <v>0</v>
      </c>
      <c r="L125" s="100">
        <f>$L122+L124</f>
        <v>0</v>
      </c>
      <c r="M125" s="100">
        <f t="shared" si="32"/>
        <v>0</v>
      </c>
      <c r="N125" s="115">
        <v>0</v>
      </c>
      <c r="O125" s="116" t="e">
        <f t="shared" si="23"/>
        <v>#DIV/0!</v>
      </c>
      <c r="P125" s="115">
        <v>0</v>
      </c>
      <c r="Q125" s="116" t="e">
        <f t="shared" si="24"/>
        <v>#DIV/0!</v>
      </c>
      <c r="R125" s="115">
        <v>0</v>
      </c>
      <c r="S125" s="100" t="e">
        <f t="shared" si="25"/>
        <v>#DIV/0!</v>
      </c>
    </row>
    <row r="126" spans="1:19" ht="15" x14ac:dyDescent="0.2">
      <c r="A126" s="114" t="s">
        <v>302</v>
      </c>
      <c r="B126" s="100" t="s">
        <v>155</v>
      </c>
      <c r="C126" s="115">
        <v>0</v>
      </c>
      <c r="D126" s="100">
        <f>(C126/12)*5</f>
        <v>0</v>
      </c>
      <c r="E126" s="103">
        <f>'Monitoramento Acumulado Geral'!Q126</f>
        <v>0</v>
      </c>
      <c r="F126" s="100">
        <f>SUM(E122:E126)</f>
        <v>0</v>
      </c>
      <c r="G126" s="102" t="str">
        <f t="shared" si="29"/>
        <v>Farol Amarelo</v>
      </c>
      <c r="H126" s="116">
        <f t="shared" si="30"/>
        <v>0</v>
      </c>
      <c r="I126" s="100">
        <f t="shared" si="31"/>
        <v>5</v>
      </c>
      <c r="J126" s="117">
        <v>0</v>
      </c>
      <c r="K126" s="118">
        <f>'Monitoramento Acumulado Geral'!P126</f>
        <v>0</v>
      </c>
      <c r="L126" s="100">
        <f>L122+L125</f>
        <v>0</v>
      </c>
      <c r="M126" s="100">
        <f t="shared" si="32"/>
        <v>0</v>
      </c>
      <c r="N126" s="115">
        <v>0</v>
      </c>
      <c r="O126" s="116" t="e">
        <f t="shared" si="23"/>
        <v>#DIV/0!</v>
      </c>
      <c r="P126" s="115">
        <v>0</v>
      </c>
      <c r="Q126" s="116" t="e">
        <f t="shared" si="24"/>
        <v>#DIV/0!</v>
      </c>
      <c r="R126" s="115">
        <v>0</v>
      </c>
      <c r="S126" s="100" t="e">
        <f t="shared" si="25"/>
        <v>#DIV/0!</v>
      </c>
    </row>
    <row r="127" spans="1:19" ht="15" x14ac:dyDescent="0.2">
      <c r="A127" s="114" t="s">
        <v>302</v>
      </c>
      <c r="B127" s="100" t="s">
        <v>156</v>
      </c>
      <c r="C127" s="115">
        <v>0</v>
      </c>
      <c r="D127" s="100">
        <f>(C127/12)*6</f>
        <v>0</v>
      </c>
      <c r="E127" s="103">
        <f>'Monitoramento Acumulado Geral'!Q127</f>
        <v>0</v>
      </c>
      <c r="F127" s="100">
        <f>SUM(E122:E127)</f>
        <v>0</v>
      </c>
      <c r="G127" s="102" t="str">
        <f t="shared" si="29"/>
        <v>Farol Amarelo</v>
      </c>
      <c r="H127" s="116">
        <f t="shared" si="30"/>
        <v>0</v>
      </c>
      <c r="I127" s="100">
        <f t="shared" si="31"/>
        <v>6</v>
      </c>
      <c r="J127" s="117">
        <v>0</v>
      </c>
      <c r="K127" s="118">
        <f>'Monitoramento Acumulado Geral'!P127</f>
        <v>0</v>
      </c>
      <c r="L127" s="100">
        <f>$L122+L126</f>
        <v>0</v>
      </c>
      <c r="M127" s="100">
        <f t="shared" si="32"/>
        <v>0</v>
      </c>
      <c r="N127" s="115">
        <v>0</v>
      </c>
      <c r="O127" s="116" t="e">
        <f t="shared" si="23"/>
        <v>#DIV/0!</v>
      </c>
      <c r="P127" s="115">
        <v>0</v>
      </c>
      <c r="Q127" s="116" t="e">
        <f t="shared" si="24"/>
        <v>#DIV/0!</v>
      </c>
      <c r="R127" s="115">
        <v>0</v>
      </c>
      <c r="S127" s="100" t="e">
        <f t="shared" si="25"/>
        <v>#DIV/0!</v>
      </c>
    </row>
    <row r="128" spans="1:19" ht="15" x14ac:dyDescent="0.2">
      <c r="A128" s="114" t="s">
        <v>302</v>
      </c>
      <c r="B128" s="100" t="s">
        <v>157</v>
      </c>
      <c r="C128" s="115">
        <v>0</v>
      </c>
      <c r="D128" s="100">
        <f>(C128/12)*7</f>
        <v>0</v>
      </c>
      <c r="E128" s="103">
        <f>'Monitoramento Acumulado Geral'!Q128</f>
        <v>0</v>
      </c>
      <c r="F128" s="100">
        <f>SUM(E122:E128)</f>
        <v>0</v>
      </c>
      <c r="G128" s="102" t="str">
        <f t="shared" si="29"/>
        <v>Farol Amarelo</v>
      </c>
      <c r="H128" s="116">
        <f t="shared" si="30"/>
        <v>0</v>
      </c>
      <c r="I128" s="100">
        <f t="shared" si="31"/>
        <v>7</v>
      </c>
      <c r="J128" s="117">
        <v>0</v>
      </c>
      <c r="K128" s="118">
        <f>'Monitoramento Acumulado Geral'!P128</f>
        <v>0</v>
      </c>
      <c r="L128" s="100">
        <f>$L122+L127</f>
        <v>0</v>
      </c>
      <c r="M128" s="100">
        <f t="shared" si="32"/>
        <v>0</v>
      </c>
      <c r="N128" s="115"/>
      <c r="O128" s="116" t="e">
        <f t="shared" si="23"/>
        <v>#DIV/0!</v>
      </c>
      <c r="P128" s="115"/>
      <c r="Q128" s="116" t="e">
        <f t="shared" si="24"/>
        <v>#DIV/0!</v>
      </c>
      <c r="R128" s="115"/>
      <c r="S128" s="100" t="e">
        <f t="shared" si="25"/>
        <v>#DIV/0!</v>
      </c>
    </row>
    <row r="129" spans="1:19" ht="15" x14ac:dyDescent="0.2">
      <c r="A129" s="114" t="s">
        <v>302</v>
      </c>
      <c r="B129" s="100" t="s">
        <v>158</v>
      </c>
      <c r="C129" s="115">
        <v>0</v>
      </c>
      <c r="D129" s="100">
        <f>(C129/12)*8</f>
        <v>0</v>
      </c>
      <c r="E129" s="103">
        <f>'Monitoramento Acumulado Geral'!Q129</f>
        <v>0</v>
      </c>
      <c r="F129" s="100">
        <f>SUM(E122:E129)</f>
        <v>0</v>
      </c>
      <c r="G129" s="102" t="str">
        <f t="shared" si="29"/>
        <v>Farol Amarelo</v>
      </c>
      <c r="H129" s="116">
        <f t="shared" si="30"/>
        <v>0</v>
      </c>
      <c r="I129" s="100">
        <f t="shared" si="31"/>
        <v>8</v>
      </c>
      <c r="J129" s="117">
        <v>0</v>
      </c>
      <c r="K129" s="118">
        <f>'Monitoramento Acumulado Geral'!P129</f>
        <v>0</v>
      </c>
      <c r="L129" s="100">
        <f>L122+L128</f>
        <v>0</v>
      </c>
      <c r="M129" s="100">
        <f t="shared" si="32"/>
        <v>0</v>
      </c>
      <c r="N129" s="115"/>
      <c r="O129" s="116" t="e">
        <f t="shared" si="23"/>
        <v>#DIV/0!</v>
      </c>
      <c r="P129" s="115"/>
      <c r="Q129" s="116" t="e">
        <f t="shared" si="24"/>
        <v>#DIV/0!</v>
      </c>
      <c r="R129" s="115"/>
      <c r="S129" s="100" t="e">
        <f t="shared" si="25"/>
        <v>#DIV/0!</v>
      </c>
    </row>
    <row r="130" spans="1:19" ht="15" x14ac:dyDescent="0.2">
      <c r="A130" s="114" t="s">
        <v>302</v>
      </c>
      <c r="B130" s="100" t="s">
        <v>159</v>
      </c>
      <c r="C130" s="115">
        <v>0</v>
      </c>
      <c r="D130" s="100">
        <f>(C130/12)*9</f>
        <v>0</v>
      </c>
      <c r="E130" s="103">
        <f>'Monitoramento Acumulado Geral'!Q130</f>
        <v>0</v>
      </c>
      <c r="F130" s="100">
        <f>SUM(E122:E130)</f>
        <v>0</v>
      </c>
      <c r="G130" s="102" t="str">
        <f t="shared" si="29"/>
        <v>Farol Amarelo</v>
      </c>
      <c r="H130" s="116">
        <f t="shared" si="30"/>
        <v>0</v>
      </c>
      <c r="I130" s="100">
        <f t="shared" si="31"/>
        <v>9</v>
      </c>
      <c r="J130" s="117">
        <v>0</v>
      </c>
      <c r="K130" s="118">
        <f>'Monitoramento Acumulado Geral'!P130</f>
        <v>0</v>
      </c>
      <c r="L130" s="100">
        <f>$L122+L129</f>
        <v>0</v>
      </c>
      <c r="M130" s="100">
        <f t="shared" si="32"/>
        <v>0</v>
      </c>
      <c r="N130" s="115"/>
      <c r="O130" s="116" t="e">
        <f t="shared" si="23"/>
        <v>#DIV/0!</v>
      </c>
      <c r="P130" s="115"/>
      <c r="Q130" s="116" t="e">
        <f t="shared" si="24"/>
        <v>#DIV/0!</v>
      </c>
      <c r="R130" s="115"/>
      <c r="S130" s="100" t="e">
        <f t="shared" si="25"/>
        <v>#DIV/0!</v>
      </c>
    </row>
    <row r="131" spans="1:19" ht="15" x14ac:dyDescent="0.2">
      <c r="A131" s="114" t="s">
        <v>302</v>
      </c>
      <c r="B131" s="100" t="s">
        <v>160</v>
      </c>
      <c r="C131" s="115">
        <v>0</v>
      </c>
      <c r="D131" s="100">
        <f>(C131/12)*10</f>
        <v>0</v>
      </c>
      <c r="E131" s="103">
        <f>'Monitoramento Acumulado Geral'!Q131</f>
        <v>0</v>
      </c>
      <c r="F131" s="100">
        <f>SUM(E122:E131)</f>
        <v>0</v>
      </c>
      <c r="G131" s="102" t="str">
        <f t="shared" si="29"/>
        <v>Farol Amarelo</v>
      </c>
      <c r="H131" s="116">
        <f t="shared" si="30"/>
        <v>0</v>
      </c>
      <c r="I131" s="100">
        <f t="shared" si="31"/>
        <v>10</v>
      </c>
      <c r="J131" s="117">
        <v>0</v>
      </c>
      <c r="K131" s="118">
        <f>'Monitoramento Acumulado Geral'!P131</f>
        <v>0</v>
      </c>
      <c r="L131" s="100">
        <f>$L122+L130</f>
        <v>0</v>
      </c>
      <c r="M131" s="100">
        <f t="shared" si="32"/>
        <v>0</v>
      </c>
      <c r="N131" s="115"/>
      <c r="O131" s="116" t="e">
        <f t="shared" si="23"/>
        <v>#DIV/0!</v>
      </c>
      <c r="P131" s="115"/>
      <c r="Q131" s="116" t="e">
        <f t="shared" si="24"/>
        <v>#DIV/0!</v>
      </c>
      <c r="R131" s="115"/>
      <c r="S131" s="100" t="e">
        <f t="shared" si="25"/>
        <v>#DIV/0!</v>
      </c>
    </row>
    <row r="132" spans="1:19" ht="15" x14ac:dyDescent="0.2">
      <c r="A132" s="114" t="s">
        <v>302</v>
      </c>
      <c r="B132" s="100" t="s">
        <v>161</v>
      </c>
      <c r="C132" s="115">
        <v>0</v>
      </c>
      <c r="D132" s="100">
        <f>(C132/12)*11</f>
        <v>0</v>
      </c>
      <c r="E132" s="103">
        <f>'Monitoramento Acumulado Geral'!Q132</f>
        <v>0</v>
      </c>
      <c r="F132" s="100">
        <f>SUM(E122:E132)</f>
        <v>0</v>
      </c>
      <c r="G132" s="102" t="str">
        <f t="shared" si="29"/>
        <v>Farol Amarelo</v>
      </c>
      <c r="H132" s="116">
        <f t="shared" si="30"/>
        <v>0</v>
      </c>
      <c r="I132" s="100">
        <f t="shared" si="31"/>
        <v>11</v>
      </c>
      <c r="J132" s="117">
        <v>0</v>
      </c>
      <c r="K132" s="118">
        <f>'Monitoramento Acumulado Geral'!P132</f>
        <v>0</v>
      </c>
      <c r="L132" s="100">
        <f>L122+L131</f>
        <v>0</v>
      </c>
      <c r="M132" s="100">
        <f t="shared" si="32"/>
        <v>0</v>
      </c>
      <c r="N132" s="115"/>
      <c r="O132" s="116" t="e">
        <f t="shared" si="23"/>
        <v>#DIV/0!</v>
      </c>
      <c r="P132" s="115"/>
      <c r="Q132" s="116" t="e">
        <f t="shared" si="24"/>
        <v>#DIV/0!</v>
      </c>
      <c r="R132" s="115"/>
      <c r="S132" s="100" t="e">
        <f t="shared" si="25"/>
        <v>#DIV/0!</v>
      </c>
    </row>
    <row r="133" spans="1:19" ht="15" x14ac:dyDescent="0.2">
      <c r="A133" s="114" t="s">
        <v>302</v>
      </c>
      <c r="B133" s="100" t="s">
        <v>162</v>
      </c>
      <c r="C133" s="115">
        <v>0</v>
      </c>
      <c r="D133" s="100">
        <f>(C133/12)*12</f>
        <v>0</v>
      </c>
      <c r="E133" s="103">
        <f>'Monitoramento Acumulado Geral'!Q133</f>
        <v>0</v>
      </c>
      <c r="F133" s="100">
        <f>SUM(E122:E133)</f>
        <v>0</v>
      </c>
      <c r="G133" s="102" t="str">
        <f t="shared" si="29"/>
        <v>Farol Amarelo</v>
      </c>
      <c r="H133" s="116">
        <f t="shared" si="30"/>
        <v>0</v>
      </c>
      <c r="I133" s="100">
        <f t="shared" si="31"/>
        <v>12</v>
      </c>
      <c r="J133" s="117">
        <v>0</v>
      </c>
      <c r="K133" s="118">
        <f>'Monitoramento Acumulado Geral'!P133</f>
        <v>0</v>
      </c>
      <c r="L133" s="100">
        <f>$L122+L132</f>
        <v>0</v>
      </c>
      <c r="M133" s="100">
        <f t="shared" si="32"/>
        <v>0</v>
      </c>
      <c r="N133" s="115"/>
      <c r="O133" s="116" t="e">
        <f t="shared" si="23"/>
        <v>#DIV/0!</v>
      </c>
      <c r="P133" s="115"/>
      <c r="Q133" s="116" t="e">
        <f t="shared" si="24"/>
        <v>#DIV/0!</v>
      </c>
      <c r="R133" s="115"/>
      <c r="S133" s="100" t="e">
        <f t="shared" si="25"/>
        <v>#DIV/0!</v>
      </c>
    </row>
    <row r="134" spans="1:19" ht="15" x14ac:dyDescent="0.2">
      <c r="A134" s="114" t="s">
        <v>89</v>
      </c>
      <c r="B134" s="100" t="s">
        <v>151</v>
      </c>
      <c r="C134" s="115">
        <v>26800</v>
      </c>
      <c r="D134" s="100">
        <f>(C134/12)*1</f>
        <v>2233.3333333333335</v>
      </c>
      <c r="E134" s="103">
        <f>'Monitoramento Acumulado Geral'!Q134</f>
        <v>1040</v>
      </c>
      <c r="F134" s="100">
        <f>E134</f>
        <v>1040</v>
      </c>
      <c r="G134" s="102" t="str">
        <f t="shared" si="22"/>
        <v>Farol Vermelho</v>
      </c>
      <c r="H134" s="116">
        <f t="shared" si="20"/>
        <v>1193.3333333333335</v>
      </c>
      <c r="I134" s="100">
        <f t="shared" si="21"/>
        <v>1</v>
      </c>
      <c r="J134" s="117">
        <v>8</v>
      </c>
      <c r="K134" s="118">
        <f>'Monitoramento Acumulado Geral'!P134</f>
        <v>1</v>
      </c>
      <c r="L134" s="100">
        <f>J134/12</f>
        <v>0.66666666666666663</v>
      </c>
      <c r="M134" s="100">
        <f>K134</f>
        <v>1</v>
      </c>
      <c r="N134" s="115">
        <v>0</v>
      </c>
      <c r="O134" s="116" t="e">
        <f t="shared" si="23"/>
        <v>#DIV/0!</v>
      </c>
      <c r="P134" s="115">
        <v>0</v>
      </c>
      <c r="Q134" s="116" t="e">
        <f t="shared" si="24"/>
        <v>#DIV/0!</v>
      </c>
      <c r="R134" s="115">
        <v>0</v>
      </c>
      <c r="S134" s="100" t="e">
        <f t="shared" si="25"/>
        <v>#DIV/0!</v>
      </c>
    </row>
    <row r="135" spans="1:19" ht="15" x14ac:dyDescent="0.2">
      <c r="A135" s="114" t="s">
        <v>89</v>
      </c>
      <c r="B135" s="100" t="s">
        <v>152</v>
      </c>
      <c r="C135" s="115">
        <v>26800</v>
      </c>
      <c r="D135" s="100">
        <f>(C135/12)*2</f>
        <v>4466.666666666667</v>
      </c>
      <c r="E135" s="103">
        <f>'Monitoramento Acumulado Geral'!Q135</f>
        <v>0</v>
      </c>
      <c r="F135" s="100">
        <f>SUM(E134:E135)</f>
        <v>1040</v>
      </c>
      <c r="G135" s="102" t="str">
        <f t="shared" si="22"/>
        <v>Farol Vermelho</v>
      </c>
      <c r="H135" s="116">
        <f t="shared" si="20"/>
        <v>3426.666666666667</v>
      </c>
      <c r="I135" s="100">
        <f t="shared" si="21"/>
        <v>2</v>
      </c>
      <c r="J135" s="117">
        <v>8</v>
      </c>
      <c r="K135" s="118">
        <f>'Monitoramento Acumulado Geral'!P135</f>
        <v>0</v>
      </c>
      <c r="L135" s="100">
        <f>L134+L134</f>
        <v>1.3333333333333333</v>
      </c>
      <c r="M135" s="100">
        <f>M134+K135</f>
        <v>1</v>
      </c>
      <c r="N135" s="115">
        <v>0</v>
      </c>
      <c r="O135" s="116" t="e">
        <f t="shared" si="23"/>
        <v>#DIV/0!</v>
      </c>
      <c r="P135" s="115">
        <v>0</v>
      </c>
      <c r="Q135" s="116" t="e">
        <f t="shared" si="24"/>
        <v>#DIV/0!</v>
      </c>
      <c r="R135" s="115">
        <v>0</v>
      </c>
      <c r="S135" s="100" t="e">
        <f t="shared" si="25"/>
        <v>#DIV/0!</v>
      </c>
    </row>
    <row r="136" spans="1:19" ht="15" x14ac:dyDescent="0.2">
      <c r="A136" s="114" t="s">
        <v>89</v>
      </c>
      <c r="B136" s="100" t="s">
        <v>153</v>
      </c>
      <c r="C136" s="115">
        <v>26800</v>
      </c>
      <c r="D136" s="100">
        <f>(C136/12)*3</f>
        <v>6700</v>
      </c>
      <c r="E136" s="103">
        <f>'Monitoramento Acumulado Geral'!Q136</f>
        <v>0</v>
      </c>
      <c r="F136" s="100">
        <f>SUM(E134:E136)</f>
        <v>1040</v>
      </c>
      <c r="G136" s="102" t="str">
        <f t="shared" si="22"/>
        <v>Farol Vermelho</v>
      </c>
      <c r="H136" s="116">
        <f t="shared" si="20"/>
        <v>5660</v>
      </c>
      <c r="I136" s="100">
        <f t="shared" si="21"/>
        <v>3</v>
      </c>
      <c r="J136" s="117">
        <v>8</v>
      </c>
      <c r="K136" s="118">
        <f>'Monitoramento Acumulado Geral'!P136</f>
        <v>0</v>
      </c>
      <c r="L136" s="100">
        <f>$L134+L135</f>
        <v>2</v>
      </c>
      <c r="M136" s="100">
        <f t="shared" ref="M136:M145" si="33">M135+K136</f>
        <v>1</v>
      </c>
      <c r="N136" s="115">
        <v>0</v>
      </c>
      <c r="O136" s="116" t="e">
        <f t="shared" si="23"/>
        <v>#DIV/0!</v>
      </c>
      <c r="P136" s="115">
        <v>0</v>
      </c>
      <c r="Q136" s="116" t="e">
        <f t="shared" si="24"/>
        <v>#DIV/0!</v>
      </c>
      <c r="R136" s="115">
        <v>0</v>
      </c>
      <c r="S136" s="100" t="e">
        <f t="shared" si="25"/>
        <v>#DIV/0!</v>
      </c>
    </row>
    <row r="137" spans="1:19" ht="15" x14ac:dyDescent="0.2">
      <c r="A137" s="114" t="s">
        <v>89</v>
      </c>
      <c r="B137" s="100" t="s">
        <v>154</v>
      </c>
      <c r="C137" s="115">
        <v>26800</v>
      </c>
      <c r="D137" s="100">
        <f>(C137/12)*4</f>
        <v>8933.3333333333339</v>
      </c>
      <c r="E137" s="103">
        <f>'Monitoramento Acumulado Geral'!Q137</f>
        <v>0</v>
      </c>
      <c r="F137" s="100">
        <f>SUM(E134:E137)</f>
        <v>1040</v>
      </c>
      <c r="G137" s="102" t="str">
        <f t="shared" si="22"/>
        <v>Farol Vermelho</v>
      </c>
      <c r="H137" s="116">
        <f t="shared" si="20"/>
        <v>7893.3333333333339</v>
      </c>
      <c r="I137" s="100">
        <f t="shared" si="21"/>
        <v>4</v>
      </c>
      <c r="J137" s="117">
        <v>8</v>
      </c>
      <c r="K137" s="118">
        <f>'Monitoramento Acumulado Geral'!P137</f>
        <v>0</v>
      </c>
      <c r="L137" s="100">
        <f>$L134+L136</f>
        <v>2.6666666666666665</v>
      </c>
      <c r="M137" s="100">
        <f t="shared" si="33"/>
        <v>1</v>
      </c>
      <c r="N137" s="115">
        <v>0</v>
      </c>
      <c r="O137" s="116" t="e">
        <f t="shared" si="23"/>
        <v>#DIV/0!</v>
      </c>
      <c r="P137" s="115">
        <v>0</v>
      </c>
      <c r="Q137" s="116" t="e">
        <f t="shared" si="24"/>
        <v>#DIV/0!</v>
      </c>
      <c r="R137" s="115">
        <v>0</v>
      </c>
      <c r="S137" s="100" t="e">
        <f t="shared" si="25"/>
        <v>#DIV/0!</v>
      </c>
    </row>
    <row r="138" spans="1:19" ht="15" x14ac:dyDescent="0.2">
      <c r="A138" s="114" t="s">
        <v>89</v>
      </c>
      <c r="B138" s="100" t="s">
        <v>155</v>
      </c>
      <c r="C138" s="115">
        <v>26800</v>
      </c>
      <c r="D138" s="100">
        <f>(C138/12)*5</f>
        <v>11166.666666666668</v>
      </c>
      <c r="E138" s="103">
        <f>'Monitoramento Acumulado Geral'!Q138</f>
        <v>4100</v>
      </c>
      <c r="F138" s="100">
        <f>SUM(E134:E138)</f>
        <v>5140</v>
      </c>
      <c r="G138" s="102" t="str">
        <f t="shared" si="22"/>
        <v>Farol Vermelho</v>
      </c>
      <c r="H138" s="116">
        <f t="shared" si="20"/>
        <v>6026.6666666666679</v>
      </c>
      <c r="I138" s="100">
        <f t="shared" si="21"/>
        <v>5</v>
      </c>
      <c r="J138" s="117">
        <v>8</v>
      </c>
      <c r="K138" s="118">
        <f>'Monitoramento Acumulado Geral'!P138</f>
        <v>2</v>
      </c>
      <c r="L138" s="100">
        <f>L134+L137</f>
        <v>3.333333333333333</v>
      </c>
      <c r="M138" s="100">
        <f t="shared" si="33"/>
        <v>3</v>
      </c>
      <c r="N138" s="115">
        <v>11</v>
      </c>
      <c r="O138" s="116">
        <f t="shared" si="23"/>
        <v>0.81818181818181823</v>
      </c>
      <c r="P138" s="115">
        <v>9</v>
      </c>
      <c r="Q138" s="116">
        <f t="shared" si="24"/>
        <v>0</v>
      </c>
      <c r="R138" s="115">
        <v>0</v>
      </c>
      <c r="S138" s="100">
        <f t="shared" si="25"/>
        <v>0</v>
      </c>
    </row>
    <row r="139" spans="1:19" ht="15" x14ac:dyDescent="0.2">
      <c r="A139" s="114" t="s">
        <v>89</v>
      </c>
      <c r="B139" s="100" t="s">
        <v>156</v>
      </c>
      <c r="C139" s="115">
        <v>26800</v>
      </c>
      <c r="D139" s="100">
        <f>(C139/12)*6</f>
        <v>13400</v>
      </c>
      <c r="E139" s="103">
        <f>'Monitoramento Acumulado Geral'!Q139</f>
        <v>0</v>
      </c>
      <c r="F139" s="100">
        <f>SUM(E134:E139)</f>
        <v>5140</v>
      </c>
      <c r="G139" s="102" t="str">
        <f t="shared" si="22"/>
        <v>Farol Vermelho</v>
      </c>
      <c r="H139" s="116">
        <f t="shared" si="20"/>
        <v>8260</v>
      </c>
      <c r="I139" s="100">
        <f t="shared" si="21"/>
        <v>6</v>
      </c>
      <c r="J139" s="117">
        <v>8</v>
      </c>
      <c r="K139" s="118">
        <f>'Monitoramento Acumulado Geral'!P139</f>
        <v>0</v>
      </c>
      <c r="L139" s="100">
        <f>$L134+L138</f>
        <v>3.9999999999999996</v>
      </c>
      <c r="M139" s="100">
        <f t="shared" si="33"/>
        <v>3</v>
      </c>
      <c r="N139" s="115">
        <v>7</v>
      </c>
      <c r="O139" s="116">
        <f t="shared" si="23"/>
        <v>1</v>
      </c>
      <c r="P139" s="115">
        <v>7</v>
      </c>
      <c r="Q139" s="116">
        <f t="shared" si="24"/>
        <v>0.14285714285714285</v>
      </c>
      <c r="R139" s="115">
        <v>1</v>
      </c>
      <c r="S139" s="100">
        <f t="shared" si="25"/>
        <v>0.14285714285714285</v>
      </c>
    </row>
    <row r="140" spans="1:19" ht="15" x14ac:dyDescent="0.2">
      <c r="A140" s="114" t="s">
        <v>89</v>
      </c>
      <c r="B140" s="100" t="s">
        <v>157</v>
      </c>
      <c r="C140" s="115">
        <v>26800</v>
      </c>
      <c r="D140" s="100">
        <f>(C140/12)*7</f>
        <v>15633.333333333334</v>
      </c>
      <c r="E140" s="103">
        <f>'Monitoramento Acumulado Geral'!Q140</f>
        <v>12773.35</v>
      </c>
      <c r="F140" s="100">
        <f>SUM(E134:E140)</f>
        <v>17913.349999999999</v>
      </c>
      <c r="G140" s="102" t="str">
        <f t="shared" si="22"/>
        <v>Farol Verde</v>
      </c>
      <c r="H140" s="116">
        <f t="shared" si="20"/>
        <v>0</v>
      </c>
      <c r="I140" s="100">
        <f t="shared" si="21"/>
        <v>7</v>
      </c>
      <c r="J140" s="117">
        <v>8</v>
      </c>
      <c r="K140" s="118">
        <f>'Monitoramento Acumulado Geral'!P140</f>
        <v>5</v>
      </c>
      <c r="L140" s="100">
        <f>$L134+L139</f>
        <v>4.6666666666666661</v>
      </c>
      <c r="M140" s="100">
        <f t="shared" si="33"/>
        <v>8</v>
      </c>
      <c r="N140" s="115"/>
      <c r="O140" s="116" t="e">
        <f t="shared" si="23"/>
        <v>#DIV/0!</v>
      </c>
      <c r="P140" s="115"/>
      <c r="Q140" s="116" t="e">
        <f t="shared" si="24"/>
        <v>#DIV/0!</v>
      </c>
      <c r="R140" s="115"/>
      <c r="S140" s="100" t="e">
        <f t="shared" si="25"/>
        <v>#DIV/0!</v>
      </c>
    </row>
    <row r="141" spans="1:19" ht="15" x14ac:dyDescent="0.2">
      <c r="A141" s="114" t="s">
        <v>89</v>
      </c>
      <c r="B141" s="100" t="s">
        <v>158</v>
      </c>
      <c r="C141" s="115">
        <v>26800</v>
      </c>
      <c r="D141" s="100">
        <f>(C141/12)*8</f>
        <v>17866.666666666668</v>
      </c>
      <c r="E141" s="103">
        <f>'Monitoramento Acumulado Geral'!Q141</f>
        <v>2143</v>
      </c>
      <c r="F141" s="100">
        <f>SUM(E134:E141)</f>
        <v>20056.349999999999</v>
      </c>
      <c r="G141" s="102" t="str">
        <f t="shared" si="22"/>
        <v>Farol Verde</v>
      </c>
      <c r="H141" s="116">
        <f t="shared" si="20"/>
        <v>0</v>
      </c>
      <c r="I141" s="100">
        <f t="shared" si="21"/>
        <v>8</v>
      </c>
      <c r="J141" s="117">
        <v>8</v>
      </c>
      <c r="K141" s="118">
        <f>'Monitoramento Acumulado Geral'!P141</f>
        <v>1</v>
      </c>
      <c r="L141" s="100">
        <f>L134+L140</f>
        <v>5.333333333333333</v>
      </c>
      <c r="M141" s="100">
        <f t="shared" si="33"/>
        <v>9</v>
      </c>
      <c r="N141" s="115"/>
      <c r="O141" s="116" t="e">
        <f t="shared" si="23"/>
        <v>#DIV/0!</v>
      </c>
      <c r="P141" s="115"/>
      <c r="Q141" s="116" t="e">
        <f t="shared" si="24"/>
        <v>#DIV/0!</v>
      </c>
      <c r="R141" s="115"/>
      <c r="S141" s="100" t="e">
        <f t="shared" si="25"/>
        <v>#DIV/0!</v>
      </c>
    </row>
    <row r="142" spans="1:19" ht="15" x14ac:dyDescent="0.2">
      <c r="A142" s="114" t="s">
        <v>89</v>
      </c>
      <c r="B142" s="100" t="s">
        <v>159</v>
      </c>
      <c r="C142" s="115">
        <v>26800</v>
      </c>
      <c r="D142" s="100">
        <f>(C142/12)*9</f>
        <v>20100</v>
      </c>
      <c r="E142" s="103">
        <f>'Monitoramento Acumulado Geral'!Q142</f>
        <v>450</v>
      </c>
      <c r="F142" s="100">
        <f>SUM(E134:E142)</f>
        <v>20506.349999999999</v>
      </c>
      <c r="G142" s="102" t="str">
        <f t="shared" si="22"/>
        <v>Farol Verde</v>
      </c>
      <c r="H142" s="116">
        <f t="shared" si="20"/>
        <v>0</v>
      </c>
      <c r="I142" s="100">
        <f t="shared" si="21"/>
        <v>9</v>
      </c>
      <c r="J142" s="117">
        <v>8</v>
      </c>
      <c r="K142" s="118">
        <f>'Monitoramento Acumulado Geral'!P142</f>
        <v>1</v>
      </c>
      <c r="L142" s="100">
        <f>$L134+L141</f>
        <v>6</v>
      </c>
      <c r="M142" s="100">
        <f t="shared" si="33"/>
        <v>10</v>
      </c>
      <c r="N142" s="115"/>
      <c r="O142" s="116" t="e">
        <f t="shared" si="23"/>
        <v>#DIV/0!</v>
      </c>
      <c r="P142" s="115"/>
      <c r="Q142" s="116" t="e">
        <f t="shared" si="24"/>
        <v>#DIV/0!</v>
      </c>
      <c r="R142" s="115"/>
      <c r="S142" s="100" t="e">
        <f t="shared" si="25"/>
        <v>#DIV/0!</v>
      </c>
    </row>
    <row r="143" spans="1:19" ht="15" x14ac:dyDescent="0.2">
      <c r="A143" s="114" t="s">
        <v>89</v>
      </c>
      <c r="B143" s="100" t="s">
        <v>160</v>
      </c>
      <c r="C143" s="115">
        <v>26800</v>
      </c>
      <c r="D143" s="100">
        <f>(C143/12)*10</f>
        <v>22333.333333333336</v>
      </c>
      <c r="E143" s="103">
        <f>'Monitoramento Acumulado Geral'!Q143</f>
        <v>0</v>
      </c>
      <c r="F143" s="100">
        <f>SUM(E134:E143)</f>
        <v>20506.349999999999</v>
      </c>
      <c r="G143" s="102" t="str">
        <f t="shared" si="22"/>
        <v>Farol Amarelo</v>
      </c>
      <c r="H143" s="116">
        <f t="shared" si="20"/>
        <v>1826.9833333333372</v>
      </c>
      <c r="I143" s="100">
        <f t="shared" si="21"/>
        <v>10</v>
      </c>
      <c r="J143" s="117">
        <v>8</v>
      </c>
      <c r="K143" s="118">
        <f>'Monitoramento Acumulado Geral'!P143</f>
        <v>0</v>
      </c>
      <c r="L143" s="100">
        <f>$L134+L142</f>
        <v>6.666666666666667</v>
      </c>
      <c r="M143" s="100">
        <f t="shared" si="33"/>
        <v>10</v>
      </c>
      <c r="N143" s="115"/>
      <c r="O143" s="116" t="e">
        <f t="shared" si="23"/>
        <v>#DIV/0!</v>
      </c>
      <c r="P143" s="115"/>
      <c r="Q143" s="116" t="e">
        <f t="shared" si="24"/>
        <v>#DIV/0!</v>
      </c>
      <c r="R143" s="115"/>
      <c r="S143" s="100" t="e">
        <f t="shared" si="25"/>
        <v>#DIV/0!</v>
      </c>
    </row>
    <row r="144" spans="1:19" ht="15" x14ac:dyDescent="0.2">
      <c r="A144" s="114" t="s">
        <v>89</v>
      </c>
      <c r="B144" s="100" t="s">
        <v>161</v>
      </c>
      <c r="C144" s="115">
        <v>26800</v>
      </c>
      <c r="D144" s="100">
        <f>(C144/12)*11</f>
        <v>24566.666666666668</v>
      </c>
      <c r="E144" s="103">
        <f>'Monitoramento Acumulado Geral'!Q144</f>
        <v>0</v>
      </c>
      <c r="F144" s="100">
        <f>SUM(E134:E144)</f>
        <v>20506.349999999999</v>
      </c>
      <c r="G144" s="102" t="str">
        <f t="shared" si="22"/>
        <v>Farol Vermelho</v>
      </c>
      <c r="H144" s="116">
        <f t="shared" si="20"/>
        <v>4060.3166666666693</v>
      </c>
      <c r="I144" s="100">
        <f t="shared" si="21"/>
        <v>11</v>
      </c>
      <c r="J144" s="117">
        <v>8</v>
      </c>
      <c r="K144" s="118">
        <f>'Monitoramento Acumulado Geral'!P144</f>
        <v>0</v>
      </c>
      <c r="L144" s="100">
        <f>L134+L143</f>
        <v>7.3333333333333339</v>
      </c>
      <c r="M144" s="100">
        <f t="shared" si="33"/>
        <v>10</v>
      </c>
      <c r="N144" s="115"/>
      <c r="O144" s="116" t="e">
        <f t="shared" si="23"/>
        <v>#DIV/0!</v>
      </c>
      <c r="P144" s="115"/>
      <c r="Q144" s="116" t="e">
        <f t="shared" si="24"/>
        <v>#DIV/0!</v>
      </c>
      <c r="R144" s="115"/>
      <c r="S144" s="100" t="e">
        <f t="shared" si="25"/>
        <v>#DIV/0!</v>
      </c>
    </row>
    <row r="145" spans="1:19" ht="15" x14ac:dyDescent="0.2">
      <c r="A145" s="114" t="s">
        <v>89</v>
      </c>
      <c r="B145" s="100" t="s">
        <v>162</v>
      </c>
      <c r="C145" s="115">
        <v>26800</v>
      </c>
      <c r="D145" s="100">
        <f>(C145/12)*12</f>
        <v>26800</v>
      </c>
      <c r="E145" s="103">
        <f>'Monitoramento Acumulado Geral'!Q145</f>
        <v>0</v>
      </c>
      <c r="F145" s="100">
        <f>SUM(E134:E145)</f>
        <v>20506.349999999999</v>
      </c>
      <c r="G145" s="102" t="str">
        <f t="shared" si="22"/>
        <v>Farol Vermelho</v>
      </c>
      <c r="H145" s="116">
        <f t="shared" si="20"/>
        <v>6293.6500000000015</v>
      </c>
      <c r="I145" s="100">
        <f t="shared" si="21"/>
        <v>12</v>
      </c>
      <c r="J145" s="117">
        <v>8</v>
      </c>
      <c r="K145" s="118">
        <f>'Monitoramento Acumulado Geral'!P145</f>
        <v>0</v>
      </c>
      <c r="L145" s="100">
        <f>$L134+L144</f>
        <v>8</v>
      </c>
      <c r="M145" s="100">
        <f t="shared" si="33"/>
        <v>10</v>
      </c>
      <c r="N145" s="115"/>
      <c r="O145" s="116" t="e">
        <f t="shared" si="23"/>
        <v>#DIV/0!</v>
      </c>
      <c r="P145" s="115"/>
      <c r="Q145" s="116" t="e">
        <f t="shared" si="24"/>
        <v>#DIV/0!</v>
      </c>
      <c r="R145" s="115"/>
      <c r="S145" s="100" t="e">
        <f t="shared" si="25"/>
        <v>#DIV/0!</v>
      </c>
    </row>
    <row r="146" spans="1:19" ht="15" x14ac:dyDescent="0.2">
      <c r="A146" s="114" t="s">
        <v>113</v>
      </c>
      <c r="B146" s="100" t="s">
        <v>151</v>
      </c>
      <c r="C146" s="115">
        <v>1500</v>
      </c>
      <c r="D146" s="100">
        <f>(C146/12)*1</f>
        <v>125</v>
      </c>
      <c r="E146" s="103">
        <f>'Monitoramento Acumulado Geral'!Q146</f>
        <v>0</v>
      </c>
      <c r="F146" s="100">
        <f>E146</f>
        <v>0</v>
      </c>
      <c r="G146" s="102" t="str">
        <f t="shared" si="22"/>
        <v>Farol Vermelho</v>
      </c>
      <c r="H146" s="116">
        <f t="shared" si="20"/>
        <v>125</v>
      </c>
      <c r="I146" s="100">
        <f t="shared" si="21"/>
        <v>1</v>
      </c>
      <c r="J146" s="117">
        <v>1</v>
      </c>
      <c r="K146" s="118">
        <f>'Monitoramento Acumulado Geral'!P146</f>
        <v>0</v>
      </c>
      <c r="L146" s="100">
        <f>J146/12</f>
        <v>8.3333333333333329E-2</v>
      </c>
      <c r="M146" s="100">
        <f>K146</f>
        <v>0</v>
      </c>
      <c r="N146" s="115">
        <v>0</v>
      </c>
      <c r="O146" s="116" t="e">
        <f t="shared" si="23"/>
        <v>#DIV/0!</v>
      </c>
      <c r="P146" s="115">
        <v>0</v>
      </c>
      <c r="Q146" s="116" t="e">
        <f t="shared" si="24"/>
        <v>#DIV/0!</v>
      </c>
      <c r="R146" s="115">
        <v>0</v>
      </c>
      <c r="S146" s="100" t="e">
        <f t="shared" si="25"/>
        <v>#DIV/0!</v>
      </c>
    </row>
    <row r="147" spans="1:19" ht="15" x14ac:dyDescent="0.2">
      <c r="A147" s="114" t="s">
        <v>113</v>
      </c>
      <c r="B147" s="100" t="s">
        <v>152</v>
      </c>
      <c r="C147" s="115">
        <v>1500</v>
      </c>
      <c r="D147" s="100">
        <f>(C147/12)*2</f>
        <v>250</v>
      </c>
      <c r="E147" s="103">
        <f>'Monitoramento Acumulado Geral'!Q147</f>
        <v>0</v>
      </c>
      <c r="F147" s="100">
        <f>SUM(E146:E147)</f>
        <v>0</v>
      </c>
      <c r="G147" s="102" t="str">
        <f t="shared" si="22"/>
        <v>Farol Vermelho</v>
      </c>
      <c r="H147" s="116">
        <f t="shared" si="20"/>
        <v>250</v>
      </c>
      <c r="I147" s="100">
        <f t="shared" si="21"/>
        <v>2</v>
      </c>
      <c r="J147" s="117">
        <v>1</v>
      </c>
      <c r="K147" s="118">
        <f>'Monitoramento Acumulado Geral'!P147</f>
        <v>0</v>
      </c>
      <c r="L147" s="100">
        <f>L146+L146</f>
        <v>0.16666666666666666</v>
      </c>
      <c r="M147" s="100">
        <f>M146+K147</f>
        <v>0</v>
      </c>
      <c r="N147" s="115">
        <v>0</v>
      </c>
      <c r="O147" s="116" t="e">
        <f t="shared" si="23"/>
        <v>#DIV/0!</v>
      </c>
      <c r="P147" s="115">
        <v>0</v>
      </c>
      <c r="Q147" s="116" t="e">
        <f t="shared" si="24"/>
        <v>#DIV/0!</v>
      </c>
      <c r="R147" s="115">
        <v>0</v>
      </c>
      <c r="S147" s="100" t="e">
        <f t="shared" si="25"/>
        <v>#DIV/0!</v>
      </c>
    </row>
    <row r="148" spans="1:19" ht="15" x14ac:dyDescent="0.2">
      <c r="A148" s="114" t="s">
        <v>113</v>
      </c>
      <c r="B148" s="100" t="s">
        <v>153</v>
      </c>
      <c r="C148" s="115">
        <v>1500</v>
      </c>
      <c r="D148" s="100">
        <f>(C148/12)*3</f>
        <v>375</v>
      </c>
      <c r="E148" s="103">
        <f>'Monitoramento Acumulado Geral'!Q148</f>
        <v>0</v>
      </c>
      <c r="F148" s="100">
        <f>SUM(E146:E148)</f>
        <v>0</v>
      </c>
      <c r="G148" s="102" t="str">
        <f t="shared" si="22"/>
        <v>Farol Vermelho</v>
      </c>
      <c r="H148" s="116">
        <f t="shared" si="20"/>
        <v>375</v>
      </c>
      <c r="I148" s="100">
        <f t="shared" si="21"/>
        <v>3</v>
      </c>
      <c r="J148" s="117">
        <v>1</v>
      </c>
      <c r="K148" s="118">
        <f>'Monitoramento Acumulado Geral'!P148</f>
        <v>0</v>
      </c>
      <c r="L148" s="100">
        <f>$L146+L147</f>
        <v>0.25</v>
      </c>
      <c r="M148" s="100">
        <f t="shared" ref="M148:M157" si="34">M147+K148</f>
        <v>0</v>
      </c>
      <c r="N148" s="115">
        <v>0</v>
      </c>
      <c r="O148" s="116" t="e">
        <f t="shared" si="23"/>
        <v>#DIV/0!</v>
      </c>
      <c r="P148" s="115">
        <v>0</v>
      </c>
      <c r="Q148" s="116" t="e">
        <f t="shared" si="24"/>
        <v>#DIV/0!</v>
      </c>
      <c r="R148" s="115">
        <v>0</v>
      </c>
      <c r="S148" s="100" t="e">
        <f t="shared" si="25"/>
        <v>#DIV/0!</v>
      </c>
    </row>
    <row r="149" spans="1:19" ht="15" x14ac:dyDescent="0.2">
      <c r="A149" s="114" t="s">
        <v>113</v>
      </c>
      <c r="B149" s="100" t="s">
        <v>154</v>
      </c>
      <c r="C149" s="115">
        <v>1500</v>
      </c>
      <c r="D149" s="100">
        <f>(C149/12)*4</f>
        <v>500</v>
      </c>
      <c r="E149" s="103">
        <f>'Monitoramento Acumulado Geral'!Q149</f>
        <v>0</v>
      </c>
      <c r="F149" s="100">
        <f>SUM(E146:E149)</f>
        <v>0</v>
      </c>
      <c r="G149" s="102" t="str">
        <f t="shared" si="22"/>
        <v>Farol Vermelho</v>
      </c>
      <c r="H149" s="116">
        <f t="shared" si="20"/>
        <v>500</v>
      </c>
      <c r="I149" s="100">
        <f t="shared" si="21"/>
        <v>4</v>
      </c>
      <c r="J149" s="117">
        <v>1</v>
      </c>
      <c r="K149" s="118">
        <f>'Monitoramento Acumulado Geral'!P149</f>
        <v>0</v>
      </c>
      <c r="L149" s="100">
        <f>$L146+L148</f>
        <v>0.33333333333333331</v>
      </c>
      <c r="M149" s="100">
        <f t="shared" si="34"/>
        <v>0</v>
      </c>
      <c r="N149" s="115">
        <v>0</v>
      </c>
      <c r="O149" s="116" t="e">
        <f t="shared" si="23"/>
        <v>#DIV/0!</v>
      </c>
      <c r="P149" s="115">
        <v>0</v>
      </c>
      <c r="Q149" s="116" t="e">
        <f t="shared" si="24"/>
        <v>#DIV/0!</v>
      </c>
      <c r="R149" s="115">
        <v>0</v>
      </c>
      <c r="S149" s="100" t="e">
        <f t="shared" si="25"/>
        <v>#DIV/0!</v>
      </c>
    </row>
    <row r="150" spans="1:19" ht="15" x14ac:dyDescent="0.2">
      <c r="A150" s="114" t="s">
        <v>113</v>
      </c>
      <c r="B150" s="100" t="s">
        <v>155</v>
      </c>
      <c r="C150" s="115">
        <v>1500</v>
      </c>
      <c r="D150" s="100">
        <f>(C150/12)*5</f>
        <v>625</v>
      </c>
      <c r="E150" s="103">
        <f>'Monitoramento Acumulado Geral'!Q150</f>
        <v>0</v>
      </c>
      <c r="F150" s="100">
        <f>SUM(E146:E150)</f>
        <v>0</v>
      </c>
      <c r="G150" s="102" t="str">
        <f t="shared" si="22"/>
        <v>Farol Vermelho</v>
      </c>
      <c r="H150" s="116">
        <f t="shared" si="20"/>
        <v>625</v>
      </c>
      <c r="I150" s="100">
        <f t="shared" si="21"/>
        <v>5</v>
      </c>
      <c r="J150" s="117">
        <v>1</v>
      </c>
      <c r="K150" s="118">
        <f>'Monitoramento Acumulado Geral'!P150</f>
        <v>0</v>
      </c>
      <c r="L150" s="100">
        <f>L146+L149</f>
        <v>0.41666666666666663</v>
      </c>
      <c r="M150" s="100">
        <f t="shared" si="34"/>
        <v>0</v>
      </c>
      <c r="N150" s="115">
        <v>0</v>
      </c>
      <c r="O150" s="116" t="e">
        <f t="shared" si="23"/>
        <v>#DIV/0!</v>
      </c>
      <c r="P150" s="115">
        <v>0</v>
      </c>
      <c r="Q150" s="116" t="e">
        <f t="shared" si="24"/>
        <v>#DIV/0!</v>
      </c>
      <c r="R150" s="115">
        <v>0</v>
      </c>
      <c r="S150" s="100" t="e">
        <f t="shared" si="25"/>
        <v>#DIV/0!</v>
      </c>
    </row>
    <row r="151" spans="1:19" ht="15" x14ac:dyDescent="0.2">
      <c r="A151" s="114" t="s">
        <v>113</v>
      </c>
      <c r="B151" s="100" t="s">
        <v>156</v>
      </c>
      <c r="C151" s="115">
        <v>1500</v>
      </c>
      <c r="D151" s="100">
        <f>(C151/12)*6</f>
        <v>750</v>
      </c>
      <c r="E151" s="103">
        <f>'Monitoramento Acumulado Geral'!Q151</f>
        <v>0</v>
      </c>
      <c r="F151" s="100">
        <f>SUM(E146:E151)</f>
        <v>0</v>
      </c>
      <c r="G151" s="102" t="str">
        <f t="shared" si="22"/>
        <v>Farol Vermelho</v>
      </c>
      <c r="H151" s="116">
        <f t="shared" si="20"/>
        <v>750</v>
      </c>
      <c r="I151" s="100">
        <f t="shared" si="21"/>
        <v>6</v>
      </c>
      <c r="J151" s="117">
        <v>1</v>
      </c>
      <c r="K151" s="118">
        <f>'Monitoramento Acumulado Geral'!P151</f>
        <v>0</v>
      </c>
      <c r="L151" s="100">
        <f>$L146+L150</f>
        <v>0.49999999999999994</v>
      </c>
      <c r="M151" s="100">
        <f t="shared" si="34"/>
        <v>0</v>
      </c>
      <c r="N151" s="115">
        <v>0</v>
      </c>
      <c r="O151" s="116" t="e">
        <f t="shared" si="23"/>
        <v>#DIV/0!</v>
      </c>
      <c r="P151" s="115">
        <v>0</v>
      </c>
      <c r="Q151" s="116" t="e">
        <f t="shared" si="24"/>
        <v>#DIV/0!</v>
      </c>
      <c r="R151" s="115">
        <v>0</v>
      </c>
      <c r="S151" s="100" t="e">
        <f t="shared" si="25"/>
        <v>#DIV/0!</v>
      </c>
    </row>
    <row r="152" spans="1:19" ht="15" x14ac:dyDescent="0.2">
      <c r="A152" s="114" t="s">
        <v>113</v>
      </c>
      <c r="B152" s="100" t="s">
        <v>157</v>
      </c>
      <c r="C152" s="115">
        <v>1500</v>
      </c>
      <c r="D152" s="100">
        <f>(C152/12)*7</f>
        <v>875</v>
      </c>
      <c r="E152" s="103">
        <f>'Monitoramento Acumulado Geral'!Q152</f>
        <v>0</v>
      </c>
      <c r="F152" s="100">
        <f>SUM(E146:E152)</f>
        <v>0</v>
      </c>
      <c r="G152" s="102" t="str">
        <f t="shared" si="22"/>
        <v>Farol Vermelho</v>
      </c>
      <c r="H152" s="116">
        <f t="shared" si="20"/>
        <v>875</v>
      </c>
      <c r="I152" s="100">
        <f t="shared" si="21"/>
        <v>7</v>
      </c>
      <c r="J152" s="117">
        <v>1</v>
      </c>
      <c r="K152" s="118">
        <f>'Monitoramento Acumulado Geral'!P152</f>
        <v>0</v>
      </c>
      <c r="L152" s="100">
        <f>$L146+L151</f>
        <v>0.58333333333333326</v>
      </c>
      <c r="M152" s="100">
        <f t="shared" si="34"/>
        <v>0</v>
      </c>
      <c r="N152" s="115"/>
      <c r="O152" s="116" t="e">
        <f t="shared" si="23"/>
        <v>#DIV/0!</v>
      </c>
      <c r="P152" s="115"/>
      <c r="Q152" s="116" t="e">
        <f t="shared" si="24"/>
        <v>#DIV/0!</v>
      </c>
      <c r="R152" s="115"/>
      <c r="S152" s="100" t="e">
        <f t="shared" si="25"/>
        <v>#DIV/0!</v>
      </c>
    </row>
    <row r="153" spans="1:19" ht="15" x14ac:dyDescent="0.2">
      <c r="A153" s="114" t="s">
        <v>113</v>
      </c>
      <c r="B153" s="100" t="s">
        <v>158</v>
      </c>
      <c r="C153" s="115">
        <v>1500</v>
      </c>
      <c r="D153" s="100">
        <f>(C153/12)*8</f>
        <v>1000</v>
      </c>
      <c r="E153" s="103">
        <f>'Monitoramento Acumulado Geral'!Q153</f>
        <v>0</v>
      </c>
      <c r="F153" s="100">
        <f>SUM(E146:E153)</f>
        <v>0</v>
      </c>
      <c r="G153" s="102" t="str">
        <f t="shared" si="22"/>
        <v>Farol Vermelho</v>
      </c>
      <c r="H153" s="116">
        <f t="shared" si="20"/>
        <v>1000</v>
      </c>
      <c r="I153" s="100">
        <f t="shared" si="21"/>
        <v>8</v>
      </c>
      <c r="J153" s="117">
        <v>1</v>
      </c>
      <c r="K153" s="118">
        <f>'Monitoramento Acumulado Geral'!P153</f>
        <v>0</v>
      </c>
      <c r="L153" s="100">
        <f>L146+L152</f>
        <v>0.66666666666666663</v>
      </c>
      <c r="M153" s="100">
        <f t="shared" si="34"/>
        <v>0</v>
      </c>
      <c r="N153" s="115"/>
      <c r="O153" s="116" t="e">
        <f t="shared" si="23"/>
        <v>#DIV/0!</v>
      </c>
      <c r="P153" s="115"/>
      <c r="Q153" s="116" t="e">
        <f t="shared" si="24"/>
        <v>#DIV/0!</v>
      </c>
      <c r="R153" s="115"/>
      <c r="S153" s="100" t="e">
        <f t="shared" si="25"/>
        <v>#DIV/0!</v>
      </c>
    </row>
    <row r="154" spans="1:19" ht="15" x14ac:dyDescent="0.2">
      <c r="A154" s="114" t="s">
        <v>113</v>
      </c>
      <c r="B154" s="100" t="s">
        <v>159</v>
      </c>
      <c r="C154" s="115">
        <v>1500</v>
      </c>
      <c r="D154" s="100">
        <f>(C154/12)*9</f>
        <v>1125</v>
      </c>
      <c r="E154" s="103">
        <f>'Monitoramento Acumulado Geral'!Q154</f>
        <v>10343</v>
      </c>
      <c r="F154" s="100">
        <f>SUM(E146:E154)</f>
        <v>10343</v>
      </c>
      <c r="G154" s="102" t="str">
        <f t="shared" si="22"/>
        <v>Farol Verde</v>
      </c>
      <c r="H154" s="116">
        <f t="shared" ref="H154:H217" si="35">IF(D154-F154&lt;0,0,D154-F154)</f>
        <v>0</v>
      </c>
      <c r="I154" s="100">
        <f t="shared" ref="I154:I217" si="36">_xlfn.IFS(B154="Janeiro",1,B154="Fevereiro",2,B154="Março",3,B154="Abril",4,B154="Maio",5,B154="Junho",6,B154="Julho",7,B154="Agosto",8,B154="Setembro",9,B154="Outubro",10,B154="Novembro",11,B154="Dezembro",12,TRUE,0)</f>
        <v>9</v>
      </c>
      <c r="J154" s="117">
        <v>1</v>
      </c>
      <c r="K154" s="118">
        <f>'Monitoramento Acumulado Geral'!P154</f>
        <v>1</v>
      </c>
      <c r="L154" s="100">
        <f>$L146+L153</f>
        <v>0.75</v>
      </c>
      <c r="M154" s="100">
        <f t="shared" si="34"/>
        <v>1</v>
      </c>
      <c r="N154" s="115"/>
      <c r="O154" s="116" t="e">
        <f t="shared" si="23"/>
        <v>#DIV/0!</v>
      </c>
      <c r="P154" s="115"/>
      <c r="Q154" s="116" t="e">
        <f t="shared" si="24"/>
        <v>#DIV/0!</v>
      </c>
      <c r="R154" s="115"/>
      <c r="S154" s="100" t="e">
        <f t="shared" si="25"/>
        <v>#DIV/0!</v>
      </c>
    </row>
    <row r="155" spans="1:19" ht="15" x14ac:dyDescent="0.2">
      <c r="A155" s="114" t="s">
        <v>113</v>
      </c>
      <c r="B155" s="100" t="s">
        <v>160</v>
      </c>
      <c r="C155" s="115">
        <v>1500</v>
      </c>
      <c r="D155" s="100">
        <f>(C155/12)*10</f>
        <v>1250</v>
      </c>
      <c r="E155" s="103">
        <f>'Monitoramento Acumulado Geral'!Q155</f>
        <v>0</v>
      </c>
      <c r="F155" s="100">
        <f>SUM(E146:E155)</f>
        <v>10343</v>
      </c>
      <c r="G155" s="102" t="str">
        <f t="shared" ref="G155:G218" si="37">_xlfn.IFS(F155&gt;D155,"Farol Verde",F155&gt;=D155*0.85,"Farol Amarelo",F155&lt;D155*0.85,"Farol Vermelho","Verdadeiro",0)</f>
        <v>Farol Verde</v>
      </c>
      <c r="H155" s="116">
        <f t="shared" si="35"/>
        <v>0</v>
      </c>
      <c r="I155" s="100">
        <f t="shared" si="36"/>
        <v>10</v>
      </c>
      <c r="J155" s="117">
        <v>1</v>
      </c>
      <c r="K155" s="118">
        <f>'Monitoramento Acumulado Geral'!P155</f>
        <v>0</v>
      </c>
      <c r="L155" s="100">
        <f>$L146+L154</f>
        <v>0.83333333333333337</v>
      </c>
      <c r="M155" s="100">
        <f t="shared" si="34"/>
        <v>1</v>
      </c>
      <c r="N155" s="115"/>
      <c r="O155" s="116" t="e">
        <f t="shared" ref="O155:O218" si="38">P155/N155</f>
        <v>#DIV/0!</v>
      </c>
      <c r="P155" s="115"/>
      <c r="Q155" s="116" t="e">
        <f t="shared" ref="Q155:Q218" si="39">R155/P155</f>
        <v>#DIV/0!</v>
      </c>
      <c r="R155" s="115"/>
      <c r="S155" s="100" t="e">
        <f t="shared" ref="S155:S218" si="40">R155/N155</f>
        <v>#DIV/0!</v>
      </c>
    </row>
    <row r="156" spans="1:19" ht="15" x14ac:dyDescent="0.2">
      <c r="A156" s="114" t="s">
        <v>113</v>
      </c>
      <c r="B156" s="100" t="s">
        <v>161</v>
      </c>
      <c r="C156" s="115">
        <v>1500</v>
      </c>
      <c r="D156" s="100">
        <f>(C156/12)*11</f>
        <v>1375</v>
      </c>
      <c r="E156" s="103">
        <f>'Monitoramento Acumulado Geral'!Q156</f>
        <v>0</v>
      </c>
      <c r="F156" s="100">
        <f>SUM(E146:E156)</f>
        <v>10343</v>
      </c>
      <c r="G156" s="102" t="str">
        <f t="shared" si="37"/>
        <v>Farol Verde</v>
      </c>
      <c r="H156" s="116">
        <f t="shared" si="35"/>
        <v>0</v>
      </c>
      <c r="I156" s="100">
        <f t="shared" si="36"/>
        <v>11</v>
      </c>
      <c r="J156" s="117">
        <v>1</v>
      </c>
      <c r="K156" s="118">
        <f>'Monitoramento Acumulado Geral'!P156</f>
        <v>0</v>
      </c>
      <c r="L156" s="100">
        <f>L146+L155</f>
        <v>0.91666666666666674</v>
      </c>
      <c r="M156" s="100">
        <f t="shared" si="34"/>
        <v>1</v>
      </c>
      <c r="N156" s="115"/>
      <c r="O156" s="116" t="e">
        <f t="shared" si="38"/>
        <v>#DIV/0!</v>
      </c>
      <c r="P156" s="115"/>
      <c r="Q156" s="116" t="e">
        <f t="shared" si="39"/>
        <v>#DIV/0!</v>
      </c>
      <c r="R156" s="115"/>
      <c r="S156" s="100" t="e">
        <f t="shared" si="40"/>
        <v>#DIV/0!</v>
      </c>
    </row>
    <row r="157" spans="1:19" ht="15" x14ac:dyDescent="0.2">
      <c r="A157" s="114" t="s">
        <v>113</v>
      </c>
      <c r="B157" s="100" t="s">
        <v>162</v>
      </c>
      <c r="C157" s="115">
        <v>1500</v>
      </c>
      <c r="D157" s="100">
        <f>(C157/12)*12</f>
        <v>1500</v>
      </c>
      <c r="E157" s="103">
        <f>'Monitoramento Acumulado Geral'!Q157</f>
        <v>0</v>
      </c>
      <c r="F157" s="100">
        <f>SUM(E146:E157)</f>
        <v>10343</v>
      </c>
      <c r="G157" s="102" t="str">
        <f t="shared" si="37"/>
        <v>Farol Verde</v>
      </c>
      <c r="H157" s="116">
        <f t="shared" si="35"/>
        <v>0</v>
      </c>
      <c r="I157" s="100">
        <f t="shared" si="36"/>
        <v>12</v>
      </c>
      <c r="J157" s="117">
        <v>1</v>
      </c>
      <c r="K157" s="118">
        <f>'Monitoramento Acumulado Geral'!P157</f>
        <v>0</v>
      </c>
      <c r="L157" s="100">
        <f>$L146+L156</f>
        <v>1</v>
      </c>
      <c r="M157" s="100">
        <f t="shared" si="34"/>
        <v>1</v>
      </c>
      <c r="N157" s="115"/>
      <c r="O157" s="116" t="e">
        <f t="shared" si="38"/>
        <v>#DIV/0!</v>
      </c>
      <c r="P157" s="115"/>
      <c r="Q157" s="116" t="e">
        <f t="shared" si="39"/>
        <v>#DIV/0!</v>
      </c>
      <c r="R157" s="115"/>
      <c r="S157" s="100" t="e">
        <f t="shared" si="40"/>
        <v>#DIV/0!</v>
      </c>
    </row>
    <row r="158" spans="1:19" ht="15" x14ac:dyDescent="0.2">
      <c r="A158" s="114" t="s">
        <v>117</v>
      </c>
      <c r="B158" s="100" t="s">
        <v>151</v>
      </c>
      <c r="C158" s="115">
        <v>37047.75</v>
      </c>
      <c r="D158" s="100">
        <f>(C158/12)*1</f>
        <v>3087.3125</v>
      </c>
      <c r="E158" s="103">
        <f>'Monitoramento Acumulado Geral'!Q158</f>
        <v>0</v>
      </c>
      <c r="F158" s="100">
        <f>E158</f>
        <v>0</v>
      </c>
      <c r="G158" s="102" t="str">
        <f t="shared" si="37"/>
        <v>Farol Vermelho</v>
      </c>
      <c r="H158" s="116">
        <f t="shared" si="35"/>
        <v>3087.3125</v>
      </c>
      <c r="I158" s="100">
        <f t="shared" si="36"/>
        <v>1</v>
      </c>
      <c r="J158" s="117">
        <v>27</v>
      </c>
      <c r="K158" s="118">
        <f>'Monitoramento Acumulado Geral'!P158</f>
        <v>0</v>
      </c>
      <c r="L158" s="100">
        <f>J158/12</f>
        <v>2.25</v>
      </c>
      <c r="M158" s="100">
        <f>K158</f>
        <v>0</v>
      </c>
      <c r="N158" s="115">
        <v>0</v>
      </c>
      <c r="O158" s="116" t="e">
        <f t="shared" si="38"/>
        <v>#DIV/0!</v>
      </c>
      <c r="P158" s="115">
        <v>0</v>
      </c>
      <c r="Q158" s="116" t="e">
        <f t="shared" si="39"/>
        <v>#DIV/0!</v>
      </c>
      <c r="R158" s="115">
        <v>0</v>
      </c>
      <c r="S158" s="100" t="e">
        <f t="shared" si="40"/>
        <v>#DIV/0!</v>
      </c>
    </row>
    <row r="159" spans="1:19" ht="15" x14ac:dyDescent="0.2">
      <c r="A159" s="114" t="s">
        <v>117</v>
      </c>
      <c r="B159" s="100" t="s">
        <v>152</v>
      </c>
      <c r="C159" s="115">
        <v>37047.75</v>
      </c>
      <c r="D159" s="100">
        <f>(C159/12)*2</f>
        <v>6174.625</v>
      </c>
      <c r="E159" s="103">
        <f>'Monitoramento Acumulado Geral'!Q159</f>
        <v>100</v>
      </c>
      <c r="F159" s="100">
        <f>SUM(E158:E159)</f>
        <v>100</v>
      </c>
      <c r="G159" s="102" t="str">
        <f t="shared" si="37"/>
        <v>Farol Vermelho</v>
      </c>
      <c r="H159" s="116">
        <f t="shared" si="35"/>
        <v>6074.625</v>
      </c>
      <c r="I159" s="100">
        <f t="shared" si="36"/>
        <v>2</v>
      </c>
      <c r="J159" s="117">
        <v>27</v>
      </c>
      <c r="K159" s="118">
        <f>'Monitoramento Acumulado Geral'!P159</f>
        <v>1</v>
      </c>
      <c r="L159" s="100">
        <f>L158+L158</f>
        <v>4.5</v>
      </c>
      <c r="M159" s="100">
        <f>M158+K159</f>
        <v>1</v>
      </c>
      <c r="N159" s="115">
        <v>0</v>
      </c>
      <c r="O159" s="116" t="e">
        <f t="shared" si="38"/>
        <v>#DIV/0!</v>
      </c>
      <c r="P159" s="115">
        <v>0</v>
      </c>
      <c r="Q159" s="116" t="e">
        <f t="shared" si="39"/>
        <v>#DIV/0!</v>
      </c>
      <c r="R159" s="115">
        <v>0</v>
      </c>
      <c r="S159" s="100" t="e">
        <f t="shared" si="40"/>
        <v>#DIV/0!</v>
      </c>
    </row>
    <row r="160" spans="1:19" ht="15" x14ac:dyDescent="0.2">
      <c r="A160" s="114" t="s">
        <v>117</v>
      </c>
      <c r="B160" s="100" t="s">
        <v>153</v>
      </c>
      <c r="C160" s="115">
        <v>37047.75</v>
      </c>
      <c r="D160" s="100">
        <f>(C160/12)*3</f>
        <v>9261.9375</v>
      </c>
      <c r="E160" s="103">
        <f>'Monitoramento Acumulado Geral'!Q160</f>
        <v>1425.88</v>
      </c>
      <c r="F160" s="100">
        <f>SUM(E158:E160)</f>
        <v>1525.88</v>
      </c>
      <c r="G160" s="102" t="str">
        <f t="shared" si="37"/>
        <v>Farol Vermelho</v>
      </c>
      <c r="H160" s="116">
        <f t="shared" si="35"/>
        <v>7736.0574999999999</v>
      </c>
      <c r="I160" s="100">
        <f t="shared" si="36"/>
        <v>3</v>
      </c>
      <c r="J160" s="117">
        <v>27</v>
      </c>
      <c r="K160" s="118">
        <f>'Monitoramento Acumulado Geral'!P160</f>
        <v>2</v>
      </c>
      <c r="L160" s="100">
        <f>$L158+L159</f>
        <v>6.75</v>
      </c>
      <c r="M160" s="100">
        <f t="shared" ref="M160:M169" si="41">M159+K160</f>
        <v>3</v>
      </c>
      <c r="N160" s="115">
        <v>0</v>
      </c>
      <c r="O160" s="116" t="e">
        <f t="shared" si="38"/>
        <v>#DIV/0!</v>
      </c>
      <c r="P160" s="115">
        <v>0</v>
      </c>
      <c r="Q160" s="116" t="e">
        <f t="shared" si="39"/>
        <v>#DIV/0!</v>
      </c>
      <c r="R160" s="115">
        <v>0</v>
      </c>
      <c r="S160" s="100" t="e">
        <f t="shared" si="40"/>
        <v>#DIV/0!</v>
      </c>
    </row>
    <row r="161" spans="1:19" ht="15" x14ac:dyDescent="0.2">
      <c r="A161" s="114" t="s">
        <v>117</v>
      </c>
      <c r="B161" s="100" t="s">
        <v>154</v>
      </c>
      <c r="C161" s="115">
        <v>37047.75</v>
      </c>
      <c r="D161" s="100">
        <f>(C161/12)*4</f>
        <v>12349.25</v>
      </c>
      <c r="E161" s="103">
        <f>'Monitoramento Acumulado Geral'!Q161</f>
        <v>113</v>
      </c>
      <c r="F161" s="100">
        <f>SUM(E158:E161)</f>
        <v>1638.88</v>
      </c>
      <c r="G161" s="102" t="str">
        <f t="shared" si="37"/>
        <v>Farol Vermelho</v>
      </c>
      <c r="H161" s="116">
        <f t="shared" si="35"/>
        <v>10710.369999999999</v>
      </c>
      <c r="I161" s="100">
        <f t="shared" si="36"/>
        <v>4</v>
      </c>
      <c r="J161" s="117">
        <v>27</v>
      </c>
      <c r="K161" s="118">
        <f>'Monitoramento Acumulado Geral'!P161</f>
        <v>1</v>
      </c>
      <c r="L161" s="100">
        <f>$L158+L160</f>
        <v>9</v>
      </c>
      <c r="M161" s="100">
        <f t="shared" si="41"/>
        <v>4</v>
      </c>
      <c r="N161" s="115">
        <v>0</v>
      </c>
      <c r="O161" s="116" t="e">
        <f t="shared" si="38"/>
        <v>#DIV/0!</v>
      </c>
      <c r="P161" s="115">
        <v>0</v>
      </c>
      <c r="Q161" s="116" t="e">
        <f t="shared" si="39"/>
        <v>#DIV/0!</v>
      </c>
      <c r="R161" s="115">
        <v>0</v>
      </c>
      <c r="S161" s="100" t="e">
        <f t="shared" si="40"/>
        <v>#DIV/0!</v>
      </c>
    </row>
    <row r="162" spans="1:19" ht="15" x14ac:dyDescent="0.2">
      <c r="A162" s="114" t="s">
        <v>117</v>
      </c>
      <c r="B162" s="100" t="s">
        <v>155</v>
      </c>
      <c r="C162" s="115">
        <v>37047.75</v>
      </c>
      <c r="D162" s="100">
        <f>(C162/12)*5</f>
        <v>15436.5625</v>
      </c>
      <c r="E162" s="103">
        <f>'Monitoramento Acumulado Geral'!Q162</f>
        <v>1445</v>
      </c>
      <c r="F162" s="100">
        <f>SUM(E158:E162)</f>
        <v>3083.88</v>
      </c>
      <c r="G162" s="102" t="str">
        <f t="shared" si="37"/>
        <v>Farol Vermelho</v>
      </c>
      <c r="H162" s="116">
        <f t="shared" si="35"/>
        <v>12352.682499999999</v>
      </c>
      <c r="I162" s="100">
        <f t="shared" si="36"/>
        <v>5</v>
      </c>
      <c r="J162" s="117">
        <v>27</v>
      </c>
      <c r="K162" s="118">
        <f>'Monitoramento Acumulado Geral'!P162</f>
        <v>2</v>
      </c>
      <c r="L162" s="100">
        <f>L158+L161</f>
        <v>11.25</v>
      </c>
      <c r="M162" s="100">
        <f t="shared" si="41"/>
        <v>6</v>
      </c>
      <c r="N162" s="115">
        <v>11</v>
      </c>
      <c r="O162" s="116">
        <f t="shared" si="38"/>
        <v>0.54545454545454541</v>
      </c>
      <c r="P162" s="115">
        <v>6</v>
      </c>
      <c r="Q162" s="116">
        <f t="shared" si="39"/>
        <v>0.5</v>
      </c>
      <c r="R162" s="115">
        <v>3</v>
      </c>
      <c r="S162" s="100">
        <f t="shared" si="40"/>
        <v>0.27272727272727271</v>
      </c>
    </row>
    <row r="163" spans="1:19" ht="15" x14ac:dyDescent="0.2">
      <c r="A163" s="114" t="s">
        <v>117</v>
      </c>
      <c r="B163" s="100" t="s">
        <v>156</v>
      </c>
      <c r="C163" s="115">
        <v>37047.75</v>
      </c>
      <c r="D163" s="100">
        <f>(C163/12)*6</f>
        <v>18523.875</v>
      </c>
      <c r="E163" s="103">
        <f>'Monitoramento Acumulado Geral'!Q163</f>
        <v>1884</v>
      </c>
      <c r="F163" s="100">
        <f>SUM(E158:E163)</f>
        <v>4967.88</v>
      </c>
      <c r="G163" s="102" t="str">
        <f t="shared" si="37"/>
        <v>Farol Vermelho</v>
      </c>
      <c r="H163" s="116">
        <f t="shared" si="35"/>
        <v>13555.994999999999</v>
      </c>
      <c r="I163" s="100">
        <f t="shared" si="36"/>
        <v>6</v>
      </c>
      <c r="J163" s="117">
        <v>27</v>
      </c>
      <c r="K163" s="118">
        <f>'Monitoramento Acumulado Geral'!P163</f>
        <v>5</v>
      </c>
      <c r="L163" s="100">
        <f>$L158+L162</f>
        <v>13.5</v>
      </c>
      <c r="M163" s="100">
        <f t="shared" si="41"/>
        <v>11</v>
      </c>
      <c r="N163" s="115">
        <v>17</v>
      </c>
      <c r="O163" s="116">
        <f t="shared" si="38"/>
        <v>0.94117647058823528</v>
      </c>
      <c r="P163" s="115">
        <v>16</v>
      </c>
      <c r="Q163" s="116">
        <f t="shared" si="39"/>
        <v>0.1875</v>
      </c>
      <c r="R163" s="115">
        <v>3</v>
      </c>
      <c r="S163" s="100">
        <f t="shared" si="40"/>
        <v>0.17647058823529413</v>
      </c>
    </row>
    <row r="164" spans="1:19" ht="15" x14ac:dyDescent="0.2">
      <c r="A164" s="114" t="s">
        <v>117</v>
      </c>
      <c r="B164" s="100" t="s">
        <v>157</v>
      </c>
      <c r="C164" s="115">
        <v>37047.75</v>
      </c>
      <c r="D164" s="100">
        <f>(C164/12)*7</f>
        <v>21611.1875</v>
      </c>
      <c r="E164" s="103">
        <f>'Monitoramento Acumulado Geral'!Q164</f>
        <v>5875</v>
      </c>
      <c r="F164" s="100">
        <f>SUM(E158:E164)</f>
        <v>10842.880000000001</v>
      </c>
      <c r="G164" s="102" t="str">
        <f t="shared" si="37"/>
        <v>Farol Vermelho</v>
      </c>
      <c r="H164" s="116">
        <f t="shared" si="35"/>
        <v>10768.307499999999</v>
      </c>
      <c r="I164" s="100">
        <f t="shared" si="36"/>
        <v>7</v>
      </c>
      <c r="J164" s="117">
        <v>27</v>
      </c>
      <c r="K164" s="118">
        <f>'Monitoramento Acumulado Geral'!P164</f>
        <v>7</v>
      </c>
      <c r="L164" s="100">
        <f>$L158+L163</f>
        <v>15.75</v>
      </c>
      <c r="M164" s="100">
        <f t="shared" si="41"/>
        <v>18</v>
      </c>
      <c r="N164" s="115"/>
      <c r="O164" s="116" t="e">
        <f t="shared" si="38"/>
        <v>#DIV/0!</v>
      </c>
      <c r="P164" s="115"/>
      <c r="Q164" s="116" t="e">
        <f t="shared" si="39"/>
        <v>#DIV/0!</v>
      </c>
      <c r="R164" s="115"/>
      <c r="S164" s="100" t="e">
        <f t="shared" si="40"/>
        <v>#DIV/0!</v>
      </c>
    </row>
    <row r="165" spans="1:19" ht="15" x14ac:dyDescent="0.2">
      <c r="A165" s="114" t="s">
        <v>117</v>
      </c>
      <c r="B165" s="100" t="s">
        <v>158</v>
      </c>
      <c r="C165" s="115">
        <v>37047.75</v>
      </c>
      <c r="D165" s="100">
        <f>(C165/12)*8</f>
        <v>24698.5</v>
      </c>
      <c r="E165" s="103">
        <f>'Monitoramento Acumulado Geral'!Q165</f>
        <v>3625</v>
      </c>
      <c r="F165" s="100">
        <f>SUM(E158:E165)</f>
        <v>14467.880000000001</v>
      </c>
      <c r="G165" s="102" t="str">
        <f t="shared" si="37"/>
        <v>Farol Vermelho</v>
      </c>
      <c r="H165" s="116">
        <f t="shared" si="35"/>
        <v>10230.619999999999</v>
      </c>
      <c r="I165" s="100">
        <f t="shared" si="36"/>
        <v>8</v>
      </c>
      <c r="J165" s="117">
        <v>27</v>
      </c>
      <c r="K165" s="118">
        <f>'Monitoramento Acumulado Geral'!P165</f>
        <v>4</v>
      </c>
      <c r="L165" s="100">
        <f>L158+L164</f>
        <v>18</v>
      </c>
      <c r="M165" s="100">
        <f t="shared" si="41"/>
        <v>22</v>
      </c>
      <c r="N165" s="115"/>
      <c r="O165" s="116" t="e">
        <f t="shared" si="38"/>
        <v>#DIV/0!</v>
      </c>
      <c r="P165" s="115"/>
      <c r="Q165" s="116" t="e">
        <f t="shared" si="39"/>
        <v>#DIV/0!</v>
      </c>
      <c r="R165" s="115"/>
      <c r="S165" s="100" t="e">
        <f t="shared" si="40"/>
        <v>#DIV/0!</v>
      </c>
    </row>
    <row r="166" spans="1:19" ht="15" x14ac:dyDescent="0.2">
      <c r="A166" s="114" t="s">
        <v>117</v>
      </c>
      <c r="B166" s="100" t="s">
        <v>159</v>
      </c>
      <c r="C166" s="115">
        <v>37047.75</v>
      </c>
      <c r="D166" s="100">
        <f>(C166/12)*9</f>
        <v>27785.8125</v>
      </c>
      <c r="E166" s="103">
        <f>'Monitoramento Acumulado Geral'!Q166</f>
        <v>14405.85</v>
      </c>
      <c r="F166" s="100">
        <f>SUM(E158:E166)</f>
        <v>28873.730000000003</v>
      </c>
      <c r="G166" s="102" t="str">
        <f t="shared" si="37"/>
        <v>Farol Verde</v>
      </c>
      <c r="H166" s="116">
        <f t="shared" si="35"/>
        <v>0</v>
      </c>
      <c r="I166" s="100">
        <f t="shared" si="36"/>
        <v>9</v>
      </c>
      <c r="J166" s="117">
        <v>27</v>
      </c>
      <c r="K166" s="118">
        <f>'Monitoramento Acumulado Geral'!P166</f>
        <v>9</v>
      </c>
      <c r="L166" s="100">
        <f>$L158+L165</f>
        <v>20.25</v>
      </c>
      <c r="M166" s="100">
        <f t="shared" si="41"/>
        <v>31</v>
      </c>
      <c r="N166" s="115"/>
      <c r="O166" s="116" t="e">
        <f t="shared" si="38"/>
        <v>#DIV/0!</v>
      </c>
      <c r="P166" s="115"/>
      <c r="Q166" s="116" t="e">
        <f t="shared" si="39"/>
        <v>#DIV/0!</v>
      </c>
      <c r="R166" s="115"/>
      <c r="S166" s="100" t="e">
        <f t="shared" si="40"/>
        <v>#DIV/0!</v>
      </c>
    </row>
    <row r="167" spans="1:19" ht="15" x14ac:dyDescent="0.2">
      <c r="A167" s="114" t="s">
        <v>117</v>
      </c>
      <c r="B167" s="100" t="s">
        <v>160</v>
      </c>
      <c r="C167" s="115">
        <v>37047.75</v>
      </c>
      <c r="D167" s="100">
        <f>(C167/12)*10</f>
        <v>30873.125</v>
      </c>
      <c r="E167" s="103">
        <f>'Monitoramento Acumulado Geral'!Q167</f>
        <v>0</v>
      </c>
      <c r="F167" s="100">
        <f>SUM(E158:E167)</f>
        <v>28873.730000000003</v>
      </c>
      <c r="G167" s="102" t="str">
        <f t="shared" si="37"/>
        <v>Farol Amarelo</v>
      </c>
      <c r="H167" s="116">
        <f t="shared" si="35"/>
        <v>1999.3949999999968</v>
      </c>
      <c r="I167" s="100">
        <f t="shared" si="36"/>
        <v>10</v>
      </c>
      <c r="J167" s="117">
        <v>27</v>
      </c>
      <c r="K167" s="118">
        <f>'Monitoramento Acumulado Geral'!P167</f>
        <v>0</v>
      </c>
      <c r="L167" s="100">
        <f>$L158+L166</f>
        <v>22.5</v>
      </c>
      <c r="M167" s="100">
        <f t="shared" si="41"/>
        <v>31</v>
      </c>
      <c r="N167" s="115"/>
      <c r="O167" s="116" t="e">
        <f t="shared" si="38"/>
        <v>#DIV/0!</v>
      </c>
      <c r="P167" s="115"/>
      <c r="Q167" s="116" t="e">
        <f t="shared" si="39"/>
        <v>#DIV/0!</v>
      </c>
      <c r="R167" s="115"/>
      <c r="S167" s="100" t="e">
        <f t="shared" si="40"/>
        <v>#DIV/0!</v>
      </c>
    </row>
    <row r="168" spans="1:19" ht="15" x14ac:dyDescent="0.2">
      <c r="A168" s="114" t="s">
        <v>117</v>
      </c>
      <c r="B168" s="100" t="s">
        <v>161</v>
      </c>
      <c r="C168" s="115">
        <v>37047.75</v>
      </c>
      <c r="D168" s="100">
        <f>(C168/12)*11</f>
        <v>33960.4375</v>
      </c>
      <c r="E168" s="103">
        <f>'Monitoramento Acumulado Geral'!Q168</f>
        <v>0</v>
      </c>
      <c r="F168" s="100">
        <f>SUM(E158:E168)</f>
        <v>28873.730000000003</v>
      </c>
      <c r="G168" s="102" t="str">
        <f t="shared" si="37"/>
        <v>Farol Amarelo</v>
      </c>
      <c r="H168" s="116">
        <f t="shared" si="35"/>
        <v>5086.7074999999968</v>
      </c>
      <c r="I168" s="100">
        <f t="shared" si="36"/>
        <v>11</v>
      </c>
      <c r="J168" s="117">
        <v>27</v>
      </c>
      <c r="K168" s="118">
        <f>'Monitoramento Acumulado Geral'!P168</f>
        <v>0</v>
      </c>
      <c r="L168" s="100">
        <f>L158+L167</f>
        <v>24.75</v>
      </c>
      <c r="M168" s="100">
        <f t="shared" si="41"/>
        <v>31</v>
      </c>
      <c r="N168" s="115"/>
      <c r="O168" s="116" t="e">
        <f t="shared" si="38"/>
        <v>#DIV/0!</v>
      </c>
      <c r="P168" s="115"/>
      <c r="Q168" s="116" t="e">
        <f t="shared" si="39"/>
        <v>#DIV/0!</v>
      </c>
      <c r="R168" s="115"/>
      <c r="S168" s="100" t="e">
        <f t="shared" si="40"/>
        <v>#DIV/0!</v>
      </c>
    </row>
    <row r="169" spans="1:19" ht="15" x14ac:dyDescent="0.2">
      <c r="A169" s="114" t="s">
        <v>117</v>
      </c>
      <c r="B169" s="100" t="s">
        <v>162</v>
      </c>
      <c r="C169" s="115">
        <v>37047.75</v>
      </c>
      <c r="D169" s="100">
        <f>(C169/12)*12</f>
        <v>37047.75</v>
      </c>
      <c r="E169" s="103">
        <f>'Monitoramento Acumulado Geral'!Q169</f>
        <v>0</v>
      </c>
      <c r="F169" s="100">
        <f>SUM(E158:E169)</f>
        <v>28873.730000000003</v>
      </c>
      <c r="G169" s="102" t="str">
        <f t="shared" si="37"/>
        <v>Farol Vermelho</v>
      </c>
      <c r="H169" s="116">
        <f t="shared" si="35"/>
        <v>8174.0199999999968</v>
      </c>
      <c r="I169" s="100">
        <f t="shared" si="36"/>
        <v>12</v>
      </c>
      <c r="J169" s="117">
        <v>27</v>
      </c>
      <c r="K169" s="118">
        <f>'Monitoramento Acumulado Geral'!P169</f>
        <v>0</v>
      </c>
      <c r="L169" s="100">
        <f>$L158+L168</f>
        <v>27</v>
      </c>
      <c r="M169" s="100">
        <f t="shared" si="41"/>
        <v>31</v>
      </c>
      <c r="N169" s="115"/>
      <c r="O169" s="116" t="e">
        <f t="shared" si="38"/>
        <v>#DIV/0!</v>
      </c>
      <c r="P169" s="115"/>
      <c r="Q169" s="116" t="e">
        <f t="shared" si="39"/>
        <v>#DIV/0!</v>
      </c>
      <c r="R169" s="115"/>
      <c r="S169" s="100" t="e">
        <f t="shared" si="40"/>
        <v>#DIV/0!</v>
      </c>
    </row>
    <row r="170" spans="1:19" ht="15" x14ac:dyDescent="0.2">
      <c r="A170" s="114" t="s">
        <v>99</v>
      </c>
      <c r="B170" s="100" t="s">
        <v>151</v>
      </c>
      <c r="C170" s="115">
        <v>7200</v>
      </c>
      <c r="D170" s="100">
        <f>(C170/12)*1</f>
        <v>600</v>
      </c>
      <c r="E170" s="103">
        <f>'Monitoramento Acumulado Geral'!Q170</f>
        <v>60</v>
      </c>
      <c r="F170" s="100">
        <f>E170</f>
        <v>60</v>
      </c>
      <c r="G170" s="102" t="str">
        <f t="shared" si="37"/>
        <v>Farol Vermelho</v>
      </c>
      <c r="H170" s="116">
        <f t="shared" si="35"/>
        <v>540</v>
      </c>
      <c r="I170" s="100">
        <f t="shared" si="36"/>
        <v>1</v>
      </c>
      <c r="J170" s="117">
        <v>20</v>
      </c>
      <c r="K170" s="118">
        <f>'Monitoramento Acumulado Geral'!P170</f>
        <v>1</v>
      </c>
      <c r="L170" s="100">
        <f>J170/12</f>
        <v>1.6666666666666667</v>
      </c>
      <c r="M170" s="100">
        <f>K170</f>
        <v>1</v>
      </c>
      <c r="N170" s="115">
        <v>0</v>
      </c>
      <c r="O170" s="116" t="e">
        <f t="shared" si="38"/>
        <v>#DIV/0!</v>
      </c>
      <c r="P170" s="115">
        <v>0</v>
      </c>
      <c r="Q170" s="116" t="e">
        <f t="shared" si="39"/>
        <v>#DIV/0!</v>
      </c>
      <c r="R170" s="115">
        <v>0</v>
      </c>
      <c r="S170" s="100" t="e">
        <f t="shared" si="40"/>
        <v>#DIV/0!</v>
      </c>
    </row>
    <row r="171" spans="1:19" ht="15" x14ac:dyDescent="0.2">
      <c r="A171" s="114" t="s">
        <v>99</v>
      </c>
      <c r="B171" s="100" t="s">
        <v>152</v>
      </c>
      <c r="C171" s="115">
        <v>7200</v>
      </c>
      <c r="D171" s="100">
        <f>(C171/12)*2</f>
        <v>1200</v>
      </c>
      <c r="E171" s="103">
        <f>'Monitoramento Acumulado Geral'!Q171</f>
        <v>0</v>
      </c>
      <c r="F171" s="100">
        <f>SUM(E170:E171)</f>
        <v>60</v>
      </c>
      <c r="G171" s="102" t="str">
        <f t="shared" si="37"/>
        <v>Farol Vermelho</v>
      </c>
      <c r="H171" s="116">
        <f t="shared" si="35"/>
        <v>1140</v>
      </c>
      <c r="I171" s="100">
        <f t="shared" si="36"/>
        <v>2</v>
      </c>
      <c r="J171" s="117">
        <v>20</v>
      </c>
      <c r="K171" s="118">
        <f>'Monitoramento Acumulado Geral'!P171</f>
        <v>0</v>
      </c>
      <c r="L171" s="100">
        <f>L170+L170</f>
        <v>3.3333333333333335</v>
      </c>
      <c r="M171" s="100">
        <f>M170+K171</f>
        <v>1</v>
      </c>
      <c r="N171" s="115">
        <v>0</v>
      </c>
      <c r="O171" s="116" t="e">
        <f t="shared" si="38"/>
        <v>#DIV/0!</v>
      </c>
      <c r="P171" s="115">
        <v>0</v>
      </c>
      <c r="Q171" s="116" t="e">
        <f t="shared" si="39"/>
        <v>#DIV/0!</v>
      </c>
      <c r="R171" s="115">
        <v>0</v>
      </c>
      <c r="S171" s="100" t="e">
        <f t="shared" si="40"/>
        <v>#DIV/0!</v>
      </c>
    </row>
    <row r="172" spans="1:19" ht="15" x14ac:dyDescent="0.2">
      <c r="A172" s="114" t="s">
        <v>99</v>
      </c>
      <c r="B172" s="100" t="s">
        <v>153</v>
      </c>
      <c r="C172" s="115">
        <v>7200</v>
      </c>
      <c r="D172" s="100">
        <f>(C172/12)*3</f>
        <v>1800</v>
      </c>
      <c r="E172" s="103">
        <f>'Monitoramento Acumulado Geral'!Q172</f>
        <v>0</v>
      </c>
      <c r="F172" s="100">
        <f>SUM(E170:E172)</f>
        <v>60</v>
      </c>
      <c r="G172" s="102" t="str">
        <f t="shared" si="37"/>
        <v>Farol Vermelho</v>
      </c>
      <c r="H172" s="116">
        <f t="shared" si="35"/>
        <v>1740</v>
      </c>
      <c r="I172" s="100">
        <f t="shared" si="36"/>
        <v>3</v>
      </c>
      <c r="J172" s="117">
        <v>20</v>
      </c>
      <c r="K172" s="118">
        <f>'Monitoramento Acumulado Geral'!P172</f>
        <v>0</v>
      </c>
      <c r="L172" s="100">
        <f>$L170+L171</f>
        <v>5</v>
      </c>
      <c r="M172" s="100">
        <f t="shared" ref="M172:M181" si="42">M171+K172</f>
        <v>1</v>
      </c>
      <c r="N172" s="115">
        <v>0</v>
      </c>
      <c r="O172" s="116" t="e">
        <f t="shared" si="38"/>
        <v>#DIV/0!</v>
      </c>
      <c r="P172" s="115">
        <v>0</v>
      </c>
      <c r="Q172" s="116" t="e">
        <f t="shared" si="39"/>
        <v>#DIV/0!</v>
      </c>
      <c r="R172" s="115">
        <v>0</v>
      </c>
      <c r="S172" s="100" t="e">
        <f t="shared" si="40"/>
        <v>#DIV/0!</v>
      </c>
    </row>
    <row r="173" spans="1:19" ht="15" x14ac:dyDescent="0.2">
      <c r="A173" s="114" t="s">
        <v>99</v>
      </c>
      <c r="B173" s="100" t="s">
        <v>154</v>
      </c>
      <c r="C173" s="115">
        <v>7200</v>
      </c>
      <c r="D173" s="100">
        <f>(C173/12)*4</f>
        <v>2400</v>
      </c>
      <c r="E173" s="103">
        <f>'Monitoramento Acumulado Geral'!Q173</f>
        <v>245</v>
      </c>
      <c r="F173" s="100">
        <f>SUM(E170:E173)</f>
        <v>305</v>
      </c>
      <c r="G173" s="102" t="str">
        <f t="shared" si="37"/>
        <v>Farol Vermelho</v>
      </c>
      <c r="H173" s="116">
        <f t="shared" si="35"/>
        <v>2095</v>
      </c>
      <c r="I173" s="100">
        <f t="shared" si="36"/>
        <v>4</v>
      </c>
      <c r="J173" s="117">
        <v>20</v>
      </c>
      <c r="K173" s="118">
        <f>'Monitoramento Acumulado Geral'!P173</f>
        <v>4</v>
      </c>
      <c r="L173" s="100">
        <f>$L170+L172</f>
        <v>6.666666666666667</v>
      </c>
      <c r="M173" s="100">
        <f t="shared" si="42"/>
        <v>5</v>
      </c>
      <c r="N173" s="115">
        <v>0</v>
      </c>
      <c r="O173" s="116" t="e">
        <f t="shared" si="38"/>
        <v>#DIV/0!</v>
      </c>
      <c r="P173" s="115">
        <v>0</v>
      </c>
      <c r="Q173" s="116" t="e">
        <f t="shared" si="39"/>
        <v>#DIV/0!</v>
      </c>
      <c r="R173" s="115">
        <v>0</v>
      </c>
      <c r="S173" s="100" t="e">
        <f t="shared" si="40"/>
        <v>#DIV/0!</v>
      </c>
    </row>
    <row r="174" spans="1:19" ht="15" x14ac:dyDescent="0.2">
      <c r="A174" s="114" t="s">
        <v>99</v>
      </c>
      <c r="B174" s="100" t="s">
        <v>155</v>
      </c>
      <c r="C174" s="115">
        <v>7200</v>
      </c>
      <c r="D174" s="100">
        <f>(C174/12)*5</f>
        <v>3000</v>
      </c>
      <c r="E174" s="103">
        <f>'Monitoramento Acumulado Geral'!Q174</f>
        <v>577.5</v>
      </c>
      <c r="F174" s="100">
        <f>SUM(E170:E174)</f>
        <v>882.5</v>
      </c>
      <c r="G174" s="102" t="str">
        <f t="shared" si="37"/>
        <v>Farol Vermelho</v>
      </c>
      <c r="H174" s="116">
        <f t="shared" si="35"/>
        <v>2117.5</v>
      </c>
      <c r="I174" s="100">
        <f t="shared" si="36"/>
        <v>5</v>
      </c>
      <c r="J174" s="117">
        <v>20</v>
      </c>
      <c r="K174" s="118">
        <f>'Monitoramento Acumulado Geral'!P174</f>
        <v>4</v>
      </c>
      <c r="L174" s="100">
        <f>L170+L173</f>
        <v>8.3333333333333339</v>
      </c>
      <c r="M174" s="100">
        <f t="shared" si="42"/>
        <v>9</v>
      </c>
      <c r="N174" s="115">
        <v>0</v>
      </c>
      <c r="O174" s="116" t="e">
        <f t="shared" si="38"/>
        <v>#DIV/0!</v>
      </c>
      <c r="P174" s="115">
        <v>0</v>
      </c>
      <c r="Q174" s="116" t="e">
        <f t="shared" si="39"/>
        <v>#DIV/0!</v>
      </c>
      <c r="R174" s="115">
        <v>0</v>
      </c>
      <c r="S174" s="100" t="e">
        <f t="shared" si="40"/>
        <v>#DIV/0!</v>
      </c>
    </row>
    <row r="175" spans="1:19" ht="15" x14ac:dyDescent="0.2">
      <c r="A175" s="114" t="s">
        <v>99</v>
      </c>
      <c r="B175" s="100" t="s">
        <v>156</v>
      </c>
      <c r="C175" s="115">
        <v>7200</v>
      </c>
      <c r="D175" s="100">
        <f>(C175/12)*6</f>
        <v>3600</v>
      </c>
      <c r="E175" s="103">
        <f>'Monitoramento Acumulado Geral'!Q175</f>
        <v>350</v>
      </c>
      <c r="F175" s="100">
        <f>SUM(E170:E175)</f>
        <v>1232.5</v>
      </c>
      <c r="G175" s="102" t="str">
        <f t="shared" si="37"/>
        <v>Farol Vermelho</v>
      </c>
      <c r="H175" s="116">
        <f t="shared" si="35"/>
        <v>2367.5</v>
      </c>
      <c r="I175" s="100">
        <f t="shared" si="36"/>
        <v>6</v>
      </c>
      <c r="J175" s="117">
        <v>20</v>
      </c>
      <c r="K175" s="118">
        <f>'Monitoramento Acumulado Geral'!P175</f>
        <v>2</v>
      </c>
      <c r="L175" s="100">
        <f>$L170+L174</f>
        <v>10</v>
      </c>
      <c r="M175" s="100">
        <f t="shared" si="42"/>
        <v>11</v>
      </c>
      <c r="N175" s="115">
        <v>8</v>
      </c>
      <c r="O175" s="116">
        <f t="shared" si="38"/>
        <v>0.25</v>
      </c>
      <c r="P175" s="115">
        <v>2</v>
      </c>
      <c r="Q175" s="116">
        <f t="shared" si="39"/>
        <v>0.5</v>
      </c>
      <c r="R175" s="115">
        <v>1</v>
      </c>
      <c r="S175" s="100">
        <f t="shared" si="40"/>
        <v>0.125</v>
      </c>
    </row>
    <row r="176" spans="1:19" ht="15" x14ac:dyDescent="0.2">
      <c r="A176" s="114" t="s">
        <v>99</v>
      </c>
      <c r="B176" s="100" t="s">
        <v>157</v>
      </c>
      <c r="C176" s="115">
        <v>7200</v>
      </c>
      <c r="D176" s="100">
        <f>(C176/12)*7</f>
        <v>4200</v>
      </c>
      <c r="E176" s="103">
        <f>'Monitoramento Acumulado Geral'!Q176</f>
        <v>1400</v>
      </c>
      <c r="F176" s="100">
        <f>SUM(E170:E176)</f>
        <v>2632.5</v>
      </c>
      <c r="G176" s="102" t="str">
        <f t="shared" si="37"/>
        <v>Farol Vermelho</v>
      </c>
      <c r="H176" s="116">
        <f t="shared" si="35"/>
        <v>1567.5</v>
      </c>
      <c r="I176" s="100">
        <f t="shared" si="36"/>
        <v>7</v>
      </c>
      <c r="J176" s="117">
        <v>20</v>
      </c>
      <c r="K176" s="118">
        <f>'Monitoramento Acumulado Geral'!P176</f>
        <v>3</v>
      </c>
      <c r="L176" s="100">
        <f>$L170+L175</f>
        <v>11.666666666666666</v>
      </c>
      <c r="M176" s="100">
        <f t="shared" si="42"/>
        <v>14</v>
      </c>
      <c r="N176" s="115"/>
      <c r="O176" s="116" t="e">
        <f t="shared" si="38"/>
        <v>#DIV/0!</v>
      </c>
      <c r="P176" s="115"/>
      <c r="Q176" s="116" t="e">
        <f t="shared" si="39"/>
        <v>#DIV/0!</v>
      </c>
      <c r="R176" s="115"/>
      <c r="S176" s="100" t="e">
        <f t="shared" si="40"/>
        <v>#DIV/0!</v>
      </c>
    </row>
    <row r="177" spans="1:19" ht="15" x14ac:dyDescent="0.2">
      <c r="A177" s="114" t="s">
        <v>99</v>
      </c>
      <c r="B177" s="100" t="s">
        <v>158</v>
      </c>
      <c r="C177" s="115">
        <v>7200</v>
      </c>
      <c r="D177" s="100">
        <f>(C177/12)*8</f>
        <v>4800</v>
      </c>
      <c r="E177" s="103">
        <f>'Monitoramento Acumulado Geral'!Q177</f>
        <v>0</v>
      </c>
      <c r="F177" s="100">
        <f>SUM(E170:E177)</f>
        <v>2632.5</v>
      </c>
      <c r="G177" s="102" t="str">
        <f t="shared" si="37"/>
        <v>Farol Vermelho</v>
      </c>
      <c r="H177" s="116">
        <f t="shared" si="35"/>
        <v>2167.5</v>
      </c>
      <c r="I177" s="100">
        <f t="shared" si="36"/>
        <v>8</v>
      </c>
      <c r="J177" s="117">
        <v>20</v>
      </c>
      <c r="K177" s="118">
        <f>'Monitoramento Acumulado Geral'!P177</f>
        <v>0</v>
      </c>
      <c r="L177" s="100">
        <f>L170+L176</f>
        <v>13.333333333333332</v>
      </c>
      <c r="M177" s="100">
        <f t="shared" si="42"/>
        <v>14</v>
      </c>
      <c r="N177" s="115"/>
      <c r="O177" s="116" t="e">
        <f t="shared" si="38"/>
        <v>#DIV/0!</v>
      </c>
      <c r="P177" s="115"/>
      <c r="Q177" s="116" t="e">
        <f t="shared" si="39"/>
        <v>#DIV/0!</v>
      </c>
      <c r="R177" s="115"/>
      <c r="S177" s="100" t="e">
        <f t="shared" si="40"/>
        <v>#DIV/0!</v>
      </c>
    </row>
    <row r="178" spans="1:19" ht="15" x14ac:dyDescent="0.2">
      <c r="A178" s="114" t="s">
        <v>99</v>
      </c>
      <c r="B178" s="100" t="s">
        <v>159</v>
      </c>
      <c r="C178" s="115">
        <v>7200</v>
      </c>
      <c r="D178" s="100">
        <f>(C178/12)*9</f>
        <v>5400</v>
      </c>
      <c r="E178" s="103">
        <f>'Monitoramento Acumulado Geral'!Q178</f>
        <v>0</v>
      </c>
      <c r="F178" s="100">
        <f>SUM(E170:E178)</f>
        <v>2632.5</v>
      </c>
      <c r="G178" s="102" t="str">
        <f t="shared" si="37"/>
        <v>Farol Vermelho</v>
      </c>
      <c r="H178" s="116">
        <f t="shared" si="35"/>
        <v>2767.5</v>
      </c>
      <c r="I178" s="100">
        <f t="shared" si="36"/>
        <v>9</v>
      </c>
      <c r="J178" s="117">
        <v>20</v>
      </c>
      <c r="K178" s="118">
        <f>'Monitoramento Acumulado Geral'!P178</f>
        <v>0</v>
      </c>
      <c r="L178" s="100">
        <f>$L170+L177</f>
        <v>14.999999999999998</v>
      </c>
      <c r="M178" s="100">
        <f t="shared" si="42"/>
        <v>14</v>
      </c>
      <c r="N178" s="115"/>
      <c r="O178" s="116" t="e">
        <f t="shared" si="38"/>
        <v>#DIV/0!</v>
      </c>
      <c r="P178" s="115"/>
      <c r="Q178" s="116" t="e">
        <f t="shared" si="39"/>
        <v>#DIV/0!</v>
      </c>
      <c r="R178" s="115"/>
      <c r="S178" s="100" t="e">
        <f t="shared" si="40"/>
        <v>#DIV/0!</v>
      </c>
    </row>
    <row r="179" spans="1:19" ht="15" x14ac:dyDescent="0.2">
      <c r="A179" s="114" t="s">
        <v>99</v>
      </c>
      <c r="B179" s="100" t="s">
        <v>160</v>
      </c>
      <c r="C179" s="115">
        <v>7200</v>
      </c>
      <c r="D179" s="100">
        <f>(C179/12)*10</f>
        <v>6000</v>
      </c>
      <c r="E179" s="103">
        <f>'Monitoramento Acumulado Geral'!Q179</f>
        <v>0</v>
      </c>
      <c r="F179" s="100">
        <f>SUM(E170:E179)</f>
        <v>2632.5</v>
      </c>
      <c r="G179" s="102" t="str">
        <f t="shared" si="37"/>
        <v>Farol Vermelho</v>
      </c>
      <c r="H179" s="116">
        <f t="shared" si="35"/>
        <v>3367.5</v>
      </c>
      <c r="I179" s="100">
        <f t="shared" si="36"/>
        <v>10</v>
      </c>
      <c r="J179" s="117">
        <v>20</v>
      </c>
      <c r="K179" s="118">
        <f>'Monitoramento Acumulado Geral'!P179</f>
        <v>0</v>
      </c>
      <c r="L179" s="100">
        <f>$L170+L178</f>
        <v>16.666666666666664</v>
      </c>
      <c r="M179" s="100">
        <f t="shared" si="42"/>
        <v>14</v>
      </c>
      <c r="N179" s="115"/>
      <c r="O179" s="116" t="e">
        <f t="shared" si="38"/>
        <v>#DIV/0!</v>
      </c>
      <c r="P179" s="115"/>
      <c r="Q179" s="116" t="e">
        <f t="shared" si="39"/>
        <v>#DIV/0!</v>
      </c>
      <c r="R179" s="115"/>
      <c r="S179" s="100" t="e">
        <f t="shared" si="40"/>
        <v>#DIV/0!</v>
      </c>
    </row>
    <row r="180" spans="1:19" ht="15" x14ac:dyDescent="0.2">
      <c r="A180" s="114" t="s">
        <v>99</v>
      </c>
      <c r="B180" s="100" t="s">
        <v>161</v>
      </c>
      <c r="C180" s="115">
        <v>7200</v>
      </c>
      <c r="D180" s="100">
        <f>(C180/12)*11</f>
        <v>6600</v>
      </c>
      <c r="E180" s="103">
        <f>'Monitoramento Acumulado Geral'!Q180</f>
        <v>0</v>
      </c>
      <c r="F180" s="100">
        <f>SUM(E170:E180)</f>
        <v>2632.5</v>
      </c>
      <c r="G180" s="102" t="str">
        <f t="shared" si="37"/>
        <v>Farol Vermelho</v>
      </c>
      <c r="H180" s="116">
        <f t="shared" si="35"/>
        <v>3967.5</v>
      </c>
      <c r="I180" s="100">
        <f t="shared" si="36"/>
        <v>11</v>
      </c>
      <c r="J180" s="117">
        <v>20</v>
      </c>
      <c r="K180" s="118">
        <f>'Monitoramento Acumulado Geral'!P180</f>
        <v>0</v>
      </c>
      <c r="L180" s="100">
        <f>L170+L179</f>
        <v>18.333333333333332</v>
      </c>
      <c r="M180" s="100">
        <f t="shared" si="42"/>
        <v>14</v>
      </c>
      <c r="N180" s="115"/>
      <c r="O180" s="116" t="e">
        <f t="shared" si="38"/>
        <v>#DIV/0!</v>
      </c>
      <c r="P180" s="115"/>
      <c r="Q180" s="116" t="e">
        <f t="shared" si="39"/>
        <v>#DIV/0!</v>
      </c>
      <c r="R180" s="115"/>
      <c r="S180" s="100" t="e">
        <f t="shared" si="40"/>
        <v>#DIV/0!</v>
      </c>
    </row>
    <row r="181" spans="1:19" ht="15" x14ac:dyDescent="0.2">
      <c r="A181" s="114" t="s">
        <v>99</v>
      </c>
      <c r="B181" s="100" t="s">
        <v>162</v>
      </c>
      <c r="C181" s="115">
        <v>7200</v>
      </c>
      <c r="D181" s="100">
        <f>(C181/12)*12</f>
        <v>7200</v>
      </c>
      <c r="E181" s="103">
        <f>'Monitoramento Acumulado Geral'!Q181</f>
        <v>0</v>
      </c>
      <c r="F181" s="100">
        <f>SUM(E170:E181)</f>
        <v>2632.5</v>
      </c>
      <c r="G181" s="102" t="str">
        <f t="shared" si="37"/>
        <v>Farol Vermelho</v>
      </c>
      <c r="H181" s="116">
        <f t="shared" si="35"/>
        <v>4567.5</v>
      </c>
      <c r="I181" s="100">
        <f t="shared" si="36"/>
        <v>12</v>
      </c>
      <c r="J181" s="117">
        <v>20</v>
      </c>
      <c r="K181" s="118">
        <f>'Monitoramento Acumulado Geral'!P181</f>
        <v>0</v>
      </c>
      <c r="L181" s="100">
        <f>$L170+L180</f>
        <v>20</v>
      </c>
      <c r="M181" s="100">
        <f t="shared" si="42"/>
        <v>14</v>
      </c>
      <c r="N181" s="115"/>
      <c r="O181" s="116" t="e">
        <f t="shared" si="38"/>
        <v>#DIV/0!</v>
      </c>
      <c r="P181" s="115"/>
      <c r="Q181" s="116" t="e">
        <f t="shared" si="39"/>
        <v>#DIV/0!</v>
      </c>
      <c r="R181" s="115"/>
      <c r="S181" s="100" t="e">
        <f t="shared" si="40"/>
        <v>#DIV/0!</v>
      </c>
    </row>
    <row r="182" spans="1:19" ht="15" x14ac:dyDescent="0.2">
      <c r="A182" s="114" t="s">
        <v>123</v>
      </c>
      <c r="B182" s="100" t="s">
        <v>151</v>
      </c>
      <c r="C182" s="115">
        <v>34200</v>
      </c>
      <c r="D182" s="100">
        <f>(C182/12)*1</f>
        <v>2850</v>
      </c>
      <c r="E182" s="103">
        <f>'Monitoramento Acumulado Geral'!Q182</f>
        <v>1400</v>
      </c>
      <c r="F182" s="100">
        <f>E182</f>
        <v>1400</v>
      </c>
      <c r="G182" s="102" t="str">
        <f t="shared" si="37"/>
        <v>Farol Vermelho</v>
      </c>
      <c r="H182" s="116">
        <f t="shared" si="35"/>
        <v>1450</v>
      </c>
      <c r="I182" s="100">
        <f t="shared" si="36"/>
        <v>1</v>
      </c>
      <c r="J182" s="117">
        <v>2</v>
      </c>
      <c r="K182" s="118">
        <f>'Monitoramento Acumulado Geral'!P182</f>
        <v>1</v>
      </c>
      <c r="L182" s="100">
        <f>J182/12</f>
        <v>0.16666666666666666</v>
      </c>
      <c r="M182" s="100">
        <f>K182</f>
        <v>1</v>
      </c>
      <c r="N182" s="115">
        <v>0</v>
      </c>
      <c r="O182" s="116" t="e">
        <f t="shared" si="38"/>
        <v>#DIV/0!</v>
      </c>
      <c r="P182" s="115">
        <v>0</v>
      </c>
      <c r="Q182" s="116" t="e">
        <f t="shared" si="39"/>
        <v>#DIV/0!</v>
      </c>
      <c r="R182" s="115">
        <v>0</v>
      </c>
      <c r="S182" s="100" t="e">
        <f t="shared" si="40"/>
        <v>#DIV/0!</v>
      </c>
    </row>
    <row r="183" spans="1:19" ht="15" x14ac:dyDescent="0.2">
      <c r="A183" s="114" t="s">
        <v>123</v>
      </c>
      <c r="B183" s="100" t="s">
        <v>152</v>
      </c>
      <c r="C183" s="115">
        <v>34200</v>
      </c>
      <c r="D183" s="100">
        <f>(C183/12)*2</f>
        <v>5700</v>
      </c>
      <c r="E183" s="103">
        <f>'Monitoramento Acumulado Geral'!Q183</f>
        <v>0</v>
      </c>
      <c r="F183" s="100">
        <f>SUM(E182:E183)</f>
        <v>1400</v>
      </c>
      <c r="G183" s="102" t="str">
        <f t="shared" si="37"/>
        <v>Farol Vermelho</v>
      </c>
      <c r="H183" s="116">
        <f t="shared" si="35"/>
        <v>4300</v>
      </c>
      <c r="I183" s="100">
        <f t="shared" si="36"/>
        <v>2</v>
      </c>
      <c r="J183" s="117">
        <v>2</v>
      </c>
      <c r="K183" s="118">
        <f>'Monitoramento Acumulado Geral'!P183</f>
        <v>0</v>
      </c>
      <c r="L183" s="100">
        <f>L182+L182</f>
        <v>0.33333333333333331</v>
      </c>
      <c r="M183" s="100">
        <f>M182+K183</f>
        <v>1</v>
      </c>
      <c r="N183" s="115">
        <v>0</v>
      </c>
      <c r="O183" s="116" t="e">
        <f t="shared" si="38"/>
        <v>#DIV/0!</v>
      </c>
      <c r="P183" s="115">
        <v>0</v>
      </c>
      <c r="Q183" s="116" t="e">
        <f t="shared" si="39"/>
        <v>#DIV/0!</v>
      </c>
      <c r="R183" s="115">
        <v>0</v>
      </c>
      <c r="S183" s="100" t="e">
        <f t="shared" si="40"/>
        <v>#DIV/0!</v>
      </c>
    </row>
    <row r="184" spans="1:19" ht="15" x14ac:dyDescent="0.2">
      <c r="A184" s="114" t="s">
        <v>123</v>
      </c>
      <c r="B184" s="100" t="s">
        <v>153</v>
      </c>
      <c r="C184" s="115">
        <v>34200</v>
      </c>
      <c r="D184" s="100">
        <f>(C184/12)*3</f>
        <v>8550</v>
      </c>
      <c r="E184" s="103">
        <f>'Monitoramento Acumulado Geral'!Q184</f>
        <v>0</v>
      </c>
      <c r="F184" s="100">
        <f>SUM(E182:E184)</f>
        <v>1400</v>
      </c>
      <c r="G184" s="102" t="str">
        <f t="shared" si="37"/>
        <v>Farol Vermelho</v>
      </c>
      <c r="H184" s="116">
        <f t="shared" si="35"/>
        <v>7150</v>
      </c>
      <c r="I184" s="100">
        <f t="shared" si="36"/>
        <v>3</v>
      </c>
      <c r="J184" s="117">
        <v>2</v>
      </c>
      <c r="K184" s="118">
        <f>'Monitoramento Acumulado Geral'!P184</f>
        <v>0</v>
      </c>
      <c r="L184" s="100">
        <f>$L182+L183</f>
        <v>0.5</v>
      </c>
      <c r="M184" s="100">
        <f t="shared" ref="M184:M193" si="43">M183+K184</f>
        <v>1</v>
      </c>
      <c r="N184" s="115">
        <v>0</v>
      </c>
      <c r="O184" s="116" t="e">
        <f t="shared" si="38"/>
        <v>#DIV/0!</v>
      </c>
      <c r="P184" s="115">
        <v>0</v>
      </c>
      <c r="Q184" s="116" t="e">
        <f t="shared" si="39"/>
        <v>#DIV/0!</v>
      </c>
      <c r="R184" s="115">
        <v>0</v>
      </c>
      <c r="S184" s="100" t="e">
        <f t="shared" si="40"/>
        <v>#DIV/0!</v>
      </c>
    </row>
    <row r="185" spans="1:19" ht="15" x14ac:dyDescent="0.2">
      <c r="A185" s="114" t="s">
        <v>123</v>
      </c>
      <c r="B185" s="100" t="s">
        <v>154</v>
      </c>
      <c r="C185" s="115">
        <v>34200</v>
      </c>
      <c r="D185" s="100">
        <f>(C185/12)*4</f>
        <v>11400</v>
      </c>
      <c r="E185" s="103">
        <f>'Monitoramento Acumulado Geral'!Q185</f>
        <v>0</v>
      </c>
      <c r="F185" s="100">
        <f>SUM(E182:E185)</f>
        <v>1400</v>
      </c>
      <c r="G185" s="102" t="str">
        <f t="shared" si="37"/>
        <v>Farol Vermelho</v>
      </c>
      <c r="H185" s="116">
        <f t="shared" si="35"/>
        <v>10000</v>
      </c>
      <c r="I185" s="100">
        <f t="shared" si="36"/>
        <v>4</v>
      </c>
      <c r="J185" s="117">
        <v>2</v>
      </c>
      <c r="K185" s="118">
        <f>'Monitoramento Acumulado Geral'!P185</f>
        <v>0</v>
      </c>
      <c r="L185" s="100">
        <f>$L182+L184</f>
        <v>0.66666666666666663</v>
      </c>
      <c r="M185" s="100">
        <f t="shared" si="43"/>
        <v>1</v>
      </c>
      <c r="N185" s="115">
        <v>0</v>
      </c>
      <c r="O185" s="116" t="e">
        <f t="shared" si="38"/>
        <v>#DIV/0!</v>
      </c>
      <c r="P185" s="115">
        <v>0</v>
      </c>
      <c r="Q185" s="116" t="e">
        <f t="shared" si="39"/>
        <v>#DIV/0!</v>
      </c>
      <c r="R185" s="115">
        <v>0</v>
      </c>
      <c r="S185" s="100" t="e">
        <f t="shared" si="40"/>
        <v>#DIV/0!</v>
      </c>
    </row>
    <row r="186" spans="1:19" ht="15" x14ac:dyDescent="0.2">
      <c r="A186" s="114" t="s">
        <v>123</v>
      </c>
      <c r="B186" s="100" t="s">
        <v>155</v>
      </c>
      <c r="C186" s="115">
        <v>34200</v>
      </c>
      <c r="D186" s="100">
        <f>(C186/12)*5</f>
        <v>14250</v>
      </c>
      <c r="E186" s="103">
        <f>'Monitoramento Acumulado Geral'!Q186</f>
        <v>0</v>
      </c>
      <c r="F186" s="100">
        <f>SUM(E182:E186)</f>
        <v>1400</v>
      </c>
      <c r="G186" s="102" t="str">
        <f t="shared" si="37"/>
        <v>Farol Vermelho</v>
      </c>
      <c r="H186" s="116">
        <f t="shared" si="35"/>
        <v>12850</v>
      </c>
      <c r="I186" s="100">
        <f t="shared" si="36"/>
        <v>5</v>
      </c>
      <c r="J186" s="117">
        <v>2</v>
      </c>
      <c r="K186" s="118">
        <f>'Monitoramento Acumulado Geral'!P186</f>
        <v>0</v>
      </c>
      <c r="L186" s="100">
        <f>L182+L185</f>
        <v>0.83333333333333326</v>
      </c>
      <c r="M186" s="100">
        <f t="shared" si="43"/>
        <v>1</v>
      </c>
      <c r="N186" s="115">
        <v>1</v>
      </c>
      <c r="O186" s="116">
        <f t="shared" si="38"/>
        <v>0</v>
      </c>
      <c r="P186" s="115">
        <v>0</v>
      </c>
      <c r="Q186" s="116" t="e">
        <f t="shared" si="39"/>
        <v>#DIV/0!</v>
      </c>
      <c r="R186" s="115">
        <v>0</v>
      </c>
      <c r="S186" s="100">
        <f t="shared" si="40"/>
        <v>0</v>
      </c>
    </row>
    <row r="187" spans="1:19" ht="15" x14ac:dyDescent="0.2">
      <c r="A187" s="114" t="s">
        <v>123</v>
      </c>
      <c r="B187" s="100" t="s">
        <v>156</v>
      </c>
      <c r="C187" s="115">
        <v>34200</v>
      </c>
      <c r="D187" s="100">
        <f>(C187/12)*6</f>
        <v>17100</v>
      </c>
      <c r="E187" s="103">
        <f>'Monitoramento Acumulado Geral'!Q187</f>
        <v>0</v>
      </c>
      <c r="F187" s="100">
        <f>SUM(E182:E187)</f>
        <v>1400</v>
      </c>
      <c r="G187" s="102" t="str">
        <f t="shared" si="37"/>
        <v>Farol Vermelho</v>
      </c>
      <c r="H187" s="116">
        <f t="shared" si="35"/>
        <v>15700</v>
      </c>
      <c r="I187" s="100">
        <f t="shared" si="36"/>
        <v>6</v>
      </c>
      <c r="J187" s="117">
        <v>2</v>
      </c>
      <c r="K187" s="118">
        <f>'Monitoramento Acumulado Geral'!P187</f>
        <v>0</v>
      </c>
      <c r="L187" s="100">
        <f>$L182+L186</f>
        <v>0.99999999999999989</v>
      </c>
      <c r="M187" s="100">
        <f t="shared" si="43"/>
        <v>1</v>
      </c>
      <c r="N187" s="115"/>
      <c r="O187" s="116" t="e">
        <f t="shared" si="38"/>
        <v>#DIV/0!</v>
      </c>
      <c r="P187" s="115"/>
      <c r="Q187" s="116" t="e">
        <f t="shared" si="39"/>
        <v>#DIV/0!</v>
      </c>
      <c r="R187" s="115"/>
      <c r="S187" s="100" t="e">
        <f t="shared" si="40"/>
        <v>#DIV/0!</v>
      </c>
    </row>
    <row r="188" spans="1:19" ht="15" x14ac:dyDescent="0.2">
      <c r="A188" s="114" t="s">
        <v>123</v>
      </c>
      <c r="B188" s="100" t="s">
        <v>157</v>
      </c>
      <c r="C188" s="115">
        <v>34200</v>
      </c>
      <c r="D188" s="100">
        <f>(C188/12)*7</f>
        <v>19950</v>
      </c>
      <c r="E188" s="103">
        <f>'Monitoramento Acumulado Geral'!Q188</f>
        <v>12450</v>
      </c>
      <c r="F188" s="100">
        <f>SUM(E182:E188)</f>
        <v>13850</v>
      </c>
      <c r="G188" s="102" t="str">
        <f t="shared" si="37"/>
        <v>Farol Vermelho</v>
      </c>
      <c r="H188" s="116">
        <f t="shared" si="35"/>
        <v>6100</v>
      </c>
      <c r="I188" s="100">
        <f t="shared" si="36"/>
        <v>7</v>
      </c>
      <c r="J188" s="117">
        <v>2</v>
      </c>
      <c r="K188" s="118">
        <f>'Monitoramento Acumulado Geral'!P188</f>
        <v>3</v>
      </c>
      <c r="L188" s="100">
        <f>$L182+L187</f>
        <v>1.1666666666666665</v>
      </c>
      <c r="M188" s="100">
        <f t="shared" si="43"/>
        <v>4</v>
      </c>
      <c r="N188" s="115"/>
      <c r="O188" s="116" t="e">
        <f t="shared" si="38"/>
        <v>#DIV/0!</v>
      </c>
      <c r="P188" s="115"/>
      <c r="Q188" s="116" t="e">
        <f t="shared" si="39"/>
        <v>#DIV/0!</v>
      </c>
      <c r="R188" s="115"/>
      <c r="S188" s="100" t="e">
        <f t="shared" si="40"/>
        <v>#DIV/0!</v>
      </c>
    </row>
    <row r="189" spans="1:19" ht="15" x14ac:dyDescent="0.2">
      <c r="A189" s="114" t="s">
        <v>123</v>
      </c>
      <c r="B189" s="100" t="s">
        <v>158</v>
      </c>
      <c r="C189" s="115">
        <v>34200</v>
      </c>
      <c r="D189" s="100">
        <f>(C189/12)*8</f>
        <v>22800</v>
      </c>
      <c r="E189" s="103">
        <f>'Monitoramento Acumulado Geral'!Q189</f>
        <v>2150</v>
      </c>
      <c r="F189" s="100">
        <f>SUM(E182:E189)</f>
        <v>16000</v>
      </c>
      <c r="G189" s="102" t="str">
        <f t="shared" si="37"/>
        <v>Farol Vermelho</v>
      </c>
      <c r="H189" s="116">
        <f t="shared" si="35"/>
        <v>6800</v>
      </c>
      <c r="I189" s="100">
        <f t="shared" si="36"/>
        <v>8</v>
      </c>
      <c r="J189" s="117">
        <v>2</v>
      </c>
      <c r="K189" s="118">
        <f>'Monitoramento Acumulado Geral'!P189</f>
        <v>2</v>
      </c>
      <c r="L189" s="100">
        <f>L182+L188</f>
        <v>1.3333333333333333</v>
      </c>
      <c r="M189" s="100">
        <f t="shared" si="43"/>
        <v>6</v>
      </c>
      <c r="N189" s="115"/>
      <c r="O189" s="116" t="e">
        <f t="shared" si="38"/>
        <v>#DIV/0!</v>
      </c>
      <c r="P189" s="115"/>
      <c r="Q189" s="116" t="e">
        <f t="shared" si="39"/>
        <v>#DIV/0!</v>
      </c>
      <c r="R189" s="115"/>
      <c r="S189" s="100" t="e">
        <f t="shared" si="40"/>
        <v>#DIV/0!</v>
      </c>
    </row>
    <row r="190" spans="1:19" ht="15" x14ac:dyDescent="0.2">
      <c r="A190" s="114" t="s">
        <v>123</v>
      </c>
      <c r="B190" s="100" t="s">
        <v>159</v>
      </c>
      <c r="C190" s="115">
        <v>34200</v>
      </c>
      <c r="D190" s="100">
        <f>(C190/12)*9</f>
        <v>25650</v>
      </c>
      <c r="E190" s="103">
        <f>'Monitoramento Acumulado Geral'!Q190</f>
        <v>0</v>
      </c>
      <c r="F190" s="100">
        <f>SUM(E182:E190)</f>
        <v>16000</v>
      </c>
      <c r="G190" s="102" t="str">
        <f t="shared" si="37"/>
        <v>Farol Vermelho</v>
      </c>
      <c r="H190" s="116">
        <f t="shared" si="35"/>
        <v>9650</v>
      </c>
      <c r="I190" s="100">
        <f t="shared" si="36"/>
        <v>9</v>
      </c>
      <c r="J190" s="117">
        <v>2</v>
      </c>
      <c r="K190" s="118">
        <f>'Monitoramento Acumulado Geral'!P190</f>
        <v>0</v>
      </c>
      <c r="L190" s="100">
        <f>$L182+L189</f>
        <v>1.5</v>
      </c>
      <c r="M190" s="100">
        <f t="shared" si="43"/>
        <v>6</v>
      </c>
      <c r="N190" s="115"/>
      <c r="O190" s="116" t="e">
        <f t="shared" si="38"/>
        <v>#DIV/0!</v>
      </c>
      <c r="P190" s="115"/>
      <c r="Q190" s="116" t="e">
        <f t="shared" si="39"/>
        <v>#DIV/0!</v>
      </c>
      <c r="R190" s="115"/>
      <c r="S190" s="100" t="e">
        <f t="shared" si="40"/>
        <v>#DIV/0!</v>
      </c>
    </row>
    <row r="191" spans="1:19" ht="15" x14ac:dyDescent="0.2">
      <c r="A191" s="114" t="s">
        <v>123</v>
      </c>
      <c r="B191" s="100" t="s">
        <v>160</v>
      </c>
      <c r="C191" s="115">
        <v>34200</v>
      </c>
      <c r="D191" s="100">
        <f>(C191/12)*10</f>
        <v>28500</v>
      </c>
      <c r="E191" s="103">
        <f>'Monitoramento Acumulado Geral'!Q191</f>
        <v>0</v>
      </c>
      <c r="F191" s="100">
        <f>SUM(E182:E191)</f>
        <v>16000</v>
      </c>
      <c r="G191" s="102" t="str">
        <f t="shared" si="37"/>
        <v>Farol Vermelho</v>
      </c>
      <c r="H191" s="116">
        <f t="shared" si="35"/>
        <v>12500</v>
      </c>
      <c r="I191" s="100">
        <f t="shared" si="36"/>
        <v>10</v>
      </c>
      <c r="J191" s="117">
        <v>2</v>
      </c>
      <c r="K191" s="118">
        <f>'Monitoramento Acumulado Geral'!P191</f>
        <v>0</v>
      </c>
      <c r="L191" s="100">
        <f>$L182+L190</f>
        <v>1.6666666666666667</v>
      </c>
      <c r="M191" s="100">
        <f t="shared" si="43"/>
        <v>6</v>
      </c>
      <c r="N191" s="115"/>
      <c r="O191" s="116" t="e">
        <f t="shared" si="38"/>
        <v>#DIV/0!</v>
      </c>
      <c r="P191" s="115"/>
      <c r="Q191" s="116" t="e">
        <f t="shared" si="39"/>
        <v>#DIV/0!</v>
      </c>
      <c r="R191" s="115"/>
      <c r="S191" s="100" t="e">
        <f t="shared" si="40"/>
        <v>#DIV/0!</v>
      </c>
    </row>
    <row r="192" spans="1:19" ht="15" x14ac:dyDescent="0.2">
      <c r="A192" s="114" t="s">
        <v>123</v>
      </c>
      <c r="B192" s="100" t="s">
        <v>161</v>
      </c>
      <c r="C192" s="115">
        <v>34200</v>
      </c>
      <c r="D192" s="100">
        <f>(C192/12)*11</f>
        <v>31350</v>
      </c>
      <c r="E192" s="103">
        <f>'Monitoramento Acumulado Geral'!Q192</f>
        <v>0</v>
      </c>
      <c r="F192" s="100">
        <f>SUM(E182:E192)</f>
        <v>16000</v>
      </c>
      <c r="G192" s="102" t="str">
        <f t="shared" si="37"/>
        <v>Farol Vermelho</v>
      </c>
      <c r="H192" s="116">
        <f t="shared" si="35"/>
        <v>15350</v>
      </c>
      <c r="I192" s="100">
        <f t="shared" si="36"/>
        <v>11</v>
      </c>
      <c r="J192" s="117">
        <v>2</v>
      </c>
      <c r="K192" s="118">
        <f>'Monitoramento Acumulado Geral'!P192</f>
        <v>0</v>
      </c>
      <c r="L192" s="100">
        <f>L182+L191</f>
        <v>1.8333333333333335</v>
      </c>
      <c r="M192" s="100">
        <f t="shared" si="43"/>
        <v>6</v>
      </c>
      <c r="N192" s="115"/>
      <c r="O192" s="116" t="e">
        <f t="shared" si="38"/>
        <v>#DIV/0!</v>
      </c>
      <c r="P192" s="115"/>
      <c r="Q192" s="116" t="e">
        <f t="shared" si="39"/>
        <v>#DIV/0!</v>
      </c>
      <c r="R192" s="115"/>
      <c r="S192" s="100" t="e">
        <f t="shared" si="40"/>
        <v>#DIV/0!</v>
      </c>
    </row>
    <row r="193" spans="1:19" ht="15" x14ac:dyDescent="0.2">
      <c r="A193" s="114" t="s">
        <v>123</v>
      </c>
      <c r="B193" s="100" t="s">
        <v>162</v>
      </c>
      <c r="C193" s="115">
        <v>34200</v>
      </c>
      <c r="D193" s="100">
        <f>(C193/12)*12</f>
        <v>34200</v>
      </c>
      <c r="E193" s="103">
        <f>'Monitoramento Acumulado Geral'!Q193</f>
        <v>0</v>
      </c>
      <c r="F193" s="100">
        <f>SUM(E182:E193)</f>
        <v>16000</v>
      </c>
      <c r="G193" s="102" t="str">
        <f t="shared" si="37"/>
        <v>Farol Vermelho</v>
      </c>
      <c r="H193" s="116">
        <f t="shared" si="35"/>
        <v>18200</v>
      </c>
      <c r="I193" s="100">
        <f t="shared" si="36"/>
        <v>12</v>
      </c>
      <c r="J193" s="117">
        <v>2</v>
      </c>
      <c r="K193" s="118">
        <f>'Monitoramento Acumulado Geral'!P193</f>
        <v>0</v>
      </c>
      <c r="L193" s="100">
        <f>$L182+L192</f>
        <v>2</v>
      </c>
      <c r="M193" s="100">
        <f t="shared" si="43"/>
        <v>6</v>
      </c>
      <c r="N193" s="115"/>
      <c r="O193" s="116" t="e">
        <f t="shared" si="38"/>
        <v>#DIV/0!</v>
      </c>
      <c r="P193" s="115"/>
      <c r="Q193" s="116" t="e">
        <f t="shared" si="39"/>
        <v>#DIV/0!</v>
      </c>
      <c r="R193" s="115"/>
      <c r="S193" s="100" t="e">
        <f t="shared" si="40"/>
        <v>#DIV/0!</v>
      </c>
    </row>
    <row r="194" spans="1:19" ht="15" x14ac:dyDescent="0.2">
      <c r="A194" s="114" t="s">
        <v>92</v>
      </c>
      <c r="B194" s="100" t="s">
        <v>151</v>
      </c>
      <c r="C194" s="115">
        <v>85000</v>
      </c>
      <c r="D194" s="100">
        <f>(C194/12)*1</f>
        <v>7083.333333333333</v>
      </c>
      <c r="E194" s="103">
        <f>'Monitoramento Acumulado Geral'!Q194</f>
        <v>0</v>
      </c>
      <c r="F194" s="100">
        <f>E194</f>
        <v>0</v>
      </c>
      <c r="G194" s="102" t="str">
        <f t="shared" si="37"/>
        <v>Farol Vermelho</v>
      </c>
      <c r="H194" s="116">
        <f t="shared" si="35"/>
        <v>7083.333333333333</v>
      </c>
      <c r="I194" s="100">
        <f t="shared" si="36"/>
        <v>1</v>
      </c>
      <c r="J194" s="117">
        <v>25</v>
      </c>
      <c r="K194" s="118">
        <f>'Monitoramento Acumulado Geral'!P194</f>
        <v>0</v>
      </c>
      <c r="L194" s="100">
        <f>J194/12</f>
        <v>2.0833333333333335</v>
      </c>
      <c r="M194" s="100">
        <f>K194</f>
        <v>0</v>
      </c>
      <c r="N194" s="115">
        <v>0</v>
      </c>
      <c r="O194" s="116" t="e">
        <f t="shared" si="38"/>
        <v>#DIV/0!</v>
      </c>
      <c r="P194" s="115">
        <v>0</v>
      </c>
      <c r="Q194" s="116" t="e">
        <f t="shared" si="39"/>
        <v>#DIV/0!</v>
      </c>
      <c r="R194" s="115">
        <v>0</v>
      </c>
      <c r="S194" s="100" t="e">
        <f t="shared" si="40"/>
        <v>#DIV/0!</v>
      </c>
    </row>
    <row r="195" spans="1:19" ht="15" x14ac:dyDescent="0.2">
      <c r="A195" s="114" t="s">
        <v>92</v>
      </c>
      <c r="B195" s="100" t="s">
        <v>152</v>
      </c>
      <c r="C195" s="115">
        <v>85000</v>
      </c>
      <c r="D195" s="100">
        <f>(C195/12)*2</f>
        <v>14166.666666666666</v>
      </c>
      <c r="E195" s="103">
        <f>'Monitoramento Acumulado Geral'!Q195</f>
        <v>0</v>
      </c>
      <c r="F195" s="100">
        <f>SUM(E194:E195)</f>
        <v>0</v>
      </c>
      <c r="G195" s="102" t="str">
        <f t="shared" si="37"/>
        <v>Farol Vermelho</v>
      </c>
      <c r="H195" s="116">
        <f t="shared" si="35"/>
        <v>14166.666666666666</v>
      </c>
      <c r="I195" s="100">
        <f t="shared" si="36"/>
        <v>2</v>
      </c>
      <c r="J195" s="117">
        <v>25</v>
      </c>
      <c r="K195" s="118">
        <f>'Monitoramento Acumulado Geral'!P195</f>
        <v>0</v>
      </c>
      <c r="L195" s="100">
        <f>L194+L194</f>
        <v>4.166666666666667</v>
      </c>
      <c r="M195" s="100">
        <f>M194+K195</f>
        <v>0</v>
      </c>
      <c r="N195" s="115">
        <v>0</v>
      </c>
      <c r="O195" s="116" t="e">
        <f t="shared" si="38"/>
        <v>#DIV/0!</v>
      </c>
      <c r="P195" s="115">
        <v>0</v>
      </c>
      <c r="Q195" s="116" t="e">
        <f t="shared" si="39"/>
        <v>#DIV/0!</v>
      </c>
      <c r="R195" s="115">
        <v>0</v>
      </c>
      <c r="S195" s="100" t="e">
        <f t="shared" si="40"/>
        <v>#DIV/0!</v>
      </c>
    </row>
    <row r="196" spans="1:19" ht="15" x14ac:dyDescent="0.2">
      <c r="A196" s="114" t="s">
        <v>92</v>
      </c>
      <c r="B196" s="100" t="s">
        <v>153</v>
      </c>
      <c r="C196" s="115">
        <v>85000</v>
      </c>
      <c r="D196" s="100">
        <f>(C196/12)*3</f>
        <v>21250</v>
      </c>
      <c r="E196" s="103">
        <f>'Monitoramento Acumulado Geral'!Q196</f>
        <v>4275</v>
      </c>
      <c r="F196" s="100">
        <f>SUM(E194:E196)</f>
        <v>4275</v>
      </c>
      <c r="G196" s="102" t="str">
        <f t="shared" si="37"/>
        <v>Farol Vermelho</v>
      </c>
      <c r="H196" s="116">
        <f t="shared" si="35"/>
        <v>16975</v>
      </c>
      <c r="I196" s="100">
        <f t="shared" si="36"/>
        <v>3</v>
      </c>
      <c r="J196" s="117">
        <v>25</v>
      </c>
      <c r="K196" s="118">
        <f>'Monitoramento Acumulado Geral'!P196</f>
        <v>2</v>
      </c>
      <c r="L196" s="100">
        <f>$L194+L195</f>
        <v>6.25</v>
      </c>
      <c r="M196" s="100">
        <f t="shared" ref="M196:M205" si="44">M195+K196</f>
        <v>2</v>
      </c>
      <c r="N196" s="115">
        <v>0</v>
      </c>
      <c r="O196" s="116" t="e">
        <f t="shared" si="38"/>
        <v>#DIV/0!</v>
      </c>
      <c r="P196" s="115">
        <v>0</v>
      </c>
      <c r="Q196" s="116" t="e">
        <f t="shared" si="39"/>
        <v>#DIV/0!</v>
      </c>
      <c r="R196" s="115">
        <v>0</v>
      </c>
      <c r="S196" s="100" t="e">
        <f t="shared" si="40"/>
        <v>#DIV/0!</v>
      </c>
    </row>
    <row r="197" spans="1:19" ht="15" x14ac:dyDescent="0.2">
      <c r="A197" s="114" t="s">
        <v>92</v>
      </c>
      <c r="B197" s="100" t="s">
        <v>154</v>
      </c>
      <c r="C197" s="115">
        <v>85000</v>
      </c>
      <c r="D197" s="100">
        <f>(C197/12)*4</f>
        <v>28333.333333333332</v>
      </c>
      <c r="E197" s="103">
        <f>'Monitoramento Acumulado Geral'!Q197</f>
        <v>0</v>
      </c>
      <c r="F197" s="100">
        <f>SUM(E194:E197)</f>
        <v>4275</v>
      </c>
      <c r="G197" s="102" t="str">
        <f t="shared" si="37"/>
        <v>Farol Vermelho</v>
      </c>
      <c r="H197" s="116">
        <f t="shared" si="35"/>
        <v>24058.333333333332</v>
      </c>
      <c r="I197" s="100">
        <f t="shared" si="36"/>
        <v>4</v>
      </c>
      <c r="J197" s="117">
        <v>25</v>
      </c>
      <c r="K197" s="118">
        <f>'Monitoramento Acumulado Geral'!P197</f>
        <v>0</v>
      </c>
      <c r="L197" s="100">
        <f>$L194+L196</f>
        <v>8.3333333333333339</v>
      </c>
      <c r="M197" s="100">
        <f t="shared" si="44"/>
        <v>2</v>
      </c>
      <c r="N197" s="115">
        <v>0</v>
      </c>
      <c r="O197" s="116" t="e">
        <f t="shared" si="38"/>
        <v>#DIV/0!</v>
      </c>
      <c r="P197" s="115">
        <v>0</v>
      </c>
      <c r="Q197" s="116" t="e">
        <f t="shared" si="39"/>
        <v>#DIV/0!</v>
      </c>
      <c r="R197" s="115">
        <v>0</v>
      </c>
      <c r="S197" s="100" t="e">
        <f t="shared" si="40"/>
        <v>#DIV/0!</v>
      </c>
    </row>
    <row r="198" spans="1:19" ht="15" x14ac:dyDescent="0.2">
      <c r="A198" s="114" t="s">
        <v>92</v>
      </c>
      <c r="B198" s="100" t="s">
        <v>155</v>
      </c>
      <c r="C198" s="115">
        <v>85000</v>
      </c>
      <c r="D198" s="100">
        <f>(C198/12)*5</f>
        <v>35416.666666666664</v>
      </c>
      <c r="E198" s="103">
        <f>'Monitoramento Acumulado Geral'!Q198</f>
        <v>6600</v>
      </c>
      <c r="F198" s="100">
        <f>SUM(E194:E198)</f>
        <v>10875</v>
      </c>
      <c r="G198" s="102" t="str">
        <f t="shared" si="37"/>
        <v>Farol Vermelho</v>
      </c>
      <c r="H198" s="116">
        <f t="shared" si="35"/>
        <v>24541.666666666664</v>
      </c>
      <c r="I198" s="100">
        <f t="shared" si="36"/>
        <v>5</v>
      </c>
      <c r="J198" s="117">
        <v>25</v>
      </c>
      <c r="K198" s="118">
        <f>'Monitoramento Acumulado Geral'!P198</f>
        <v>2</v>
      </c>
      <c r="L198" s="100">
        <f>L194+L197</f>
        <v>10.416666666666668</v>
      </c>
      <c r="M198" s="100">
        <f t="shared" si="44"/>
        <v>4</v>
      </c>
      <c r="N198" s="115">
        <v>0</v>
      </c>
      <c r="O198" s="116" t="e">
        <f t="shared" si="38"/>
        <v>#DIV/0!</v>
      </c>
      <c r="P198" s="115">
        <v>0</v>
      </c>
      <c r="Q198" s="116" t="e">
        <f t="shared" si="39"/>
        <v>#DIV/0!</v>
      </c>
      <c r="R198" s="115">
        <v>0</v>
      </c>
      <c r="S198" s="100" t="e">
        <f t="shared" si="40"/>
        <v>#DIV/0!</v>
      </c>
    </row>
    <row r="199" spans="1:19" ht="15" x14ac:dyDescent="0.2">
      <c r="A199" s="114" t="s">
        <v>92</v>
      </c>
      <c r="B199" s="100" t="s">
        <v>156</v>
      </c>
      <c r="C199" s="115">
        <v>85000</v>
      </c>
      <c r="D199" s="100">
        <f>(C199/12)*6</f>
        <v>42500</v>
      </c>
      <c r="E199" s="103">
        <f>'Monitoramento Acumulado Geral'!Q199</f>
        <v>0</v>
      </c>
      <c r="F199" s="100">
        <f>SUM(E194:E199)</f>
        <v>10875</v>
      </c>
      <c r="G199" s="102" t="str">
        <f t="shared" si="37"/>
        <v>Farol Vermelho</v>
      </c>
      <c r="H199" s="116">
        <f t="shared" si="35"/>
        <v>31625</v>
      </c>
      <c r="I199" s="100">
        <f t="shared" si="36"/>
        <v>6</v>
      </c>
      <c r="J199" s="117">
        <v>25</v>
      </c>
      <c r="K199" s="118">
        <f>'Monitoramento Acumulado Geral'!P199</f>
        <v>0</v>
      </c>
      <c r="L199" s="100">
        <f>$L194+L198</f>
        <v>12.500000000000002</v>
      </c>
      <c r="M199" s="100">
        <f t="shared" si="44"/>
        <v>4</v>
      </c>
      <c r="N199" s="115">
        <v>10</v>
      </c>
      <c r="O199" s="116">
        <f t="shared" si="38"/>
        <v>0.5</v>
      </c>
      <c r="P199" s="115">
        <v>5</v>
      </c>
      <c r="Q199" s="116">
        <f t="shared" si="39"/>
        <v>0</v>
      </c>
      <c r="R199" s="115">
        <v>0</v>
      </c>
      <c r="S199" s="100">
        <f t="shared" si="40"/>
        <v>0</v>
      </c>
    </row>
    <row r="200" spans="1:19" ht="15" x14ac:dyDescent="0.2">
      <c r="A200" s="114" t="s">
        <v>92</v>
      </c>
      <c r="B200" s="100" t="s">
        <v>157</v>
      </c>
      <c r="C200" s="115">
        <v>85000</v>
      </c>
      <c r="D200" s="100">
        <f>(C200/12)*7</f>
        <v>49583.333333333328</v>
      </c>
      <c r="E200" s="103">
        <f>'Monitoramento Acumulado Geral'!Q200</f>
        <v>2750</v>
      </c>
      <c r="F200" s="100">
        <f>SUM(E194:E200)</f>
        <v>13625</v>
      </c>
      <c r="G200" s="102" t="str">
        <f t="shared" si="37"/>
        <v>Farol Vermelho</v>
      </c>
      <c r="H200" s="116">
        <f t="shared" si="35"/>
        <v>35958.333333333328</v>
      </c>
      <c r="I200" s="100">
        <f t="shared" si="36"/>
        <v>7</v>
      </c>
      <c r="J200" s="117">
        <v>25</v>
      </c>
      <c r="K200" s="118">
        <f>'Monitoramento Acumulado Geral'!P200</f>
        <v>1</v>
      </c>
      <c r="L200" s="100">
        <f>$L194+L199</f>
        <v>14.583333333333336</v>
      </c>
      <c r="M200" s="100">
        <f t="shared" si="44"/>
        <v>5</v>
      </c>
      <c r="N200" s="115"/>
      <c r="O200" s="116" t="e">
        <f t="shared" si="38"/>
        <v>#DIV/0!</v>
      </c>
      <c r="P200" s="115"/>
      <c r="Q200" s="116" t="e">
        <f t="shared" si="39"/>
        <v>#DIV/0!</v>
      </c>
      <c r="R200" s="115"/>
      <c r="S200" s="100" t="e">
        <f t="shared" si="40"/>
        <v>#DIV/0!</v>
      </c>
    </row>
    <row r="201" spans="1:19" ht="15" x14ac:dyDescent="0.2">
      <c r="A201" s="114" t="s">
        <v>92</v>
      </c>
      <c r="B201" s="100" t="s">
        <v>158</v>
      </c>
      <c r="C201" s="115">
        <v>85000</v>
      </c>
      <c r="D201" s="100">
        <f>(C201/12)*8</f>
        <v>56666.666666666664</v>
      </c>
      <c r="E201" s="103">
        <f>'Monitoramento Acumulado Geral'!Q201</f>
        <v>9000</v>
      </c>
      <c r="F201" s="100">
        <f>SUM(E194:E201)</f>
        <v>22625</v>
      </c>
      <c r="G201" s="102" t="str">
        <f t="shared" si="37"/>
        <v>Farol Vermelho</v>
      </c>
      <c r="H201" s="116">
        <f t="shared" si="35"/>
        <v>34041.666666666664</v>
      </c>
      <c r="I201" s="100">
        <f t="shared" si="36"/>
        <v>8</v>
      </c>
      <c r="J201" s="117">
        <v>25</v>
      </c>
      <c r="K201" s="118">
        <f>'Monitoramento Acumulado Geral'!P201</f>
        <v>6</v>
      </c>
      <c r="L201" s="100">
        <f>L194+L200</f>
        <v>16.666666666666668</v>
      </c>
      <c r="M201" s="100">
        <f t="shared" si="44"/>
        <v>11</v>
      </c>
      <c r="N201" s="115"/>
      <c r="O201" s="116" t="e">
        <f t="shared" si="38"/>
        <v>#DIV/0!</v>
      </c>
      <c r="P201" s="115"/>
      <c r="Q201" s="116" t="e">
        <f t="shared" si="39"/>
        <v>#DIV/0!</v>
      </c>
      <c r="R201" s="115"/>
      <c r="S201" s="100" t="e">
        <f t="shared" si="40"/>
        <v>#DIV/0!</v>
      </c>
    </row>
    <row r="202" spans="1:19" ht="15" x14ac:dyDescent="0.2">
      <c r="A202" s="114" t="s">
        <v>92</v>
      </c>
      <c r="B202" s="100" t="s">
        <v>159</v>
      </c>
      <c r="C202" s="115">
        <v>85000</v>
      </c>
      <c r="D202" s="100">
        <f>(C202/12)*9</f>
        <v>63750</v>
      </c>
      <c r="E202" s="103">
        <f>'Monitoramento Acumulado Geral'!Q202</f>
        <v>20650</v>
      </c>
      <c r="F202" s="100">
        <f>SUM(E194:E202)</f>
        <v>43275</v>
      </c>
      <c r="G202" s="102" t="str">
        <f t="shared" si="37"/>
        <v>Farol Vermelho</v>
      </c>
      <c r="H202" s="116">
        <f t="shared" si="35"/>
        <v>20475</v>
      </c>
      <c r="I202" s="100">
        <f t="shared" si="36"/>
        <v>9</v>
      </c>
      <c r="J202" s="117">
        <v>25</v>
      </c>
      <c r="K202" s="118">
        <f>'Monitoramento Acumulado Geral'!P202</f>
        <v>6</v>
      </c>
      <c r="L202" s="100">
        <f>$L194+L201</f>
        <v>18.75</v>
      </c>
      <c r="M202" s="100">
        <f t="shared" si="44"/>
        <v>17</v>
      </c>
      <c r="N202" s="115"/>
      <c r="O202" s="116" t="e">
        <f t="shared" si="38"/>
        <v>#DIV/0!</v>
      </c>
      <c r="P202" s="115"/>
      <c r="Q202" s="116" t="e">
        <f t="shared" si="39"/>
        <v>#DIV/0!</v>
      </c>
      <c r="R202" s="115"/>
      <c r="S202" s="100" t="e">
        <f t="shared" si="40"/>
        <v>#DIV/0!</v>
      </c>
    </row>
    <row r="203" spans="1:19" ht="15" x14ac:dyDescent="0.2">
      <c r="A203" s="114" t="s">
        <v>92</v>
      </c>
      <c r="B203" s="100" t="s">
        <v>160</v>
      </c>
      <c r="C203" s="115">
        <v>85000</v>
      </c>
      <c r="D203" s="100">
        <f>(C203/12)*10</f>
        <v>70833.333333333328</v>
      </c>
      <c r="E203" s="103">
        <f>'Monitoramento Acumulado Geral'!Q203</f>
        <v>0</v>
      </c>
      <c r="F203" s="100">
        <f>SUM(E194:E203)</f>
        <v>43275</v>
      </c>
      <c r="G203" s="102" t="str">
        <f t="shared" si="37"/>
        <v>Farol Vermelho</v>
      </c>
      <c r="H203" s="116">
        <f t="shared" si="35"/>
        <v>27558.333333333328</v>
      </c>
      <c r="I203" s="100">
        <f t="shared" si="36"/>
        <v>10</v>
      </c>
      <c r="J203" s="117">
        <v>25</v>
      </c>
      <c r="K203" s="118">
        <f>'Monitoramento Acumulado Geral'!P203</f>
        <v>0</v>
      </c>
      <c r="L203" s="100">
        <f>$L194+L202</f>
        <v>20.833333333333332</v>
      </c>
      <c r="M203" s="100">
        <f t="shared" si="44"/>
        <v>17</v>
      </c>
      <c r="N203" s="115"/>
      <c r="O203" s="116" t="e">
        <f t="shared" si="38"/>
        <v>#DIV/0!</v>
      </c>
      <c r="P203" s="115"/>
      <c r="Q203" s="116" t="e">
        <f t="shared" si="39"/>
        <v>#DIV/0!</v>
      </c>
      <c r="R203" s="115"/>
      <c r="S203" s="100" t="e">
        <f t="shared" si="40"/>
        <v>#DIV/0!</v>
      </c>
    </row>
    <row r="204" spans="1:19" ht="15" x14ac:dyDescent="0.2">
      <c r="A204" s="114" t="s">
        <v>92</v>
      </c>
      <c r="B204" s="100" t="s">
        <v>161</v>
      </c>
      <c r="C204" s="115">
        <v>85000</v>
      </c>
      <c r="D204" s="100">
        <f>(C204/12)*11</f>
        <v>77916.666666666657</v>
      </c>
      <c r="E204" s="103">
        <f>'Monitoramento Acumulado Geral'!Q204</f>
        <v>0</v>
      </c>
      <c r="F204" s="100">
        <f>SUM(E194:E204)</f>
        <v>43275</v>
      </c>
      <c r="G204" s="102" t="str">
        <f t="shared" si="37"/>
        <v>Farol Vermelho</v>
      </c>
      <c r="H204" s="116">
        <f t="shared" si="35"/>
        <v>34641.666666666657</v>
      </c>
      <c r="I204" s="100">
        <f t="shared" si="36"/>
        <v>11</v>
      </c>
      <c r="J204" s="117">
        <v>25</v>
      </c>
      <c r="K204" s="118">
        <f>'Monitoramento Acumulado Geral'!P204</f>
        <v>0</v>
      </c>
      <c r="L204" s="100">
        <f>L194+L203</f>
        <v>22.916666666666664</v>
      </c>
      <c r="M204" s="100">
        <f t="shared" si="44"/>
        <v>17</v>
      </c>
      <c r="N204" s="115"/>
      <c r="O204" s="116" t="e">
        <f t="shared" si="38"/>
        <v>#DIV/0!</v>
      </c>
      <c r="P204" s="115"/>
      <c r="Q204" s="116" t="e">
        <f t="shared" si="39"/>
        <v>#DIV/0!</v>
      </c>
      <c r="R204" s="115"/>
      <c r="S204" s="100" t="e">
        <f t="shared" si="40"/>
        <v>#DIV/0!</v>
      </c>
    </row>
    <row r="205" spans="1:19" ht="15" x14ac:dyDescent="0.2">
      <c r="A205" s="114" t="s">
        <v>92</v>
      </c>
      <c r="B205" s="100" t="s">
        <v>162</v>
      </c>
      <c r="C205" s="115">
        <v>85000</v>
      </c>
      <c r="D205" s="100">
        <f>(C205/12)*12</f>
        <v>85000</v>
      </c>
      <c r="E205" s="103">
        <f>'Monitoramento Acumulado Geral'!Q205</f>
        <v>0</v>
      </c>
      <c r="F205" s="100">
        <f>SUM(E194:E205)</f>
        <v>43275</v>
      </c>
      <c r="G205" s="102" t="str">
        <f t="shared" si="37"/>
        <v>Farol Vermelho</v>
      </c>
      <c r="H205" s="116">
        <f t="shared" si="35"/>
        <v>41725</v>
      </c>
      <c r="I205" s="100">
        <f t="shared" si="36"/>
        <v>12</v>
      </c>
      <c r="J205" s="117">
        <v>25</v>
      </c>
      <c r="K205" s="118">
        <f>'Monitoramento Acumulado Geral'!P205</f>
        <v>0</v>
      </c>
      <c r="L205" s="100">
        <f>$L194+L204</f>
        <v>24.999999999999996</v>
      </c>
      <c r="M205" s="100">
        <f t="shared" si="44"/>
        <v>17</v>
      </c>
      <c r="N205" s="115"/>
      <c r="O205" s="116" t="e">
        <f t="shared" si="38"/>
        <v>#DIV/0!</v>
      </c>
      <c r="P205" s="115"/>
      <c r="Q205" s="116" t="e">
        <f t="shared" si="39"/>
        <v>#DIV/0!</v>
      </c>
      <c r="R205" s="115"/>
      <c r="S205" s="100" t="e">
        <f t="shared" si="40"/>
        <v>#DIV/0!</v>
      </c>
    </row>
    <row r="206" spans="1:19" ht="15" x14ac:dyDescent="0.2">
      <c r="A206" s="114" t="s">
        <v>37</v>
      </c>
      <c r="B206" s="100" t="s">
        <v>151</v>
      </c>
      <c r="C206" s="115">
        <v>6600</v>
      </c>
      <c r="D206" s="100">
        <f>(C206/12)*1</f>
        <v>550</v>
      </c>
      <c r="E206" s="103">
        <f>'Monitoramento Acumulado Geral'!Q206</f>
        <v>0</v>
      </c>
      <c r="F206" s="100">
        <f>E206</f>
        <v>0</v>
      </c>
      <c r="G206" s="102" t="str">
        <f t="shared" si="37"/>
        <v>Farol Vermelho</v>
      </c>
      <c r="H206" s="116">
        <f t="shared" si="35"/>
        <v>550</v>
      </c>
      <c r="I206" s="100">
        <f t="shared" si="36"/>
        <v>1</v>
      </c>
      <c r="J206" s="119">
        <v>6</v>
      </c>
      <c r="K206" s="118">
        <f>'Monitoramento Acumulado Geral'!P206</f>
        <v>0</v>
      </c>
      <c r="L206" s="100">
        <f>J206/12</f>
        <v>0.5</v>
      </c>
      <c r="M206" s="100">
        <f>K206</f>
        <v>0</v>
      </c>
      <c r="N206" s="115">
        <v>0</v>
      </c>
      <c r="O206" s="116" t="e">
        <f t="shared" si="38"/>
        <v>#DIV/0!</v>
      </c>
      <c r="P206" s="115">
        <v>0</v>
      </c>
      <c r="Q206" s="116" t="e">
        <f t="shared" si="39"/>
        <v>#DIV/0!</v>
      </c>
      <c r="R206" s="115">
        <v>0</v>
      </c>
      <c r="S206" s="100" t="e">
        <f t="shared" si="40"/>
        <v>#DIV/0!</v>
      </c>
    </row>
    <row r="207" spans="1:19" ht="15" x14ac:dyDescent="0.2">
      <c r="A207" s="114" t="s">
        <v>37</v>
      </c>
      <c r="B207" s="100" t="s">
        <v>152</v>
      </c>
      <c r="C207" s="115">
        <v>6600</v>
      </c>
      <c r="D207" s="100">
        <f>(C207/12)*2</f>
        <v>1100</v>
      </c>
      <c r="E207" s="103">
        <f>'Monitoramento Acumulado Geral'!Q207</f>
        <v>0</v>
      </c>
      <c r="F207" s="100">
        <f>SUM(E206:E207)</f>
        <v>0</v>
      </c>
      <c r="G207" s="102" t="str">
        <f t="shared" si="37"/>
        <v>Farol Vermelho</v>
      </c>
      <c r="H207" s="116">
        <f t="shared" si="35"/>
        <v>1100</v>
      </c>
      <c r="I207" s="100">
        <f t="shared" si="36"/>
        <v>2</v>
      </c>
      <c r="J207" s="119">
        <v>6</v>
      </c>
      <c r="K207" s="118">
        <f>'Monitoramento Acumulado Geral'!P207</f>
        <v>0</v>
      </c>
      <c r="L207" s="100">
        <f>L206+L206</f>
        <v>1</v>
      </c>
      <c r="M207" s="100">
        <f>M206+K207</f>
        <v>0</v>
      </c>
      <c r="N207" s="115">
        <v>0</v>
      </c>
      <c r="O207" s="116" t="e">
        <f t="shared" si="38"/>
        <v>#DIV/0!</v>
      </c>
      <c r="P207" s="115">
        <v>0</v>
      </c>
      <c r="Q207" s="116" t="e">
        <f t="shared" si="39"/>
        <v>#DIV/0!</v>
      </c>
      <c r="R207" s="115">
        <v>0</v>
      </c>
      <c r="S207" s="100" t="e">
        <f t="shared" si="40"/>
        <v>#DIV/0!</v>
      </c>
    </row>
    <row r="208" spans="1:19" ht="15" x14ac:dyDescent="0.2">
      <c r="A208" s="114" t="s">
        <v>37</v>
      </c>
      <c r="B208" s="100" t="s">
        <v>153</v>
      </c>
      <c r="C208" s="115">
        <v>6600</v>
      </c>
      <c r="D208" s="100">
        <f>(C208/12)*3</f>
        <v>1650</v>
      </c>
      <c r="E208" s="103">
        <f>'Monitoramento Acumulado Geral'!Q208</f>
        <v>1800</v>
      </c>
      <c r="F208" s="100">
        <f>SUM(E206:E208)</f>
        <v>1800</v>
      </c>
      <c r="G208" s="102" t="str">
        <f t="shared" si="37"/>
        <v>Farol Verde</v>
      </c>
      <c r="H208" s="116">
        <f t="shared" si="35"/>
        <v>0</v>
      </c>
      <c r="I208" s="100">
        <f t="shared" si="36"/>
        <v>3</v>
      </c>
      <c r="J208" s="119">
        <v>6</v>
      </c>
      <c r="K208" s="118">
        <f>'Monitoramento Acumulado Geral'!P208</f>
        <v>2</v>
      </c>
      <c r="L208" s="100">
        <f>$L206+L207</f>
        <v>1.5</v>
      </c>
      <c r="M208" s="100">
        <f t="shared" ref="M208:M217" si="45">M207+K208</f>
        <v>2</v>
      </c>
      <c r="N208" s="115">
        <v>0</v>
      </c>
      <c r="O208" s="116" t="e">
        <f t="shared" si="38"/>
        <v>#DIV/0!</v>
      </c>
      <c r="P208" s="115">
        <v>0</v>
      </c>
      <c r="Q208" s="116" t="e">
        <f t="shared" si="39"/>
        <v>#DIV/0!</v>
      </c>
      <c r="R208" s="115">
        <v>0</v>
      </c>
      <c r="S208" s="100" t="e">
        <f t="shared" si="40"/>
        <v>#DIV/0!</v>
      </c>
    </row>
    <row r="209" spans="1:19" ht="15" x14ac:dyDescent="0.2">
      <c r="A209" s="114" t="s">
        <v>37</v>
      </c>
      <c r="B209" s="100" t="s">
        <v>154</v>
      </c>
      <c r="C209" s="115">
        <v>6600</v>
      </c>
      <c r="D209" s="100">
        <f>(C209/12)*4</f>
        <v>2200</v>
      </c>
      <c r="E209" s="103">
        <f>'Monitoramento Acumulado Geral'!Q209</f>
        <v>0</v>
      </c>
      <c r="F209" s="100">
        <f>SUM(E206:E209)</f>
        <v>1800</v>
      </c>
      <c r="G209" s="102" t="str">
        <f t="shared" si="37"/>
        <v>Farol Vermelho</v>
      </c>
      <c r="H209" s="116">
        <f t="shared" si="35"/>
        <v>400</v>
      </c>
      <c r="I209" s="100">
        <f t="shared" si="36"/>
        <v>4</v>
      </c>
      <c r="J209" s="119">
        <v>6</v>
      </c>
      <c r="K209" s="118">
        <f>'Monitoramento Acumulado Geral'!P209</f>
        <v>0</v>
      </c>
      <c r="L209" s="100">
        <f>$L206+L208</f>
        <v>2</v>
      </c>
      <c r="M209" s="100">
        <f t="shared" si="45"/>
        <v>2</v>
      </c>
      <c r="N209" s="115">
        <v>0</v>
      </c>
      <c r="O209" s="116" t="e">
        <f t="shared" si="38"/>
        <v>#DIV/0!</v>
      </c>
      <c r="P209" s="115">
        <v>0</v>
      </c>
      <c r="Q209" s="116" t="e">
        <f t="shared" si="39"/>
        <v>#DIV/0!</v>
      </c>
      <c r="R209" s="115">
        <v>0</v>
      </c>
      <c r="S209" s="100" t="e">
        <f t="shared" si="40"/>
        <v>#DIV/0!</v>
      </c>
    </row>
    <row r="210" spans="1:19" ht="15" x14ac:dyDescent="0.2">
      <c r="A210" s="114" t="s">
        <v>37</v>
      </c>
      <c r="B210" s="100" t="s">
        <v>155</v>
      </c>
      <c r="C210" s="115">
        <v>6600</v>
      </c>
      <c r="D210" s="100">
        <f>(C210/12)*5</f>
        <v>2750</v>
      </c>
      <c r="E210" s="103">
        <f>'Monitoramento Acumulado Geral'!Q210</f>
        <v>0</v>
      </c>
      <c r="F210" s="100">
        <f>SUM(E206:E210)</f>
        <v>1800</v>
      </c>
      <c r="G210" s="102" t="str">
        <f t="shared" si="37"/>
        <v>Farol Vermelho</v>
      </c>
      <c r="H210" s="116">
        <f t="shared" si="35"/>
        <v>950</v>
      </c>
      <c r="I210" s="100">
        <f t="shared" si="36"/>
        <v>5</v>
      </c>
      <c r="J210" s="119">
        <v>6</v>
      </c>
      <c r="K210" s="118">
        <f>'Monitoramento Acumulado Geral'!P210</f>
        <v>0</v>
      </c>
      <c r="L210" s="100">
        <f>L206+L209</f>
        <v>2.5</v>
      </c>
      <c r="M210" s="100">
        <f t="shared" si="45"/>
        <v>2</v>
      </c>
      <c r="N210" s="115">
        <v>6</v>
      </c>
      <c r="O210" s="116">
        <f t="shared" si="38"/>
        <v>1</v>
      </c>
      <c r="P210" s="115">
        <v>6</v>
      </c>
      <c r="Q210" s="116">
        <f t="shared" si="39"/>
        <v>0</v>
      </c>
      <c r="R210" s="115">
        <v>0</v>
      </c>
      <c r="S210" s="100">
        <f t="shared" si="40"/>
        <v>0</v>
      </c>
    </row>
    <row r="211" spans="1:19" ht="15" x14ac:dyDescent="0.2">
      <c r="A211" s="114" t="s">
        <v>37</v>
      </c>
      <c r="B211" s="100" t="s">
        <v>156</v>
      </c>
      <c r="C211" s="115">
        <v>6600</v>
      </c>
      <c r="D211" s="100">
        <f>(C211/12)*6</f>
        <v>3300</v>
      </c>
      <c r="E211" s="103">
        <f>'Monitoramento Acumulado Geral'!Q211</f>
        <v>1180</v>
      </c>
      <c r="F211" s="100">
        <f>SUM(E206:E211)</f>
        <v>2980</v>
      </c>
      <c r="G211" s="102" t="str">
        <f t="shared" si="37"/>
        <v>Farol Amarelo</v>
      </c>
      <c r="H211" s="116">
        <f t="shared" si="35"/>
        <v>320</v>
      </c>
      <c r="I211" s="100">
        <f t="shared" si="36"/>
        <v>6</v>
      </c>
      <c r="J211" s="119">
        <v>6</v>
      </c>
      <c r="K211" s="118">
        <f>'Monitoramento Acumulado Geral'!P211</f>
        <v>1</v>
      </c>
      <c r="L211" s="100">
        <f>$L206+L210</f>
        <v>3</v>
      </c>
      <c r="M211" s="100">
        <f t="shared" si="45"/>
        <v>3</v>
      </c>
      <c r="N211" s="115">
        <v>3</v>
      </c>
      <c r="O211" s="116">
        <f t="shared" si="38"/>
        <v>0.66666666666666663</v>
      </c>
      <c r="P211" s="115">
        <v>2</v>
      </c>
      <c r="Q211" s="116">
        <f t="shared" si="39"/>
        <v>0.5</v>
      </c>
      <c r="R211" s="115">
        <v>1</v>
      </c>
      <c r="S211" s="100">
        <f t="shared" si="40"/>
        <v>0.33333333333333331</v>
      </c>
    </row>
    <row r="212" spans="1:19" ht="15" x14ac:dyDescent="0.2">
      <c r="A212" s="114" t="s">
        <v>37</v>
      </c>
      <c r="B212" s="100" t="s">
        <v>157</v>
      </c>
      <c r="C212" s="115">
        <v>6600</v>
      </c>
      <c r="D212" s="100">
        <f>(C212/12)*7</f>
        <v>3850</v>
      </c>
      <c r="E212" s="103">
        <f>'Monitoramento Acumulado Geral'!Q212</f>
        <v>6960</v>
      </c>
      <c r="F212" s="100">
        <f>SUM(E206:E212)</f>
        <v>9940</v>
      </c>
      <c r="G212" s="102" t="str">
        <f t="shared" si="37"/>
        <v>Farol Verde</v>
      </c>
      <c r="H212" s="116">
        <f t="shared" si="35"/>
        <v>0</v>
      </c>
      <c r="I212" s="100">
        <f t="shared" si="36"/>
        <v>7</v>
      </c>
      <c r="J212" s="119">
        <v>6</v>
      </c>
      <c r="K212" s="118">
        <f>'Monitoramento Acumulado Geral'!P212</f>
        <v>1</v>
      </c>
      <c r="L212" s="100">
        <f>$L206+L211</f>
        <v>3.5</v>
      </c>
      <c r="M212" s="100">
        <f t="shared" si="45"/>
        <v>4</v>
      </c>
      <c r="N212" s="115"/>
      <c r="O212" s="116" t="e">
        <f t="shared" si="38"/>
        <v>#DIV/0!</v>
      </c>
      <c r="P212" s="115"/>
      <c r="Q212" s="116" t="e">
        <f t="shared" si="39"/>
        <v>#DIV/0!</v>
      </c>
      <c r="R212" s="115"/>
      <c r="S212" s="100" t="e">
        <f t="shared" si="40"/>
        <v>#DIV/0!</v>
      </c>
    </row>
    <row r="213" spans="1:19" ht="15" x14ac:dyDescent="0.2">
      <c r="A213" s="114" t="s">
        <v>37</v>
      </c>
      <c r="B213" s="100" t="s">
        <v>158</v>
      </c>
      <c r="C213" s="115">
        <v>6600</v>
      </c>
      <c r="D213" s="100">
        <f>(C213/12)*8</f>
        <v>4400</v>
      </c>
      <c r="E213" s="103">
        <f>'Monitoramento Acumulado Geral'!Q213</f>
        <v>0</v>
      </c>
      <c r="F213" s="100">
        <f>SUM(E206:E213)</f>
        <v>9940</v>
      </c>
      <c r="G213" s="102" t="str">
        <f t="shared" si="37"/>
        <v>Farol Verde</v>
      </c>
      <c r="H213" s="116">
        <f t="shared" si="35"/>
        <v>0</v>
      </c>
      <c r="I213" s="100">
        <f t="shared" si="36"/>
        <v>8</v>
      </c>
      <c r="J213" s="119">
        <v>6</v>
      </c>
      <c r="K213" s="118">
        <f>'Monitoramento Acumulado Geral'!P213</f>
        <v>0</v>
      </c>
      <c r="L213" s="100">
        <f>L206+L212</f>
        <v>4</v>
      </c>
      <c r="M213" s="100">
        <f t="shared" si="45"/>
        <v>4</v>
      </c>
      <c r="N213" s="115"/>
      <c r="O213" s="116" t="e">
        <f t="shared" si="38"/>
        <v>#DIV/0!</v>
      </c>
      <c r="P213" s="115"/>
      <c r="Q213" s="116" t="e">
        <f t="shared" si="39"/>
        <v>#DIV/0!</v>
      </c>
      <c r="R213" s="115"/>
      <c r="S213" s="100" t="e">
        <f t="shared" si="40"/>
        <v>#DIV/0!</v>
      </c>
    </row>
    <row r="214" spans="1:19" ht="15" x14ac:dyDescent="0.2">
      <c r="A214" s="114" t="s">
        <v>37</v>
      </c>
      <c r="B214" s="100" t="s">
        <v>159</v>
      </c>
      <c r="C214" s="115">
        <v>6600</v>
      </c>
      <c r="D214" s="100">
        <f>(C214/12)*9</f>
        <v>4950</v>
      </c>
      <c r="E214" s="103">
        <f>'Monitoramento Acumulado Geral'!Q214</f>
        <v>3300</v>
      </c>
      <c r="F214" s="100">
        <f>SUM(E206:E214)</f>
        <v>13240</v>
      </c>
      <c r="G214" s="102" t="str">
        <f t="shared" si="37"/>
        <v>Farol Verde</v>
      </c>
      <c r="H214" s="116">
        <f t="shared" si="35"/>
        <v>0</v>
      </c>
      <c r="I214" s="100">
        <f t="shared" si="36"/>
        <v>9</v>
      </c>
      <c r="J214" s="119">
        <v>6</v>
      </c>
      <c r="K214" s="118">
        <f>'Monitoramento Acumulado Geral'!P214</f>
        <v>3</v>
      </c>
      <c r="L214" s="100">
        <f>$L206+L213</f>
        <v>4.5</v>
      </c>
      <c r="M214" s="100">
        <f t="shared" si="45"/>
        <v>7</v>
      </c>
      <c r="N214" s="115"/>
      <c r="O214" s="116" t="e">
        <f t="shared" si="38"/>
        <v>#DIV/0!</v>
      </c>
      <c r="P214" s="115"/>
      <c r="Q214" s="116" t="e">
        <f t="shared" si="39"/>
        <v>#DIV/0!</v>
      </c>
      <c r="R214" s="115"/>
      <c r="S214" s="100" t="e">
        <f t="shared" si="40"/>
        <v>#DIV/0!</v>
      </c>
    </row>
    <row r="215" spans="1:19" ht="15" x14ac:dyDescent="0.2">
      <c r="A215" s="114" t="s">
        <v>37</v>
      </c>
      <c r="B215" s="100" t="s">
        <v>160</v>
      </c>
      <c r="C215" s="115">
        <v>6600</v>
      </c>
      <c r="D215" s="100">
        <f>(C215/12)*10</f>
        <v>5500</v>
      </c>
      <c r="E215" s="103">
        <f>'Monitoramento Acumulado Geral'!Q215</f>
        <v>0</v>
      </c>
      <c r="F215" s="100">
        <f>SUM(E206:E215)</f>
        <v>13240</v>
      </c>
      <c r="G215" s="102" t="str">
        <f t="shared" si="37"/>
        <v>Farol Verde</v>
      </c>
      <c r="H215" s="116">
        <f t="shared" si="35"/>
        <v>0</v>
      </c>
      <c r="I215" s="100">
        <f t="shared" si="36"/>
        <v>10</v>
      </c>
      <c r="J215" s="119">
        <v>6</v>
      </c>
      <c r="K215" s="118">
        <f>'Monitoramento Acumulado Geral'!P215</f>
        <v>0</v>
      </c>
      <c r="L215" s="100">
        <f>$L206+L214</f>
        <v>5</v>
      </c>
      <c r="M215" s="100">
        <f t="shared" si="45"/>
        <v>7</v>
      </c>
      <c r="N215" s="115"/>
      <c r="O215" s="116" t="e">
        <f t="shared" si="38"/>
        <v>#DIV/0!</v>
      </c>
      <c r="P215" s="115"/>
      <c r="Q215" s="116" t="e">
        <f t="shared" si="39"/>
        <v>#DIV/0!</v>
      </c>
      <c r="R215" s="115"/>
      <c r="S215" s="100" t="e">
        <f t="shared" si="40"/>
        <v>#DIV/0!</v>
      </c>
    </row>
    <row r="216" spans="1:19" ht="15" x14ac:dyDescent="0.2">
      <c r="A216" s="114" t="s">
        <v>37</v>
      </c>
      <c r="B216" s="100" t="s">
        <v>161</v>
      </c>
      <c r="C216" s="115">
        <v>6600</v>
      </c>
      <c r="D216" s="100">
        <f>(C216/12)*11</f>
        <v>6050</v>
      </c>
      <c r="E216" s="103">
        <f>'Monitoramento Acumulado Geral'!Q216</f>
        <v>0</v>
      </c>
      <c r="F216" s="100">
        <f>SUM(E206:E216)</f>
        <v>13240</v>
      </c>
      <c r="G216" s="102" t="str">
        <f t="shared" si="37"/>
        <v>Farol Verde</v>
      </c>
      <c r="H216" s="116">
        <f t="shared" si="35"/>
        <v>0</v>
      </c>
      <c r="I216" s="100">
        <f t="shared" si="36"/>
        <v>11</v>
      </c>
      <c r="J216" s="119">
        <v>6</v>
      </c>
      <c r="K216" s="118">
        <f>'Monitoramento Acumulado Geral'!P216</f>
        <v>0</v>
      </c>
      <c r="L216" s="100">
        <f>L206+L215</f>
        <v>5.5</v>
      </c>
      <c r="M216" s="100">
        <f t="shared" si="45"/>
        <v>7</v>
      </c>
      <c r="N216" s="115"/>
      <c r="O216" s="116" t="e">
        <f t="shared" si="38"/>
        <v>#DIV/0!</v>
      </c>
      <c r="P216" s="115"/>
      <c r="Q216" s="116" t="e">
        <f t="shared" si="39"/>
        <v>#DIV/0!</v>
      </c>
      <c r="R216" s="115"/>
      <c r="S216" s="100" t="e">
        <f t="shared" si="40"/>
        <v>#DIV/0!</v>
      </c>
    </row>
    <row r="217" spans="1:19" ht="15" x14ac:dyDescent="0.2">
      <c r="A217" s="114" t="s">
        <v>37</v>
      </c>
      <c r="B217" s="100" t="s">
        <v>162</v>
      </c>
      <c r="C217" s="115">
        <v>6600</v>
      </c>
      <c r="D217" s="100">
        <f>(C217/12)*12</f>
        <v>6600</v>
      </c>
      <c r="E217" s="103">
        <f>'Monitoramento Acumulado Geral'!Q217</f>
        <v>0</v>
      </c>
      <c r="F217" s="100">
        <f>SUM(E206:E217)</f>
        <v>13240</v>
      </c>
      <c r="G217" s="102" t="str">
        <f t="shared" si="37"/>
        <v>Farol Verde</v>
      </c>
      <c r="H217" s="116">
        <f t="shared" si="35"/>
        <v>0</v>
      </c>
      <c r="I217" s="100">
        <f t="shared" si="36"/>
        <v>12</v>
      </c>
      <c r="J217" s="119">
        <v>6</v>
      </c>
      <c r="K217" s="118">
        <f>'Monitoramento Acumulado Geral'!P217</f>
        <v>0</v>
      </c>
      <c r="L217" s="100">
        <f>$L206+L216</f>
        <v>6</v>
      </c>
      <c r="M217" s="100">
        <f t="shared" si="45"/>
        <v>7</v>
      </c>
      <c r="N217" s="115"/>
      <c r="O217" s="116" t="e">
        <f t="shared" si="38"/>
        <v>#DIV/0!</v>
      </c>
      <c r="P217" s="115"/>
      <c r="Q217" s="116" t="e">
        <f t="shared" si="39"/>
        <v>#DIV/0!</v>
      </c>
      <c r="R217" s="115"/>
      <c r="S217" s="100" t="e">
        <f t="shared" si="40"/>
        <v>#DIV/0!</v>
      </c>
    </row>
    <row r="218" spans="1:19" ht="15" x14ac:dyDescent="0.2">
      <c r="A218" s="114" t="s">
        <v>91</v>
      </c>
      <c r="B218" s="100" t="s">
        <v>151</v>
      </c>
      <c r="C218" s="115">
        <v>25000</v>
      </c>
      <c r="D218" s="100">
        <f>(C218/12)*1</f>
        <v>2083.3333333333335</v>
      </c>
      <c r="E218" s="103">
        <f>'Monitoramento Acumulado Geral'!Q218</f>
        <v>4057</v>
      </c>
      <c r="F218" s="100">
        <f>E218</f>
        <v>4057</v>
      </c>
      <c r="G218" s="102" t="str">
        <f t="shared" si="37"/>
        <v>Farol Verde</v>
      </c>
      <c r="H218" s="116">
        <f t="shared" ref="H218:H293" si="46">IF(D218-F218&lt;0,0,D218-F218)</f>
        <v>0</v>
      </c>
      <c r="I218" s="100">
        <f t="shared" ref="I218:I293" si="47">_xlfn.IFS(B218="Janeiro",1,B218="Fevereiro",2,B218="Março",3,B218="Abril",4,B218="Maio",5,B218="Junho",6,B218="Julho",7,B218="Agosto",8,B218="Setembro",9,B218="Outubro",10,B218="Novembro",11,B218="Dezembro",12,TRUE,0)</f>
        <v>1</v>
      </c>
      <c r="J218" s="119">
        <v>14</v>
      </c>
      <c r="K218" s="118">
        <f>'Monitoramento Acumulado Geral'!P218</f>
        <v>4</v>
      </c>
      <c r="L218" s="100">
        <f>J218/12</f>
        <v>1.1666666666666667</v>
      </c>
      <c r="M218" s="100">
        <f>K218</f>
        <v>4</v>
      </c>
      <c r="N218" s="115">
        <v>0</v>
      </c>
      <c r="O218" s="116" t="e">
        <f t="shared" si="38"/>
        <v>#DIV/0!</v>
      </c>
      <c r="P218" s="115">
        <v>0</v>
      </c>
      <c r="Q218" s="116" t="e">
        <f t="shared" si="39"/>
        <v>#DIV/0!</v>
      </c>
      <c r="R218" s="115">
        <v>0</v>
      </c>
      <c r="S218" s="100" t="e">
        <f t="shared" si="40"/>
        <v>#DIV/0!</v>
      </c>
    </row>
    <row r="219" spans="1:19" ht="15" x14ac:dyDescent="0.2">
      <c r="A219" s="114" t="s">
        <v>91</v>
      </c>
      <c r="B219" s="100" t="s">
        <v>152</v>
      </c>
      <c r="C219" s="115">
        <v>25000</v>
      </c>
      <c r="D219" s="100">
        <f>(C219/12)*2</f>
        <v>4166.666666666667</v>
      </c>
      <c r="E219" s="103">
        <f>'Monitoramento Acumulado Geral'!Q219</f>
        <v>0</v>
      </c>
      <c r="F219" s="100">
        <f>SUM(E218:E219)</f>
        <v>4057</v>
      </c>
      <c r="G219" s="102" t="str">
        <f t="shared" ref="G219:G294" si="48">_xlfn.IFS(F219&gt;D219,"Farol Verde",F219&gt;=D219*0.85,"Farol Amarelo",F219&lt;D219*0.85,"Farol Vermelho","Verdadeiro",0)</f>
        <v>Farol Amarelo</v>
      </c>
      <c r="H219" s="116">
        <f t="shared" si="46"/>
        <v>109.66666666666697</v>
      </c>
      <c r="I219" s="100">
        <f t="shared" si="47"/>
        <v>2</v>
      </c>
      <c r="J219" s="119">
        <v>14</v>
      </c>
      <c r="K219" s="118">
        <f>'Monitoramento Acumulado Geral'!P219</f>
        <v>0</v>
      </c>
      <c r="L219" s="100">
        <f>L218+L218</f>
        <v>2.3333333333333335</v>
      </c>
      <c r="M219" s="100">
        <f>M218+K219</f>
        <v>4</v>
      </c>
      <c r="N219" s="115">
        <v>0</v>
      </c>
      <c r="O219" s="116" t="e">
        <f t="shared" ref="O219:O294" si="49">P219/N219</f>
        <v>#DIV/0!</v>
      </c>
      <c r="P219" s="115">
        <v>0</v>
      </c>
      <c r="Q219" s="116" t="e">
        <f t="shared" ref="Q219:Q293" si="50">R219/P219</f>
        <v>#DIV/0!</v>
      </c>
      <c r="R219" s="115">
        <v>0</v>
      </c>
      <c r="S219" s="100" t="e">
        <f t="shared" ref="S219:S294" si="51">R219/N219</f>
        <v>#DIV/0!</v>
      </c>
    </row>
    <row r="220" spans="1:19" ht="15" x14ac:dyDescent="0.2">
      <c r="A220" s="114" t="s">
        <v>91</v>
      </c>
      <c r="B220" s="100" t="s">
        <v>153</v>
      </c>
      <c r="C220" s="115">
        <v>25000</v>
      </c>
      <c r="D220" s="100">
        <f>(C220/12)*3</f>
        <v>6250</v>
      </c>
      <c r="E220" s="103">
        <f>'Monitoramento Acumulado Geral'!Q220</f>
        <v>1750</v>
      </c>
      <c r="F220" s="100">
        <f>SUM(E218:E220)</f>
        <v>5807</v>
      </c>
      <c r="G220" s="102" t="str">
        <f t="shared" si="48"/>
        <v>Farol Amarelo</v>
      </c>
      <c r="H220" s="116">
        <f t="shared" si="46"/>
        <v>443</v>
      </c>
      <c r="I220" s="100">
        <f t="shared" si="47"/>
        <v>3</v>
      </c>
      <c r="J220" s="119">
        <v>14</v>
      </c>
      <c r="K220" s="118">
        <f>'Monitoramento Acumulado Geral'!P220</f>
        <v>1</v>
      </c>
      <c r="L220" s="100">
        <f>$L218+L219</f>
        <v>3.5</v>
      </c>
      <c r="M220" s="100">
        <f t="shared" ref="M220:M229" si="52">M219+K220</f>
        <v>5</v>
      </c>
      <c r="N220" s="115">
        <v>0</v>
      </c>
      <c r="O220" s="116" t="e">
        <f t="shared" si="49"/>
        <v>#DIV/0!</v>
      </c>
      <c r="P220" s="115">
        <v>0</v>
      </c>
      <c r="Q220" s="116" t="e">
        <f t="shared" si="50"/>
        <v>#DIV/0!</v>
      </c>
      <c r="R220" s="115">
        <v>0</v>
      </c>
      <c r="S220" s="100" t="e">
        <f t="shared" si="51"/>
        <v>#DIV/0!</v>
      </c>
    </row>
    <row r="221" spans="1:19" ht="15" x14ac:dyDescent="0.2">
      <c r="A221" s="114" t="s">
        <v>91</v>
      </c>
      <c r="B221" s="100" t="s">
        <v>154</v>
      </c>
      <c r="C221" s="115">
        <v>25000</v>
      </c>
      <c r="D221" s="100">
        <f>(C221/12)*4</f>
        <v>8333.3333333333339</v>
      </c>
      <c r="E221" s="103">
        <f>'Monitoramento Acumulado Geral'!Q221</f>
        <v>0</v>
      </c>
      <c r="F221" s="100">
        <f>SUM(E218:E221)</f>
        <v>5807</v>
      </c>
      <c r="G221" s="102" t="str">
        <f t="shared" si="48"/>
        <v>Farol Vermelho</v>
      </c>
      <c r="H221" s="116">
        <f t="shared" si="46"/>
        <v>2526.3333333333339</v>
      </c>
      <c r="I221" s="100">
        <f t="shared" si="47"/>
        <v>4</v>
      </c>
      <c r="J221" s="119">
        <v>14</v>
      </c>
      <c r="K221" s="118">
        <f>'Monitoramento Acumulado Geral'!P221</f>
        <v>0</v>
      </c>
      <c r="L221" s="100">
        <f>$L218+L220</f>
        <v>4.666666666666667</v>
      </c>
      <c r="M221" s="100">
        <f t="shared" si="52"/>
        <v>5</v>
      </c>
      <c r="N221" s="115">
        <v>0</v>
      </c>
      <c r="O221" s="116" t="e">
        <f t="shared" si="49"/>
        <v>#DIV/0!</v>
      </c>
      <c r="P221" s="115">
        <v>0</v>
      </c>
      <c r="Q221" s="116" t="e">
        <f t="shared" si="50"/>
        <v>#DIV/0!</v>
      </c>
      <c r="R221" s="115">
        <v>0</v>
      </c>
      <c r="S221" s="100" t="e">
        <f t="shared" si="51"/>
        <v>#DIV/0!</v>
      </c>
    </row>
    <row r="222" spans="1:19" ht="15" x14ac:dyDescent="0.2">
      <c r="A222" s="114" t="s">
        <v>91</v>
      </c>
      <c r="B222" s="100" t="s">
        <v>155</v>
      </c>
      <c r="C222" s="115">
        <v>25000</v>
      </c>
      <c r="D222" s="100">
        <f>(C222/12)*5</f>
        <v>10416.666666666668</v>
      </c>
      <c r="E222" s="103">
        <f>'Monitoramento Acumulado Geral'!Q222</f>
        <v>2000</v>
      </c>
      <c r="F222" s="100">
        <f>SUM(E218:E222)</f>
        <v>7807</v>
      </c>
      <c r="G222" s="102" t="str">
        <f t="shared" si="48"/>
        <v>Farol Vermelho</v>
      </c>
      <c r="H222" s="116">
        <f t="shared" si="46"/>
        <v>2609.6666666666679</v>
      </c>
      <c r="I222" s="100">
        <f t="shared" si="47"/>
        <v>5</v>
      </c>
      <c r="J222" s="119">
        <v>14</v>
      </c>
      <c r="K222" s="118">
        <f>'Monitoramento Acumulado Geral'!P222</f>
        <v>1</v>
      </c>
      <c r="L222" s="100">
        <f>L218+L221</f>
        <v>5.8333333333333339</v>
      </c>
      <c r="M222" s="100">
        <f t="shared" si="52"/>
        <v>6</v>
      </c>
      <c r="N222" s="115">
        <v>0</v>
      </c>
      <c r="O222" s="116" t="e">
        <f t="shared" si="49"/>
        <v>#DIV/0!</v>
      </c>
      <c r="P222" s="115">
        <v>0</v>
      </c>
      <c r="Q222" s="116" t="e">
        <f t="shared" si="50"/>
        <v>#DIV/0!</v>
      </c>
      <c r="R222" s="115">
        <v>0</v>
      </c>
      <c r="S222" s="100" t="e">
        <f t="shared" si="51"/>
        <v>#DIV/0!</v>
      </c>
    </row>
    <row r="223" spans="1:19" ht="15" x14ac:dyDescent="0.2">
      <c r="A223" s="114" t="s">
        <v>91</v>
      </c>
      <c r="B223" s="100" t="s">
        <v>156</v>
      </c>
      <c r="C223" s="115">
        <v>25000</v>
      </c>
      <c r="D223" s="100">
        <f>(C223/12)*6</f>
        <v>12500</v>
      </c>
      <c r="E223" s="103">
        <f>'Monitoramento Acumulado Geral'!Q223</f>
        <v>5145</v>
      </c>
      <c r="F223" s="100">
        <f>SUM(E218:E223)</f>
        <v>12952</v>
      </c>
      <c r="G223" s="102" t="str">
        <f t="shared" si="48"/>
        <v>Farol Verde</v>
      </c>
      <c r="H223" s="116">
        <f t="shared" si="46"/>
        <v>0</v>
      </c>
      <c r="I223" s="100">
        <f t="shared" si="47"/>
        <v>6</v>
      </c>
      <c r="J223" s="119">
        <v>14</v>
      </c>
      <c r="K223" s="118">
        <f>'Monitoramento Acumulado Geral'!P223</f>
        <v>5</v>
      </c>
      <c r="L223" s="100">
        <f>$L218+L222</f>
        <v>7.0000000000000009</v>
      </c>
      <c r="M223" s="100">
        <f t="shared" si="52"/>
        <v>11</v>
      </c>
      <c r="N223" s="115">
        <v>12</v>
      </c>
      <c r="O223" s="116">
        <f t="shared" si="49"/>
        <v>0.75</v>
      </c>
      <c r="P223" s="115">
        <v>9</v>
      </c>
      <c r="Q223" s="116">
        <f t="shared" si="50"/>
        <v>0.55555555555555558</v>
      </c>
      <c r="R223" s="115">
        <v>5</v>
      </c>
      <c r="S223" s="100">
        <f t="shared" si="51"/>
        <v>0.41666666666666669</v>
      </c>
    </row>
    <row r="224" spans="1:19" ht="15" x14ac:dyDescent="0.2">
      <c r="A224" s="114" t="s">
        <v>91</v>
      </c>
      <c r="B224" s="100" t="s">
        <v>157</v>
      </c>
      <c r="C224" s="115">
        <v>25000</v>
      </c>
      <c r="D224" s="100">
        <f>(C224/12)*7</f>
        <v>14583.333333333334</v>
      </c>
      <c r="E224" s="103">
        <f>'Monitoramento Acumulado Geral'!Q224</f>
        <v>5119.8</v>
      </c>
      <c r="F224" s="100">
        <f>SUM(E218:E224)</f>
        <v>18071.8</v>
      </c>
      <c r="G224" s="102" t="str">
        <f t="shared" si="48"/>
        <v>Farol Verde</v>
      </c>
      <c r="H224" s="116">
        <f t="shared" si="46"/>
        <v>0</v>
      </c>
      <c r="I224" s="100">
        <f t="shared" si="47"/>
        <v>7</v>
      </c>
      <c r="J224" s="119">
        <v>14</v>
      </c>
      <c r="K224" s="118">
        <f>'Monitoramento Acumulado Geral'!P224</f>
        <v>3</v>
      </c>
      <c r="L224" s="100">
        <f>$L218+L223</f>
        <v>8.1666666666666679</v>
      </c>
      <c r="M224" s="100">
        <f t="shared" si="52"/>
        <v>14</v>
      </c>
      <c r="N224" s="115"/>
      <c r="O224" s="116" t="e">
        <f t="shared" si="49"/>
        <v>#DIV/0!</v>
      </c>
      <c r="P224" s="115"/>
      <c r="Q224" s="116" t="e">
        <f t="shared" si="50"/>
        <v>#DIV/0!</v>
      </c>
      <c r="R224" s="115"/>
      <c r="S224" s="100" t="e">
        <f t="shared" si="51"/>
        <v>#DIV/0!</v>
      </c>
    </row>
    <row r="225" spans="1:19" ht="15" x14ac:dyDescent="0.2">
      <c r="A225" s="114" t="s">
        <v>91</v>
      </c>
      <c r="B225" s="100" t="s">
        <v>158</v>
      </c>
      <c r="C225" s="115">
        <v>25000</v>
      </c>
      <c r="D225" s="100">
        <f>(C225/12)*8</f>
        <v>16666.666666666668</v>
      </c>
      <c r="E225" s="103">
        <f>'Monitoramento Acumulado Geral'!Q225</f>
        <v>788</v>
      </c>
      <c r="F225" s="100">
        <f>SUM(E218:E225)</f>
        <v>18859.8</v>
      </c>
      <c r="G225" s="102" t="str">
        <f t="shared" si="48"/>
        <v>Farol Verde</v>
      </c>
      <c r="H225" s="116">
        <f t="shared" si="46"/>
        <v>0</v>
      </c>
      <c r="I225" s="100">
        <f t="shared" si="47"/>
        <v>8</v>
      </c>
      <c r="J225" s="119">
        <v>14</v>
      </c>
      <c r="K225" s="118">
        <f>'Monitoramento Acumulado Geral'!P225</f>
        <v>1</v>
      </c>
      <c r="L225" s="100">
        <f>L218+L224</f>
        <v>9.3333333333333339</v>
      </c>
      <c r="M225" s="100">
        <f t="shared" si="52"/>
        <v>15</v>
      </c>
      <c r="N225" s="115"/>
      <c r="O225" s="116" t="e">
        <f t="shared" si="49"/>
        <v>#DIV/0!</v>
      </c>
      <c r="P225" s="115"/>
      <c r="Q225" s="116" t="e">
        <f t="shared" si="50"/>
        <v>#DIV/0!</v>
      </c>
      <c r="R225" s="115"/>
      <c r="S225" s="100" t="e">
        <f t="shared" si="51"/>
        <v>#DIV/0!</v>
      </c>
    </row>
    <row r="226" spans="1:19" ht="15" x14ac:dyDescent="0.2">
      <c r="A226" s="114" t="s">
        <v>91</v>
      </c>
      <c r="B226" s="100" t="s">
        <v>159</v>
      </c>
      <c r="C226" s="115">
        <v>25000</v>
      </c>
      <c r="D226" s="100">
        <f>(C226/12)*9</f>
        <v>18750</v>
      </c>
      <c r="E226" s="103">
        <f>'Monitoramento Acumulado Geral'!Q226</f>
        <v>4812</v>
      </c>
      <c r="F226" s="100">
        <f>SUM(E218:E226)</f>
        <v>23671.8</v>
      </c>
      <c r="G226" s="102" t="str">
        <f t="shared" si="48"/>
        <v>Farol Verde</v>
      </c>
      <c r="H226" s="116">
        <f t="shared" si="46"/>
        <v>0</v>
      </c>
      <c r="I226" s="100">
        <f t="shared" si="47"/>
        <v>9</v>
      </c>
      <c r="J226" s="119">
        <v>14</v>
      </c>
      <c r="K226" s="118">
        <f>'Monitoramento Acumulado Geral'!P226</f>
        <v>3</v>
      </c>
      <c r="L226" s="100">
        <f>$L218+L225</f>
        <v>10.5</v>
      </c>
      <c r="M226" s="100">
        <f t="shared" si="52"/>
        <v>18</v>
      </c>
      <c r="N226" s="115"/>
      <c r="O226" s="116" t="e">
        <f t="shared" si="49"/>
        <v>#DIV/0!</v>
      </c>
      <c r="P226" s="115"/>
      <c r="Q226" s="116" t="e">
        <f t="shared" si="50"/>
        <v>#DIV/0!</v>
      </c>
      <c r="R226" s="115"/>
      <c r="S226" s="100" t="e">
        <f t="shared" si="51"/>
        <v>#DIV/0!</v>
      </c>
    </row>
    <row r="227" spans="1:19" ht="15" x14ac:dyDescent="0.2">
      <c r="A227" s="114" t="s">
        <v>91</v>
      </c>
      <c r="B227" s="100" t="s">
        <v>160</v>
      </c>
      <c r="C227" s="115">
        <v>25000</v>
      </c>
      <c r="D227" s="100">
        <f>(C227/12)*10</f>
        <v>20833.333333333336</v>
      </c>
      <c r="E227" s="103">
        <f>'Monitoramento Acumulado Geral'!Q227</f>
        <v>0</v>
      </c>
      <c r="F227" s="100">
        <f>SUM(E218:E227)</f>
        <v>23671.8</v>
      </c>
      <c r="G227" s="102" t="str">
        <f t="shared" si="48"/>
        <v>Farol Verde</v>
      </c>
      <c r="H227" s="116">
        <f t="shared" si="46"/>
        <v>0</v>
      </c>
      <c r="I227" s="100">
        <f t="shared" si="47"/>
        <v>10</v>
      </c>
      <c r="J227" s="119">
        <v>14</v>
      </c>
      <c r="K227" s="118">
        <f>'Monitoramento Acumulado Geral'!P227</f>
        <v>0</v>
      </c>
      <c r="L227" s="100">
        <f>$L218+L226</f>
        <v>11.666666666666666</v>
      </c>
      <c r="M227" s="100">
        <f t="shared" si="52"/>
        <v>18</v>
      </c>
      <c r="N227" s="115"/>
      <c r="O227" s="116" t="e">
        <f t="shared" si="49"/>
        <v>#DIV/0!</v>
      </c>
      <c r="P227" s="115"/>
      <c r="Q227" s="116" t="e">
        <f t="shared" si="50"/>
        <v>#DIV/0!</v>
      </c>
      <c r="R227" s="115"/>
      <c r="S227" s="100" t="e">
        <f t="shared" si="51"/>
        <v>#DIV/0!</v>
      </c>
    </row>
    <row r="228" spans="1:19" ht="15" x14ac:dyDescent="0.2">
      <c r="A228" s="114" t="s">
        <v>91</v>
      </c>
      <c r="B228" s="100" t="s">
        <v>161</v>
      </c>
      <c r="C228" s="115">
        <v>25000</v>
      </c>
      <c r="D228" s="100">
        <f>(C228/12)*11</f>
        <v>22916.666666666668</v>
      </c>
      <c r="E228" s="103">
        <f>'Monitoramento Acumulado Geral'!Q228</f>
        <v>0</v>
      </c>
      <c r="F228" s="100">
        <f>SUM(E218:E228)</f>
        <v>23671.8</v>
      </c>
      <c r="G228" s="102" t="str">
        <f t="shared" si="48"/>
        <v>Farol Verde</v>
      </c>
      <c r="H228" s="116">
        <f t="shared" si="46"/>
        <v>0</v>
      </c>
      <c r="I228" s="100">
        <f t="shared" si="47"/>
        <v>11</v>
      </c>
      <c r="J228" s="119">
        <v>14</v>
      </c>
      <c r="K228" s="118">
        <f>'Monitoramento Acumulado Geral'!P228</f>
        <v>0</v>
      </c>
      <c r="L228" s="100">
        <f>L218+L227</f>
        <v>12.833333333333332</v>
      </c>
      <c r="M228" s="100">
        <f t="shared" si="52"/>
        <v>18</v>
      </c>
      <c r="N228" s="115"/>
      <c r="O228" s="116" t="e">
        <f t="shared" si="49"/>
        <v>#DIV/0!</v>
      </c>
      <c r="P228" s="115"/>
      <c r="Q228" s="116" t="e">
        <f t="shared" si="50"/>
        <v>#DIV/0!</v>
      </c>
      <c r="R228" s="115"/>
      <c r="S228" s="100" t="e">
        <f t="shared" si="51"/>
        <v>#DIV/0!</v>
      </c>
    </row>
    <row r="229" spans="1:19" ht="15" x14ac:dyDescent="0.2">
      <c r="A229" s="114" t="s">
        <v>91</v>
      </c>
      <c r="B229" s="100" t="s">
        <v>162</v>
      </c>
      <c r="C229" s="115">
        <v>25000</v>
      </c>
      <c r="D229" s="100">
        <f>(C229/12)*12</f>
        <v>25000</v>
      </c>
      <c r="E229" s="103">
        <f>'Monitoramento Acumulado Geral'!Q229</f>
        <v>0</v>
      </c>
      <c r="F229" s="100">
        <f>SUM(E218:E229)</f>
        <v>23671.8</v>
      </c>
      <c r="G229" s="102" t="str">
        <f t="shared" si="48"/>
        <v>Farol Amarelo</v>
      </c>
      <c r="H229" s="116">
        <f t="shared" si="46"/>
        <v>1328.2000000000007</v>
      </c>
      <c r="I229" s="100">
        <f t="shared" si="47"/>
        <v>12</v>
      </c>
      <c r="J229" s="119">
        <v>14</v>
      </c>
      <c r="K229" s="118">
        <f>'Monitoramento Acumulado Geral'!P229</f>
        <v>0</v>
      </c>
      <c r="L229" s="100">
        <f>$L218+L228</f>
        <v>13.999999999999998</v>
      </c>
      <c r="M229" s="100">
        <f t="shared" si="52"/>
        <v>18</v>
      </c>
      <c r="N229" s="115"/>
      <c r="O229" s="116" t="e">
        <f t="shared" si="49"/>
        <v>#DIV/0!</v>
      </c>
      <c r="P229" s="115"/>
      <c r="Q229" s="116" t="e">
        <f t="shared" si="50"/>
        <v>#DIV/0!</v>
      </c>
      <c r="R229" s="115"/>
      <c r="S229" s="100" t="e">
        <f t="shared" si="51"/>
        <v>#DIV/0!</v>
      </c>
    </row>
    <row r="230" spans="1:19" ht="15" x14ac:dyDescent="0.2">
      <c r="A230" s="114" t="s">
        <v>126</v>
      </c>
      <c r="B230" s="100" t="s">
        <v>151</v>
      </c>
      <c r="C230" s="115">
        <v>120000</v>
      </c>
      <c r="D230" s="100">
        <f>(C230/12)*1</f>
        <v>10000</v>
      </c>
      <c r="E230" s="103">
        <f>'Monitoramento Acumulado Geral'!Q230</f>
        <v>11050</v>
      </c>
      <c r="F230" s="100">
        <f>E230</f>
        <v>11050</v>
      </c>
      <c r="G230" s="102" t="str">
        <f t="shared" si="48"/>
        <v>Farol Verde</v>
      </c>
      <c r="H230" s="116">
        <f t="shared" si="46"/>
        <v>0</v>
      </c>
      <c r="I230" s="100">
        <f t="shared" si="47"/>
        <v>1</v>
      </c>
      <c r="J230" s="119">
        <v>18</v>
      </c>
      <c r="K230" s="118">
        <f>'Monitoramento Acumulado Geral'!P230</f>
        <v>2</v>
      </c>
      <c r="L230" s="100">
        <f>J230/12</f>
        <v>1.5</v>
      </c>
      <c r="M230" s="100">
        <f>K230</f>
        <v>2</v>
      </c>
      <c r="N230" s="115">
        <v>0</v>
      </c>
      <c r="O230" s="116" t="e">
        <f t="shared" si="49"/>
        <v>#DIV/0!</v>
      </c>
      <c r="P230" s="115">
        <v>0</v>
      </c>
      <c r="Q230" s="116" t="e">
        <f t="shared" si="50"/>
        <v>#DIV/0!</v>
      </c>
      <c r="R230" s="115">
        <v>0</v>
      </c>
      <c r="S230" s="100" t="e">
        <f t="shared" si="51"/>
        <v>#DIV/0!</v>
      </c>
    </row>
    <row r="231" spans="1:19" ht="15" x14ac:dyDescent="0.2">
      <c r="A231" s="114" t="s">
        <v>126</v>
      </c>
      <c r="B231" s="100" t="s">
        <v>152</v>
      </c>
      <c r="C231" s="115">
        <v>120000</v>
      </c>
      <c r="D231" s="100">
        <f>(C231/12)*2</f>
        <v>20000</v>
      </c>
      <c r="E231" s="103">
        <f>'Monitoramento Acumulado Geral'!Q231</f>
        <v>7500</v>
      </c>
      <c r="F231" s="100">
        <f>SUM(E230:E231)</f>
        <v>18550</v>
      </c>
      <c r="G231" s="102" t="str">
        <f t="shared" si="48"/>
        <v>Farol Amarelo</v>
      </c>
      <c r="H231" s="116">
        <f t="shared" si="46"/>
        <v>1450</v>
      </c>
      <c r="I231" s="100">
        <f t="shared" si="47"/>
        <v>2</v>
      </c>
      <c r="J231" s="119">
        <v>18</v>
      </c>
      <c r="K231" s="118">
        <f>'Monitoramento Acumulado Geral'!P231</f>
        <v>2</v>
      </c>
      <c r="L231" s="100">
        <f>L230+L230</f>
        <v>3</v>
      </c>
      <c r="M231" s="100">
        <f>M230+K231</f>
        <v>4</v>
      </c>
      <c r="N231" s="115">
        <v>0</v>
      </c>
      <c r="O231" s="116" t="e">
        <f t="shared" si="49"/>
        <v>#DIV/0!</v>
      </c>
      <c r="P231" s="115">
        <v>0</v>
      </c>
      <c r="Q231" s="116" t="e">
        <f t="shared" si="50"/>
        <v>#DIV/0!</v>
      </c>
      <c r="R231" s="115">
        <v>0</v>
      </c>
      <c r="S231" s="100" t="e">
        <f t="shared" si="51"/>
        <v>#DIV/0!</v>
      </c>
    </row>
    <row r="232" spans="1:19" ht="15" x14ac:dyDescent="0.2">
      <c r="A232" s="114" t="s">
        <v>126</v>
      </c>
      <c r="B232" s="100" t="s">
        <v>153</v>
      </c>
      <c r="C232" s="115">
        <v>120000</v>
      </c>
      <c r="D232" s="100">
        <f>(C232/12)*3</f>
        <v>30000</v>
      </c>
      <c r="E232" s="103">
        <f>'Monitoramento Acumulado Geral'!Q232</f>
        <v>18100</v>
      </c>
      <c r="F232" s="100">
        <f>SUM(E230:E232)</f>
        <v>36650</v>
      </c>
      <c r="G232" s="102" t="str">
        <f t="shared" si="48"/>
        <v>Farol Verde</v>
      </c>
      <c r="H232" s="116">
        <f t="shared" si="46"/>
        <v>0</v>
      </c>
      <c r="I232" s="100">
        <f t="shared" si="47"/>
        <v>3</v>
      </c>
      <c r="J232" s="119">
        <v>18</v>
      </c>
      <c r="K232" s="118">
        <f>'Monitoramento Acumulado Geral'!P232</f>
        <v>3</v>
      </c>
      <c r="L232" s="100">
        <f>$L230+L231</f>
        <v>4.5</v>
      </c>
      <c r="M232" s="100">
        <f t="shared" ref="M232:M241" si="53">M231+K232</f>
        <v>7</v>
      </c>
      <c r="N232" s="115">
        <v>0</v>
      </c>
      <c r="O232" s="116" t="e">
        <f t="shared" si="49"/>
        <v>#DIV/0!</v>
      </c>
      <c r="P232" s="115">
        <v>0</v>
      </c>
      <c r="Q232" s="116" t="e">
        <f t="shared" si="50"/>
        <v>#DIV/0!</v>
      </c>
      <c r="R232" s="115">
        <v>0</v>
      </c>
      <c r="S232" s="100" t="e">
        <f t="shared" si="51"/>
        <v>#DIV/0!</v>
      </c>
    </row>
    <row r="233" spans="1:19" ht="15" x14ac:dyDescent="0.2">
      <c r="A233" s="114" t="s">
        <v>126</v>
      </c>
      <c r="B233" s="100" t="s">
        <v>154</v>
      </c>
      <c r="C233" s="115">
        <v>120000</v>
      </c>
      <c r="D233" s="100">
        <f>(C233/12)*4</f>
        <v>40000</v>
      </c>
      <c r="E233" s="103">
        <f>'Monitoramento Acumulado Geral'!Q233</f>
        <v>0</v>
      </c>
      <c r="F233" s="100">
        <f>SUM(E230:E233)</f>
        <v>36650</v>
      </c>
      <c r="G233" s="102" t="str">
        <f t="shared" si="48"/>
        <v>Farol Amarelo</v>
      </c>
      <c r="H233" s="116">
        <f t="shared" si="46"/>
        <v>3350</v>
      </c>
      <c r="I233" s="100">
        <f t="shared" si="47"/>
        <v>4</v>
      </c>
      <c r="J233" s="119">
        <v>18</v>
      </c>
      <c r="K233" s="118">
        <f>'Monitoramento Acumulado Geral'!P233</f>
        <v>0</v>
      </c>
      <c r="L233" s="100">
        <f>$L230+L232</f>
        <v>6</v>
      </c>
      <c r="M233" s="100">
        <f t="shared" si="53"/>
        <v>7</v>
      </c>
      <c r="N233" s="115">
        <v>0</v>
      </c>
      <c r="O233" s="116" t="e">
        <f t="shared" si="49"/>
        <v>#DIV/0!</v>
      </c>
      <c r="P233" s="115">
        <v>0</v>
      </c>
      <c r="Q233" s="116" t="e">
        <f t="shared" si="50"/>
        <v>#DIV/0!</v>
      </c>
      <c r="R233" s="115">
        <v>0</v>
      </c>
      <c r="S233" s="100" t="e">
        <f t="shared" si="51"/>
        <v>#DIV/0!</v>
      </c>
    </row>
    <row r="234" spans="1:19" ht="15" x14ac:dyDescent="0.2">
      <c r="A234" s="114" t="s">
        <v>126</v>
      </c>
      <c r="B234" s="100" t="s">
        <v>155</v>
      </c>
      <c r="C234" s="115">
        <v>120000</v>
      </c>
      <c r="D234" s="100">
        <f>(C234/12)*5</f>
        <v>50000</v>
      </c>
      <c r="E234" s="103">
        <f>'Monitoramento Acumulado Geral'!Q234</f>
        <v>14760</v>
      </c>
      <c r="F234" s="100">
        <f>SUM(E230:E234)</f>
        <v>51410</v>
      </c>
      <c r="G234" s="102" t="str">
        <f t="shared" si="48"/>
        <v>Farol Verde</v>
      </c>
      <c r="H234" s="116">
        <f t="shared" si="46"/>
        <v>0</v>
      </c>
      <c r="I234" s="100">
        <f t="shared" si="47"/>
        <v>5</v>
      </c>
      <c r="J234" s="119">
        <v>18</v>
      </c>
      <c r="K234" s="118">
        <f>'Monitoramento Acumulado Geral'!P234</f>
        <v>1</v>
      </c>
      <c r="L234" s="100">
        <f>L230+L233</f>
        <v>7.5</v>
      </c>
      <c r="M234" s="100">
        <f t="shared" si="53"/>
        <v>8</v>
      </c>
      <c r="N234" s="115">
        <v>4</v>
      </c>
      <c r="O234" s="116">
        <f t="shared" si="49"/>
        <v>1</v>
      </c>
      <c r="P234" s="115">
        <v>4</v>
      </c>
      <c r="Q234" s="116">
        <f t="shared" si="50"/>
        <v>0</v>
      </c>
      <c r="R234" s="115">
        <v>0</v>
      </c>
      <c r="S234" s="100">
        <f t="shared" si="51"/>
        <v>0</v>
      </c>
    </row>
    <row r="235" spans="1:19" ht="15" x14ac:dyDescent="0.2">
      <c r="A235" s="114" t="s">
        <v>126</v>
      </c>
      <c r="B235" s="100" t="s">
        <v>156</v>
      </c>
      <c r="C235" s="115">
        <v>120000</v>
      </c>
      <c r="D235" s="100">
        <f>(C235/12)*6</f>
        <v>60000</v>
      </c>
      <c r="E235" s="103">
        <f>'Monitoramento Acumulado Geral'!Q235</f>
        <v>20710</v>
      </c>
      <c r="F235" s="100">
        <f>SUM(E230:E235)</f>
        <v>72120</v>
      </c>
      <c r="G235" s="102" t="str">
        <f t="shared" si="48"/>
        <v>Farol Verde</v>
      </c>
      <c r="H235" s="116">
        <f t="shared" si="46"/>
        <v>0</v>
      </c>
      <c r="I235" s="100">
        <f t="shared" si="47"/>
        <v>6</v>
      </c>
      <c r="J235" s="119">
        <v>18</v>
      </c>
      <c r="K235" s="118">
        <f>'Monitoramento Acumulado Geral'!P235</f>
        <v>2</v>
      </c>
      <c r="L235" s="100">
        <f>$L230+L234</f>
        <v>9</v>
      </c>
      <c r="M235" s="100">
        <f t="shared" si="53"/>
        <v>10</v>
      </c>
      <c r="N235" s="115">
        <v>14</v>
      </c>
      <c r="O235" s="116">
        <f t="shared" si="49"/>
        <v>0.7142857142857143</v>
      </c>
      <c r="P235" s="115">
        <v>10</v>
      </c>
      <c r="Q235" s="116">
        <f t="shared" si="50"/>
        <v>0.2</v>
      </c>
      <c r="R235" s="115">
        <v>2</v>
      </c>
      <c r="S235" s="100">
        <f t="shared" si="51"/>
        <v>0.14285714285714285</v>
      </c>
    </row>
    <row r="236" spans="1:19" ht="15" x14ac:dyDescent="0.2">
      <c r="A236" s="114" t="s">
        <v>126</v>
      </c>
      <c r="B236" s="100" t="s">
        <v>157</v>
      </c>
      <c r="C236" s="115">
        <v>120000</v>
      </c>
      <c r="D236" s="100">
        <f>(C236/12)*7</f>
        <v>70000</v>
      </c>
      <c r="E236" s="103">
        <f>'Monitoramento Acumulado Geral'!Q236</f>
        <v>1350</v>
      </c>
      <c r="F236" s="100">
        <f>SUM(E230:E236)</f>
        <v>73470</v>
      </c>
      <c r="G236" s="102" t="str">
        <f t="shared" si="48"/>
        <v>Farol Verde</v>
      </c>
      <c r="H236" s="116">
        <f t="shared" si="46"/>
        <v>0</v>
      </c>
      <c r="I236" s="100">
        <f t="shared" si="47"/>
        <v>7</v>
      </c>
      <c r="J236" s="119">
        <v>18</v>
      </c>
      <c r="K236" s="118">
        <f>'Monitoramento Acumulado Geral'!P236</f>
        <v>1</v>
      </c>
      <c r="L236" s="100">
        <f>$L230+L235</f>
        <v>10.5</v>
      </c>
      <c r="M236" s="100">
        <f t="shared" si="53"/>
        <v>11</v>
      </c>
      <c r="N236" s="115"/>
      <c r="O236" s="116" t="e">
        <f t="shared" si="49"/>
        <v>#DIV/0!</v>
      </c>
      <c r="P236" s="115"/>
      <c r="Q236" s="116" t="e">
        <f t="shared" si="50"/>
        <v>#DIV/0!</v>
      </c>
      <c r="R236" s="115"/>
      <c r="S236" s="100" t="e">
        <f t="shared" si="51"/>
        <v>#DIV/0!</v>
      </c>
    </row>
    <row r="237" spans="1:19" ht="15" x14ac:dyDescent="0.2">
      <c r="A237" s="114" t="s">
        <v>126</v>
      </c>
      <c r="B237" s="100" t="s">
        <v>158</v>
      </c>
      <c r="C237" s="115">
        <v>120000</v>
      </c>
      <c r="D237" s="100">
        <f>(C237/12)*8</f>
        <v>80000</v>
      </c>
      <c r="E237" s="103">
        <f>'Monitoramento Acumulado Geral'!Q237</f>
        <v>10000</v>
      </c>
      <c r="F237" s="100">
        <f>SUM(E230:E237)</f>
        <v>83470</v>
      </c>
      <c r="G237" s="102" t="str">
        <f t="shared" si="48"/>
        <v>Farol Verde</v>
      </c>
      <c r="H237" s="116">
        <f t="shared" si="46"/>
        <v>0</v>
      </c>
      <c r="I237" s="100">
        <f t="shared" si="47"/>
        <v>8</v>
      </c>
      <c r="J237" s="119">
        <v>18</v>
      </c>
      <c r="K237" s="118">
        <f>'Monitoramento Acumulado Geral'!P237</f>
        <v>1</v>
      </c>
      <c r="L237" s="100">
        <f>L230+L236</f>
        <v>12</v>
      </c>
      <c r="M237" s="100">
        <f t="shared" si="53"/>
        <v>12</v>
      </c>
      <c r="N237" s="115"/>
      <c r="O237" s="116" t="e">
        <f t="shared" si="49"/>
        <v>#DIV/0!</v>
      </c>
      <c r="P237" s="115"/>
      <c r="Q237" s="116" t="e">
        <f t="shared" si="50"/>
        <v>#DIV/0!</v>
      </c>
      <c r="R237" s="115"/>
      <c r="S237" s="100" t="e">
        <f t="shared" si="51"/>
        <v>#DIV/0!</v>
      </c>
    </row>
    <row r="238" spans="1:19" ht="15" x14ac:dyDescent="0.2">
      <c r="A238" s="114" t="s">
        <v>126</v>
      </c>
      <c r="B238" s="100" t="s">
        <v>159</v>
      </c>
      <c r="C238" s="115">
        <v>120000</v>
      </c>
      <c r="D238" s="100">
        <f>(C238/12)*9</f>
        <v>90000</v>
      </c>
      <c r="E238" s="103">
        <f>'Monitoramento Acumulado Geral'!Q238</f>
        <v>17550</v>
      </c>
      <c r="F238" s="100">
        <f>SUM(E230:E238)</f>
        <v>101020</v>
      </c>
      <c r="G238" s="102" t="str">
        <f t="shared" si="48"/>
        <v>Farol Verde</v>
      </c>
      <c r="H238" s="116">
        <f t="shared" si="46"/>
        <v>0</v>
      </c>
      <c r="I238" s="100">
        <f t="shared" si="47"/>
        <v>9</v>
      </c>
      <c r="J238" s="119">
        <v>18</v>
      </c>
      <c r="K238" s="118">
        <f>'Monitoramento Acumulado Geral'!P238</f>
        <v>3</v>
      </c>
      <c r="L238" s="100">
        <f>$L230+L237</f>
        <v>13.5</v>
      </c>
      <c r="M238" s="100">
        <f t="shared" si="53"/>
        <v>15</v>
      </c>
      <c r="N238" s="115"/>
      <c r="O238" s="116" t="e">
        <f t="shared" si="49"/>
        <v>#DIV/0!</v>
      </c>
      <c r="P238" s="115"/>
      <c r="Q238" s="116" t="e">
        <f t="shared" si="50"/>
        <v>#DIV/0!</v>
      </c>
      <c r="R238" s="115"/>
      <c r="S238" s="100" t="e">
        <f t="shared" si="51"/>
        <v>#DIV/0!</v>
      </c>
    </row>
    <row r="239" spans="1:19" ht="15" x14ac:dyDescent="0.2">
      <c r="A239" s="114" t="s">
        <v>126</v>
      </c>
      <c r="B239" s="100" t="s">
        <v>160</v>
      </c>
      <c r="C239" s="115">
        <v>120000</v>
      </c>
      <c r="D239" s="100">
        <f>(C239/12)*10</f>
        <v>100000</v>
      </c>
      <c r="E239" s="103">
        <f>'Monitoramento Acumulado Geral'!Q239</f>
        <v>0</v>
      </c>
      <c r="F239" s="100">
        <f>SUM(E230:E239)</f>
        <v>101020</v>
      </c>
      <c r="G239" s="102" t="str">
        <f t="shared" si="48"/>
        <v>Farol Verde</v>
      </c>
      <c r="H239" s="116">
        <f t="shared" si="46"/>
        <v>0</v>
      </c>
      <c r="I239" s="100">
        <f t="shared" si="47"/>
        <v>10</v>
      </c>
      <c r="J239" s="119">
        <v>18</v>
      </c>
      <c r="K239" s="118">
        <f>'Monitoramento Acumulado Geral'!P239</f>
        <v>0</v>
      </c>
      <c r="L239" s="100">
        <f>$L230+L238</f>
        <v>15</v>
      </c>
      <c r="M239" s="100">
        <f t="shared" si="53"/>
        <v>15</v>
      </c>
      <c r="N239" s="115"/>
      <c r="O239" s="116" t="e">
        <f t="shared" si="49"/>
        <v>#DIV/0!</v>
      </c>
      <c r="P239" s="115"/>
      <c r="Q239" s="116" t="e">
        <f t="shared" si="50"/>
        <v>#DIV/0!</v>
      </c>
      <c r="R239" s="115"/>
      <c r="S239" s="100" t="e">
        <f t="shared" si="51"/>
        <v>#DIV/0!</v>
      </c>
    </row>
    <row r="240" spans="1:19" ht="15" x14ac:dyDescent="0.2">
      <c r="A240" s="114" t="s">
        <v>126</v>
      </c>
      <c r="B240" s="100" t="s">
        <v>161</v>
      </c>
      <c r="C240" s="115">
        <v>120000</v>
      </c>
      <c r="D240" s="100">
        <f>(C240/12)*11</f>
        <v>110000</v>
      </c>
      <c r="E240" s="103">
        <f>'Monitoramento Acumulado Geral'!Q240</f>
        <v>0</v>
      </c>
      <c r="F240" s="100">
        <f>SUM(E230:E240)</f>
        <v>101020</v>
      </c>
      <c r="G240" s="102" t="str">
        <f t="shared" si="48"/>
        <v>Farol Amarelo</v>
      </c>
      <c r="H240" s="116">
        <f t="shared" si="46"/>
        <v>8980</v>
      </c>
      <c r="I240" s="100">
        <f t="shared" si="47"/>
        <v>11</v>
      </c>
      <c r="J240" s="119">
        <v>18</v>
      </c>
      <c r="K240" s="118">
        <f>'Monitoramento Acumulado Geral'!P240</f>
        <v>0</v>
      </c>
      <c r="L240" s="100">
        <f>L230+L239</f>
        <v>16.5</v>
      </c>
      <c r="M240" s="100">
        <f t="shared" si="53"/>
        <v>15</v>
      </c>
      <c r="N240" s="115"/>
      <c r="O240" s="116" t="e">
        <f t="shared" si="49"/>
        <v>#DIV/0!</v>
      </c>
      <c r="P240" s="115"/>
      <c r="Q240" s="116" t="e">
        <f t="shared" si="50"/>
        <v>#DIV/0!</v>
      </c>
      <c r="R240" s="115"/>
      <c r="S240" s="100" t="e">
        <f t="shared" si="51"/>
        <v>#DIV/0!</v>
      </c>
    </row>
    <row r="241" spans="1:19" ht="15" x14ac:dyDescent="0.2">
      <c r="A241" s="114" t="s">
        <v>126</v>
      </c>
      <c r="B241" s="100" t="s">
        <v>162</v>
      </c>
      <c r="C241" s="115">
        <v>120000</v>
      </c>
      <c r="D241" s="100">
        <f>(C241/12)*12</f>
        <v>120000</v>
      </c>
      <c r="E241" s="103">
        <f>'Monitoramento Acumulado Geral'!Q241</f>
        <v>0</v>
      </c>
      <c r="F241" s="100">
        <f>SUM(E230:E241)</f>
        <v>101020</v>
      </c>
      <c r="G241" s="102" t="str">
        <f t="shared" si="48"/>
        <v>Farol Vermelho</v>
      </c>
      <c r="H241" s="116">
        <f t="shared" si="46"/>
        <v>18980</v>
      </c>
      <c r="I241" s="100">
        <f t="shared" si="47"/>
        <v>12</v>
      </c>
      <c r="J241" s="119">
        <v>18</v>
      </c>
      <c r="K241" s="118">
        <f>'Monitoramento Acumulado Geral'!P241</f>
        <v>0</v>
      </c>
      <c r="L241" s="100">
        <f>$L230+L240</f>
        <v>18</v>
      </c>
      <c r="M241" s="100">
        <f t="shared" si="53"/>
        <v>15</v>
      </c>
      <c r="N241" s="115"/>
      <c r="O241" s="116" t="e">
        <f t="shared" si="49"/>
        <v>#DIV/0!</v>
      </c>
      <c r="P241" s="115"/>
      <c r="Q241" s="116" t="e">
        <f t="shared" si="50"/>
        <v>#DIV/0!</v>
      </c>
      <c r="R241" s="115"/>
      <c r="S241" s="100" t="e">
        <f t="shared" si="51"/>
        <v>#DIV/0!</v>
      </c>
    </row>
    <row r="242" spans="1:19" ht="15" x14ac:dyDescent="0.2">
      <c r="A242" s="114" t="s">
        <v>73</v>
      </c>
      <c r="B242" s="100" t="s">
        <v>151</v>
      </c>
      <c r="C242" s="115">
        <v>10800</v>
      </c>
      <c r="D242" s="100">
        <f>(C242/12)*1</f>
        <v>900</v>
      </c>
      <c r="E242" s="103">
        <f>'Monitoramento Acumulado Geral'!Q242</f>
        <v>0</v>
      </c>
      <c r="F242" s="100">
        <f>E242</f>
        <v>0</v>
      </c>
      <c r="G242" s="102" t="str">
        <f t="shared" si="48"/>
        <v>Farol Vermelho</v>
      </c>
      <c r="H242" s="116">
        <f t="shared" si="46"/>
        <v>900</v>
      </c>
      <c r="I242" s="100">
        <f t="shared" si="47"/>
        <v>1</v>
      </c>
      <c r="J242" s="119">
        <v>4</v>
      </c>
      <c r="K242" s="118">
        <f>'Monitoramento Acumulado Geral'!P242</f>
        <v>0</v>
      </c>
      <c r="L242" s="100">
        <f>J242/12</f>
        <v>0.33333333333333331</v>
      </c>
      <c r="M242" s="100">
        <f>K242</f>
        <v>0</v>
      </c>
      <c r="N242" s="115">
        <v>0</v>
      </c>
      <c r="O242" s="116" t="e">
        <f t="shared" si="49"/>
        <v>#DIV/0!</v>
      </c>
      <c r="P242" s="115">
        <v>0</v>
      </c>
      <c r="Q242" s="116" t="e">
        <f t="shared" si="50"/>
        <v>#DIV/0!</v>
      </c>
      <c r="R242" s="115">
        <v>0</v>
      </c>
      <c r="S242" s="100" t="e">
        <f t="shared" si="51"/>
        <v>#DIV/0!</v>
      </c>
    </row>
    <row r="243" spans="1:19" ht="15" x14ac:dyDescent="0.2">
      <c r="A243" s="114" t="s">
        <v>73</v>
      </c>
      <c r="B243" s="100" t="s">
        <v>152</v>
      </c>
      <c r="C243" s="115">
        <v>10800</v>
      </c>
      <c r="D243" s="100">
        <f>(C243/12)*2</f>
        <v>1800</v>
      </c>
      <c r="E243" s="103">
        <f>'Monitoramento Acumulado Geral'!Q243</f>
        <v>0</v>
      </c>
      <c r="F243" s="100">
        <f>SUM(E242:E243)</f>
        <v>0</v>
      </c>
      <c r="G243" s="102" t="str">
        <f t="shared" si="48"/>
        <v>Farol Vermelho</v>
      </c>
      <c r="H243" s="116">
        <f t="shared" si="46"/>
        <v>1800</v>
      </c>
      <c r="I243" s="100">
        <f t="shared" si="47"/>
        <v>2</v>
      </c>
      <c r="J243" s="119">
        <v>4</v>
      </c>
      <c r="K243" s="118">
        <f>'Monitoramento Acumulado Geral'!P243</f>
        <v>0</v>
      </c>
      <c r="L243" s="100">
        <f>L242+L242</f>
        <v>0.66666666666666663</v>
      </c>
      <c r="M243" s="100">
        <f>M242+K243</f>
        <v>0</v>
      </c>
      <c r="N243" s="115">
        <v>0</v>
      </c>
      <c r="O243" s="116" t="e">
        <f t="shared" si="49"/>
        <v>#DIV/0!</v>
      </c>
      <c r="P243" s="115">
        <v>0</v>
      </c>
      <c r="Q243" s="116" t="e">
        <f t="shared" si="50"/>
        <v>#DIV/0!</v>
      </c>
      <c r="R243" s="115">
        <v>0</v>
      </c>
      <c r="S243" s="100" t="e">
        <f t="shared" si="51"/>
        <v>#DIV/0!</v>
      </c>
    </row>
    <row r="244" spans="1:19" ht="15" x14ac:dyDescent="0.2">
      <c r="A244" s="114" t="s">
        <v>73</v>
      </c>
      <c r="B244" s="100" t="s">
        <v>153</v>
      </c>
      <c r="C244" s="115">
        <v>10800</v>
      </c>
      <c r="D244" s="100">
        <f>(C244/12)*3</f>
        <v>2700</v>
      </c>
      <c r="E244" s="103">
        <f>'Monitoramento Acumulado Geral'!Q244</f>
        <v>0</v>
      </c>
      <c r="F244" s="100">
        <f>SUM(E242:E244)</f>
        <v>0</v>
      </c>
      <c r="G244" s="102" t="str">
        <f t="shared" si="48"/>
        <v>Farol Vermelho</v>
      </c>
      <c r="H244" s="116">
        <f t="shared" si="46"/>
        <v>2700</v>
      </c>
      <c r="I244" s="100">
        <f t="shared" si="47"/>
        <v>3</v>
      </c>
      <c r="J244" s="119">
        <v>4</v>
      </c>
      <c r="K244" s="118">
        <f>'Monitoramento Acumulado Geral'!P244</f>
        <v>0</v>
      </c>
      <c r="L244" s="100">
        <f>$L242+L243</f>
        <v>1</v>
      </c>
      <c r="M244" s="100">
        <f t="shared" ref="M244:M253" si="54">M243+K244</f>
        <v>0</v>
      </c>
      <c r="N244" s="115">
        <v>0</v>
      </c>
      <c r="O244" s="116" t="e">
        <f t="shared" si="49"/>
        <v>#DIV/0!</v>
      </c>
      <c r="P244" s="115">
        <v>0</v>
      </c>
      <c r="Q244" s="116" t="e">
        <f t="shared" si="50"/>
        <v>#DIV/0!</v>
      </c>
      <c r="R244" s="115">
        <v>0</v>
      </c>
      <c r="S244" s="100" t="e">
        <f t="shared" si="51"/>
        <v>#DIV/0!</v>
      </c>
    </row>
    <row r="245" spans="1:19" ht="15" x14ac:dyDescent="0.2">
      <c r="A245" s="114" t="s">
        <v>73</v>
      </c>
      <c r="B245" s="100" t="s">
        <v>154</v>
      </c>
      <c r="C245" s="115">
        <v>10800</v>
      </c>
      <c r="D245" s="100">
        <f>(C245/12)*4</f>
        <v>3600</v>
      </c>
      <c r="E245" s="103">
        <f>'Monitoramento Acumulado Geral'!Q245</f>
        <v>0</v>
      </c>
      <c r="F245" s="100">
        <f>SUM(E242:E245)</f>
        <v>0</v>
      </c>
      <c r="G245" s="102" t="str">
        <f t="shared" si="48"/>
        <v>Farol Vermelho</v>
      </c>
      <c r="H245" s="116">
        <f t="shared" si="46"/>
        <v>3600</v>
      </c>
      <c r="I245" s="100">
        <f t="shared" si="47"/>
        <v>4</v>
      </c>
      <c r="J245" s="119">
        <v>4</v>
      </c>
      <c r="K245" s="118">
        <f>'Monitoramento Acumulado Geral'!P245</f>
        <v>0</v>
      </c>
      <c r="L245" s="100">
        <f>$L242+L244</f>
        <v>1.3333333333333333</v>
      </c>
      <c r="M245" s="100">
        <f t="shared" si="54"/>
        <v>0</v>
      </c>
      <c r="N245" s="115">
        <v>0</v>
      </c>
      <c r="O245" s="116" t="e">
        <f t="shared" si="49"/>
        <v>#DIV/0!</v>
      </c>
      <c r="P245" s="115">
        <v>0</v>
      </c>
      <c r="Q245" s="116" t="e">
        <f t="shared" si="50"/>
        <v>#DIV/0!</v>
      </c>
      <c r="R245" s="115">
        <v>0</v>
      </c>
      <c r="S245" s="100" t="e">
        <f t="shared" si="51"/>
        <v>#DIV/0!</v>
      </c>
    </row>
    <row r="246" spans="1:19" ht="15" x14ac:dyDescent="0.2">
      <c r="A246" s="114" t="s">
        <v>73</v>
      </c>
      <c r="B246" s="100" t="s">
        <v>155</v>
      </c>
      <c r="C246" s="115">
        <v>10800</v>
      </c>
      <c r="D246" s="100">
        <f>(C246/12)*5</f>
        <v>4500</v>
      </c>
      <c r="E246" s="103">
        <f>'Monitoramento Acumulado Geral'!Q246</f>
        <v>0</v>
      </c>
      <c r="F246" s="100">
        <f>SUM(E242:E246)</f>
        <v>0</v>
      </c>
      <c r="G246" s="102" t="str">
        <f t="shared" si="48"/>
        <v>Farol Vermelho</v>
      </c>
      <c r="H246" s="116">
        <f t="shared" si="46"/>
        <v>4500</v>
      </c>
      <c r="I246" s="100">
        <f t="shared" si="47"/>
        <v>5</v>
      </c>
      <c r="J246" s="119">
        <v>4</v>
      </c>
      <c r="K246" s="118">
        <f>'Monitoramento Acumulado Geral'!P246</f>
        <v>0</v>
      </c>
      <c r="L246" s="100">
        <f>L242+L245</f>
        <v>1.6666666666666665</v>
      </c>
      <c r="M246" s="100">
        <f t="shared" si="54"/>
        <v>0</v>
      </c>
      <c r="N246" s="115">
        <v>0</v>
      </c>
      <c r="O246" s="116" t="e">
        <f t="shared" si="49"/>
        <v>#DIV/0!</v>
      </c>
      <c r="P246" s="115">
        <v>0</v>
      </c>
      <c r="Q246" s="116" t="e">
        <f t="shared" si="50"/>
        <v>#DIV/0!</v>
      </c>
      <c r="R246" s="115">
        <v>0</v>
      </c>
      <c r="S246" s="100" t="e">
        <f t="shared" si="51"/>
        <v>#DIV/0!</v>
      </c>
    </row>
    <row r="247" spans="1:19" ht="15" x14ac:dyDescent="0.2">
      <c r="A247" s="114" t="s">
        <v>73</v>
      </c>
      <c r="B247" s="100" t="s">
        <v>156</v>
      </c>
      <c r="C247" s="115">
        <v>10800</v>
      </c>
      <c r="D247" s="100">
        <f>(C247/12)*6</f>
        <v>5400</v>
      </c>
      <c r="E247" s="103">
        <f>'Monitoramento Acumulado Geral'!Q247</f>
        <v>0</v>
      </c>
      <c r="F247" s="100">
        <f>SUM(E242:E247)</f>
        <v>0</v>
      </c>
      <c r="G247" s="102" t="str">
        <f t="shared" si="48"/>
        <v>Farol Vermelho</v>
      </c>
      <c r="H247" s="116">
        <f t="shared" si="46"/>
        <v>5400</v>
      </c>
      <c r="I247" s="100">
        <f t="shared" si="47"/>
        <v>6</v>
      </c>
      <c r="J247" s="119">
        <v>4</v>
      </c>
      <c r="K247" s="118">
        <f>'Monitoramento Acumulado Geral'!P247</f>
        <v>0</v>
      </c>
      <c r="L247" s="100">
        <f>$L242+L246</f>
        <v>1.9999999999999998</v>
      </c>
      <c r="M247" s="100">
        <f t="shared" si="54"/>
        <v>0</v>
      </c>
      <c r="N247" s="115">
        <v>3</v>
      </c>
      <c r="O247" s="116">
        <f t="shared" si="49"/>
        <v>0.33333333333333331</v>
      </c>
      <c r="P247" s="115">
        <v>1</v>
      </c>
      <c r="Q247" s="116">
        <f t="shared" si="50"/>
        <v>0</v>
      </c>
      <c r="R247" s="115">
        <v>0</v>
      </c>
      <c r="S247" s="100">
        <f t="shared" si="51"/>
        <v>0</v>
      </c>
    </row>
    <row r="248" spans="1:19" ht="15" x14ac:dyDescent="0.2">
      <c r="A248" s="114" t="s">
        <v>73</v>
      </c>
      <c r="B248" s="100" t="s">
        <v>157</v>
      </c>
      <c r="C248" s="115">
        <v>10800</v>
      </c>
      <c r="D248" s="100">
        <f>(C248/12)*7</f>
        <v>6300</v>
      </c>
      <c r="E248" s="103">
        <f>'Monitoramento Acumulado Geral'!Q248</f>
        <v>935</v>
      </c>
      <c r="F248" s="100">
        <f>SUM(E242:E248)</f>
        <v>935</v>
      </c>
      <c r="G248" s="102" t="str">
        <f t="shared" si="48"/>
        <v>Farol Vermelho</v>
      </c>
      <c r="H248" s="116">
        <f t="shared" si="46"/>
        <v>5365</v>
      </c>
      <c r="I248" s="100">
        <f t="shared" si="47"/>
        <v>7</v>
      </c>
      <c r="J248" s="119">
        <v>4</v>
      </c>
      <c r="K248" s="118">
        <f>'Monitoramento Acumulado Geral'!P248</f>
        <v>2</v>
      </c>
      <c r="L248" s="100">
        <f>$L242+L247</f>
        <v>2.333333333333333</v>
      </c>
      <c r="M248" s="100">
        <f t="shared" si="54"/>
        <v>2</v>
      </c>
      <c r="N248" s="115"/>
      <c r="O248" s="116" t="e">
        <f t="shared" si="49"/>
        <v>#DIV/0!</v>
      </c>
      <c r="P248" s="115"/>
      <c r="Q248" s="116" t="e">
        <f t="shared" si="50"/>
        <v>#DIV/0!</v>
      </c>
      <c r="R248" s="115"/>
      <c r="S248" s="100" t="e">
        <f t="shared" si="51"/>
        <v>#DIV/0!</v>
      </c>
    </row>
    <row r="249" spans="1:19" ht="15" x14ac:dyDescent="0.2">
      <c r="A249" s="114" t="s">
        <v>73</v>
      </c>
      <c r="B249" s="100" t="s">
        <v>158</v>
      </c>
      <c r="C249" s="115">
        <v>10800</v>
      </c>
      <c r="D249" s="100">
        <f>(C249/12)*8</f>
        <v>7200</v>
      </c>
      <c r="E249" s="103">
        <f>'Monitoramento Acumulado Geral'!Q249</f>
        <v>2000</v>
      </c>
      <c r="F249" s="100">
        <f>SUM(E242:E249)</f>
        <v>2935</v>
      </c>
      <c r="G249" s="102" t="str">
        <f t="shared" si="48"/>
        <v>Farol Vermelho</v>
      </c>
      <c r="H249" s="116">
        <f t="shared" si="46"/>
        <v>4265</v>
      </c>
      <c r="I249" s="100">
        <f t="shared" si="47"/>
        <v>8</v>
      </c>
      <c r="J249" s="119">
        <v>4</v>
      </c>
      <c r="K249" s="118">
        <f>'Monitoramento Acumulado Geral'!P249</f>
        <v>1</v>
      </c>
      <c r="L249" s="100">
        <f>L242+L248</f>
        <v>2.6666666666666665</v>
      </c>
      <c r="M249" s="100">
        <f t="shared" si="54"/>
        <v>3</v>
      </c>
      <c r="N249" s="115"/>
      <c r="O249" s="116" t="e">
        <f t="shared" si="49"/>
        <v>#DIV/0!</v>
      </c>
      <c r="P249" s="115"/>
      <c r="Q249" s="116" t="e">
        <f t="shared" si="50"/>
        <v>#DIV/0!</v>
      </c>
      <c r="R249" s="115"/>
      <c r="S249" s="100" t="e">
        <f t="shared" si="51"/>
        <v>#DIV/0!</v>
      </c>
    </row>
    <row r="250" spans="1:19" ht="15" x14ac:dyDescent="0.2">
      <c r="A250" s="114" t="s">
        <v>73</v>
      </c>
      <c r="B250" s="100" t="s">
        <v>159</v>
      </c>
      <c r="C250" s="115">
        <v>10800</v>
      </c>
      <c r="D250" s="100">
        <f>(C250/12)*9</f>
        <v>8100</v>
      </c>
      <c r="E250" s="103">
        <f>'Monitoramento Acumulado Geral'!Q250</f>
        <v>1575</v>
      </c>
      <c r="F250" s="100">
        <f>SUM(E242:E250)</f>
        <v>4510</v>
      </c>
      <c r="G250" s="102" t="str">
        <f t="shared" si="48"/>
        <v>Farol Vermelho</v>
      </c>
      <c r="H250" s="116">
        <f t="shared" si="46"/>
        <v>3590</v>
      </c>
      <c r="I250" s="100">
        <f t="shared" si="47"/>
        <v>9</v>
      </c>
      <c r="J250" s="119">
        <v>4</v>
      </c>
      <c r="K250" s="118">
        <f>'Monitoramento Acumulado Geral'!P250</f>
        <v>1</v>
      </c>
      <c r="L250" s="100">
        <f>$L242+L249</f>
        <v>3</v>
      </c>
      <c r="M250" s="100">
        <f t="shared" si="54"/>
        <v>4</v>
      </c>
      <c r="N250" s="115"/>
      <c r="O250" s="116" t="e">
        <f t="shared" si="49"/>
        <v>#DIV/0!</v>
      </c>
      <c r="P250" s="115"/>
      <c r="Q250" s="116" t="e">
        <f t="shared" si="50"/>
        <v>#DIV/0!</v>
      </c>
      <c r="R250" s="115"/>
      <c r="S250" s="100" t="e">
        <f t="shared" si="51"/>
        <v>#DIV/0!</v>
      </c>
    </row>
    <row r="251" spans="1:19" ht="15" x14ac:dyDescent="0.2">
      <c r="A251" s="114" t="s">
        <v>73</v>
      </c>
      <c r="B251" s="100" t="s">
        <v>160</v>
      </c>
      <c r="C251" s="115">
        <v>10800</v>
      </c>
      <c r="D251" s="100">
        <f>(C251/12)*10</f>
        <v>9000</v>
      </c>
      <c r="E251" s="103">
        <f>'Monitoramento Acumulado Geral'!Q251</f>
        <v>0</v>
      </c>
      <c r="F251" s="100">
        <f>SUM(E242:E251)</f>
        <v>4510</v>
      </c>
      <c r="G251" s="102" t="str">
        <f t="shared" si="48"/>
        <v>Farol Vermelho</v>
      </c>
      <c r="H251" s="116">
        <f t="shared" si="46"/>
        <v>4490</v>
      </c>
      <c r="I251" s="100">
        <f t="shared" si="47"/>
        <v>10</v>
      </c>
      <c r="J251" s="119">
        <v>4</v>
      </c>
      <c r="K251" s="118">
        <f>'Monitoramento Acumulado Geral'!P251</f>
        <v>0</v>
      </c>
      <c r="L251" s="100">
        <f>$L242+L250</f>
        <v>3.3333333333333335</v>
      </c>
      <c r="M251" s="100">
        <f t="shared" si="54"/>
        <v>4</v>
      </c>
      <c r="N251" s="115"/>
      <c r="O251" s="116" t="e">
        <f t="shared" si="49"/>
        <v>#DIV/0!</v>
      </c>
      <c r="P251" s="115"/>
      <c r="Q251" s="116" t="e">
        <f t="shared" si="50"/>
        <v>#DIV/0!</v>
      </c>
      <c r="R251" s="115"/>
      <c r="S251" s="100" t="e">
        <f t="shared" si="51"/>
        <v>#DIV/0!</v>
      </c>
    </row>
    <row r="252" spans="1:19" ht="15" x14ac:dyDescent="0.2">
      <c r="A252" s="114" t="s">
        <v>73</v>
      </c>
      <c r="B252" s="100" t="s">
        <v>161</v>
      </c>
      <c r="C252" s="115">
        <v>10800</v>
      </c>
      <c r="D252" s="100">
        <f>(C252/12)*11</f>
        <v>9900</v>
      </c>
      <c r="E252" s="103">
        <f>'Monitoramento Acumulado Geral'!Q252</f>
        <v>0</v>
      </c>
      <c r="F252" s="100">
        <f>SUM(E242:E252)</f>
        <v>4510</v>
      </c>
      <c r="G252" s="102" t="str">
        <f t="shared" si="48"/>
        <v>Farol Vermelho</v>
      </c>
      <c r="H252" s="116">
        <f t="shared" si="46"/>
        <v>5390</v>
      </c>
      <c r="I252" s="100">
        <f t="shared" si="47"/>
        <v>11</v>
      </c>
      <c r="J252" s="119">
        <v>4</v>
      </c>
      <c r="K252" s="118">
        <f>'Monitoramento Acumulado Geral'!P252</f>
        <v>0</v>
      </c>
      <c r="L252" s="100">
        <f>L242+L251</f>
        <v>3.666666666666667</v>
      </c>
      <c r="M252" s="100">
        <f t="shared" si="54"/>
        <v>4</v>
      </c>
      <c r="N252" s="115"/>
      <c r="O252" s="116" t="e">
        <f t="shared" si="49"/>
        <v>#DIV/0!</v>
      </c>
      <c r="P252" s="115"/>
      <c r="Q252" s="116" t="e">
        <f t="shared" si="50"/>
        <v>#DIV/0!</v>
      </c>
      <c r="R252" s="115"/>
      <c r="S252" s="100" t="e">
        <f t="shared" si="51"/>
        <v>#DIV/0!</v>
      </c>
    </row>
    <row r="253" spans="1:19" ht="15" x14ac:dyDescent="0.2">
      <c r="A253" s="114" t="s">
        <v>73</v>
      </c>
      <c r="B253" s="100" t="s">
        <v>162</v>
      </c>
      <c r="C253" s="115">
        <v>10800</v>
      </c>
      <c r="D253" s="100">
        <f>(C253/12)*12</f>
        <v>10800</v>
      </c>
      <c r="E253" s="103">
        <f>'Monitoramento Acumulado Geral'!Q253</f>
        <v>0</v>
      </c>
      <c r="F253" s="100">
        <f>SUM(E242:E253)</f>
        <v>4510</v>
      </c>
      <c r="G253" s="102" t="str">
        <f t="shared" si="48"/>
        <v>Farol Vermelho</v>
      </c>
      <c r="H253" s="116">
        <f t="shared" si="46"/>
        <v>6290</v>
      </c>
      <c r="I253" s="100">
        <f t="shared" si="47"/>
        <v>12</v>
      </c>
      <c r="J253" s="119">
        <v>4</v>
      </c>
      <c r="K253" s="118">
        <f>'Monitoramento Acumulado Geral'!P253</f>
        <v>0</v>
      </c>
      <c r="L253" s="100">
        <f>$L242+L252</f>
        <v>4</v>
      </c>
      <c r="M253" s="100">
        <f t="shared" si="54"/>
        <v>4</v>
      </c>
      <c r="N253" s="115"/>
      <c r="O253" s="116" t="e">
        <f t="shared" si="49"/>
        <v>#DIV/0!</v>
      </c>
      <c r="P253" s="115"/>
      <c r="Q253" s="116" t="e">
        <f t="shared" si="50"/>
        <v>#DIV/0!</v>
      </c>
      <c r="R253" s="115"/>
      <c r="S253" s="100" t="e">
        <f t="shared" si="51"/>
        <v>#DIV/0!</v>
      </c>
    </row>
    <row r="254" spans="1:19" ht="15" x14ac:dyDescent="0.2">
      <c r="A254" s="114" t="s">
        <v>56</v>
      </c>
      <c r="B254" s="100" t="s">
        <v>151</v>
      </c>
      <c r="C254" s="115">
        <v>28211.11</v>
      </c>
      <c r="D254" s="100">
        <f>(C254/12)*1</f>
        <v>2350.9258333333332</v>
      </c>
      <c r="E254" s="103">
        <f>'Monitoramento Acumulado Geral'!Q254</f>
        <v>0</v>
      </c>
      <c r="F254" s="100">
        <f>E254</f>
        <v>0</v>
      </c>
      <c r="G254" s="102" t="str">
        <f t="shared" si="48"/>
        <v>Farol Vermelho</v>
      </c>
      <c r="H254" s="116">
        <f t="shared" si="46"/>
        <v>2350.9258333333332</v>
      </c>
      <c r="I254" s="100">
        <f t="shared" si="47"/>
        <v>1</v>
      </c>
      <c r="J254" s="119">
        <v>4</v>
      </c>
      <c r="K254" s="118">
        <f>'Monitoramento Acumulado Geral'!P254</f>
        <v>0</v>
      </c>
      <c r="L254" s="100">
        <f>J254/12</f>
        <v>0.33333333333333331</v>
      </c>
      <c r="M254" s="100">
        <f>K254</f>
        <v>0</v>
      </c>
      <c r="N254" s="115">
        <v>0</v>
      </c>
      <c r="O254" s="116" t="e">
        <f t="shared" si="49"/>
        <v>#DIV/0!</v>
      </c>
      <c r="P254" s="115">
        <v>0</v>
      </c>
      <c r="Q254" s="116" t="e">
        <f t="shared" si="50"/>
        <v>#DIV/0!</v>
      </c>
      <c r="R254" s="115">
        <v>0</v>
      </c>
      <c r="S254" s="100" t="e">
        <f t="shared" si="51"/>
        <v>#DIV/0!</v>
      </c>
    </row>
    <row r="255" spans="1:19" ht="15" x14ac:dyDescent="0.2">
      <c r="A255" s="114" t="s">
        <v>56</v>
      </c>
      <c r="B255" s="100" t="s">
        <v>152</v>
      </c>
      <c r="C255" s="115">
        <v>28211.11</v>
      </c>
      <c r="D255" s="100">
        <f>(C255/12)*2</f>
        <v>4701.8516666666665</v>
      </c>
      <c r="E255" s="103">
        <f>'Monitoramento Acumulado Geral'!Q255</f>
        <v>2700</v>
      </c>
      <c r="F255" s="100">
        <f>SUM(E254:E255)</f>
        <v>2700</v>
      </c>
      <c r="G255" s="102" t="str">
        <f t="shared" si="48"/>
        <v>Farol Vermelho</v>
      </c>
      <c r="H255" s="116">
        <f t="shared" si="46"/>
        <v>2001.8516666666665</v>
      </c>
      <c r="I255" s="100">
        <f t="shared" si="47"/>
        <v>2</v>
      </c>
      <c r="J255" s="119">
        <v>4</v>
      </c>
      <c r="K255" s="118">
        <f>'Monitoramento Acumulado Geral'!P255</f>
        <v>1</v>
      </c>
      <c r="L255" s="100">
        <f>L254+L254</f>
        <v>0.66666666666666663</v>
      </c>
      <c r="M255" s="100">
        <f>M254+K255</f>
        <v>1</v>
      </c>
      <c r="N255" s="115">
        <v>0</v>
      </c>
      <c r="O255" s="116" t="e">
        <f t="shared" si="49"/>
        <v>#DIV/0!</v>
      </c>
      <c r="P255" s="115">
        <v>0</v>
      </c>
      <c r="Q255" s="116" t="e">
        <f t="shared" si="50"/>
        <v>#DIV/0!</v>
      </c>
      <c r="R255" s="115">
        <v>0</v>
      </c>
      <c r="S255" s="100" t="e">
        <f t="shared" si="51"/>
        <v>#DIV/0!</v>
      </c>
    </row>
    <row r="256" spans="1:19" ht="15" x14ac:dyDescent="0.2">
      <c r="A256" s="114" t="s">
        <v>56</v>
      </c>
      <c r="B256" s="100" t="s">
        <v>153</v>
      </c>
      <c r="C256" s="115">
        <v>28211.11</v>
      </c>
      <c r="D256" s="100">
        <f>(C256/12)*3</f>
        <v>7052.7775000000001</v>
      </c>
      <c r="E256" s="103">
        <f>'Monitoramento Acumulado Geral'!Q256</f>
        <v>0</v>
      </c>
      <c r="F256" s="100">
        <f>SUM(E254:E256)</f>
        <v>2700</v>
      </c>
      <c r="G256" s="102" t="str">
        <f t="shared" si="48"/>
        <v>Farol Vermelho</v>
      </c>
      <c r="H256" s="116">
        <f t="shared" si="46"/>
        <v>4352.7775000000001</v>
      </c>
      <c r="I256" s="100">
        <f t="shared" si="47"/>
        <v>3</v>
      </c>
      <c r="J256" s="119">
        <v>4</v>
      </c>
      <c r="K256" s="118">
        <f>'Monitoramento Acumulado Geral'!P256</f>
        <v>0</v>
      </c>
      <c r="L256" s="100">
        <f>$L254+L255</f>
        <v>1</v>
      </c>
      <c r="M256" s="100">
        <f t="shared" ref="M256:M265" si="55">M255+K256</f>
        <v>1</v>
      </c>
      <c r="N256" s="115">
        <v>0</v>
      </c>
      <c r="O256" s="116" t="e">
        <f t="shared" si="49"/>
        <v>#DIV/0!</v>
      </c>
      <c r="P256" s="115">
        <v>0</v>
      </c>
      <c r="Q256" s="116" t="e">
        <f t="shared" si="50"/>
        <v>#DIV/0!</v>
      </c>
      <c r="R256" s="115">
        <v>0</v>
      </c>
      <c r="S256" s="100" t="e">
        <f t="shared" si="51"/>
        <v>#DIV/0!</v>
      </c>
    </row>
    <row r="257" spans="1:19" ht="15" x14ac:dyDescent="0.2">
      <c r="A257" s="114" t="s">
        <v>56</v>
      </c>
      <c r="B257" s="100" t="s">
        <v>154</v>
      </c>
      <c r="C257" s="115">
        <v>28211.11</v>
      </c>
      <c r="D257" s="100">
        <f>(C257/12)*4</f>
        <v>9403.7033333333329</v>
      </c>
      <c r="E257" s="103">
        <f>'Monitoramento Acumulado Geral'!Q257</f>
        <v>0</v>
      </c>
      <c r="F257" s="100">
        <f>SUM(E254:E257)</f>
        <v>2700</v>
      </c>
      <c r="G257" s="102" t="str">
        <f t="shared" si="48"/>
        <v>Farol Vermelho</v>
      </c>
      <c r="H257" s="116">
        <f t="shared" si="46"/>
        <v>6703.7033333333329</v>
      </c>
      <c r="I257" s="100">
        <f t="shared" si="47"/>
        <v>4</v>
      </c>
      <c r="J257" s="119">
        <v>4</v>
      </c>
      <c r="K257" s="118">
        <f>'Monitoramento Acumulado Geral'!P257</f>
        <v>0</v>
      </c>
      <c r="L257" s="100">
        <f>$L254+L256</f>
        <v>1.3333333333333333</v>
      </c>
      <c r="M257" s="100">
        <f t="shared" si="55"/>
        <v>1</v>
      </c>
      <c r="N257" s="115">
        <v>0</v>
      </c>
      <c r="O257" s="116" t="e">
        <f t="shared" si="49"/>
        <v>#DIV/0!</v>
      </c>
      <c r="P257" s="115">
        <v>0</v>
      </c>
      <c r="Q257" s="116" t="e">
        <f t="shared" si="50"/>
        <v>#DIV/0!</v>
      </c>
      <c r="R257" s="115">
        <v>0</v>
      </c>
      <c r="S257" s="100" t="e">
        <f t="shared" si="51"/>
        <v>#DIV/0!</v>
      </c>
    </row>
    <row r="258" spans="1:19" ht="15" x14ac:dyDescent="0.2">
      <c r="A258" s="114" t="s">
        <v>56</v>
      </c>
      <c r="B258" s="100" t="s">
        <v>155</v>
      </c>
      <c r="C258" s="115">
        <v>28211.11</v>
      </c>
      <c r="D258" s="100">
        <f>(C258/12)*5</f>
        <v>11754.629166666666</v>
      </c>
      <c r="E258" s="103">
        <f>'Monitoramento Acumulado Geral'!Q258</f>
        <v>0</v>
      </c>
      <c r="F258" s="100">
        <f>SUM(E254:E258)</f>
        <v>2700</v>
      </c>
      <c r="G258" s="102" t="str">
        <f t="shared" si="48"/>
        <v>Farol Vermelho</v>
      </c>
      <c r="H258" s="116">
        <f t="shared" si="46"/>
        <v>9054.6291666666657</v>
      </c>
      <c r="I258" s="100">
        <f t="shared" si="47"/>
        <v>5</v>
      </c>
      <c r="J258" s="119">
        <v>4</v>
      </c>
      <c r="K258" s="118">
        <f>'Monitoramento Acumulado Geral'!P258</f>
        <v>0</v>
      </c>
      <c r="L258" s="100">
        <f>L254+L257</f>
        <v>1.6666666666666665</v>
      </c>
      <c r="M258" s="100">
        <f t="shared" si="55"/>
        <v>1</v>
      </c>
      <c r="N258" s="115">
        <v>0</v>
      </c>
      <c r="O258" s="116" t="e">
        <f t="shared" si="49"/>
        <v>#DIV/0!</v>
      </c>
      <c r="P258" s="115">
        <v>0</v>
      </c>
      <c r="Q258" s="116" t="e">
        <f t="shared" si="50"/>
        <v>#DIV/0!</v>
      </c>
      <c r="R258" s="115">
        <v>0</v>
      </c>
      <c r="S258" s="100" t="e">
        <f t="shared" si="51"/>
        <v>#DIV/0!</v>
      </c>
    </row>
    <row r="259" spans="1:19" ht="15" x14ac:dyDescent="0.2">
      <c r="A259" s="114" t="s">
        <v>56</v>
      </c>
      <c r="B259" s="100" t="s">
        <v>156</v>
      </c>
      <c r="C259" s="115">
        <v>28211.11</v>
      </c>
      <c r="D259" s="100">
        <f>(C259/12)*6</f>
        <v>14105.555</v>
      </c>
      <c r="E259" s="103">
        <f>'Monitoramento Acumulado Geral'!Q259</f>
        <v>0</v>
      </c>
      <c r="F259" s="100">
        <f>SUM(E254:E259)</f>
        <v>2700</v>
      </c>
      <c r="G259" s="102" t="str">
        <f t="shared" si="48"/>
        <v>Farol Vermelho</v>
      </c>
      <c r="H259" s="116">
        <f t="shared" si="46"/>
        <v>11405.555</v>
      </c>
      <c r="I259" s="100">
        <f t="shared" si="47"/>
        <v>6</v>
      </c>
      <c r="J259" s="119">
        <v>4</v>
      </c>
      <c r="K259" s="118">
        <f>'Monitoramento Acumulado Geral'!P259</f>
        <v>0</v>
      </c>
      <c r="L259" s="100">
        <f>$L254+L258</f>
        <v>1.9999999999999998</v>
      </c>
      <c r="M259" s="100">
        <f t="shared" si="55"/>
        <v>1</v>
      </c>
      <c r="N259" s="115"/>
      <c r="O259" s="116" t="e">
        <f t="shared" si="49"/>
        <v>#DIV/0!</v>
      </c>
      <c r="P259" s="115"/>
      <c r="Q259" s="116" t="e">
        <f t="shared" si="50"/>
        <v>#DIV/0!</v>
      </c>
      <c r="R259" s="115"/>
      <c r="S259" s="100" t="e">
        <f t="shared" si="51"/>
        <v>#DIV/0!</v>
      </c>
    </row>
    <row r="260" spans="1:19" ht="15" x14ac:dyDescent="0.2">
      <c r="A260" s="114" t="s">
        <v>56</v>
      </c>
      <c r="B260" s="100" t="s">
        <v>157</v>
      </c>
      <c r="C260" s="115">
        <v>28211.11</v>
      </c>
      <c r="D260" s="100">
        <f>(C260/12)*7</f>
        <v>16456.480833333331</v>
      </c>
      <c r="E260" s="103">
        <f>'Monitoramento Acumulado Geral'!Q260</f>
        <v>0</v>
      </c>
      <c r="F260" s="100">
        <f>SUM(E254:E260)</f>
        <v>2700</v>
      </c>
      <c r="G260" s="102" t="str">
        <f t="shared" si="48"/>
        <v>Farol Vermelho</v>
      </c>
      <c r="H260" s="116">
        <f t="shared" si="46"/>
        <v>13756.480833333331</v>
      </c>
      <c r="I260" s="100">
        <f t="shared" si="47"/>
        <v>7</v>
      </c>
      <c r="J260" s="119">
        <v>4</v>
      </c>
      <c r="K260" s="118">
        <f>'Monitoramento Acumulado Geral'!P260</f>
        <v>0</v>
      </c>
      <c r="L260" s="100">
        <f>$L254+L259</f>
        <v>2.333333333333333</v>
      </c>
      <c r="M260" s="100">
        <f t="shared" si="55"/>
        <v>1</v>
      </c>
      <c r="N260" s="115"/>
      <c r="O260" s="116" t="e">
        <f t="shared" si="49"/>
        <v>#DIV/0!</v>
      </c>
      <c r="P260" s="115"/>
      <c r="Q260" s="116" t="e">
        <f t="shared" si="50"/>
        <v>#DIV/0!</v>
      </c>
      <c r="R260" s="115"/>
      <c r="S260" s="100" t="e">
        <f t="shared" si="51"/>
        <v>#DIV/0!</v>
      </c>
    </row>
    <row r="261" spans="1:19" ht="15" x14ac:dyDescent="0.2">
      <c r="A261" s="114" t="s">
        <v>56</v>
      </c>
      <c r="B261" s="100" t="s">
        <v>158</v>
      </c>
      <c r="C261" s="115">
        <v>28211.11</v>
      </c>
      <c r="D261" s="100">
        <f>(C261/12)*8</f>
        <v>18807.406666666666</v>
      </c>
      <c r="E261" s="103">
        <f>'Monitoramento Acumulado Geral'!Q261</f>
        <v>4782.63</v>
      </c>
      <c r="F261" s="100">
        <f>SUM(E254:E261)</f>
        <v>7482.63</v>
      </c>
      <c r="G261" s="102" t="str">
        <f t="shared" si="48"/>
        <v>Farol Vermelho</v>
      </c>
      <c r="H261" s="116">
        <f t="shared" si="46"/>
        <v>11324.776666666665</v>
      </c>
      <c r="I261" s="100">
        <f t="shared" si="47"/>
        <v>8</v>
      </c>
      <c r="J261" s="119">
        <v>4</v>
      </c>
      <c r="K261" s="118">
        <f>'Monitoramento Acumulado Geral'!P261</f>
        <v>3</v>
      </c>
      <c r="L261" s="100">
        <f>L254+L260</f>
        <v>2.6666666666666665</v>
      </c>
      <c r="M261" s="100">
        <f t="shared" si="55"/>
        <v>4</v>
      </c>
      <c r="N261" s="115"/>
      <c r="O261" s="116" t="e">
        <f t="shared" si="49"/>
        <v>#DIV/0!</v>
      </c>
      <c r="P261" s="115"/>
      <c r="Q261" s="116" t="e">
        <f t="shared" si="50"/>
        <v>#DIV/0!</v>
      </c>
      <c r="R261" s="115"/>
      <c r="S261" s="100" t="e">
        <f t="shared" si="51"/>
        <v>#DIV/0!</v>
      </c>
    </row>
    <row r="262" spans="1:19" ht="15" x14ac:dyDescent="0.2">
      <c r="A262" s="114" t="s">
        <v>56</v>
      </c>
      <c r="B262" s="100" t="s">
        <v>159</v>
      </c>
      <c r="C262" s="115">
        <v>28211.11</v>
      </c>
      <c r="D262" s="100">
        <f>(C262/12)*9</f>
        <v>21158.3325</v>
      </c>
      <c r="E262" s="103">
        <f>'Monitoramento Acumulado Geral'!Q262</f>
        <v>10338</v>
      </c>
      <c r="F262" s="100">
        <f>SUM(E254:E262)</f>
        <v>17820.63</v>
      </c>
      <c r="G262" s="102" t="str">
        <f t="shared" si="48"/>
        <v>Farol Vermelho</v>
      </c>
      <c r="H262" s="116">
        <f t="shared" si="46"/>
        <v>3337.7024999999994</v>
      </c>
      <c r="I262" s="100">
        <f t="shared" si="47"/>
        <v>9</v>
      </c>
      <c r="J262" s="119">
        <v>4</v>
      </c>
      <c r="K262" s="118">
        <f>'Monitoramento Acumulado Geral'!P262</f>
        <v>1</v>
      </c>
      <c r="L262" s="100">
        <f>$L254+L261</f>
        <v>3</v>
      </c>
      <c r="M262" s="100">
        <f t="shared" si="55"/>
        <v>5</v>
      </c>
      <c r="N262" s="115"/>
      <c r="O262" s="116" t="e">
        <f t="shared" si="49"/>
        <v>#DIV/0!</v>
      </c>
      <c r="P262" s="115"/>
      <c r="Q262" s="116" t="e">
        <f t="shared" si="50"/>
        <v>#DIV/0!</v>
      </c>
      <c r="R262" s="115"/>
      <c r="S262" s="100" t="e">
        <f t="shared" si="51"/>
        <v>#DIV/0!</v>
      </c>
    </row>
    <row r="263" spans="1:19" ht="15" x14ac:dyDescent="0.2">
      <c r="A263" s="114" t="s">
        <v>56</v>
      </c>
      <c r="B263" s="100" t="s">
        <v>160</v>
      </c>
      <c r="C263" s="115">
        <v>28211.11</v>
      </c>
      <c r="D263" s="100">
        <f>(C263/12)*10</f>
        <v>23509.258333333331</v>
      </c>
      <c r="E263" s="103">
        <f>'Monitoramento Acumulado Geral'!Q263</f>
        <v>0</v>
      </c>
      <c r="F263" s="100">
        <f>SUM(E254:E263)</f>
        <v>17820.63</v>
      </c>
      <c r="G263" s="102" t="str">
        <f t="shared" si="48"/>
        <v>Farol Vermelho</v>
      </c>
      <c r="H263" s="116">
        <f t="shared" si="46"/>
        <v>5688.6283333333304</v>
      </c>
      <c r="I263" s="100">
        <f t="shared" si="47"/>
        <v>10</v>
      </c>
      <c r="J263" s="119">
        <v>4</v>
      </c>
      <c r="K263" s="118">
        <f>'Monitoramento Acumulado Geral'!P263</f>
        <v>0</v>
      </c>
      <c r="L263" s="100">
        <f>$L254+L262</f>
        <v>3.3333333333333335</v>
      </c>
      <c r="M263" s="100">
        <f t="shared" si="55"/>
        <v>5</v>
      </c>
      <c r="N263" s="115"/>
      <c r="O263" s="116" t="e">
        <f t="shared" si="49"/>
        <v>#DIV/0!</v>
      </c>
      <c r="P263" s="115"/>
      <c r="Q263" s="116" t="e">
        <f t="shared" si="50"/>
        <v>#DIV/0!</v>
      </c>
      <c r="R263" s="115"/>
      <c r="S263" s="100" t="e">
        <f t="shared" si="51"/>
        <v>#DIV/0!</v>
      </c>
    </row>
    <row r="264" spans="1:19" ht="15" x14ac:dyDescent="0.2">
      <c r="A264" s="114" t="s">
        <v>56</v>
      </c>
      <c r="B264" s="100" t="s">
        <v>161</v>
      </c>
      <c r="C264" s="115">
        <v>28211.11</v>
      </c>
      <c r="D264" s="100">
        <f>(C264/12)*11</f>
        <v>25860.184166666666</v>
      </c>
      <c r="E264" s="103">
        <f>'Monitoramento Acumulado Geral'!Q264</f>
        <v>0</v>
      </c>
      <c r="F264" s="100">
        <f>SUM(E254:E264)</f>
        <v>17820.63</v>
      </c>
      <c r="G264" s="102" t="str">
        <f t="shared" si="48"/>
        <v>Farol Vermelho</v>
      </c>
      <c r="H264" s="116">
        <f t="shared" si="46"/>
        <v>8039.554166666665</v>
      </c>
      <c r="I264" s="100">
        <f t="shared" si="47"/>
        <v>11</v>
      </c>
      <c r="J264" s="119">
        <v>4</v>
      </c>
      <c r="K264" s="118">
        <f>'Monitoramento Acumulado Geral'!P264</f>
        <v>0</v>
      </c>
      <c r="L264" s="100">
        <f>L254+L263</f>
        <v>3.666666666666667</v>
      </c>
      <c r="M264" s="100">
        <f t="shared" si="55"/>
        <v>5</v>
      </c>
      <c r="N264" s="115"/>
      <c r="O264" s="116" t="e">
        <f t="shared" si="49"/>
        <v>#DIV/0!</v>
      </c>
      <c r="P264" s="115"/>
      <c r="Q264" s="116" t="e">
        <f t="shared" si="50"/>
        <v>#DIV/0!</v>
      </c>
      <c r="R264" s="115"/>
      <c r="S264" s="100" t="e">
        <f t="shared" si="51"/>
        <v>#DIV/0!</v>
      </c>
    </row>
    <row r="265" spans="1:19" ht="15" x14ac:dyDescent="0.2">
      <c r="A265" s="114" t="s">
        <v>56</v>
      </c>
      <c r="B265" s="100" t="s">
        <v>162</v>
      </c>
      <c r="C265" s="115">
        <v>28211.11</v>
      </c>
      <c r="D265" s="100">
        <f>(C265/12)*12</f>
        <v>28211.11</v>
      </c>
      <c r="E265" s="103">
        <f>'Monitoramento Acumulado Geral'!Q265</f>
        <v>0</v>
      </c>
      <c r="F265" s="100">
        <f>SUM(E254:E265)</f>
        <v>17820.63</v>
      </c>
      <c r="G265" s="102" t="str">
        <f t="shared" si="48"/>
        <v>Farol Vermelho</v>
      </c>
      <c r="H265" s="116">
        <f t="shared" si="46"/>
        <v>10390.48</v>
      </c>
      <c r="I265" s="100">
        <f t="shared" si="47"/>
        <v>12</v>
      </c>
      <c r="J265" s="119">
        <v>4</v>
      </c>
      <c r="K265" s="118">
        <f>'Monitoramento Acumulado Geral'!P265</f>
        <v>0</v>
      </c>
      <c r="L265" s="100">
        <f>$L254+L264</f>
        <v>4</v>
      </c>
      <c r="M265" s="100">
        <f t="shared" si="55"/>
        <v>5</v>
      </c>
      <c r="N265" s="115"/>
      <c r="O265" s="116" t="e">
        <f t="shared" si="49"/>
        <v>#DIV/0!</v>
      </c>
      <c r="P265" s="115"/>
      <c r="Q265" s="116" t="e">
        <f t="shared" si="50"/>
        <v>#DIV/0!</v>
      </c>
      <c r="R265" s="115"/>
      <c r="S265" s="100" t="e">
        <f t="shared" si="51"/>
        <v>#DIV/0!</v>
      </c>
    </row>
    <row r="266" spans="1:19" ht="15" x14ac:dyDescent="0.2">
      <c r="A266" s="114" t="s">
        <v>299</v>
      </c>
      <c r="B266" s="100" t="s">
        <v>151</v>
      </c>
      <c r="C266" s="115">
        <v>0</v>
      </c>
      <c r="D266" s="100">
        <f t="shared" ref="D266:D277" si="56">(C266/12)*12</f>
        <v>0</v>
      </c>
      <c r="E266" s="103">
        <f>'Monitoramento Acumulado Geral'!Q266</f>
        <v>0</v>
      </c>
      <c r="F266" s="100">
        <f>E266</f>
        <v>0</v>
      </c>
      <c r="G266" s="102" t="str">
        <f t="shared" si="48"/>
        <v>Farol Amarelo</v>
      </c>
      <c r="H266" s="116">
        <f t="shared" ref="H266:H277" si="57">IF(D266-F266&lt;0,0,D266-F266)</f>
        <v>0</v>
      </c>
      <c r="I266" s="100">
        <f t="shared" ref="I266:I277" si="58">_xlfn.IFS(B266="Janeiro",1,B266="Fevereiro",2,B266="Março",3,B266="Abril",4,B266="Maio",5,B266="Junho",6,B266="Julho",7,B266="Agosto",8,B266="Setembro",9,B266="Outubro",10,B266="Novembro",11,B266="Dezembro",12,TRUE,0)</f>
        <v>1</v>
      </c>
      <c r="J266" s="119">
        <v>0</v>
      </c>
      <c r="K266" s="118">
        <f>'Monitoramento Acumulado Geral'!P266</f>
        <v>0</v>
      </c>
      <c r="L266" s="100">
        <f>J266/12</f>
        <v>0</v>
      </c>
      <c r="M266" s="100">
        <f>K266</f>
        <v>0</v>
      </c>
      <c r="N266" s="115">
        <v>0</v>
      </c>
      <c r="O266" s="116" t="e">
        <f t="shared" si="49"/>
        <v>#DIV/0!</v>
      </c>
      <c r="P266" s="115">
        <v>0</v>
      </c>
      <c r="Q266" s="116" t="e">
        <f t="shared" si="50"/>
        <v>#DIV/0!</v>
      </c>
      <c r="R266" s="115">
        <v>0</v>
      </c>
      <c r="S266" s="100" t="e">
        <f t="shared" si="51"/>
        <v>#DIV/0!</v>
      </c>
    </row>
    <row r="267" spans="1:19" ht="15" x14ac:dyDescent="0.2">
      <c r="A267" s="114" t="s">
        <v>299</v>
      </c>
      <c r="B267" s="100" t="s">
        <v>152</v>
      </c>
      <c r="C267" s="115">
        <v>0</v>
      </c>
      <c r="D267" s="100">
        <f t="shared" si="56"/>
        <v>0</v>
      </c>
      <c r="E267" s="103">
        <f>'Monitoramento Acumulado Geral'!Q267</f>
        <v>0</v>
      </c>
      <c r="F267" s="100">
        <f>SUM(E266:E267)</f>
        <v>0</v>
      </c>
      <c r="G267" s="102" t="str">
        <f t="shared" si="48"/>
        <v>Farol Amarelo</v>
      </c>
      <c r="H267" s="116">
        <f t="shared" si="57"/>
        <v>0</v>
      </c>
      <c r="I267" s="100">
        <f t="shared" si="58"/>
        <v>2</v>
      </c>
      <c r="J267" s="119">
        <v>0</v>
      </c>
      <c r="K267" s="118">
        <f>'Monitoramento Acumulado Geral'!P267</f>
        <v>0</v>
      </c>
      <c r="L267" s="100">
        <f>L266+L266</f>
        <v>0</v>
      </c>
      <c r="M267" s="100">
        <f>M266+K267</f>
        <v>0</v>
      </c>
      <c r="N267" s="115">
        <v>0</v>
      </c>
      <c r="O267" s="116" t="e">
        <f t="shared" si="49"/>
        <v>#DIV/0!</v>
      </c>
      <c r="P267" s="115">
        <v>0</v>
      </c>
      <c r="Q267" s="116" t="e">
        <f t="shared" si="50"/>
        <v>#DIV/0!</v>
      </c>
      <c r="R267" s="115">
        <v>0</v>
      </c>
      <c r="S267" s="100" t="e">
        <f t="shared" si="51"/>
        <v>#DIV/0!</v>
      </c>
    </row>
    <row r="268" spans="1:19" ht="15" x14ac:dyDescent="0.2">
      <c r="A268" s="114" t="s">
        <v>299</v>
      </c>
      <c r="B268" s="100" t="s">
        <v>153</v>
      </c>
      <c r="C268" s="115">
        <v>0</v>
      </c>
      <c r="D268" s="100">
        <f t="shared" si="56"/>
        <v>0</v>
      </c>
      <c r="E268" s="103">
        <f>'Monitoramento Acumulado Geral'!Q268</f>
        <v>0</v>
      </c>
      <c r="F268" s="100">
        <f>SUM(E266:E268)</f>
        <v>0</v>
      </c>
      <c r="G268" s="102" t="str">
        <f t="shared" si="48"/>
        <v>Farol Amarelo</v>
      </c>
      <c r="H268" s="116">
        <f t="shared" si="57"/>
        <v>0</v>
      </c>
      <c r="I268" s="100">
        <f t="shared" si="58"/>
        <v>3</v>
      </c>
      <c r="J268" s="119">
        <v>0</v>
      </c>
      <c r="K268" s="118">
        <f>'Monitoramento Acumulado Geral'!P268</f>
        <v>0</v>
      </c>
      <c r="L268" s="100">
        <f>$L266+L267</f>
        <v>0</v>
      </c>
      <c r="M268" s="100">
        <f t="shared" ref="M268:M277" si="59">M267+K268</f>
        <v>0</v>
      </c>
      <c r="N268" s="115">
        <v>0</v>
      </c>
      <c r="O268" s="116" t="e">
        <f t="shared" si="49"/>
        <v>#DIV/0!</v>
      </c>
      <c r="P268" s="115">
        <v>0</v>
      </c>
      <c r="Q268" s="116" t="e">
        <f t="shared" si="50"/>
        <v>#DIV/0!</v>
      </c>
      <c r="R268" s="115">
        <v>0</v>
      </c>
      <c r="S268" s="100" t="e">
        <f t="shared" si="51"/>
        <v>#DIV/0!</v>
      </c>
    </row>
    <row r="269" spans="1:19" ht="15" x14ac:dyDescent="0.2">
      <c r="A269" s="114" t="s">
        <v>299</v>
      </c>
      <c r="B269" s="100" t="s">
        <v>154</v>
      </c>
      <c r="C269" s="115">
        <v>0</v>
      </c>
      <c r="D269" s="100">
        <f t="shared" si="56"/>
        <v>0</v>
      </c>
      <c r="E269" s="103">
        <f>'Monitoramento Acumulado Geral'!Q269</f>
        <v>0</v>
      </c>
      <c r="F269" s="100">
        <f>SUM(E266:E269)</f>
        <v>0</v>
      </c>
      <c r="G269" s="102" t="str">
        <f t="shared" si="48"/>
        <v>Farol Amarelo</v>
      </c>
      <c r="H269" s="116">
        <f t="shared" si="57"/>
        <v>0</v>
      </c>
      <c r="I269" s="100">
        <f t="shared" si="58"/>
        <v>4</v>
      </c>
      <c r="J269" s="119">
        <v>0</v>
      </c>
      <c r="K269" s="118">
        <f>'Monitoramento Acumulado Geral'!P269</f>
        <v>0</v>
      </c>
      <c r="L269" s="100">
        <f>$L266+L268</f>
        <v>0</v>
      </c>
      <c r="M269" s="100">
        <f t="shared" si="59"/>
        <v>0</v>
      </c>
      <c r="N269" s="115">
        <v>0</v>
      </c>
      <c r="O269" s="116" t="e">
        <f t="shared" si="49"/>
        <v>#DIV/0!</v>
      </c>
      <c r="P269" s="115">
        <v>0</v>
      </c>
      <c r="Q269" s="116" t="e">
        <f t="shared" si="50"/>
        <v>#DIV/0!</v>
      </c>
      <c r="R269" s="115">
        <v>0</v>
      </c>
      <c r="S269" s="100" t="e">
        <f t="shared" si="51"/>
        <v>#DIV/0!</v>
      </c>
    </row>
    <row r="270" spans="1:19" ht="15" x14ac:dyDescent="0.2">
      <c r="A270" s="114" t="s">
        <v>299</v>
      </c>
      <c r="B270" s="100" t="s">
        <v>155</v>
      </c>
      <c r="C270" s="115">
        <v>0</v>
      </c>
      <c r="D270" s="100">
        <f t="shared" si="56"/>
        <v>0</v>
      </c>
      <c r="E270" s="103">
        <f>'Monitoramento Acumulado Geral'!Q270</f>
        <v>0</v>
      </c>
      <c r="F270" s="100">
        <f>SUM(E266:E270)</f>
        <v>0</v>
      </c>
      <c r="G270" s="102" t="str">
        <f t="shared" si="48"/>
        <v>Farol Amarelo</v>
      </c>
      <c r="H270" s="116">
        <f t="shared" si="57"/>
        <v>0</v>
      </c>
      <c r="I270" s="100">
        <f t="shared" si="58"/>
        <v>5</v>
      </c>
      <c r="J270" s="119">
        <v>0</v>
      </c>
      <c r="K270" s="118">
        <f>'Monitoramento Acumulado Geral'!P270</f>
        <v>0</v>
      </c>
      <c r="L270" s="100">
        <f>L266+L269</f>
        <v>0</v>
      </c>
      <c r="M270" s="100">
        <f t="shared" si="59"/>
        <v>0</v>
      </c>
      <c r="N270" s="115">
        <v>0</v>
      </c>
      <c r="O270" s="116" t="e">
        <f t="shared" si="49"/>
        <v>#DIV/0!</v>
      </c>
      <c r="P270" s="115">
        <v>0</v>
      </c>
      <c r="Q270" s="116" t="e">
        <f t="shared" si="50"/>
        <v>#DIV/0!</v>
      </c>
      <c r="R270" s="115">
        <v>0</v>
      </c>
      <c r="S270" s="100" t="e">
        <f t="shared" si="51"/>
        <v>#DIV/0!</v>
      </c>
    </row>
    <row r="271" spans="1:19" ht="15" x14ac:dyDescent="0.2">
      <c r="A271" s="114" t="s">
        <v>299</v>
      </c>
      <c r="B271" s="100" t="s">
        <v>156</v>
      </c>
      <c r="C271" s="115">
        <v>0</v>
      </c>
      <c r="D271" s="100">
        <f t="shared" si="56"/>
        <v>0</v>
      </c>
      <c r="E271" s="103">
        <f>'Monitoramento Acumulado Geral'!Q271</f>
        <v>0</v>
      </c>
      <c r="F271" s="100">
        <f>SUM(E266:E271)</f>
        <v>0</v>
      </c>
      <c r="G271" s="102" t="str">
        <f t="shared" si="48"/>
        <v>Farol Amarelo</v>
      </c>
      <c r="H271" s="116">
        <f t="shared" si="57"/>
        <v>0</v>
      </c>
      <c r="I271" s="100">
        <f t="shared" si="58"/>
        <v>6</v>
      </c>
      <c r="J271" s="119">
        <v>0</v>
      </c>
      <c r="K271" s="118">
        <f>'Monitoramento Acumulado Geral'!P271</f>
        <v>0</v>
      </c>
      <c r="L271" s="100">
        <f>$L266+L270</f>
        <v>0</v>
      </c>
      <c r="M271" s="100">
        <f t="shared" si="59"/>
        <v>0</v>
      </c>
      <c r="N271" s="115">
        <v>3</v>
      </c>
      <c r="O271" s="116">
        <f t="shared" si="49"/>
        <v>0.66666666666666663</v>
      </c>
      <c r="P271" s="115">
        <v>2</v>
      </c>
      <c r="Q271" s="116">
        <f t="shared" si="50"/>
        <v>0.5</v>
      </c>
      <c r="R271" s="115">
        <v>1</v>
      </c>
      <c r="S271" s="100">
        <f t="shared" si="51"/>
        <v>0.33333333333333331</v>
      </c>
    </row>
    <row r="272" spans="1:19" ht="15" x14ac:dyDescent="0.2">
      <c r="A272" s="114" t="s">
        <v>299</v>
      </c>
      <c r="B272" s="100" t="s">
        <v>157</v>
      </c>
      <c r="C272" s="115">
        <v>0</v>
      </c>
      <c r="D272" s="100">
        <f t="shared" si="56"/>
        <v>0</v>
      </c>
      <c r="E272" s="103">
        <f>'Monitoramento Acumulado Geral'!Q272</f>
        <v>262</v>
      </c>
      <c r="F272" s="100">
        <f>SUM(E266:E272)</f>
        <v>262</v>
      </c>
      <c r="G272" s="102" t="str">
        <f t="shared" si="48"/>
        <v>Farol Verde</v>
      </c>
      <c r="H272" s="116">
        <f t="shared" si="57"/>
        <v>0</v>
      </c>
      <c r="I272" s="100">
        <f t="shared" si="58"/>
        <v>7</v>
      </c>
      <c r="J272" s="119">
        <v>0</v>
      </c>
      <c r="K272" s="118">
        <f>'Monitoramento Acumulado Geral'!P272</f>
        <v>5</v>
      </c>
      <c r="L272" s="100">
        <f>$L266+L271</f>
        <v>0</v>
      </c>
      <c r="M272" s="100">
        <f t="shared" si="59"/>
        <v>5</v>
      </c>
      <c r="N272" s="115"/>
      <c r="O272" s="116" t="e">
        <f t="shared" si="49"/>
        <v>#DIV/0!</v>
      </c>
      <c r="P272" s="115"/>
      <c r="Q272" s="116" t="e">
        <f t="shared" si="50"/>
        <v>#DIV/0!</v>
      </c>
      <c r="R272" s="115"/>
      <c r="S272" s="100" t="e">
        <f t="shared" si="51"/>
        <v>#DIV/0!</v>
      </c>
    </row>
    <row r="273" spans="1:19" ht="15" x14ac:dyDescent="0.2">
      <c r="A273" s="114" t="s">
        <v>299</v>
      </c>
      <c r="B273" s="100" t="s">
        <v>158</v>
      </c>
      <c r="C273" s="115">
        <v>0</v>
      </c>
      <c r="D273" s="100">
        <f t="shared" si="56"/>
        <v>0</v>
      </c>
      <c r="E273" s="103">
        <f>'Monitoramento Acumulado Geral'!Q273</f>
        <v>0</v>
      </c>
      <c r="F273" s="100">
        <f>SUM(E266:E273)</f>
        <v>262</v>
      </c>
      <c r="G273" s="102" t="str">
        <f t="shared" si="48"/>
        <v>Farol Verde</v>
      </c>
      <c r="H273" s="116">
        <f t="shared" si="57"/>
        <v>0</v>
      </c>
      <c r="I273" s="100">
        <f t="shared" si="58"/>
        <v>8</v>
      </c>
      <c r="J273" s="119">
        <v>0</v>
      </c>
      <c r="K273" s="118">
        <f>'Monitoramento Acumulado Geral'!P273</f>
        <v>0</v>
      </c>
      <c r="L273" s="100">
        <f>L266+L272</f>
        <v>0</v>
      </c>
      <c r="M273" s="100">
        <f t="shared" si="59"/>
        <v>5</v>
      </c>
      <c r="N273" s="115"/>
      <c r="O273" s="116" t="e">
        <f t="shared" si="49"/>
        <v>#DIV/0!</v>
      </c>
      <c r="P273" s="115"/>
      <c r="Q273" s="116" t="e">
        <f t="shared" si="50"/>
        <v>#DIV/0!</v>
      </c>
      <c r="R273" s="115"/>
      <c r="S273" s="100" t="e">
        <f t="shared" si="51"/>
        <v>#DIV/0!</v>
      </c>
    </row>
    <row r="274" spans="1:19" ht="15" x14ac:dyDescent="0.2">
      <c r="A274" s="114" t="s">
        <v>299</v>
      </c>
      <c r="B274" s="100" t="s">
        <v>159</v>
      </c>
      <c r="C274" s="115">
        <v>0</v>
      </c>
      <c r="D274" s="100">
        <f t="shared" si="56"/>
        <v>0</v>
      </c>
      <c r="E274" s="103">
        <f>'Monitoramento Acumulado Geral'!Q274</f>
        <v>0</v>
      </c>
      <c r="F274" s="100">
        <f>SUM(E266:E274)</f>
        <v>262</v>
      </c>
      <c r="G274" s="102" t="str">
        <f t="shared" si="48"/>
        <v>Farol Verde</v>
      </c>
      <c r="H274" s="116">
        <f t="shared" si="57"/>
        <v>0</v>
      </c>
      <c r="I274" s="100">
        <f t="shared" si="58"/>
        <v>9</v>
      </c>
      <c r="J274" s="119">
        <v>0</v>
      </c>
      <c r="K274" s="118">
        <f>'Monitoramento Acumulado Geral'!P274</f>
        <v>0</v>
      </c>
      <c r="L274" s="100">
        <f>$L266+L273</f>
        <v>0</v>
      </c>
      <c r="M274" s="100">
        <f t="shared" si="59"/>
        <v>5</v>
      </c>
      <c r="N274" s="115"/>
      <c r="O274" s="116" t="e">
        <f t="shared" si="49"/>
        <v>#DIV/0!</v>
      </c>
      <c r="P274" s="115"/>
      <c r="Q274" s="116" t="e">
        <f t="shared" si="50"/>
        <v>#DIV/0!</v>
      </c>
      <c r="R274" s="115"/>
      <c r="S274" s="100" t="e">
        <f t="shared" si="51"/>
        <v>#DIV/0!</v>
      </c>
    </row>
    <row r="275" spans="1:19" ht="15" x14ac:dyDescent="0.2">
      <c r="A275" s="114" t="s">
        <v>299</v>
      </c>
      <c r="B275" s="100" t="s">
        <v>160</v>
      </c>
      <c r="C275" s="115">
        <v>0</v>
      </c>
      <c r="D275" s="100">
        <f t="shared" si="56"/>
        <v>0</v>
      </c>
      <c r="E275" s="103">
        <f>'Monitoramento Acumulado Geral'!Q275</f>
        <v>0</v>
      </c>
      <c r="F275" s="100">
        <f>SUM(E266:E275)</f>
        <v>262</v>
      </c>
      <c r="G275" s="102" t="str">
        <f t="shared" si="48"/>
        <v>Farol Verde</v>
      </c>
      <c r="H275" s="116">
        <f t="shared" si="57"/>
        <v>0</v>
      </c>
      <c r="I275" s="100">
        <f t="shared" si="58"/>
        <v>10</v>
      </c>
      <c r="J275" s="119">
        <v>0</v>
      </c>
      <c r="K275" s="118">
        <f>'Monitoramento Acumulado Geral'!P275</f>
        <v>0</v>
      </c>
      <c r="L275" s="100">
        <f>$L266+L274</f>
        <v>0</v>
      </c>
      <c r="M275" s="100">
        <f t="shared" si="59"/>
        <v>5</v>
      </c>
      <c r="N275" s="115"/>
      <c r="O275" s="116" t="e">
        <f t="shared" si="49"/>
        <v>#DIV/0!</v>
      </c>
      <c r="P275" s="115"/>
      <c r="Q275" s="116" t="e">
        <f t="shared" si="50"/>
        <v>#DIV/0!</v>
      </c>
      <c r="R275" s="115"/>
      <c r="S275" s="100" t="e">
        <f t="shared" si="51"/>
        <v>#DIV/0!</v>
      </c>
    </row>
    <row r="276" spans="1:19" ht="15" x14ac:dyDescent="0.2">
      <c r="A276" s="114" t="s">
        <v>299</v>
      </c>
      <c r="B276" s="100" t="s">
        <v>161</v>
      </c>
      <c r="C276" s="115">
        <v>0</v>
      </c>
      <c r="D276" s="100">
        <f t="shared" si="56"/>
        <v>0</v>
      </c>
      <c r="E276" s="103">
        <f>'Monitoramento Acumulado Geral'!Q276</f>
        <v>0</v>
      </c>
      <c r="F276" s="100">
        <f>SUM(E266:E276)</f>
        <v>262</v>
      </c>
      <c r="G276" s="102" t="str">
        <f t="shared" si="48"/>
        <v>Farol Verde</v>
      </c>
      <c r="H276" s="116">
        <f t="shared" si="57"/>
        <v>0</v>
      </c>
      <c r="I276" s="100">
        <f t="shared" si="58"/>
        <v>11</v>
      </c>
      <c r="J276" s="119">
        <v>0</v>
      </c>
      <c r="K276" s="118">
        <f>'Monitoramento Acumulado Geral'!P276</f>
        <v>0</v>
      </c>
      <c r="L276" s="100">
        <f>L266+L275</f>
        <v>0</v>
      </c>
      <c r="M276" s="100">
        <f t="shared" si="59"/>
        <v>5</v>
      </c>
      <c r="N276" s="115"/>
      <c r="O276" s="116" t="e">
        <f t="shared" si="49"/>
        <v>#DIV/0!</v>
      </c>
      <c r="P276" s="115"/>
      <c r="Q276" s="116" t="e">
        <f t="shared" si="50"/>
        <v>#DIV/0!</v>
      </c>
      <c r="R276" s="115"/>
      <c r="S276" s="100" t="e">
        <f t="shared" si="51"/>
        <v>#DIV/0!</v>
      </c>
    </row>
    <row r="277" spans="1:19" ht="15" x14ac:dyDescent="0.2">
      <c r="A277" s="114" t="s">
        <v>299</v>
      </c>
      <c r="B277" s="100" t="s">
        <v>162</v>
      </c>
      <c r="C277" s="115">
        <v>0</v>
      </c>
      <c r="D277" s="100">
        <f t="shared" si="56"/>
        <v>0</v>
      </c>
      <c r="E277" s="103">
        <f>'Monitoramento Acumulado Geral'!Q277</f>
        <v>0</v>
      </c>
      <c r="F277" s="100">
        <f>SUM(E266:E277)</f>
        <v>262</v>
      </c>
      <c r="G277" s="102" t="str">
        <f t="shared" si="48"/>
        <v>Farol Verde</v>
      </c>
      <c r="H277" s="116">
        <f t="shared" si="57"/>
        <v>0</v>
      </c>
      <c r="I277" s="100">
        <f t="shared" si="58"/>
        <v>12</v>
      </c>
      <c r="J277" s="119">
        <v>0</v>
      </c>
      <c r="K277" s="118">
        <f>'Monitoramento Acumulado Geral'!P277</f>
        <v>0</v>
      </c>
      <c r="L277" s="100">
        <f>$L266+L276</f>
        <v>0</v>
      </c>
      <c r="M277" s="100">
        <f t="shared" si="59"/>
        <v>5</v>
      </c>
      <c r="N277" s="115"/>
      <c r="O277" s="116" t="e">
        <f t="shared" si="49"/>
        <v>#DIV/0!</v>
      </c>
      <c r="P277" s="115"/>
      <c r="Q277" s="116"/>
      <c r="R277" s="115"/>
      <c r="S277" s="100" t="e">
        <f t="shared" si="51"/>
        <v>#DIV/0!</v>
      </c>
    </row>
    <row r="278" spans="1:19" ht="15" x14ac:dyDescent="0.2">
      <c r="A278" s="114" t="s">
        <v>90</v>
      </c>
      <c r="B278" s="100" t="s">
        <v>151</v>
      </c>
      <c r="C278" s="115">
        <v>257719.44</v>
      </c>
      <c r="D278" s="100">
        <f>(C278/12)*1</f>
        <v>21476.62</v>
      </c>
      <c r="E278" s="103">
        <f>'Monitoramento Acumulado Geral'!Q278</f>
        <v>13500</v>
      </c>
      <c r="F278" s="100">
        <f>E278</f>
        <v>13500</v>
      </c>
      <c r="G278" s="102" t="str">
        <f t="shared" si="48"/>
        <v>Farol Vermelho</v>
      </c>
      <c r="H278" s="116">
        <f t="shared" si="46"/>
        <v>7976.619999999999</v>
      </c>
      <c r="I278" s="100">
        <f t="shared" si="47"/>
        <v>1</v>
      </c>
      <c r="J278" s="119">
        <v>24</v>
      </c>
      <c r="K278" s="118">
        <f>'Monitoramento Acumulado Geral'!P278</f>
        <v>1</v>
      </c>
      <c r="L278" s="100">
        <f>J278/12</f>
        <v>2</v>
      </c>
      <c r="M278" s="100">
        <f>K278</f>
        <v>1</v>
      </c>
      <c r="N278" s="115">
        <v>0</v>
      </c>
      <c r="O278" s="116" t="e">
        <f t="shared" si="49"/>
        <v>#DIV/0!</v>
      </c>
      <c r="P278" s="115">
        <v>0</v>
      </c>
      <c r="Q278" s="116" t="e">
        <f t="shared" si="50"/>
        <v>#DIV/0!</v>
      </c>
      <c r="R278" s="115">
        <v>0</v>
      </c>
      <c r="S278" s="100" t="e">
        <f t="shared" si="51"/>
        <v>#DIV/0!</v>
      </c>
    </row>
    <row r="279" spans="1:19" ht="15" x14ac:dyDescent="0.2">
      <c r="A279" s="114" t="s">
        <v>90</v>
      </c>
      <c r="B279" s="100" t="s">
        <v>152</v>
      </c>
      <c r="C279" s="115">
        <v>257719.44</v>
      </c>
      <c r="D279" s="100">
        <f>(C279/12)*2</f>
        <v>42953.24</v>
      </c>
      <c r="E279" s="103">
        <f>'Monitoramento Acumulado Geral'!Q279</f>
        <v>78932</v>
      </c>
      <c r="F279" s="100">
        <f>SUM(E278:E279)</f>
        <v>92432</v>
      </c>
      <c r="G279" s="102" t="str">
        <f t="shared" si="48"/>
        <v>Farol Verde</v>
      </c>
      <c r="H279" s="116">
        <f t="shared" si="46"/>
        <v>0</v>
      </c>
      <c r="I279" s="100">
        <f t="shared" si="47"/>
        <v>2</v>
      </c>
      <c r="J279" s="119">
        <v>24</v>
      </c>
      <c r="K279" s="118">
        <f>'Monitoramento Acumulado Geral'!P279</f>
        <v>3</v>
      </c>
      <c r="L279" s="100">
        <f>L278+L278</f>
        <v>4</v>
      </c>
      <c r="M279" s="100">
        <f>M278+K279</f>
        <v>4</v>
      </c>
      <c r="N279" s="115">
        <v>0</v>
      </c>
      <c r="O279" s="116" t="e">
        <f t="shared" si="49"/>
        <v>#DIV/0!</v>
      </c>
      <c r="P279" s="115">
        <v>0</v>
      </c>
      <c r="Q279" s="116" t="e">
        <f t="shared" si="50"/>
        <v>#DIV/0!</v>
      </c>
      <c r="R279" s="115">
        <v>0</v>
      </c>
      <c r="S279" s="100" t="e">
        <f t="shared" si="51"/>
        <v>#DIV/0!</v>
      </c>
    </row>
    <row r="280" spans="1:19" ht="15" x14ac:dyDescent="0.2">
      <c r="A280" s="114" t="s">
        <v>90</v>
      </c>
      <c r="B280" s="100" t="s">
        <v>153</v>
      </c>
      <c r="C280" s="115">
        <v>257719.44</v>
      </c>
      <c r="D280" s="100">
        <f>(C280/12)*3</f>
        <v>64429.86</v>
      </c>
      <c r="E280" s="103">
        <f>'Monitoramento Acumulado Geral'!Q280</f>
        <v>42100</v>
      </c>
      <c r="F280" s="100">
        <f>SUM(E278:E280)</f>
        <v>134532</v>
      </c>
      <c r="G280" s="102" t="str">
        <f t="shared" si="48"/>
        <v>Farol Verde</v>
      </c>
      <c r="H280" s="116">
        <f t="shared" si="46"/>
        <v>0</v>
      </c>
      <c r="I280" s="100">
        <f t="shared" si="47"/>
        <v>3</v>
      </c>
      <c r="J280" s="119">
        <v>24</v>
      </c>
      <c r="K280" s="118">
        <f>'Monitoramento Acumulado Geral'!P280</f>
        <v>3</v>
      </c>
      <c r="L280" s="100">
        <f>$L278+L279</f>
        <v>6</v>
      </c>
      <c r="M280" s="100">
        <f t="shared" ref="M280:M289" si="60">M279+K280</f>
        <v>7</v>
      </c>
      <c r="N280" s="115">
        <v>0</v>
      </c>
      <c r="O280" s="116" t="e">
        <f t="shared" si="49"/>
        <v>#DIV/0!</v>
      </c>
      <c r="P280" s="115">
        <v>0</v>
      </c>
      <c r="Q280" s="116" t="e">
        <f t="shared" si="50"/>
        <v>#DIV/0!</v>
      </c>
      <c r="R280" s="115">
        <v>0</v>
      </c>
      <c r="S280" s="100" t="e">
        <f t="shared" si="51"/>
        <v>#DIV/0!</v>
      </c>
    </row>
    <row r="281" spans="1:19" ht="15" x14ac:dyDescent="0.2">
      <c r="A281" s="114" t="s">
        <v>90</v>
      </c>
      <c r="B281" s="100" t="s">
        <v>154</v>
      </c>
      <c r="C281" s="115">
        <v>257719.44</v>
      </c>
      <c r="D281" s="100">
        <f>(C281/12)*4</f>
        <v>85906.48</v>
      </c>
      <c r="E281" s="103">
        <f>'Monitoramento Acumulado Geral'!Q281</f>
        <v>0</v>
      </c>
      <c r="F281" s="100">
        <f>SUM(E278:E281)</f>
        <v>134532</v>
      </c>
      <c r="G281" s="102" t="str">
        <f t="shared" si="48"/>
        <v>Farol Verde</v>
      </c>
      <c r="H281" s="116">
        <f t="shared" si="46"/>
        <v>0</v>
      </c>
      <c r="I281" s="100">
        <f t="shared" si="47"/>
        <v>4</v>
      </c>
      <c r="J281" s="119">
        <v>24</v>
      </c>
      <c r="K281" s="118">
        <f>'Monitoramento Acumulado Geral'!P281</f>
        <v>0</v>
      </c>
      <c r="L281" s="100">
        <f>$L278+L280</f>
        <v>8</v>
      </c>
      <c r="M281" s="100">
        <f t="shared" si="60"/>
        <v>7</v>
      </c>
      <c r="N281" s="115">
        <v>0</v>
      </c>
      <c r="O281" s="116" t="e">
        <f t="shared" si="49"/>
        <v>#DIV/0!</v>
      </c>
      <c r="P281" s="115">
        <v>0</v>
      </c>
      <c r="Q281" s="116" t="e">
        <f t="shared" si="50"/>
        <v>#DIV/0!</v>
      </c>
      <c r="R281" s="115">
        <v>0</v>
      </c>
      <c r="S281" s="100" t="e">
        <f t="shared" si="51"/>
        <v>#DIV/0!</v>
      </c>
    </row>
    <row r="282" spans="1:19" ht="15" x14ac:dyDescent="0.2">
      <c r="A282" s="114" t="s">
        <v>90</v>
      </c>
      <c r="B282" s="100" t="s">
        <v>155</v>
      </c>
      <c r="C282" s="115">
        <v>257719.44</v>
      </c>
      <c r="D282" s="100">
        <f>(C282/12)*5</f>
        <v>107383.09999999999</v>
      </c>
      <c r="E282" s="103">
        <f>'Monitoramento Acumulado Geral'!Q282</f>
        <v>41739.129999999997</v>
      </c>
      <c r="F282" s="100">
        <f>SUM(E278:E282)</f>
        <v>176271.13</v>
      </c>
      <c r="G282" s="102" t="str">
        <f t="shared" si="48"/>
        <v>Farol Verde</v>
      </c>
      <c r="H282" s="116">
        <f t="shared" si="46"/>
        <v>0</v>
      </c>
      <c r="I282" s="100">
        <f t="shared" si="47"/>
        <v>5</v>
      </c>
      <c r="J282" s="119">
        <v>24</v>
      </c>
      <c r="K282" s="118">
        <f>'Monitoramento Acumulado Geral'!P282</f>
        <v>1</v>
      </c>
      <c r="L282" s="100">
        <f>L278+L281</f>
        <v>10</v>
      </c>
      <c r="M282" s="100">
        <f t="shared" si="60"/>
        <v>8</v>
      </c>
      <c r="N282" s="115">
        <v>8</v>
      </c>
      <c r="O282" s="116">
        <f t="shared" si="49"/>
        <v>0.875</v>
      </c>
      <c r="P282" s="115">
        <v>7</v>
      </c>
      <c r="Q282" s="116">
        <f t="shared" si="50"/>
        <v>0.14285714285714285</v>
      </c>
      <c r="R282" s="115">
        <v>1</v>
      </c>
      <c r="S282" s="100">
        <f t="shared" si="51"/>
        <v>0.125</v>
      </c>
    </row>
    <row r="283" spans="1:19" ht="15" x14ac:dyDescent="0.2">
      <c r="A283" s="114" t="s">
        <v>90</v>
      </c>
      <c r="B283" s="100" t="s">
        <v>156</v>
      </c>
      <c r="C283" s="115">
        <v>257719.44</v>
      </c>
      <c r="D283" s="100">
        <f>(C283/12)*6</f>
        <v>128859.72</v>
      </c>
      <c r="E283" s="103">
        <f>'Monitoramento Acumulado Geral'!Q283</f>
        <v>31448.31</v>
      </c>
      <c r="F283" s="100">
        <f>SUM(E278:E283)</f>
        <v>207719.44</v>
      </c>
      <c r="G283" s="102" t="str">
        <f t="shared" si="48"/>
        <v>Farol Verde</v>
      </c>
      <c r="H283" s="116">
        <f t="shared" si="46"/>
        <v>0</v>
      </c>
      <c r="I283" s="100">
        <f t="shared" si="47"/>
        <v>6</v>
      </c>
      <c r="J283" s="119">
        <v>24</v>
      </c>
      <c r="K283" s="118">
        <f>'Monitoramento Acumulado Geral'!P283</f>
        <v>5</v>
      </c>
      <c r="L283" s="100">
        <f>$L278+L282</f>
        <v>12</v>
      </c>
      <c r="M283" s="100">
        <f t="shared" si="60"/>
        <v>13</v>
      </c>
      <c r="N283" s="115">
        <v>8</v>
      </c>
      <c r="O283" s="116">
        <f t="shared" si="49"/>
        <v>0.625</v>
      </c>
      <c r="P283" s="115">
        <v>5</v>
      </c>
      <c r="Q283" s="116">
        <f t="shared" si="50"/>
        <v>0.6</v>
      </c>
      <c r="R283" s="115">
        <v>3</v>
      </c>
      <c r="S283" s="100">
        <f t="shared" si="51"/>
        <v>0.375</v>
      </c>
    </row>
    <row r="284" spans="1:19" ht="15" x14ac:dyDescent="0.2">
      <c r="A284" s="114" t="s">
        <v>90</v>
      </c>
      <c r="B284" s="100" t="s">
        <v>157</v>
      </c>
      <c r="C284" s="115">
        <v>257719.44</v>
      </c>
      <c r="D284" s="100">
        <f>(C284/12)*7</f>
        <v>150336.34</v>
      </c>
      <c r="E284" s="103">
        <f>'Monitoramento Acumulado Geral'!Q284</f>
        <v>31470</v>
      </c>
      <c r="F284" s="100">
        <f>SUM(E278:E284)</f>
        <v>239189.44</v>
      </c>
      <c r="G284" s="102" t="str">
        <f t="shared" si="48"/>
        <v>Farol Verde</v>
      </c>
      <c r="H284" s="116">
        <f t="shared" si="46"/>
        <v>0</v>
      </c>
      <c r="I284" s="100">
        <f t="shared" si="47"/>
        <v>7</v>
      </c>
      <c r="J284" s="119">
        <v>24</v>
      </c>
      <c r="K284" s="118">
        <f>'Monitoramento Acumulado Geral'!P284</f>
        <v>4</v>
      </c>
      <c r="L284" s="100">
        <f>$L278+L283</f>
        <v>14</v>
      </c>
      <c r="M284" s="100">
        <f t="shared" si="60"/>
        <v>17</v>
      </c>
      <c r="N284" s="115"/>
      <c r="O284" s="116" t="e">
        <f t="shared" si="49"/>
        <v>#DIV/0!</v>
      </c>
      <c r="P284" s="115"/>
      <c r="Q284" s="116" t="e">
        <f t="shared" si="50"/>
        <v>#DIV/0!</v>
      </c>
      <c r="R284" s="115"/>
      <c r="S284" s="100" t="e">
        <f t="shared" si="51"/>
        <v>#DIV/0!</v>
      </c>
    </row>
    <row r="285" spans="1:19" ht="15" x14ac:dyDescent="0.2">
      <c r="A285" s="114" t="s">
        <v>90</v>
      </c>
      <c r="B285" s="100" t="s">
        <v>158</v>
      </c>
      <c r="C285" s="115">
        <v>257719.44</v>
      </c>
      <c r="D285" s="100">
        <f>(C285/12)*8</f>
        <v>171812.96</v>
      </c>
      <c r="E285" s="103">
        <f>'Monitoramento Acumulado Geral'!Q285</f>
        <v>4800</v>
      </c>
      <c r="F285" s="100">
        <f>SUM(E278:E285)</f>
        <v>243989.44</v>
      </c>
      <c r="G285" s="102" t="str">
        <f t="shared" si="48"/>
        <v>Farol Verde</v>
      </c>
      <c r="H285" s="116">
        <f t="shared" si="46"/>
        <v>0</v>
      </c>
      <c r="I285" s="100">
        <f t="shared" si="47"/>
        <v>8</v>
      </c>
      <c r="J285" s="119">
        <v>24</v>
      </c>
      <c r="K285" s="118">
        <f>'Monitoramento Acumulado Geral'!P285</f>
        <v>1</v>
      </c>
      <c r="L285" s="100">
        <f>L278+L284</f>
        <v>16</v>
      </c>
      <c r="M285" s="100">
        <f t="shared" si="60"/>
        <v>18</v>
      </c>
      <c r="N285" s="115"/>
      <c r="O285" s="116" t="e">
        <f t="shared" si="49"/>
        <v>#DIV/0!</v>
      </c>
      <c r="P285" s="115"/>
      <c r="Q285" s="116" t="e">
        <f t="shared" si="50"/>
        <v>#DIV/0!</v>
      </c>
      <c r="R285" s="115"/>
      <c r="S285" s="100" t="e">
        <f t="shared" si="51"/>
        <v>#DIV/0!</v>
      </c>
    </row>
    <row r="286" spans="1:19" ht="15" x14ac:dyDescent="0.2">
      <c r="A286" s="114" t="s">
        <v>90</v>
      </c>
      <c r="B286" s="100" t="s">
        <v>159</v>
      </c>
      <c r="C286" s="115">
        <v>257719.44</v>
      </c>
      <c r="D286" s="100">
        <f>(C286/12)*9</f>
        <v>193289.58</v>
      </c>
      <c r="E286" s="103">
        <f>'Monitoramento Acumulado Geral'!Q286</f>
        <v>19500</v>
      </c>
      <c r="F286" s="100">
        <f>SUM(E278:E286)</f>
        <v>263489.44</v>
      </c>
      <c r="G286" s="102" t="str">
        <f t="shared" si="48"/>
        <v>Farol Verde</v>
      </c>
      <c r="H286" s="116">
        <f t="shared" si="46"/>
        <v>0</v>
      </c>
      <c r="I286" s="100">
        <f t="shared" si="47"/>
        <v>9</v>
      </c>
      <c r="J286" s="119">
        <v>24</v>
      </c>
      <c r="K286" s="118">
        <f>'Monitoramento Acumulado Geral'!P286</f>
        <v>2</v>
      </c>
      <c r="L286" s="100">
        <f>$L278+L285</f>
        <v>18</v>
      </c>
      <c r="M286" s="100">
        <f t="shared" si="60"/>
        <v>20</v>
      </c>
      <c r="N286" s="115"/>
      <c r="O286" s="116" t="e">
        <f t="shared" si="49"/>
        <v>#DIV/0!</v>
      </c>
      <c r="P286" s="115"/>
      <c r="Q286" s="116" t="e">
        <f t="shared" si="50"/>
        <v>#DIV/0!</v>
      </c>
      <c r="R286" s="115"/>
      <c r="S286" s="100" t="e">
        <f t="shared" si="51"/>
        <v>#DIV/0!</v>
      </c>
    </row>
    <row r="287" spans="1:19" ht="15" x14ac:dyDescent="0.2">
      <c r="A287" s="114" t="s">
        <v>90</v>
      </c>
      <c r="B287" s="100" t="s">
        <v>160</v>
      </c>
      <c r="C287" s="115">
        <v>257719.44</v>
      </c>
      <c r="D287" s="100">
        <f>(C287/12)*10</f>
        <v>214766.19999999998</v>
      </c>
      <c r="E287" s="103">
        <f>'Monitoramento Acumulado Geral'!Q287</f>
        <v>0</v>
      </c>
      <c r="F287" s="100">
        <f>SUM(E278:E287)</f>
        <v>263489.44</v>
      </c>
      <c r="G287" s="102" t="str">
        <f t="shared" si="48"/>
        <v>Farol Verde</v>
      </c>
      <c r="H287" s="116">
        <f t="shared" si="46"/>
        <v>0</v>
      </c>
      <c r="I287" s="100">
        <f t="shared" si="47"/>
        <v>10</v>
      </c>
      <c r="J287" s="119">
        <v>24</v>
      </c>
      <c r="K287" s="118">
        <f>'Monitoramento Acumulado Geral'!P287</f>
        <v>0</v>
      </c>
      <c r="L287" s="100">
        <f>$L278+L286</f>
        <v>20</v>
      </c>
      <c r="M287" s="100">
        <f t="shared" si="60"/>
        <v>20</v>
      </c>
      <c r="N287" s="115"/>
      <c r="O287" s="116" t="e">
        <f t="shared" si="49"/>
        <v>#DIV/0!</v>
      </c>
      <c r="P287" s="115"/>
      <c r="Q287" s="116" t="e">
        <f t="shared" si="50"/>
        <v>#DIV/0!</v>
      </c>
      <c r="R287" s="115"/>
      <c r="S287" s="100" t="e">
        <f t="shared" si="51"/>
        <v>#DIV/0!</v>
      </c>
    </row>
    <row r="288" spans="1:19" ht="15" x14ac:dyDescent="0.2">
      <c r="A288" s="114" t="s">
        <v>90</v>
      </c>
      <c r="B288" s="100" t="s">
        <v>161</v>
      </c>
      <c r="C288" s="115">
        <v>257719.44</v>
      </c>
      <c r="D288" s="100">
        <f>(C288/12)*11</f>
        <v>236242.81999999998</v>
      </c>
      <c r="E288" s="103">
        <f>'Monitoramento Acumulado Geral'!Q288</f>
        <v>0</v>
      </c>
      <c r="F288" s="100">
        <f>SUM(E278:E288)</f>
        <v>263489.44</v>
      </c>
      <c r="G288" s="102" t="str">
        <f t="shared" si="48"/>
        <v>Farol Verde</v>
      </c>
      <c r="H288" s="116">
        <f t="shared" si="46"/>
        <v>0</v>
      </c>
      <c r="I288" s="100">
        <f t="shared" si="47"/>
        <v>11</v>
      </c>
      <c r="J288" s="119">
        <v>24</v>
      </c>
      <c r="K288" s="118">
        <f>'Monitoramento Acumulado Geral'!P288</f>
        <v>0</v>
      </c>
      <c r="L288" s="100">
        <f>L278+L287</f>
        <v>22</v>
      </c>
      <c r="M288" s="100">
        <f t="shared" si="60"/>
        <v>20</v>
      </c>
      <c r="N288" s="115"/>
      <c r="O288" s="116" t="e">
        <f t="shared" si="49"/>
        <v>#DIV/0!</v>
      </c>
      <c r="P288" s="115"/>
      <c r="Q288" s="116" t="e">
        <f t="shared" si="50"/>
        <v>#DIV/0!</v>
      </c>
      <c r="R288" s="115"/>
      <c r="S288" s="100" t="e">
        <f t="shared" si="51"/>
        <v>#DIV/0!</v>
      </c>
    </row>
    <row r="289" spans="1:19" ht="15" x14ac:dyDescent="0.2">
      <c r="A289" s="114" t="s">
        <v>90</v>
      </c>
      <c r="B289" s="100" t="s">
        <v>162</v>
      </c>
      <c r="C289" s="115">
        <v>257719.44</v>
      </c>
      <c r="D289" s="100">
        <f>(C289/12)*12</f>
        <v>257719.44</v>
      </c>
      <c r="E289" s="103">
        <f>'Monitoramento Acumulado Geral'!Q289</f>
        <v>0</v>
      </c>
      <c r="F289" s="100">
        <f>SUM(E278:E289)</f>
        <v>263489.44</v>
      </c>
      <c r="G289" s="102" t="str">
        <f t="shared" si="48"/>
        <v>Farol Verde</v>
      </c>
      <c r="H289" s="116">
        <f t="shared" si="46"/>
        <v>0</v>
      </c>
      <c r="I289" s="100">
        <f t="shared" si="47"/>
        <v>12</v>
      </c>
      <c r="J289" s="119">
        <v>24</v>
      </c>
      <c r="K289" s="118">
        <f>'Monitoramento Acumulado Geral'!P289</f>
        <v>0</v>
      </c>
      <c r="L289" s="100">
        <f>$L278+L288</f>
        <v>24</v>
      </c>
      <c r="M289" s="100">
        <f t="shared" si="60"/>
        <v>20</v>
      </c>
      <c r="N289" s="115"/>
      <c r="O289" s="116" t="e">
        <f t="shared" si="49"/>
        <v>#DIV/0!</v>
      </c>
      <c r="P289" s="115"/>
      <c r="Q289" s="116" t="e">
        <f t="shared" si="50"/>
        <v>#DIV/0!</v>
      </c>
      <c r="R289" s="115"/>
      <c r="S289" s="100" t="e">
        <f t="shared" si="51"/>
        <v>#DIV/0!</v>
      </c>
    </row>
    <row r="290" spans="1:19" ht="15" x14ac:dyDescent="0.2">
      <c r="A290" s="114" t="s">
        <v>54</v>
      </c>
      <c r="B290" s="100" t="s">
        <v>151</v>
      </c>
      <c r="C290" s="115">
        <v>37857.379999999997</v>
      </c>
      <c r="D290" s="100">
        <f>(C290/12)*1</f>
        <v>3154.7816666666663</v>
      </c>
      <c r="E290" s="103">
        <f>'Monitoramento Acumulado Geral'!Q290</f>
        <v>40</v>
      </c>
      <c r="F290" s="100">
        <f>E290</f>
        <v>40</v>
      </c>
      <c r="G290" s="102" t="str">
        <f t="shared" si="48"/>
        <v>Farol Vermelho</v>
      </c>
      <c r="H290" s="116">
        <f t="shared" si="46"/>
        <v>3114.7816666666663</v>
      </c>
      <c r="I290" s="100">
        <f t="shared" si="47"/>
        <v>1</v>
      </c>
      <c r="J290" s="119">
        <v>19</v>
      </c>
      <c r="K290" s="118">
        <f>'Monitoramento Acumulado Geral'!P290</f>
        <v>1</v>
      </c>
      <c r="L290" s="100">
        <f>J290/12</f>
        <v>1.5833333333333333</v>
      </c>
      <c r="M290" s="100">
        <f>K290</f>
        <v>1</v>
      </c>
      <c r="N290" s="115">
        <v>0</v>
      </c>
      <c r="O290" s="116" t="e">
        <f t="shared" si="49"/>
        <v>#DIV/0!</v>
      </c>
      <c r="P290" s="115">
        <v>0</v>
      </c>
      <c r="Q290" s="116" t="e">
        <f t="shared" si="50"/>
        <v>#DIV/0!</v>
      </c>
      <c r="R290" s="115">
        <v>0</v>
      </c>
      <c r="S290" s="100" t="e">
        <f t="shared" si="51"/>
        <v>#DIV/0!</v>
      </c>
    </row>
    <row r="291" spans="1:19" ht="15" x14ac:dyDescent="0.2">
      <c r="A291" s="114" t="s">
        <v>54</v>
      </c>
      <c r="B291" s="100" t="s">
        <v>152</v>
      </c>
      <c r="C291" s="115">
        <v>37857.379999999997</v>
      </c>
      <c r="D291" s="100">
        <f>(C291/12)*2</f>
        <v>6309.5633333333326</v>
      </c>
      <c r="E291" s="103">
        <f>'Monitoramento Acumulado Geral'!Q291</f>
        <v>0</v>
      </c>
      <c r="F291" s="100">
        <f>SUM(E290:E291)</f>
        <v>40</v>
      </c>
      <c r="G291" s="102" t="str">
        <f t="shared" si="48"/>
        <v>Farol Vermelho</v>
      </c>
      <c r="H291" s="116">
        <f t="shared" si="46"/>
        <v>6269.5633333333326</v>
      </c>
      <c r="I291" s="100">
        <f t="shared" si="47"/>
        <v>2</v>
      </c>
      <c r="J291" s="119">
        <v>19</v>
      </c>
      <c r="K291" s="118">
        <f>'Monitoramento Acumulado Geral'!P291</f>
        <v>0</v>
      </c>
      <c r="L291" s="100">
        <f>L290+L290</f>
        <v>3.1666666666666665</v>
      </c>
      <c r="M291" s="100">
        <f>M290+K291</f>
        <v>1</v>
      </c>
      <c r="N291" s="115">
        <v>0</v>
      </c>
      <c r="O291" s="116" t="e">
        <f t="shared" si="49"/>
        <v>#DIV/0!</v>
      </c>
      <c r="P291" s="115">
        <v>0</v>
      </c>
      <c r="Q291" s="116" t="e">
        <f t="shared" si="50"/>
        <v>#DIV/0!</v>
      </c>
      <c r="R291" s="115">
        <v>0</v>
      </c>
      <c r="S291" s="100" t="e">
        <f t="shared" si="51"/>
        <v>#DIV/0!</v>
      </c>
    </row>
    <row r="292" spans="1:19" ht="15" x14ac:dyDescent="0.2">
      <c r="A292" s="114" t="s">
        <v>54</v>
      </c>
      <c r="B292" s="100" t="s">
        <v>153</v>
      </c>
      <c r="C292" s="115">
        <v>37857.379999999997</v>
      </c>
      <c r="D292" s="100">
        <f>(C292/12)*3</f>
        <v>9464.3449999999993</v>
      </c>
      <c r="E292" s="103">
        <f>'Monitoramento Acumulado Geral'!Q292</f>
        <v>720</v>
      </c>
      <c r="F292" s="100">
        <f>SUM(E290:E292)</f>
        <v>760</v>
      </c>
      <c r="G292" s="102" t="str">
        <f t="shared" si="48"/>
        <v>Farol Vermelho</v>
      </c>
      <c r="H292" s="116">
        <f t="shared" si="46"/>
        <v>8704.3449999999993</v>
      </c>
      <c r="I292" s="100">
        <f t="shared" si="47"/>
        <v>3</v>
      </c>
      <c r="J292" s="119">
        <v>19</v>
      </c>
      <c r="K292" s="118">
        <f>'Monitoramento Acumulado Geral'!P292</f>
        <v>9</v>
      </c>
      <c r="L292" s="100">
        <f>$L290+L291</f>
        <v>4.75</v>
      </c>
      <c r="M292" s="100">
        <f t="shared" ref="M292:M301" si="61">M291+K292</f>
        <v>10</v>
      </c>
      <c r="N292" s="115">
        <v>0</v>
      </c>
      <c r="O292" s="116" t="e">
        <f t="shared" si="49"/>
        <v>#DIV/0!</v>
      </c>
      <c r="P292" s="115">
        <v>0</v>
      </c>
      <c r="Q292" s="116" t="e">
        <f t="shared" si="50"/>
        <v>#DIV/0!</v>
      </c>
      <c r="R292" s="115">
        <v>0</v>
      </c>
      <c r="S292" s="100" t="e">
        <f t="shared" si="51"/>
        <v>#DIV/0!</v>
      </c>
    </row>
    <row r="293" spans="1:19" ht="15" x14ac:dyDescent="0.2">
      <c r="A293" s="114" t="s">
        <v>54</v>
      </c>
      <c r="B293" s="100" t="s">
        <v>154</v>
      </c>
      <c r="C293" s="115">
        <v>37857.379999999997</v>
      </c>
      <c r="D293" s="100">
        <f>(C293/12)*4</f>
        <v>12619.126666666665</v>
      </c>
      <c r="E293" s="103">
        <f>'Monitoramento Acumulado Geral'!Q293</f>
        <v>0</v>
      </c>
      <c r="F293" s="100">
        <f>SUM(E290:E293)</f>
        <v>760</v>
      </c>
      <c r="G293" s="102" t="str">
        <f t="shared" si="48"/>
        <v>Farol Vermelho</v>
      </c>
      <c r="H293" s="116">
        <f t="shared" si="46"/>
        <v>11859.126666666665</v>
      </c>
      <c r="I293" s="100">
        <f t="shared" si="47"/>
        <v>4</v>
      </c>
      <c r="J293" s="119">
        <v>19</v>
      </c>
      <c r="K293" s="118">
        <f>'Monitoramento Acumulado Geral'!P293</f>
        <v>0</v>
      </c>
      <c r="L293" s="100">
        <f>$L290+L292</f>
        <v>6.333333333333333</v>
      </c>
      <c r="M293" s="100">
        <f t="shared" si="61"/>
        <v>10</v>
      </c>
      <c r="N293" s="115">
        <v>0</v>
      </c>
      <c r="O293" s="116" t="e">
        <f t="shared" si="49"/>
        <v>#DIV/0!</v>
      </c>
      <c r="P293" s="115">
        <v>0</v>
      </c>
      <c r="Q293" s="116" t="e">
        <f t="shared" si="50"/>
        <v>#DIV/0!</v>
      </c>
      <c r="R293" s="115">
        <v>0</v>
      </c>
      <c r="S293" s="100" t="e">
        <f t="shared" si="51"/>
        <v>#DIV/0!</v>
      </c>
    </row>
    <row r="294" spans="1:19" ht="15" x14ac:dyDescent="0.2">
      <c r="A294" s="114" t="s">
        <v>54</v>
      </c>
      <c r="B294" s="100" t="s">
        <v>155</v>
      </c>
      <c r="C294" s="115">
        <v>37857.379999999997</v>
      </c>
      <c r="D294" s="100">
        <f>(C294/12)*5</f>
        <v>15773.908333333331</v>
      </c>
      <c r="E294" s="103">
        <f>'Monitoramento Acumulado Geral'!Q294</f>
        <v>0</v>
      </c>
      <c r="F294" s="100">
        <f>SUM(E290:E294)</f>
        <v>760</v>
      </c>
      <c r="G294" s="102" t="str">
        <f t="shared" si="48"/>
        <v>Farol Vermelho</v>
      </c>
      <c r="H294" s="116">
        <f t="shared" ref="H294:H369" si="62">IF(D294-F294&lt;0,0,D294-F294)</f>
        <v>15013.908333333331</v>
      </c>
      <c r="I294" s="100">
        <f t="shared" ref="I294:I369" si="63">_xlfn.IFS(B294="Janeiro",1,B294="Fevereiro",2,B294="Março",3,B294="Abril",4,B294="Maio",5,B294="Junho",6,B294="Julho",7,B294="Agosto",8,B294="Setembro",9,B294="Outubro",10,B294="Novembro",11,B294="Dezembro",12,TRUE,0)</f>
        <v>5</v>
      </c>
      <c r="J294" s="119">
        <v>19</v>
      </c>
      <c r="K294" s="118">
        <f>'Monitoramento Acumulado Geral'!P294</f>
        <v>0</v>
      </c>
      <c r="L294" s="100">
        <f>L290+L293</f>
        <v>7.9166666666666661</v>
      </c>
      <c r="M294" s="100">
        <f t="shared" si="61"/>
        <v>10</v>
      </c>
      <c r="N294" s="115">
        <v>15</v>
      </c>
      <c r="O294" s="116">
        <f t="shared" si="49"/>
        <v>0.93333333333333335</v>
      </c>
      <c r="P294" s="115">
        <v>14</v>
      </c>
      <c r="Q294" s="116">
        <f>R294/P294</f>
        <v>0.14285714285714285</v>
      </c>
      <c r="R294" s="115">
        <v>2</v>
      </c>
      <c r="S294" s="100">
        <f t="shared" si="51"/>
        <v>0.13333333333333333</v>
      </c>
    </row>
    <row r="295" spans="1:19" ht="15" x14ac:dyDescent="0.2">
      <c r="A295" s="114" t="s">
        <v>54</v>
      </c>
      <c r="B295" s="100" t="s">
        <v>156</v>
      </c>
      <c r="C295" s="115">
        <v>37857.379999999997</v>
      </c>
      <c r="D295" s="100">
        <f>(C295/12)*6</f>
        <v>18928.689999999999</v>
      </c>
      <c r="E295" s="103">
        <f>'Monitoramento Acumulado Geral'!Q295</f>
        <v>20955.73</v>
      </c>
      <c r="F295" s="100">
        <f>SUM(E290:E295)</f>
        <v>21715.73</v>
      </c>
      <c r="G295" s="102" t="str">
        <f t="shared" ref="G295:G370" si="64">_xlfn.IFS(F295&gt;D295,"Farol Verde",F295&gt;=D295*0.85,"Farol Amarelo",F295&lt;D295*0.85,"Farol Vermelho","Verdadeiro",0)</f>
        <v>Farol Verde</v>
      </c>
      <c r="H295" s="116">
        <f t="shared" si="62"/>
        <v>0</v>
      </c>
      <c r="I295" s="100">
        <f t="shared" si="63"/>
        <v>6</v>
      </c>
      <c r="J295" s="119">
        <v>19</v>
      </c>
      <c r="K295" s="118">
        <f>'Monitoramento Acumulado Geral'!P295</f>
        <v>3</v>
      </c>
      <c r="L295" s="100">
        <f>$L290+L294</f>
        <v>9.5</v>
      </c>
      <c r="M295" s="100">
        <f t="shared" si="61"/>
        <v>13</v>
      </c>
      <c r="N295" s="115">
        <v>1</v>
      </c>
      <c r="O295" s="116">
        <f t="shared" ref="O295:O370" si="65">P295/N295</f>
        <v>1</v>
      </c>
      <c r="P295" s="115">
        <v>1</v>
      </c>
      <c r="Q295" s="116">
        <f t="shared" ref="Q295:Q370" si="66">R295/P295</f>
        <v>1</v>
      </c>
      <c r="R295" s="115">
        <v>1</v>
      </c>
      <c r="S295" s="100">
        <f t="shared" ref="S295:S370" si="67">R295/N295</f>
        <v>1</v>
      </c>
    </row>
    <row r="296" spans="1:19" ht="15" x14ac:dyDescent="0.2">
      <c r="A296" s="114" t="s">
        <v>54</v>
      </c>
      <c r="B296" s="100" t="s">
        <v>157</v>
      </c>
      <c r="C296" s="115">
        <v>37857.379999999997</v>
      </c>
      <c r="D296" s="100">
        <f>(C296/12)*7</f>
        <v>22083.471666666665</v>
      </c>
      <c r="E296" s="103">
        <f>'Monitoramento Acumulado Geral'!Q296</f>
        <v>3160</v>
      </c>
      <c r="F296" s="100">
        <f>SUM(E290:E296)</f>
        <v>24875.73</v>
      </c>
      <c r="G296" s="102" t="str">
        <f t="shared" si="64"/>
        <v>Farol Verde</v>
      </c>
      <c r="H296" s="116">
        <f t="shared" si="62"/>
        <v>0</v>
      </c>
      <c r="I296" s="100">
        <f t="shared" si="63"/>
        <v>7</v>
      </c>
      <c r="J296" s="119">
        <v>19</v>
      </c>
      <c r="K296" s="118">
        <f>'Monitoramento Acumulado Geral'!P296</f>
        <v>1</v>
      </c>
      <c r="L296" s="100">
        <f>$L290+L295</f>
        <v>11.083333333333334</v>
      </c>
      <c r="M296" s="100">
        <f t="shared" si="61"/>
        <v>14</v>
      </c>
      <c r="N296" s="115"/>
      <c r="O296" s="116" t="e">
        <f t="shared" si="65"/>
        <v>#DIV/0!</v>
      </c>
      <c r="P296" s="115"/>
      <c r="Q296" s="116" t="e">
        <f t="shared" si="66"/>
        <v>#DIV/0!</v>
      </c>
      <c r="R296" s="115"/>
      <c r="S296" s="100" t="e">
        <f t="shared" si="67"/>
        <v>#DIV/0!</v>
      </c>
    </row>
    <row r="297" spans="1:19" ht="15" x14ac:dyDescent="0.2">
      <c r="A297" s="114" t="s">
        <v>54</v>
      </c>
      <c r="B297" s="100" t="s">
        <v>158</v>
      </c>
      <c r="C297" s="115">
        <v>37857.379999999997</v>
      </c>
      <c r="D297" s="100">
        <f>(C297/12)*8</f>
        <v>25238.25333333333</v>
      </c>
      <c r="E297" s="103">
        <f>'Monitoramento Acumulado Geral'!Q297</f>
        <v>0</v>
      </c>
      <c r="F297" s="100">
        <f>SUM(E290:E297)</f>
        <v>24875.73</v>
      </c>
      <c r="G297" s="102" t="str">
        <f t="shared" si="64"/>
        <v>Farol Amarelo</v>
      </c>
      <c r="H297" s="116">
        <f t="shared" si="62"/>
        <v>362.52333333333081</v>
      </c>
      <c r="I297" s="100">
        <f t="shared" si="63"/>
        <v>8</v>
      </c>
      <c r="J297" s="119">
        <v>19</v>
      </c>
      <c r="K297" s="118">
        <f>'Monitoramento Acumulado Geral'!P297</f>
        <v>0</v>
      </c>
      <c r="L297" s="100">
        <f>L290+L296</f>
        <v>12.666666666666668</v>
      </c>
      <c r="M297" s="100">
        <f t="shared" si="61"/>
        <v>14</v>
      </c>
      <c r="N297" s="115"/>
      <c r="O297" s="116" t="e">
        <f t="shared" si="65"/>
        <v>#DIV/0!</v>
      </c>
      <c r="P297" s="115"/>
      <c r="Q297" s="116" t="e">
        <f t="shared" si="66"/>
        <v>#DIV/0!</v>
      </c>
      <c r="R297" s="115"/>
      <c r="S297" s="100" t="e">
        <f t="shared" si="67"/>
        <v>#DIV/0!</v>
      </c>
    </row>
    <row r="298" spans="1:19" ht="15" x14ac:dyDescent="0.2">
      <c r="A298" s="114" t="s">
        <v>54</v>
      </c>
      <c r="B298" s="100" t="s">
        <v>159</v>
      </c>
      <c r="C298" s="115">
        <v>37857.379999999997</v>
      </c>
      <c r="D298" s="100">
        <f>(C298/12)*9</f>
        <v>28393.034999999996</v>
      </c>
      <c r="E298" s="103">
        <f>'Monitoramento Acumulado Geral'!Q298</f>
        <v>3</v>
      </c>
      <c r="F298" s="100">
        <f>SUM(E290:E298)</f>
        <v>24878.73</v>
      </c>
      <c r="G298" s="102" t="str">
        <f t="shared" si="64"/>
        <v>Farol Amarelo</v>
      </c>
      <c r="H298" s="116">
        <f t="shared" si="62"/>
        <v>3514.3049999999967</v>
      </c>
      <c r="I298" s="100">
        <f t="shared" si="63"/>
        <v>9</v>
      </c>
      <c r="J298" s="119">
        <v>19</v>
      </c>
      <c r="K298" s="118">
        <f>'Monitoramento Acumulado Geral'!P298</f>
        <v>3</v>
      </c>
      <c r="L298" s="100">
        <f>$L290+L297</f>
        <v>14.250000000000002</v>
      </c>
      <c r="M298" s="100">
        <f t="shared" si="61"/>
        <v>17</v>
      </c>
      <c r="N298" s="115"/>
      <c r="O298" s="116" t="e">
        <f t="shared" si="65"/>
        <v>#DIV/0!</v>
      </c>
      <c r="P298" s="115"/>
      <c r="Q298" s="116" t="e">
        <f t="shared" si="66"/>
        <v>#DIV/0!</v>
      </c>
      <c r="R298" s="115"/>
      <c r="S298" s="100" t="e">
        <f t="shared" si="67"/>
        <v>#DIV/0!</v>
      </c>
    </row>
    <row r="299" spans="1:19" ht="15" x14ac:dyDescent="0.2">
      <c r="A299" s="114" t="s">
        <v>54</v>
      </c>
      <c r="B299" s="100" t="s">
        <v>160</v>
      </c>
      <c r="C299" s="115">
        <v>37857.379999999997</v>
      </c>
      <c r="D299" s="100">
        <f>(C299/12)*10</f>
        <v>31547.816666666662</v>
      </c>
      <c r="E299" s="103">
        <f>'Monitoramento Acumulado Geral'!Q299</f>
        <v>0</v>
      </c>
      <c r="F299" s="100">
        <f>SUM(E290:E299)</f>
        <v>24878.73</v>
      </c>
      <c r="G299" s="102" t="str">
        <f t="shared" si="64"/>
        <v>Farol Vermelho</v>
      </c>
      <c r="H299" s="116">
        <f t="shared" si="62"/>
        <v>6669.0866666666625</v>
      </c>
      <c r="I299" s="100">
        <f t="shared" si="63"/>
        <v>10</v>
      </c>
      <c r="J299" s="119">
        <v>19</v>
      </c>
      <c r="K299" s="118">
        <f>'Monitoramento Acumulado Geral'!P299</f>
        <v>0</v>
      </c>
      <c r="L299" s="100">
        <f>$L290+L298</f>
        <v>15.833333333333336</v>
      </c>
      <c r="M299" s="100">
        <f t="shared" si="61"/>
        <v>17</v>
      </c>
      <c r="N299" s="115"/>
      <c r="O299" s="116" t="e">
        <f t="shared" si="65"/>
        <v>#DIV/0!</v>
      </c>
      <c r="P299" s="115"/>
      <c r="Q299" s="116" t="e">
        <f t="shared" si="66"/>
        <v>#DIV/0!</v>
      </c>
      <c r="R299" s="115"/>
      <c r="S299" s="100" t="e">
        <f t="shared" si="67"/>
        <v>#DIV/0!</v>
      </c>
    </row>
    <row r="300" spans="1:19" ht="15" x14ac:dyDescent="0.2">
      <c r="A300" s="114" t="s">
        <v>54</v>
      </c>
      <c r="B300" s="100" t="s">
        <v>161</v>
      </c>
      <c r="C300" s="115">
        <v>37857.379999999997</v>
      </c>
      <c r="D300" s="100">
        <f>(C300/12)*11</f>
        <v>34702.598333333328</v>
      </c>
      <c r="E300" s="103">
        <f>'Monitoramento Acumulado Geral'!Q300</f>
        <v>0</v>
      </c>
      <c r="F300" s="100">
        <f>SUM(E290:E300)</f>
        <v>24878.73</v>
      </c>
      <c r="G300" s="102" t="str">
        <f t="shared" si="64"/>
        <v>Farol Vermelho</v>
      </c>
      <c r="H300" s="116">
        <f t="shared" si="62"/>
        <v>9823.8683333333283</v>
      </c>
      <c r="I300" s="100">
        <f t="shared" si="63"/>
        <v>11</v>
      </c>
      <c r="J300" s="119">
        <v>19</v>
      </c>
      <c r="K300" s="118">
        <f>'Monitoramento Acumulado Geral'!P300</f>
        <v>0</v>
      </c>
      <c r="L300" s="100">
        <f>L290+L299</f>
        <v>17.416666666666668</v>
      </c>
      <c r="M300" s="100">
        <f t="shared" si="61"/>
        <v>17</v>
      </c>
      <c r="N300" s="115"/>
      <c r="O300" s="116" t="e">
        <f t="shared" si="65"/>
        <v>#DIV/0!</v>
      </c>
      <c r="P300" s="115"/>
      <c r="Q300" s="116" t="e">
        <f t="shared" si="66"/>
        <v>#DIV/0!</v>
      </c>
      <c r="R300" s="115"/>
      <c r="S300" s="100" t="e">
        <f t="shared" si="67"/>
        <v>#DIV/0!</v>
      </c>
    </row>
    <row r="301" spans="1:19" ht="15" x14ac:dyDescent="0.2">
      <c r="A301" s="114" t="s">
        <v>54</v>
      </c>
      <c r="B301" s="100" t="s">
        <v>162</v>
      </c>
      <c r="C301" s="115">
        <v>37857.379999999997</v>
      </c>
      <c r="D301" s="100">
        <f>(C301/12)*12</f>
        <v>37857.379999999997</v>
      </c>
      <c r="E301" s="103">
        <f>'Monitoramento Acumulado Geral'!Q301</f>
        <v>0</v>
      </c>
      <c r="F301" s="100">
        <f>SUM(E290:E301)</f>
        <v>24878.73</v>
      </c>
      <c r="G301" s="102" t="str">
        <f t="shared" si="64"/>
        <v>Farol Vermelho</v>
      </c>
      <c r="H301" s="116">
        <f t="shared" si="62"/>
        <v>12978.649999999998</v>
      </c>
      <c r="I301" s="100">
        <f t="shared" si="63"/>
        <v>12</v>
      </c>
      <c r="J301" s="119">
        <v>19</v>
      </c>
      <c r="K301" s="118">
        <f>'Monitoramento Acumulado Geral'!P301</f>
        <v>0</v>
      </c>
      <c r="L301" s="100">
        <f>$L290+L300</f>
        <v>19</v>
      </c>
      <c r="M301" s="100">
        <f t="shared" si="61"/>
        <v>17</v>
      </c>
      <c r="N301" s="115"/>
      <c r="O301" s="116" t="e">
        <f t="shared" si="65"/>
        <v>#DIV/0!</v>
      </c>
      <c r="P301" s="115"/>
      <c r="Q301" s="116" t="e">
        <f t="shared" si="66"/>
        <v>#DIV/0!</v>
      </c>
      <c r="R301" s="115"/>
      <c r="S301" s="100" t="e">
        <f t="shared" si="67"/>
        <v>#DIV/0!</v>
      </c>
    </row>
    <row r="302" spans="1:19" ht="15" x14ac:dyDescent="0.2">
      <c r="A302" s="114" t="s">
        <v>300</v>
      </c>
      <c r="B302" s="100" t="s">
        <v>151</v>
      </c>
      <c r="C302" s="115">
        <v>0</v>
      </c>
      <c r="D302" s="100">
        <f>(C302/12)*1</f>
        <v>0</v>
      </c>
      <c r="E302" s="103">
        <f>'Monitoramento Acumulado Geral'!Q302</f>
        <v>0</v>
      </c>
      <c r="F302" s="100">
        <f>E302</f>
        <v>0</v>
      </c>
      <c r="G302" s="102" t="str">
        <f t="shared" si="64"/>
        <v>Farol Amarelo</v>
      </c>
      <c r="H302" s="116">
        <f t="shared" si="62"/>
        <v>0</v>
      </c>
      <c r="I302" s="100">
        <f t="shared" si="63"/>
        <v>1</v>
      </c>
      <c r="J302" s="119">
        <v>0</v>
      </c>
      <c r="K302" s="118">
        <f>'Monitoramento Acumulado Geral'!P302</f>
        <v>0</v>
      </c>
      <c r="L302" s="100">
        <f>J302/12</f>
        <v>0</v>
      </c>
      <c r="M302" s="100">
        <f>K302</f>
        <v>0</v>
      </c>
      <c r="N302" s="115">
        <v>0</v>
      </c>
      <c r="O302" s="116" t="e">
        <f t="shared" si="65"/>
        <v>#DIV/0!</v>
      </c>
      <c r="P302" s="115">
        <v>0</v>
      </c>
      <c r="Q302" s="116" t="e">
        <f t="shared" si="66"/>
        <v>#DIV/0!</v>
      </c>
      <c r="R302" s="115">
        <v>0</v>
      </c>
      <c r="S302" s="100" t="e">
        <f t="shared" si="67"/>
        <v>#DIV/0!</v>
      </c>
    </row>
    <row r="303" spans="1:19" ht="15" x14ac:dyDescent="0.2">
      <c r="A303" s="114" t="s">
        <v>300</v>
      </c>
      <c r="B303" s="100" t="s">
        <v>152</v>
      </c>
      <c r="C303" s="115">
        <v>0</v>
      </c>
      <c r="D303" s="100">
        <f>(C303/12)*2</f>
        <v>0</v>
      </c>
      <c r="E303" s="103">
        <f>'Monitoramento Acumulado Geral'!Q303</f>
        <v>0</v>
      </c>
      <c r="F303" s="100">
        <f>SUM(E302:E303)</f>
        <v>0</v>
      </c>
      <c r="G303" s="102" t="str">
        <f t="shared" si="64"/>
        <v>Farol Amarelo</v>
      </c>
      <c r="H303" s="116">
        <f t="shared" si="62"/>
        <v>0</v>
      </c>
      <c r="I303" s="100">
        <f t="shared" si="63"/>
        <v>2</v>
      </c>
      <c r="J303" s="119">
        <v>0</v>
      </c>
      <c r="K303" s="118">
        <f>'Monitoramento Acumulado Geral'!P303</f>
        <v>0</v>
      </c>
      <c r="L303" s="100">
        <f>L302+L302</f>
        <v>0</v>
      </c>
      <c r="M303" s="100">
        <f>M302+K303</f>
        <v>0</v>
      </c>
      <c r="N303" s="115">
        <v>0</v>
      </c>
      <c r="O303" s="116" t="e">
        <f t="shared" si="65"/>
        <v>#DIV/0!</v>
      </c>
      <c r="P303" s="115">
        <v>0</v>
      </c>
      <c r="Q303" s="116" t="e">
        <f t="shared" si="66"/>
        <v>#DIV/0!</v>
      </c>
      <c r="R303" s="115">
        <v>0</v>
      </c>
      <c r="S303" s="100" t="e">
        <f t="shared" si="67"/>
        <v>#DIV/0!</v>
      </c>
    </row>
    <row r="304" spans="1:19" ht="15" x14ac:dyDescent="0.2">
      <c r="A304" s="114" t="s">
        <v>300</v>
      </c>
      <c r="B304" s="100" t="s">
        <v>153</v>
      </c>
      <c r="C304" s="115">
        <v>0</v>
      </c>
      <c r="D304" s="100">
        <f>(C304/12)*3</f>
        <v>0</v>
      </c>
      <c r="E304" s="103">
        <f>'Monitoramento Acumulado Geral'!Q304</f>
        <v>0</v>
      </c>
      <c r="F304" s="100">
        <f>SUM(E302:E304)</f>
        <v>0</v>
      </c>
      <c r="G304" s="102" t="str">
        <f t="shared" si="64"/>
        <v>Farol Amarelo</v>
      </c>
      <c r="H304" s="116">
        <f t="shared" si="62"/>
        <v>0</v>
      </c>
      <c r="I304" s="100">
        <f t="shared" si="63"/>
        <v>3</v>
      </c>
      <c r="J304" s="119">
        <v>0</v>
      </c>
      <c r="K304" s="118">
        <f>'Monitoramento Acumulado Geral'!P304</f>
        <v>0</v>
      </c>
      <c r="L304" s="100">
        <f>$L302+L303</f>
        <v>0</v>
      </c>
      <c r="M304" s="100">
        <f t="shared" ref="M304:M313" si="68">M303+K304</f>
        <v>0</v>
      </c>
      <c r="N304" s="115">
        <v>0</v>
      </c>
      <c r="O304" s="116" t="e">
        <f t="shared" si="65"/>
        <v>#DIV/0!</v>
      </c>
      <c r="P304" s="115">
        <v>0</v>
      </c>
      <c r="Q304" s="116" t="e">
        <f t="shared" si="66"/>
        <v>#DIV/0!</v>
      </c>
      <c r="R304" s="115">
        <v>0</v>
      </c>
      <c r="S304" s="100" t="e">
        <f t="shared" si="67"/>
        <v>#DIV/0!</v>
      </c>
    </row>
    <row r="305" spans="1:19" ht="15" x14ac:dyDescent="0.2">
      <c r="A305" s="114" t="s">
        <v>300</v>
      </c>
      <c r="B305" s="100" t="s">
        <v>154</v>
      </c>
      <c r="C305" s="115">
        <v>0</v>
      </c>
      <c r="D305" s="100">
        <f>(C305/12)*4</f>
        <v>0</v>
      </c>
      <c r="E305" s="103">
        <f>'Monitoramento Acumulado Geral'!Q305</f>
        <v>0</v>
      </c>
      <c r="F305" s="100">
        <f>SUM(E302:E305)</f>
        <v>0</v>
      </c>
      <c r="G305" s="102" t="str">
        <f t="shared" si="64"/>
        <v>Farol Amarelo</v>
      </c>
      <c r="H305" s="116">
        <f t="shared" si="62"/>
        <v>0</v>
      </c>
      <c r="I305" s="100">
        <f t="shared" si="63"/>
        <v>4</v>
      </c>
      <c r="J305" s="119">
        <v>0</v>
      </c>
      <c r="K305" s="118">
        <f>'Monitoramento Acumulado Geral'!P305</f>
        <v>0</v>
      </c>
      <c r="L305" s="100">
        <f>$L302+L304</f>
        <v>0</v>
      </c>
      <c r="M305" s="100">
        <f t="shared" si="68"/>
        <v>0</v>
      </c>
      <c r="N305" s="115">
        <v>0</v>
      </c>
      <c r="O305" s="116" t="e">
        <f t="shared" si="65"/>
        <v>#DIV/0!</v>
      </c>
      <c r="P305" s="115">
        <v>0</v>
      </c>
      <c r="Q305" s="116" t="e">
        <f t="shared" si="66"/>
        <v>#DIV/0!</v>
      </c>
      <c r="R305" s="115">
        <v>0</v>
      </c>
      <c r="S305" s="100" t="e">
        <f t="shared" si="67"/>
        <v>#DIV/0!</v>
      </c>
    </row>
    <row r="306" spans="1:19" ht="15" x14ac:dyDescent="0.2">
      <c r="A306" s="114" t="s">
        <v>300</v>
      </c>
      <c r="B306" s="100" t="s">
        <v>155</v>
      </c>
      <c r="C306" s="115">
        <v>0</v>
      </c>
      <c r="D306" s="100">
        <f>(C306/12)*5</f>
        <v>0</v>
      </c>
      <c r="E306" s="103">
        <f>'Monitoramento Acumulado Geral'!Q306</f>
        <v>0</v>
      </c>
      <c r="F306" s="100">
        <f>SUM(E302:E306)</f>
        <v>0</v>
      </c>
      <c r="G306" s="102" t="str">
        <f t="shared" si="64"/>
        <v>Farol Amarelo</v>
      </c>
      <c r="H306" s="116">
        <f t="shared" ref="H306:H313" si="69">IF(D306-F306&lt;0,0,D306-F306)</f>
        <v>0</v>
      </c>
      <c r="I306" s="100">
        <f t="shared" ref="I306:I313" si="70">_xlfn.IFS(B306="Janeiro",1,B306="Fevereiro",2,B306="Março",3,B306="Abril",4,B306="Maio",5,B306="Junho",6,B306="Julho",7,B306="Agosto",8,B306="Setembro",9,B306="Outubro",10,B306="Novembro",11,B306="Dezembro",12,TRUE,0)</f>
        <v>5</v>
      </c>
      <c r="J306" s="119">
        <v>0</v>
      </c>
      <c r="K306" s="118">
        <f>'Monitoramento Acumulado Geral'!P306</f>
        <v>0</v>
      </c>
      <c r="L306" s="100">
        <f>L302+L305</f>
        <v>0</v>
      </c>
      <c r="M306" s="100">
        <f t="shared" si="68"/>
        <v>0</v>
      </c>
      <c r="N306" s="115">
        <v>0</v>
      </c>
      <c r="O306" s="116" t="e">
        <f t="shared" si="65"/>
        <v>#DIV/0!</v>
      </c>
      <c r="P306" s="115">
        <v>0</v>
      </c>
      <c r="Q306" s="116" t="e">
        <f t="shared" si="66"/>
        <v>#DIV/0!</v>
      </c>
      <c r="R306" s="115">
        <v>0</v>
      </c>
      <c r="S306" s="100" t="e">
        <f t="shared" si="67"/>
        <v>#DIV/0!</v>
      </c>
    </row>
    <row r="307" spans="1:19" ht="15" x14ac:dyDescent="0.2">
      <c r="A307" s="114" t="s">
        <v>300</v>
      </c>
      <c r="B307" s="100" t="s">
        <v>156</v>
      </c>
      <c r="C307" s="115">
        <v>0</v>
      </c>
      <c r="D307" s="100">
        <f>(C307/12)*6</f>
        <v>0</v>
      </c>
      <c r="E307" s="103">
        <f>'Monitoramento Acumulado Geral'!Q307</f>
        <v>0</v>
      </c>
      <c r="F307" s="100">
        <f>SUM(E302:E307)</f>
        <v>0</v>
      </c>
      <c r="G307" s="102" t="str">
        <f t="shared" si="64"/>
        <v>Farol Amarelo</v>
      </c>
      <c r="H307" s="116">
        <f t="shared" si="69"/>
        <v>0</v>
      </c>
      <c r="I307" s="100">
        <f t="shared" si="70"/>
        <v>6</v>
      </c>
      <c r="J307" s="119">
        <v>0</v>
      </c>
      <c r="K307" s="118">
        <f>'Monitoramento Acumulado Geral'!P307</f>
        <v>0</v>
      </c>
      <c r="L307" s="100">
        <f>$L302+L306</f>
        <v>0</v>
      </c>
      <c r="M307" s="100">
        <f t="shared" si="68"/>
        <v>0</v>
      </c>
      <c r="N307" s="115">
        <v>5</v>
      </c>
      <c r="O307" s="116">
        <f t="shared" si="65"/>
        <v>0.6</v>
      </c>
      <c r="P307" s="115">
        <v>3</v>
      </c>
      <c r="Q307" s="116">
        <f t="shared" si="66"/>
        <v>1</v>
      </c>
      <c r="R307" s="115">
        <v>3</v>
      </c>
      <c r="S307" s="100">
        <f t="shared" si="67"/>
        <v>0.6</v>
      </c>
    </row>
    <row r="308" spans="1:19" ht="15" x14ac:dyDescent="0.2">
      <c r="A308" s="114" t="s">
        <v>300</v>
      </c>
      <c r="B308" s="100" t="s">
        <v>157</v>
      </c>
      <c r="C308" s="115">
        <v>0</v>
      </c>
      <c r="D308" s="100">
        <f>(C308/12)*7</f>
        <v>0</v>
      </c>
      <c r="E308" s="103">
        <f>'Monitoramento Acumulado Geral'!Q308</f>
        <v>630</v>
      </c>
      <c r="F308" s="100">
        <f>SUM(E302:E308)</f>
        <v>630</v>
      </c>
      <c r="G308" s="102" t="str">
        <f t="shared" si="64"/>
        <v>Farol Verde</v>
      </c>
      <c r="H308" s="116">
        <f t="shared" si="69"/>
        <v>0</v>
      </c>
      <c r="I308" s="100">
        <f t="shared" si="70"/>
        <v>7</v>
      </c>
      <c r="J308" s="119">
        <v>0</v>
      </c>
      <c r="K308" s="118">
        <f>'Monitoramento Acumulado Geral'!P308</f>
        <v>2</v>
      </c>
      <c r="L308" s="100">
        <f>$L302+L307</f>
        <v>0</v>
      </c>
      <c r="M308" s="100">
        <f t="shared" si="68"/>
        <v>2</v>
      </c>
      <c r="N308" s="115"/>
      <c r="O308" s="116" t="e">
        <f t="shared" si="65"/>
        <v>#DIV/0!</v>
      </c>
      <c r="P308" s="115"/>
      <c r="Q308" s="116" t="e">
        <f t="shared" si="66"/>
        <v>#DIV/0!</v>
      </c>
      <c r="R308" s="115"/>
      <c r="S308" s="100" t="e">
        <f t="shared" si="67"/>
        <v>#DIV/0!</v>
      </c>
    </row>
    <row r="309" spans="1:19" ht="15" x14ac:dyDescent="0.2">
      <c r="A309" s="114" t="s">
        <v>300</v>
      </c>
      <c r="B309" s="100" t="s">
        <v>158</v>
      </c>
      <c r="C309" s="115">
        <v>0</v>
      </c>
      <c r="D309" s="100">
        <f>(C309/12)*8</f>
        <v>0</v>
      </c>
      <c r="E309" s="103">
        <f>'Monitoramento Acumulado Geral'!Q309</f>
        <v>0</v>
      </c>
      <c r="F309" s="100">
        <f>SUM(E302:E309)</f>
        <v>630</v>
      </c>
      <c r="G309" s="102" t="str">
        <f t="shared" si="64"/>
        <v>Farol Verde</v>
      </c>
      <c r="H309" s="116">
        <f t="shared" si="69"/>
        <v>0</v>
      </c>
      <c r="I309" s="100">
        <f t="shared" si="70"/>
        <v>8</v>
      </c>
      <c r="J309" s="119">
        <v>0</v>
      </c>
      <c r="K309" s="118">
        <f>'Monitoramento Acumulado Geral'!P309</f>
        <v>0</v>
      </c>
      <c r="L309" s="100">
        <f>L302+L308</f>
        <v>0</v>
      </c>
      <c r="M309" s="100">
        <f t="shared" si="68"/>
        <v>2</v>
      </c>
      <c r="N309" s="115"/>
      <c r="O309" s="116" t="e">
        <f t="shared" si="65"/>
        <v>#DIV/0!</v>
      </c>
      <c r="P309" s="115"/>
      <c r="Q309" s="116" t="e">
        <f t="shared" si="66"/>
        <v>#DIV/0!</v>
      </c>
      <c r="R309" s="115"/>
      <c r="S309" s="100" t="e">
        <f t="shared" si="67"/>
        <v>#DIV/0!</v>
      </c>
    </row>
    <row r="310" spans="1:19" ht="15" x14ac:dyDescent="0.2">
      <c r="A310" s="114" t="s">
        <v>300</v>
      </c>
      <c r="B310" s="100" t="s">
        <v>159</v>
      </c>
      <c r="C310" s="115">
        <v>0</v>
      </c>
      <c r="D310" s="100">
        <f>(C310/12)*9</f>
        <v>0</v>
      </c>
      <c r="E310" s="103">
        <f>'Monitoramento Acumulado Geral'!Q310</f>
        <v>3200</v>
      </c>
      <c r="F310" s="100">
        <f>SUM(E302:E310)</f>
        <v>3830</v>
      </c>
      <c r="G310" s="102" t="str">
        <f t="shared" si="64"/>
        <v>Farol Verde</v>
      </c>
      <c r="H310" s="116">
        <f t="shared" si="69"/>
        <v>0</v>
      </c>
      <c r="I310" s="100">
        <f t="shared" si="70"/>
        <v>9</v>
      </c>
      <c r="J310" s="119">
        <v>0</v>
      </c>
      <c r="K310" s="118">
        <f>'Monitoramento Acumulado Geral'!P310</f>
        <v>3</v>
      </c>
      <c r="L310" s="100">
        <f>$L302+L309</f>
        <v>0</v>
      </c>
      <c r="M310" s="100">
        <f t="shared" si="68"/>
        <v>5</v>
      </c>
      <c r="N310" s="115"/>
      <c r="O310" s="116" t="e">
        <f t="shared" si="65"/>
        <v>#DIV/0!</v>
      </c>
      <c r="P310" s="115"/>
      <c r="Q310" s="116" t="e">
        <f t="shared" si="66"/>
        <v>#DIV/0!</v>
      </c>
      <c r="R310" s="115"/>
      <c r="S310" s="100" t="e">
        <f t="shared" si="67"/>
        <v>#DIV/0!</v>
      </c>
    </row>
    <row r="311" spans="1:19" ht="15" x14ac:dyDescent="0.2">
      <c r="A311" s="114" t="s">
        <v>300</v>
      </c>
      <c r="B311" s="100" t="s">
        <v>160</v>
      </c>
      <c r="C311" s="115">
        <v>0</v>
      </c>
      <c r="D311" s="100">
        <f>(C311/12)*10</f>
        <v>0</v>
      </c>
      <c r="E311" s="103">
        <f>'Monitoramento Acumulado Geral'!Q311</f>
        <v>0</v>
      </c>
      <c r="F311" s="100">
        <f>SUM(E302:E311)</f>
        <v>3830</v>
      </c>
      <c r="G311" s="102" t="str">
        <f t="shared" si="64"/>
        <v>Farol Verde</v>
      </c>
      <c r="H311" s="116">
        <f t="shared" si="69"/>
        <v>0</v>
      </c>
      <c r="I311" s="100">
        <f t="shared" si="70"/>
        <v>10</v>
      </c>
      <c r="J311" s="119">
        <v>0</v>
      </c>
      <c r="K311" s="118">
        <f>'Monitoramento Acumulado Geral'!P311</f>
        <v>0</v>
      </c>
      <c r="L311" s="100">
        <f>$L302+L310</f>
        <v>0</v>
      </c>
      <c r="M311" s="100">
        <f t="shared" si="68"/>
        <v>5</v>
      </c>
      <c r="N311" s="115"/>
      <c r="O311" s="116" t="e">
        <f t="shared" si="65"/>
        <v>#DIV/0!</v>
      </c>
      <c r="P311" s="115"/>
      <c r="Q311" s="116" t="e">
        <f t="shared" si="66"/>
        <v>#DIV/0!</v>
      </c>
      <c r="R311" s="115"/>
      <c r="S311" s="100" t="e">
        <f t="shared" si="67"/>
        <v>#DIV/0!</v>
      </c>
    </row>
    <row r="312" spans="1:19" ht="15" x14ac:dyDescent="0.2">
      <c r="A312" s="114" t="s">
        <v>300</v>
      </c>
      <c r="B312" s="100" t="s">
        <v>161</v>
      </c>
      <c r="C312" s="115">
        <v>0</v>
      </c>
      <c r="D312" s="100">
        <f>(C312/12)*11</f>
        <v>0</v>
      </c>
      <c r="E312" s="103">
        <f>'Monitoramento Acumulado Geral'!Q312</f>
        <v>0</v>
      </c>
      <c r="F312" s="100">
        <f>SUM(E302:E312)</f>
        <v>3830</v>
      </c>
      <c r="G312" s="102" t="str">
        <f t="shared" si="64"/>
        <v>Farol Verde</v>
      </c>
      <c r="H312" s="116">
        <f t="shared" si="69"/>
        <v>0</v>
      </c>
      <c r="I312" s="100">
        <f t="shared" si="70"/>
        <v>11</v>
      </c>
      <c r="J312" s="119">
        <v>0</v>
      </c>
      <c r="K312" s="118">
        <f>'Monitoramento Acumulado Geral'!P312</f>
        <v>0</v>
      </c>
      <c r="L312" s="100">
        <f>L302+L311</f>
        <v>0</v>
      </c>
      <c r="M312" s="100">
        <f t="shared" si="68"/>
        <v>5</v>
      </c>
      <c r="N312" s="115"/>
      <c r="O312" s="116" t="e">
        <f t="shared" si="65"/>
        <v>#DIV/0!</v>
      </c>
      <c r="P312" s="115"/>
      <c r="Q312" s="116" t="e">
        <f t="shared" si="66"/>
        <v>#DIV/0!</v>
      </c>
      <c r="R312" s="115"/>
      <c r="S312" s="100" t="e">
        <f t="shared" si="67"/>
        <v>#DIV/0!</v>
      </c>
    </row>
    <row r="313" spans="1:19" ht="15" x14ac:dyDescent="0.2">
      <c r="A313" s="114" t="s">
        <v>300</v>
      </c>
      <c r="B313" s="100" t="s">
        <v>162</v>
      </c>
      <c r="C313" s="115">
        <v>0</v>
      </c>
      <c r="D313" s="100">
        <f>(C313/12)*12</f>
        <v>0</v>
      </c>
      <c r="E313" s="103">
        <f>'Monitoramento Acumulado Geral'!Q313</f>
        <v>0</v>
      </c>
      <c r="F313" s="100">
        <f>SUM(E302:E313)</f>
        <v>3830</v>
      </c>
      <c r="G313" s="102" t="str">
        <f t="shared" si="64"/>
        <v>Farol Verde</v>
      </c>
      <c r="H313" s="116">
        <f t="shared" si="69"/>
        <v>0</v>
      </c>
      <c r="I313" s="100">
        <f t="shared" si="70"/>
        <v>12</v>
      </c>
      <c r="J313" s="119">
        <v>0</v>
      </c>
      <c r="K313" s="118">
        <f>'Monitoramento Acumulado Geral'!P313</f>
        <v>0</v>
      </c>
      <c r="L313" s="100">
        <f>$L302+L312</f>
        <v>0</v>
      </c>
      <c r="M313" s="100">
        <f t="shared" si="68"/>
        <v>5</v>
      </c>
      <c r="N313" s="115"/>
      <c r="O313" s="116" t="e">
        <f t="shared" si="65"/>
        <v>#DIV/0!</v>
      </c>
      <c r="P313" s="115"/>
      <c r="Q313" s="116" t="e">
        <f t="shared" si="66"/>
        <v>#DIV/0!</v>
      </c>
      <c r="R313" s="115"/>
      <c r="S313" s="100" t="e">
        <f t="shared" si="67"/>
        <v>#DIV/0!</v>
      </c>
    </row>
    <row r="314" spans="1:19" ht="15" x14ac:dyDescent="0.2">
      <c r="A314" s="114" t="s">
        <v>147</v>
      </c>
      <c r="B314" s="100" t="s">
        <v>151</v>
      </c>
      <c r="C314" s="115">
        <v>6000</v>
      </c>
      <c r="D314" s="100">
        <f>(C314/12)*1</f>
        <v>500</v>
      </c>
      <c r="E314" s="103">
        <f>'Monitoramento Acumulado Geral'!Q314</f>
        <v>0</v>
      </c>
      <c r="F314" s="100">
        <f>E314</f>
        <v>0</v>
      </c>
      <c r="G314" s="102" t="str">
        <f t="shared" si="64"/>
        <v>Farol Vermelho</v>
      </c>
      <c r="H314" s="116">
        <f t="shared" si="62"/>
        <v>500</v>
      </c>
      <c r="I314" s="100">
        <f t="shared" si="63"/>
        <v>1</v>
      </c>
      <c r="J314" s="119">
        <v>3</v>
      </c>
      <c r="K314" s="118">
        <f>'Monitoramento Acumulado Geral'!P314</f>
        <v>0</v>
      </c>
      <c r="L314" s="100">
        <f>J314/12</f>
        <v>0.25</v>
      </c>
      <c r="M314" s="100">
        <f>K314</f>
        <v>0</v>
      </c>
      <c r="N314" s="115">
        <v>0</v>
      </c>
      <c r="O314" s="116" t="e">
        <f t="shared" si="65"/>
        <v>#DIV/0!</v>
      </c>
      <c r="P314" s="115">
        <v>0</v>
      </c>
      <c r="Q314" s="116" t="e">
        <f t="shared" si="66"/>
        <v>#DIV/0!</v>
      </c>
      <c r="R314" s="115">
        <v>0</v>
      </c>
      <c r="S314" s="100" t="e">
        <f t="shared" si="67"/>
        <v>#DIV/0!</v>
      </c>
    </row>
    <row r="315" spans="1:19" ht="15" x14ac:dyDescent="0.2">
      <c r="A315" s="114" t="s">
        <v>147</v>
      </c>
      <c r="B315" s="100" t="s">
        <v>152</v>
      </c>
      <c r="C315" s="115">
        <v>6000</v>
      </c>
      <c r="D315" s="100">
        <f>(C315/12)*2</f>
        <v>1000</v>
      </c>
      <c r="E315" s="103">
        <f>'Monitoramento Acumulado Geral'!Q315</f>
        <v>0</v>
      </c>
      <c r="F315" s="100">
        <f>SUM(E314:E315)</f>
        <v>0</v>
      </c>
      <c r="G315" s="102" t="str">
        <f t="shared" si="64"/>
        <v>Farol Vermelho</v>
      </c>
      <c r="H315" s="116">
        <f t="shared" si="62"/>
        <v>1000</v>
      </c>
      <c r="I315" s="100">
        <f t="shared" si="63"/>
        <v>2</v>
      </c>
      <c r="J315" s="119">
        <v>3</v>
      </c>
      <c r="K315" s="118">
        <f>'Monitoramento Acumulado Geral'!P315</f>
        <v>0</v>
      </c>
      <c r="L315" s="100">
        <f>L314+L314</f>
        <v>0.5</v>
      </c>
      <c r="M315" s="100">
        <f>M314+K315</f>
        <v>0</v>
      </c>
      <c r="N315" s="115">
        <v>0</v>
      </c>
      <c r="O315" s="116" t="e">
        <f t="shared" si="65"/>
        <v>#DIV/0!</v>
      </c>
      <c r="P315" s="115">
        <v>0</v>
      </c>
      <c r="Q315" s="116" t="e">
        <f t="shared" si="66"/>
        <v>#DIV/0!</v>
      </c>
      <c r="R315" s="115">
        <v>0</v>
      </c>
      <c r="S315" s="100" t="e">
        <f t="shared" si="67"/>
        <v>#DIV/0!</v>
      </c>
    </row>
    <row r="316" spans="1:19" ht="15" x14ac:dyDescent="0.2">
      <c r="A316" s="114" t="s">
        <v>147</v>
      </c>
      <c r="B316" s="100" t="s">
        <v>153</v>
      </c>
      <c r="C316" s="115">
        <v>6000</v>
      </c>
      <c r="D316" s="100">
        <f>(C316/12)*3</f>
        <v>1500</v>
      </c>
      <c r="E316" s="103">
        <f>'Monitoramento Acumulado Geral'!Q316</f>
        <v>0</v>
      </c>
      <c r="F316" s="100">
        <f>SUM(E314:E316)</f>
        <v>0</v>
      </c>
      <c r="G316" s="102" t="str">
        <f t="shared" si="64"/>
        <v>Farol Vermelho</v>
      </c>
      <c r="H316" s="116">
        <f t="shared" si="62"/>
        <v>1500</v>
      </c>
      <c r="I316" s="100">
        <f t="shared" si="63"/>
        <v>3</v>
      </c>
      <c r="J316" s="119">
        <v>3</v>
      </c>
      <c r="K316" s="118">
        <f>'Monitoramento Acumulado Geral'!P316</f>
        <v>0</v>
      </c>
      <c r="L316" s="100">
        <f>$L314+L315</f>
        <v>0.75</v>
      </c>
      <c r="M316" s="100">
        <f t="shared" ref="M316:M325" si="71">M315+K316</f>
        <v>0</v>
      </c>
      <c r="N316" s="115">
        <v>0</v>
      </c>
      <c r="O316" s="116" t="e">
        <f t="shared" si="65"/>
        <v>#DIV/0!</v>
      </c>
      <c r="P316" s="115">
        <v>0</v>
      </c>
      <c r="Q316" s="116" t="e">
        <f t="shared" si="66"/>
        <v>#DIV/0!</v>
      </c>
      <c r="R316" s="115">
        <v>0</v>
      </c>
      <c r="S316" s="100" t="e">
        <f t="shared" si="67"/>
        <v>#DIV/0!</v>
      </c>
    </row>
    <row r="317" spans="1:19" ht="15" x14ac:dyDescent="0.2">
      <c r="A317" s="114" t="s">
        <v>147</v>
      </c>
      <c r="B317" s="100" t="s">
        <v>154</v>
      </c>
      <c r="C317" s="115">
        <v>6000</v>
      </c>
      <c r="D317" s="100">
        <f>(C317/12)*4</f>
        <v>2000</v>
      </c>
      <c r="E317" s="103">
        <f>'Monitoramento Acumulado Geral'!Q317</f>
        <v>0</v>
      </c>
      <c r="F317" s="100">
        <f>SUM(E314:E317)</f>
        <v>0</v>
      </c>
      <c r="G317" s="102" t="str">
        <f t="shared" si="64"/>
        <v>Farol Vermelho</v>
      </c>
      <c r="H317" s="116">
        <f t="shared" si="62"/>
        <v>2000</v>
      </c>
      <c r="I317" s="100">
        <f t="shared" si="63"/>
        <v>4</v>
      </c>
      <c r="J317" s="119">
        <v>3</v>
      </c>
      <c r="K317" s="118">
        <f>'Monitoramento Acumulado Geral'!P317</f>
        <v>0</v>
      </c>
      <c r="L317" s="100">
        <f>$L314+L316</f>
        <v>1</v>
      </c>
      <c r="M317" s="100">
        <f t="shared" si="71"/>
        <v>0</v>
      </c>
      <c r="N317" s="115">
        <v>0</v>
      </c>
      <c r="O317" s="116" t="e">
        <f t="shared" si="65"/>
        <v>#DIV/0!</v>
      </c>
      <c r="P317" s="115">
        <v>0</v>
      </c>
      <c r="Q317" s="116" t="e">
        <f t="shared" si="66"/>
        <v>#DIV/0!</v>
      </c>
      <c r="R317" s="115">
        <v>0</v>
      </c>
      <c r="S317" s="100" t="e">
        <f t="shared" si="67"/>
        <v>#DIV/0!</v>
      </c>
    </row>
    <row r="318" spans="1:19" ht="15" x14ac:dyDescent="0.2">
      <c r="A318" s="114" t="s">
        <v>147</v>
      </c>
      <c r="B318" s="100" t="s">
        <v>155</v>
      </c>
      <c r="C318" s="115">
        <v>6000</v>
      </c>
      <c r="D318" s="100">
        <f>(C318/12)*5</f>
        <v>2500</v>
      </c>
      <c r="E318" s="103">
        <f>'Monitoramento Acumulado Geral'!Q318</f>
        <v>0</v>
      </c>
      <c r="F318" s="100">
        <f>SUM(E314:E318)</f>
        <v>0</v>
      </c>
      <c r="G318" s="102" t="str">
        <f t="shared" si="64"/>
        <v>Farol Vermelho</v>
      </c>
      <c r="H318" s="116">
        <f t="shared" si="62"/>
        <v>2500</v>
      </c>
      <c r="I318" s="100">
        <f t="shared" si="63"/>
        <v>5</v>
      </c>
      <c r="J318" s="119">
        <v>3</v>
      </c>
      <c r="K318" s="118">
        <f>'Monitoramento Acumulado Geral'!P318</f>
        <v>0</v>
      </c>
      <c r="L318" s="100">
        <f>L314+L317</f>
        <v>1.25</v>
      </c>
      <c r="M318" s="100">
        <f t="shared" si="71"/>
        <v>0</v>
      </c>
      <c r="N318" s="115">
        <v>0</v>
      </c>
      <c r="O318" s="116" t="e">
        <f t="shared" si="65"/>
        <v>#DIV/0!</v>
      </c>
      <c r="P318" s="115">
        <v>0</v>
      </c>
      <c r="Q318" s="116" t="e">
        <f t="shared" si="66"/>
        <v>#DIV/0!</v>
      </c>
      <c r="R318" s="115">
        <v>0</v>
      </c>
      <c r="S318" s="100" t="e">
        <f t="shared" si="67"/>
        <v>#DIV/0!</v>
      </c>
    </row>
    <row r="319" spans="1:19" ht="15" x14ac:dyDescent="0.2">
      <c r="A319" s="114" t="s">
        <v>147</v>
      </c>
      <c r="B319" s="100" t="s">
        <v>156</v>
      </c>
      <c r="C319" s="115">
        <v>6000</v>
      </c>
      <c r="D319" s="100">
        <f>(C319/12)*6</f>
        <v>3000</v>
      </c>
      <c r="E319" s="103">
        <f>'Monitoramento Acumulado Geral'!Q319</f>
        <v>0</v>
      </c>
      <c r="F319" s="100">
        <f>SUM(E314:E319)</f>
        <v>0</v>
      </c>
      <c r="G319" s="102" t="str">
        <f t="shared" si="64"/>
        <v>Farol Vermelho</v>
      </c>
      <c r="H319" s="116">
        <f t="shared" si="62"/>
        <v>3000</v>
      </c>
      <c r="I319" s="100">
        <f t="shared" si="63"/>
        <v>6</v>
      </c>
      <c r="J319" s="119">
        <v>3</v>
      </c>
      <c r="K319" s="118">
        <f>'Monitoramento Acumulado Geral'!P319</f>
        <v>0</v>
      </c>
      <c r="L319" s="100">
        <f>$L314+L318</f>
        <v>1.5</v>
      </c>
      <c r="M319" s="100">
        <f t="shared" si="71"/>
        <v>0</v>
      </c>
      <c r="N319" s="115">
        <v>0</v>
      </c>
      <c r="O319" s="116" t="e">
        <f t="shared" si="65"/>
        <v>#DIV/0!</v>
      </c>
      <c r="P319" s="115">
        <v>0</v>
      </c>
      <c r="Q319" s="116" t="e">
        <f t="shared" si="66"/>
        <v>#DIV/0!</v>
      </c>
      <c r="R319" s="115">
        <v>0</v>
      </c>
      <c r="S319" s="100" t="e">
        <f t="shared" si="67"/>
        <v>#DIV/0!</v>
      </c>
    </row>
    <row r="320" spans="1:19" ht="15" x14ac:dyDescent="0.2">
      <c r="A320" s="114" t="s">
        <v>147</v>
      </c>
      <c r="B320" s="100" t="s">
        <v>157</v>
      </c>
      <c r="C320" s="115">
        <v>6000</v>
      </c>
      <c r="D320" s="100">
        <f>(C320/12)*7</f>
        <v>3500</v>
      </c>
      <c r="E320" s="103">
        <f>'Monitoramento Acumulado Geral'!Q320</f>
        <v>0</v>
      </c>
      <c r="F320" s="100">
        <f>SUM(E314:E320)</f>
        <v>0</v>
      </c>
      <c r="G320" s="102" t="str">
        <f t="shared" si="64"/>
        <v>Farol Vermelho</v>
      </c>
      <c r="H320" s="116">
        <f t="shared" si="62"/>
        <v>3500</v>
      </c>
      <c r="I320" s="100">
        <f t="shared" si="63"/>
        <v>7</v>
      </c>
      <c r="J320" s="119">
        <v>3</v>
      </c>
      <c r="K320" s="118">
        <f>'Monitoramento Acumulado Geral'!P320</f>
        <v>0</v>
      </c>
      <c r="L320" s="100">
        <f>$L314+L319</f>
        <v>1.75</v>
      </c>
      <c r="M320" s="100">
        <f t="shared" si="71"/>
        <v>0</v>
      </c>
      <c r="N320" s="115"/>
      <c r="O320" s="116" t="e">
        <f t="shared" si="65"/>
        <v>#DIV/0!</v>
      </c>
      <c r="P320" s="115"/>
      <c r="Q320" s="116" t="e">
        <f t="shared" si="66"/>
        <v>#DIV/0!</v>
      </c>
      <c r="R320" s="115"/>
      <c r="S320" s="100" t="e">
        <f t="shared" si="67"/>
        <v>#DIV/0!</v>
      </c>
    </row>
    <row r="321" spans="1:19" ht="15" x14ac:dyDescent="0.2">
      <c r="A321" s="114" t="s">
        <v>147</v>
      </c>
      <c r="B321" s="100" t="s">
        <v>158</v>
      </c>
      <c r="C321" s="115">
        <v>6000</v>
      </c>
      <c r="D321" s="100">
        <f>(C321/12)*8</f>
        <v>4000</v>
      </c>
      <c r="E321" s="103">
        <f>'Monitoramento Acumulado Geral'!Q321</f>
        <v>0</v>
      </c>
      <c r="F321" s="100">
        <f>SUM(E314:E321)</f>
        <v>0</v>
      </c>
      <c r="G321" s="102" t="str">
        <f t="shared" si="64"/>
        <v>Farol Vermelho</v>
      </c>
      <c r="H321" s="116">
        <f t="shared" si="62"/>
        <v>4000</v>
      </c>
      <c r="I321" s="100">
        <f t="shared" si="63"/>
        <v>8</v>
      </c>
      <c r="J321" s="119">
        <v>3</v>
      </c>
      <c r="K321" s="118">
        <f>'Monitoramento Acumulado Geral'!P321</f>
        <v>0</v>
      </c>
      <c r="L321" s="100">
        <f>L314+L320</f>
        <v>2</v>
      </c>
      <c r="M321" s="100">
        <f t="shared" si="71"/>
        <v>0</v>
      </c>
      <c r="N321" s="115"/>
      <c r="O321" s="116" t="e">
        <f t="shared" si="65"/>
        <v>#DIV/0!</v>
      </c>
      <c r="P321" s="115"/>
      <c r="Q321" s="116" t="e">
        <f t="shared" si="66"/>
        <v>#DIV/0!</v>
      </c>
      <c r="R321" s="115"/>
      <c r="S321" s="100" t="e">
        <f t="shared" si="67"/>
        <v>#DIV/0!</v>
      </c>
    </row>
    <row r="322" spans="1:19" ht="15" x14ac:dyDescent="0.2">
      <c r="A322" s="114" t="s">
        <v>147</v>
      </c>
      <c r="B322" s="100" t="s">
        <v>159</v>
      </c>
      <c r="C322" s="115">
        <v>6000</v>
      </c>
      <c r="D322" s="100">
        <f>(C322/12)*9</f>
        <v>4500</v>
      </c>
      <c r="E322" s="103">
        <f>'Monitoramento Acumulado Geral'!Q322</f>
        <v>0</v>
      </c>
      <c r="F322" s="100">
        <f>SUM(E314:E322)</f>
        <v>0</v>
      </c>
      <c r="G322" s="102" t="str">
        <f t="shared" si="64"/>
        <v>Farol Vermelho</v>
      </c>
      <c r="H322" s="116">
        <f t="shared" si="62"/>
        <v>4500</v>
      </c>
      <c r="I322" s="100">
        <f t="shared" si="63"/>
        <v>9</v>
      </c>
      <c r="J322" s="119">
        <v>3</v>
      </c>
      <c r="K322" s="118">
        <f>'Monitoramento Acumulado Geral'!P322</f>
        <v>0</v>
      </c>
      <c r="L322" s="100">
        <f>$L314+L321</f>
        <v>2.25</v>
      </c>
      <c r="M322" s="100">
        <f t="shared" si="71"/>
        <v>0</v>
      </c>
      <c r="N322" s="115"/>
      <c r="O322" s="116" t="e">
        <f t="shared" si="65"/>
        <v>#DIV/0!</v>
      </c>
      <c r="P322" s="115"/>
      <c r="Q322" s="116" t="e">
        <f t="shared" si="66"/>
        <v>#DIV/0!</v>
      </c>
      <c r="R322" s="115"/>
      <c r="S322" s="100" t="e">
        <f t="shared" si="67"/>
        <v>#DIV/0!</v>
      </c>
    </row>
    <row r="323" spans="1:19" ht="15" x14ac:dyDescent="0.2">
      <c r="A323" s="114" t="s">
        <v>147</v>
      </c>
      <c r="B323" s="100" t="s">
        <v>160</v>
      </c>
      <c r="C323" s="115">
        <v>6000</v>
      </c>
      <c r="D323" s="100">
        <f>(C323/12)*10</f>
        <v>5000</v>
      </c>
      <c r="E323" s="103">
        <f>'Monitoramento Acumulado Geral'!Q323</f>
        <v>0</v>
      </c>
      <c r="F323" s="100">
        <f>SUM(E314:E323)</f>
        <v>0</v>
      </c>
      <c r="G323" s="102" t="str">
        <f t="shared" si="64"/>
        <v>Farol Vermelho</v>
      </c>
      <c r="H323" s="116">
        <f t="shared" si="62"/>
        <v>5000</v>
      </c>
      <c r="I323" s="100">
        <f t="shared" si="63"/>
        <v>10</v>
      </c>
      <c r="J323" s="119">
        <v>3</v>
      </c>
      <c r="K323" s="118">
        <f>'Monitoramento Acumulado Geral'!P323</f>
        <v>0</v>
      </c>
      <c r="L323" s="100">
        <f>$L314+L322</f>
        <v>2.5</v>
      </c>
      <c r="M323" s="100">
        <f t="shared" si="71"/>
        <v>0</v>
      </c>
      <c r="N323" s="115"/>
      <c r="O323" s="116" t="e">
        <f t="shared" si="65"/>
        <v>#DIV/0!</v>
      </c>
      <c r="P323" s="115"/>
      <c r="Q323" s="116" t="e">
        <f t="shared" si="66"/>
        <v>#DIV/0!</v>
      </c>
      <c r="R323" s="115"/>
      <c r="S323" s="100" t="e">
        <f t="shared" si="67"/>
        <v>#DIV/0!</v>
      </c>
    </row>
    <row r="324" spans="1:19" ht="15" x14ac:dyDescent="0.2">
      <c r="A324" s="114" t="s">
        <v>147</v>
      </c>
      <c r="B324" s="100" t="s">
        <v>161</v>
      </c>
      <c r="C324" s="115">
        <v>6000</v>
      </c>
      <c r="D324" s="100">
        <f>(C324/12)*11</f>
        <v>5500</v>
      </c>
      <c r="E324" s="103">
        <f>'Monitoramento Acumulado Geral'!Q324</f>
        <v>0</v>
      </c>
      <c r="F324" s="100">
        <f>SUM(E314:E324)</f>
        <v>0</v>
      </c>
      <c r="G324" s="102" t="str">
        <f t="shared" si="64"/>
        <v>Farol Vermelho</v>
      </c>
      <c r="H324" s="116">
        <f t="shared" si="62"/>
        <v>5500</v>
      </c>
      <c r="I324" s="100">
        <f t="shared" si="63"/>
        <v>11</v>
      </c>
      <c r="J324" s="119">
        <v>3</v>
      </c>
      <c r="K324" s="118">
        <f>'Monitoramento Acumulado Geral'!P324</f>
        <v>0</v>
      </c>
      <c r="L324" s="100">
        <f>L314+L323</f>
        <v>2.75</v>
      </c>
      <c r="M324" s="100">
        <f t="shared" si="71"/>
        <v>0</v>
      </c>
      <c r="N324" s="115"/>
      <c r="O324" s="116" t="e">
        <f t="shared" si="65"/>
        <v>#DIV/0!</v>
      </c>
      <c r="P324" s="115"/>
      <c r="Q324" s="116" t="e">
        <f t="shared" si="66"/>
        <v>#DIV/0!</v>
      </c>
      <c r="R324" s="115"/>
      <c r="S324" s="100" t="e">
        <f t="shared" si="67"/>
        <v>#DIV/0!</v>
      </c>
    </row>
    <row r="325" spans="1:19" ht="15" x14ac:dyDescent="0.2">
      <c r="A325" s="114" t="s">
        <v>147</v>
      </c>
      <c r="B325" s="100" t="s">
        <v>162</v>
      </c>
      <c r="C325" s="115">
        <v>6000</v>
      </c>
      <c r="D325" s="100">
        <f>(C325/12)*12</f>
        <v>6000</v>
      </c>
      <c r="E325" s="103">
        <f>'Monitoramento Acumulado Geral'!Q325</f>
        <v>0</v>
      </c>
      <c r="F325" s="100">
        <f>SUM(E314:E325)</f>
        <v>0</v>
      </c>
      <c r="G325" s="102" t="str">
        <f t="shared" si="64"/>
        <v>Farol Vermelho</v>
      </c>
      <c r="H325" s="116">
        <f t="shared" si="62"/>
        <v>6000</v>
      </c>
      <c r="I325" s="100">
        <f t="shared" si="63"/>
        <v>12</v>
      </c>
      <c r="J325" s="119">
        <v>3</v>
      </c>
      <c r="K325" s="118">
        <f>'Monitoramento Acumulado Geral'!P325</f>
        <v>0</v>
      </c>
      <c r="L325" s="100">
        <f>$L314+L324</f>
        <v>3</v>
      </c>
      <c r="M325" s="100">
        <f t="shared" si="71"/>
        <v>0</v>
      </c>
      <c r="N325" s="115"/>
      <c r="O325" s="116" t="e">
        <f t="shared" si="65"/>
        <v>#DIV/0!</v>
      </c>
      <c r="P325" s="115"/>
      <c r="Q325" s="116" t="e">
        <f t="shared" si="66"/>
        <v>#DIV/0!</v>
      </c>
      <c r="R325" s="115"/>
      <c r="S325" s="100" t="e">
        <f t="shared" si="67"/>
        <v>#DIV/0!</v>
      </c>
    </row>
    <row r="326" spans="1:19" ht="15" x14ac:dyDescent="0.2">
      <c r="A326" s="114" t="s">
        <v>71</v>
      </c>
      <c r="B326" s="100" t="s">
        <v>151</v>
      </c>
      <c r="C326" s="115">
        <v>10000</v>
      </c>
      <c r="D326" s="100">
        <f>(C326/12)*1</f>
        <v>833.33333333333337</v>
      </c>
      <c r="E326" s="103">
        <f>'Monitoramento Acumulado Geral'!Q326</f>
        <v>0</v>
      </c>
      <c r="F326" s="100">
        <f>E326</f>
        <v>0</v>
      </c>
      <c r="G326" s="102" t="str">
        <f t="shared" si="64"/>
        <v>Farol Vermelho</v>
      </c>
      <c r="H326" s="116">
        <f t="shared" si="62"/>
        <v>833.33333333333337</v>
      </c>
      <c r="I326" s="100">
        <f t="shared" si="63"/>
        <v>1</v>
      </c>
      <c r="J326" s="119">
        <v>7</v>
      </c>
      <c r="K326" s="118">
        <f>'Monitoramento Acumulado Geral'!P326</f>
        <v>0</v>
      </c>
      <c r="L326" s="100">
        <f>J326/12</f>
        <v>0.58333333333333337</v>
      </c>
      <c r="M326" s="100">
        <f>K326</f>
        <v>0</v>
      </c>
      <c r="N326" s="115">
        <v>0</v>
      </c>
      <c r="O326" s="116" t="e">
        <f t="shared" si="65"/>
        <v>#DIV/0!</v>
      </c>
      <c r="P326" s="115">
        <v>0</v>
      </c>
      <c r="Q326" s="116" t="e">
        <f t="shared" si="66"/>
        <v>#DIV/0!</v>
      </c>
      <c r="R326" s="115">
        <v>0</v>
      </c>
      <c r="S326" s="100" t="e">
        <f t="shared" si="67"/>
        <v>#DIV/0!</v>
      </c>
    </row>
    <row r="327" spans="1:19" ht="15" x14ac:dyDescent="0.2">
      <c r="A327" s="114" t="s">
        <v>71</v>
      </c>
      <c r="B327" s="100" t="s">
        <v>152</v>
      </c>
      <c r="C327" s="115">
        <v>10000</v>
      </c>
      <c r="D327" s="100">
        <f>(C327/12)*2</f>
        <v>1666.6666666666667</v>
      </c>
      <c r="E327" s="103">
        <f>'Monitoramento Acumulado Geral'!Q327</f>
        <v>0</v>
      </c>
      <c r="F327" s="100">
        <f>SUM(E326:E327)</f>
        <v>0</v>
      </c>
      <c r="G327" s="102" t="str">
        <f t="shared" si="64"/>
        <v>Farol Vermelho</v>
      </c>
      <c r="H327" s="116">
        <f t="shared" si="62"/>
        <v>1666.6666666666667</v>
      </c>
      <c r="I327" s="100">
        <f t="shared" si="63"/>
        <v>2</v>
      </c>
      <c r="J327" s="119">
        <v>7</v>
      </c>
      <c r="K327" s="118">
        <f>'Monitoramento Acumulado Geral'!P327</f>
        <v>0</v>
      </c>
      <c r="L327" s="100">
        <f>L326+L326</f>
        <v>1.1666666666666667</v>
      </c>
      <c r="M327" s="100">
        <f>M326+K327</f>
        <v>0</v>
      </c>
      <c r="N327" s="115">
        <v>0</v>
      </c>
      <c r="O327" s="116" t="e">
        <f t="shared" si="65"/>
        <v>#DIV/0!</v>
      </c>
      <c r="P327" s="115">
        <v>0</v>
      </c>
      <c r="Q327" s="116" t="e">
        <f t="shared" si="66"/>
        <v>#DIV/0!</v>
      </c>
      <c r="R327" s="115">
        <v>0</v>
      </c>
      <c r="S327" s="100" t="e">
        <f t="shared" si="67"/>
        <v>#DIV/0!</v>
      </c>
    </row>
    <row r="328" spans="1:19" ht="15" x14ac:dyDescent="0.2">
      <c r="A328" s="114" t="s">
        <v>71</v>
      </c>
      <c r="B328" s="100" t="s">
        <v>153</v>
      </c>
      <c r="C328" s="115">
        <v>10000</v>
      </c>
      <c r="D328" s="100">
        <f>(C328/12)*3</f>
        <v>2500</v>
      </c>
      <c r="E328" s="103">
        <f>'Monitoramento Acumulado Geral'!Q328</f>
        <v>1855</v>
      </c>
      <c r="F328" s="100">
        <f>SUM(E326:E328)</f>
        <v>1855</v>
      </c>
      <c r="G328" s="102" t="str">
        <f t="shared" si="64"/>
        <v>Farol Vermelho</v>
      </c>
      <c r="H328" s="116">
        <f t="shared" si="62"/>
        <v>645</v>
      </c>
      <c r="I328" s="100">
        <f t="shared" si="63"/>
        <v>3</v>
      </c>
      <c r="J328" s="119">
        <v>7</v>
      </c>
      <c r="K328" s="118">
        <f>'Monitoramento Acumulado Geral'!P328</f>
        <v>1</v>
      </c>
      <c r="L328" s="100">
        <f>$L326+L327</f>
        <v>1.75</v>
      </c>
      <c r="M328" s="100">
        <f t="shared" ref="M328:M337" si="72">M327+K328</f>
        <v>1</v>
      </c>
      <c r="N328" s="115">
        <v>0</v>
      </c>
      <c r="O328" s="116" t="e">
        <f t="shared" si="65"/>
        <v>#DIV/0!</v>
      </c>
      <c r="P328" s="115">
        <v>0</v>
      </c>
      <c r="Q328" s="116" t="e">
        <f t="shared" si="66"/>
        <v>#DIV/0!</v>
      </c>
      <c r="R328" s="115">
        <v>0</v>
      </c>
      <c r="S328" s="100" t="e">
        <f t="shared" si="67"/>
        <v>#DIV/0!</v>
      </c>
    </row>
    <row r="329" spans="1:19" ht="15" x14ac:dyDescent="0.2">
      <c r="A329" s="114" t="s">
        <v>71</v>
      </c>
      <c r="B329" s="100" t="s">
        <v>154</v>
      </c>
      <c r="C329" s="115">
        <v>10000</v>
      </c>
      <c r="D329" s="100">
        <f>(C329/12)*4</f>
        <v>3333.3333333333335</v>
      </c>
      <c r="E329" s="103">
        <f>'Monitoramento Acumulado Geral'!Q329</f>
        <v>2655</v>
      </c>
      <c r="F329" s="100">
        <f>SUM(E326:E329)</f>
        <v>4510</v>
      </c>
      <c r="G329" s="102" t="str">
        <f t="shared" si="64"/>
        <v>Farol Verde</v>
      </c>
      <c r="H329" s="116">
        <f t="shared" si="62"/>
        <v>0</v>
      </c>
      <c r="I329" s="100">
        <f t="shared" si="63"/>
        <v>4</v>
      </c>
      <c r="J329" s="119">
        <v>7</v>
      </c>
      <c r="K329" s="118">
        <f>'Monitoramento Acumulado Geral'!P329</f>
        <v>1</v>
      </c>
      <c r="L329" s="100">
        <f>$L326+L328</f>
        <v>2.3333333333333335</v>
      </c>
      <c r="M329" s="100">
        <f t="shared" si="72"/>
        <v>2</v>
      </c>
      <c r="N329" s="115">
        <v>0</v>
      </c>
      <c r="O329" s="116" t="e">
        <f t="shared" si="65"/>
        <v>#DIV/0!</v>
      </c>
      <c r="P329" s="115">
        <v>0</v>
      </c>
      <c r="Q329" s="116" t="e">
        <f t="shared" si="66"/>
        <v>#DIV/0!</v>
      </c>
      <c r="R329" s="115">
        <v>0</v>
      </c>
      <c r="S329" s="100" t="e">
        <f t="shared" si="67"/>
        <v>#DIV/0!</v>
      </c>
    </row>
    <row r="330" spans="1:19" ht="15" x14ac:dyDescent="0.2">
      <c r="A330" s="114" t="s">
        <v>71</v>
      </c>
      <c r="B330" s="100" t="s">
        <v>155</v>
      </c>
      <c r="C330" s="115">
        <v>10000</v>
      </c>
      <c r="D330" s="100">
        <f>(C330/12)*5</f>
        <v>4166.666666666667</v>
      </c>
      <c r="E330" s="103">
        <f>'Monitoramento Acumulado Geral'!Q330</f>
        <v>1</v>
      </c>
      <c r="F330" s="100">
        <f>SUM(E326:E330)</f>
        <v>4511</v>
      </c>
      <c r="G330" s="102" t="str">
        <f t="shared" si="64"/>
        <v>Farol Verde</v>
      </c>
      <c r="H330" s="116">
        <f t="shared" si="62"/>
        <v>0</v>
      </c>
      <c r="I330" s="100">
        <f t="shared" si="63"/>
        <v>5</v>
      </c>
      <c r="J330" s="119">
        <v>7</v>
      </c>
      <c r="K330" s="118">
        <f>'Monitoramento Acumulado Geral'!P330</f>
        <v>3</v>
      </c>
      <c r="L330" s="100">
        <f>L326+L329</f>
        <v>2.916666666666667</v>
      </c>
      <c r="M330" s="100">
        <f t="shared" si="72"/>
        <v>5</v>
      </c>
      <c r="N330" s="115">
        <v>1</v>
      </c>
      <c r="O330" s="116">
        <f t="shared" si="65"/>
        <v>0</v>
      </c>
      <c r="P330" s="115">
        <v>0</v>
      </c>
      <c r="Q330" s="116" t="e">
        <f t="shared" si="66"/>
        <v>#DIV/0!</v>
      </c>
      <c r="R330" s="115">
        <v>0</v>
      </c>
      <c r="S330" s="100">
        <f t="shared" si="67"/>
        <v>0</v>
      </c>
    </row>
    <row r="331" spans="1:19" ht="15" x14ac:dyDescent="0.2">
      <c r="A331" s="114" t="s">
        <v>71</v>
      </c>
      <c r="B331" s="100" t="s">
        <v>156</v>
      </c>
      <c r="C331" s="115">
        <v>10000</v>
      </c>
      <c r="D331" s="100">
        <f>(C331/12)*6</f>
        <v>5000</v>
      </c>
      <c r="E331" s="103">
        <f>'Monitoramento Acumulado Geral'!Q331</f>
        <v>0</v>
      </c>
      <c r="F331" s="100">
        <f>SUM(E326:E331)</f>
        <v>4511</v>
      </c>
      <c r="G331" s="102" t="str">
        <f t="shared" si="64"/>
        <v>Farol Amarelo</v>
      </c>
      <c r="H331" s="116">
        <f t="shared" si="62"/>
        <v>489</v>
      </c>
      <c r="I331" s="100">
        <f t="shared" si="63"/>
        <v>6</v>
      </c>
      <c r="J331" s="119">
        <v>7</v>
      </c>
      <c r="K331" s="118">
        <f>'Monitoramento Acumulado Geral'!P331</f>
        <v>0</v>
      </c>
      <c r="L331" s="100">
        <f>$L326+L330</f>
        <v>3.5000000000000004</v>
      </c>
      <c r="M331" s="100">
        <f t="shared" si="72"/>
        <v>5</v>
      </c>
      <c r="N331" s="115">
        <v>2</v>
      </c>
      <c r="O331" s="116">
        <f t="shared" si="65"/>
        <v>0.5</v>
      </c>
      <c r="P331" s="115">
        <v>1</v>
      </c>
      <c r="Q331" s="116">
        <f t="shared" si="66"/>
        <v>0</v>
      </c>
      <c r="R331" s="115">
        <v>0</v>
      </c>
      <c r="S331" s="100">
        <f t="shared" si="67"/>
        <v>0</v>
      </c>
    </row>
    <row r="332" spans="1:19" ht="15" x14ac:dyDescent="0.2">
      <c r="A332" s="114" t="s">
        <v>71</v>
      </c>
      <c r="B332" s="100" t="s">
        <v>157</v>
      </c>
      <c r="C332" s="115">
        <v>10000</v>
      </c>
      <c r="D332" s="100">
        <f>(C332/12)*7</f>
        <v>5833.3333333333339</v>
      </c>
      <c r="E332" s="103">
        <f>'Monitoramento Acumulado Geral'!Q332</f>
        <v>0</v>
      </c>
      <c r="F332" s="100">
        <f>SUM(E326:E332)</f>
        <v>4511</v>
      </c>
      <c r="G332" s="102" t="str">
        <f t="shared" si="64"/>
        <v>Farol Vermelho</v>
      </c>
      <c r="H332" s="116">
        <f t="shared" si="62"/>
        <v>1322.3333333333339</v>
      </c>
      <c r="I332" s="100">
        <f t="shared" si="63"/>
        <v>7</v>
      </c>
      <c r="J332" s="119">
        <v>7</v>
      </c>
      <c r="K332" s="118">
        <f>'Monitoramento Acumulado Geral'!P332</f>
        <v>0</v>
      </c>
      <c r="L332" s="100">
        <f>$L326+L331</f>
        <v>4.0833333333333339</v>
      </c>
      <c r="M332" s="100">
        <f t="shared" si="72"/>
        <v>5</v>
      </c>
      <c r="N332" s="115"/>
      <c r="O332" s="116" t="e">
        <f t="shared" si="65"/>
        <v>#DIV/0!</v>
      </c>
      <c r="P332" s="115"/>
      <c r="Q332" s="116" t="e">
        <f t="shared" si="66"/>
        <v>#DIV/0!</v>
      </c>
      <c r="R332" s="115"/>
      <c r="S332" s="100" t="e">
        <f t="shared" si="67"/>
        <v>#DIV/0!</v>
      </c>
    </row>
    <row r="333" spans="1:19" ht="15" x14ac:dyDescent="0.2">
      <c r="A333" s="114" t="s">
        <v>71</v>
      </c>
      <c r="B333" s="100" t="s">
        <v>158</v>
      </c>
      <c r="C333" s="115">
        <v>10000</v>
      </c>
      <c r="D333" s="100">
        <f>(C333/12)*8</f>
        <v>6666.666666666667</v>
      </c>
      <c r="E333" s="103">
        <f>'Monitoramento Acumulado Geral'!Q333</f>
        <v>0</v>
      </c>
      <c r="F333" s="100">
        <f>SUM(E326:E333)</f>
        <v>4511</v>
      </c>
      <c r="G333" s="102" t="str">
        <f t="shared" si="64"/>
        <v>Farol Vermelho</v>
      </c>
      <c r="H333" s="116">
        <f t="shared" si="62"/>
        <v>2155.666666666667</v>
      </c>
      <c r="I333" s="100">
        <f t="shared" si="63"/>
        <v>8</v>
      </c>
      <c r="J333" s="119">
        <v>7</v>
      </c>
      <c r="K333" s="118">
        <f>'Monitoramento Acumulado Geral'!P333</f>
        <v>0</v>
      </c>
      <c r="L333" s="100">
        <f>L326+L332</f>
        <v>4.666666666666667</v>
      </c>
      <c r="M333" s="100">
        <f t="shared" si="72"/>
        <v>5</v>
      </c>
      <c r="N333" s="115"/>
      <c r="O333" s="116" t="e">
        <f t="shared" si="65"/>
        <v>#DIV/0!</v>
      </c>
      <c r="P333" s="115"/>
      <c r="Q333" s="116" t="e">
        <f t="shared" si="66"/>
        <v>#DIV/0!</v>
      </c>
      <c r="R333" s="115"/>
      <c r="S333" s="100" t="e">
        <f t="shared" si="67"/>
        <v>#DIV/0!</v>
      </c>
    </row>
    <row r="334" spans="1:19" ht="15" x14ac:dyDescent="0.2">
      <c r="A334" s="114" t="s">
        <v>71</v>
      </c>
      <c r="B334" s="100" t="s">
        <v>159</v>
      </c>
      <c r="C334" s="115">
        <v>10000</v>
      </c>
      <c r="D334" s="100">
        <f>(C334/12)*9</f>
        <v>7500</v>
      </c>
      <c r="E334" s="103">
        <f>'Monitoramento Acumulado Geral'!Q334</f>
        <v>0</v>
      </c>
      <c r="F334" s="100">
        <f>SUM(E326:E334)</f>
        <v>4511</v>
      </c>
      <c r="G334" s="102" t="str">
        <f t="shared" si="64"/>
        <v>Farol Vermelho</v>
      </c>
      <c r="H334" s="116">
        <f t="shared" si="62"/>
        <v>2989</v>
      </c>
      <c r="I334" s="100">
        <f t="shared" si="63"/>
        <v>9</v>
      </c>
      <c r="J334" s="119">
        <v>7</v>
      </c>
      <c r="K334" s="118">
        <f>'Monitoramento Acumulado Geral'!P334</f>
        <v>0</v>
      </c>
      <c r="L334" s="100">
        <f>$L326+L333</f>
        <v>5.25</v>
      </c>
      <c r="M334" s="100">
        <f t="shared" si="72"/>
        <v>5</v>
      </c>
      <c r="N334" s="115"/>
      <c r="O334" s="116" t="e">
        <f t="shared" si="65"/>
        <v>#DIV/0!</v>
      </c>
      <c r="P334" s="115"/>
      <c r="Q334" s="116" t="e">
        <f t="shared" si="66"/>
        <v>#DIV/0!</v>
      </c>
      <c r="R334" s="115"/>
      <c r="S334" s="100" t="e">
        <f t="shared" si="67"/>
        <v>#DIV/0!</v>
      </c>
    </row>
    <row r="335" spans="1:19" ht="15" x14ac:dyDescent="0.2">
      <c r="A335" s="114" t="s">
        <v>71</v>
      </c>
      <c r="B335" s="100" t="s">
        <v>160</v>
      </c>
      <c r="C335" s="115">
        <v>10000</v>
      </c>
      <c r="D335" s="100">
        <f>(C335/12)*10</f>
        <v>8333.3333333333339</v>
      </c>
      <c r="E335" s="103">
        <f>'Monitoramento Acumulado Geral'!Q335</f>
        <v>0</v>
      </c>
      <c r="F335" s="100">
        <f>SUM(E326:E335)</f>
        <v>4511</v>
      </c>
      <c r="G335" s="102" t="str">
        <f t="shared" si="64"/>
        <v>Farol Vermelho</v>
      </c>
      <c r="H335" s="116">
        <f t="shared" si="62"/>
        <v>3822.3333333333339</v>
      </c>
      <c r="I335" s="100">
        <f t="shared" si="63"/>
        <v>10</v>
      </c>
      <c r="J335" s="119">
        <v>7</v>
      </c>
      <c r="K335" s="118">
        <f>'Monitoramento Acumulado Geral'!P335</f>
        <v>0</v>
      </c>
      <c r="L335" s="100">
        <f>$L326+L334</f>
        <v>5.833333333333333</v>
      </c>
      <c r="M335" s="100">
        <f t="shared" si="72"/>
        <v>5</v>
      </c>
      <c r="N335" s="115"/>
      <c r="O335" s="116" t="e">
        <f t="shared" si="65"/>
        <v>#DIV/0!</v>
      </c>
      <c r="P335" s="115"/>
      <c r="Q335" s="116" t="e">
        <f t="shared" si="66"/>
        <v>#DIV/0!</v>
      </c>
      <c r="R335" s="115"/>
      <c r="S335" s="100" t="e">
        <f t="shared" si="67"/>
        <v>#DIV/0!</v>
      </c>
    </row>
    <row r="336" spans="1:19" ht="15" x14ac:dyDescent="0.2">
      <c r="A336" s="114" t="s">
        <v>71</v>
      </c>
      <c r="B336" s="100" t="s">
        <v>161</v>
      </c>
      <c r="C336" s="115">
        <v>10000</v>
      </c>
      <c r="D336" s="100">
        <f>(C336/12)*11</f>
        <v>9166.6666666666679</v>
      </c>
      <c r="E336" s="103">
        <f>'Monitoramento Acumulado Geral'!Q336</f>
        <v>0</v>
      </c>
      <c r="F336" s="100">
        <f>SUM(E326:E336)</f>
        <v>4511</v>
      </c>
      <c r="G336" s="102" t="str">
        <f t="shared" si="64"/>
        <v>Farol Vermelho</v>
      </c>
      <c r="H336" s="116">
        <f t="shared" si="62"/>
        <v>4655.6666666666679</v>
      </c>
      <c r="I336" s="100">
        <f t="shared" si="63"/>
        <v>11</v>
      </c>
      <c r="J336" s="119">
        <v>7</v>
      </c>
      <c r="K336" s="118">
        <f>'Monitoramento Acumulado Geral'!P336</f>
        <v>0</v>
      </c>
      <c r="L336" s="100">
        <f>L326+L335</f>
        <v>6.4166666666666661</v>
      </c>
      <c r="M336" s="100">
        <f t="shared" si="72"/>
        <v>5</v>
      </c>
      <c r="N336" s="115"/>
      <c r="O336" s="116" t="e">
        <f t="shared" si="65"/>
        <v>#DIV/0!</v>
      </c>
      <c r="P336" s="115"/>
      <c r="Q336" s="116" t="e">
        <f t="shared" si="66"/>
        <v>#DIV/0!</v>
      </c>
      <c r="R336" s="115"/>
      <c r="S336" s="100" t="e">
        <f t="shared" si="67"/>
        <v>#DIV/0!</v>
      </c>
    </row>
    <row r="337" spans="1:19" ht="15" x14ac:dyDescent="0.2">
      <c r="A337" s="114" t="s">
        <v>71</v>
      </c>
      <c r="B337" s="100" t="s">
        <v>162</v>
      </c>
      <c r="C337" s="115">
        <v>10000</v>
      </c>
      <c r="D337" s="100">
        <f>(C337/12)*12</f>
        <v>10000</v>
      </c>
      <c r="E337" s="103">
        <f>'Monitoramento Acumulado Geral'!Q337</f>
        <v>0</v>
      </c>
      <c r="F337" s="100">
        <f>SUM(E326:E337)</f>
        <v>4511</v>
      </c>
      <c r="G337" s="102" t="str">
        <f t="shared" si="64"/>
        <v>Farol Vermelho</v>
      </c>
      <c r="H337" s="116">
        <f t="shared" si="62"/>
        <v>5489</v>
      </c>
      <c r="I337" s="100">
        <f t="shared" si="63"/>
        <v>12</v>
      </c>
      <c r="J337" s="119">
        <v>7</v>
      </c>
      <c r="K337" s="118">
        <f>'Monitoramento Acumulado Geral'!P337</f>
        <v>0</v>
      </c>
      <c r="L337" s="100">
        <f>$L326+L336</f>
        <v>6.9999999999999991</v>
      </c>
      <c r="M337" s="100">
        <f t="shared" si="72"/>
        <v>5</v>
      </c>
      <c r="N337" s="115"/>
      <c r="O337" s="116" t="e">
        <f t="shared" si="65"/>
        <v>#DIV/0!</v>
      </c>
      <c r="P337" s="115"/>
      <c r="Q337" s="116" t="e">
        <f t="shared" si="66"/>
        <v>#DIV/0!</v>
      </c>
      <c r="R337" s="115"/>
      <c r="S337" s="100" t="e">
        <f t="shared" si="67"/>
        <v>#DIV/0!</v>
      </c>
    </row>
    <row r="338" spans="1:19" ht="15" x14ac:dyDescent="0.2">
      <c r="A338" s="114" t="s">
        <v>75</v>
      </c>
      <c r="B338" s="100" t="s">
        <v>151</v>
      </c>
      <c r="C338" s="115">
        <v>36000</v>
      </c>
      <c r="D338" s="100">
        <f>(C338/12)*1</f>
        <v>3000</v>
      </c>
      <c r="E338" s="103">
        <f>'Monitoramento Acumulado Geral'!Q338</f>
        <v>541</v>
      </c>
      <c r="F338" s="100">
        <f>E338</f>
        <v>541</v>
      </c>
      <c r="G338" s="102" t="str">
        <f t="shared" si="64"/>
        <v>Farol Vermelho</v>
      </c>
      <c r="H338" s="116">
        <f t="shared" si="62"/>
        <v>2459</v>
      </c>
      <c r="I338" s="100">
        <f t="shared" si="63"/>
        <v>1</v>
      </c>
      <c r="J338" s="120">
        <v>37</v>
      </c>
      <c r="K338" s="118">
        <f>'Monitoramento Acumulado Geral'!P338</f>
        <v>3</v>
      </c>
      <c r="L338" s="100">
        <f>J338/12</f>
        <v>3.0833333333333335</v>
      </c>
      <c r="M338" s="100">
        <f>K338</f>
        <v>3</v>
      </c>
      <c r="N338" s="115">
        <v>0</v>
      </c>
      <c r="O338" s="116" t="e">
        <f t="shared" si="65"/>
        <v>#DIV/0!</v>
      </c>
      <c r="P338" s="115">
        <v>0</v>
      </c>
      <c r="Q338" s="116" t="e">
        <f t="shared" si="66"/>
        <v>#DIV/0!</v>
      </c>
      <c r="R338" s="115">
        <v>0</v>
      </c>
      <c r="S338" s="100" t="e">
        <f t="shared" si="67"/>
        <v>#DIV/0!</v>
      </c>
    </row>
    <row r="339" spans="1:19" ht="15" x14ac:dyDescent="0.2">
      <c r="A339" s="114" t="s">
        <v>75</v>
      </c>
      <c r="B339" s="100" t="s">
        <v>152</v>
      </c>
      <c r="C339" s="115">
        <v>36000</v>
      </c>
      <c r="D339" s="100">
        <f>(C339/12)*2</f>
        <v>6000</v>
      </c>
      <c r="E339" s="103">
        <f>'Monitoramento Acumulado Geral'!Q339</f>
        <v>3499.8</v>
      </c>
      <c r="F339" s="100">
        <f>SUM(E338:E339)</f>
        <v>4040.8</v>
      </c>
      <c r="G339" s="102" t="str">
        <f t="shared" si="64"/>
        <v>Farol Vermelho</v>
      </c>
      <c r="H339" s="116">
        <f t="shared" si="62"/>
        <v>1959.1999999999998</v>
      </c>
      <c r="I339" s="100">
        <f t="shared" si="63"/>
        <v>2</v>
      </c>
      <c r="J339" s="120">
        <v>37</v>
      </c>
      <c r="K339" s="118">
        <f>'Monitoramento Acumulado Geral'!P339</f>
        <v>3</v>
      </c>
      <c r="L339" s="100">
        <f>L338+L338</f>
        <v>6.166666666666667</v>
      </c>
      <c r="M339" s="100">
        <f>M338+K339</f>
        <v>6</v>
      </c>
      <c r="N339" s="115">
        <v>0</v>
      </c>
      <c r="O339" s="116" t="e">
        <f t="shared" si="65"/>
        <v>#DIV/0!</v>
      </c>
      <c r="P339" s="115">
        <v>0</v>
      </c>
      <c r="Q339" s="116" t="e">
        <f t="shared" si="66"/>
        <v>#DIV/0!</v>
      </c>
      <c r="R339" s="115">
        <v>0</v>
      </c>
      <c r="S339" s="100" t="e">
        <f t="shared" si="67"/>
        <v>#DIV/0!</v>
      </c>
    </row>
    <row r="340" spans="1:19" ht="15" x14ac:dyDescent="0.2">
      <c r="A340" s="114" t="s">
        <v>75</v>
      </c>
      <c r="B340" s="100" t="s">
        <v>153</v>
      </c>
      <c r="C340" s="115">
        <v>36000</v>
      </c>
      <c r="D340" s="100">
        <f>(C340/12)*3</f>
        <v>9000</v>
      </c>
      <c r="E340" s="103">
        <f>'Monitoramento Acumulado Geral'!Q340</f>
        <v>2744</v>
      </c>
      <c r="F340" s="100">
        <f>SUM(E338:E340)</f>
        <v>6784.8</v>
      </c>
      <c r="G340" s="102" t="str">
        <f t="shared" si="64"/>
        <v>Farol Vermelho</v>
      </c>
      <c r="H340" s="116">
        <f t="shared" si="62"/>
        <v>2215.1999999999998</v>
      </c>
      <c r="I340" s="100">
        <f t="shared" si="63"/>
        <v>3</v>
      </c>
      <c r="J340" s="119">
        <v>37</v>
      </c>
      <c r="K340" s="118">
        <f>'Monitoramento Acumulado Geral'!P340</f>
        <v>2</v>
      </c>
      <c r="L340" s="100">
        <f>$L338+L339</f>
        <v>9.25</v>
      </c>
      <c r="M340" s="100">
        <f t="shared" ref="M340:M349" si="73">M339+K340</f>
        <v>8</v>
      </c>
      <c r="N340" s="115">
        <v>0</v>
      </c>
      <c r="O340" s="116" t="e">
        <f t="shared" si="65"/>
        <v>#DIV/0!</v>
      </c>
      <c r="P340" s="115">
        <v>0</v>
      </c>
      <c r="Q340" s="116" t="e">
        <f t="shared" si="66"/>
        <v>#DIV/0!</v>
      </c>
      <c r="R340" s="115">
        <v>0</v>
      </c>
      <c r="S340" s="100" t="e">
        <f t="shared" si="67"/>
        <v>#DIV/0!</v>
      </c>
    </row>
    <row r="341" spans="1:19" ht="15" x14ac:dyDescent="0.2">
      <c r="A341" s="114" t="s">
        <v>75</v>
      </c>
      <c r="B341" s="100" t="s">
        <v>154</v>
      </c>
      <c r="C341" s="115">
        <v>36000</v>
      </c>
      <c r="D341" s="100">
        <f>(C341/12)*4</f>
        <v>12000</v>
      </c>
      <c r="E341" s="103">
        <f>'Monitoramento Acumulado Geral'!Q341</f>
        <v>4745</v>
      </c>
      <c r="F341" s="100">
        <f>SUM(E338:E341)</f>
        <v>11529.8</v>
      </c>
      <c r="G341" s="102" t="str">
        <f t="shared" si="64"/>
        <v>Farol Amarelo</v>
      </c>
      <c r="H341" s="116">
        <f t="shared" si="62"/>
        <v>470.20000000000073</v>
      </c>
      <c r="I341" s="100">
        <f t="shared" si="63"/>
        <v>4</v>
      </c>
      <c r="J341" s="120">
        <v>37</v>
      </c>
      <c r="K341" s="118">
        <f>'Monitoramento Acumulado Geral'!P341</f>
        <v>5</v>
      </c>
      <c r="L341" s="100">
        <f>$L338+L340</f>
        <v>12.333333333333334</v>
      </c>
      <c r="M341" s="100">
        <f t="shared" si="73"/>
        <v>13</v>
      </c>
      <c r="N341" s="115">
        <v>0</v>
      </c>
      <c r="O341" s="116" t="e">
        <f t="shared" si="65"/>
        <v>#DIV/0!</v>
      </c>
      <c r="P341" s="115">
        <v>0</v>
      </c>
      <c r="Q341" s="116" t="e">
        <f t="shared" si="66"/>
        <v>#DIV/0!</v>
      </c>
      <c r="R341" s="115">
        <v>0</v>
      </c>
      <c r="S341" s="100" t="e">
        <f t="shared" si="67"/>
        <v>#DIV/0!</v>
      </c>
    </row>
    <row r="342" spans="1:19" ht="15" x14ac:dyDescent="0.2">
      <c r="A342" s="114" t="s">
        <v>75</v>
      </c>
      <c r="B342" s="100" t="s">
        <v>155</v>
      </c>
      <c r="C342" s="115">
        <v>36000</v>
      </c>
      <c r="D342" s="100">
        <f>(C342/12)*5</f>
        <v>15000</v>
      </c>
      <c r="E342" s="103">
        <f>'Monitoramento Acumulado Geral'!Q342</f>
        <v>4251</v>
      </c>
      <c r="F342" s="100">
        <f>SUM(E338:E342)</f>
        <v>15780.8</v>
      </c>
      <c r="G342" s="102" t="str">
        <f t="shared" si="64"/>
        <v>Farol Verde</v>
      </c>
      <c r="H342" s="116">
        <f t="shared" si="62"/>
        <v>0</v>
      </c>
      <c r="I342" s="100">
        <f t="shared" si="63"/>
        <v>5</v>
      </c>
      <c r="J342" s="119">
        <v>37</v>
      </c>
      <c r="K342" s="118">
        <f>'Monitoramento Acumulado Geral'!P342</f>
        <v>4</v>
      </c>
      <c r="L342" s="100">
        <f>L338+L341</f>
        <v>15.416666666666668</v>
      </c>
      <c r="M342" s="100">
        <f t="shared" si="73"/>
        <v>17</v>
      </c>
      <c r="N342" s="115">
        <v>0</v>
      </c>
      <c r="O342" s="116" t="e">
        <f t="shared" si="65"/>
        <v>#DIV/0!</v>
      </c>
      <c r="P342" s="115">
        <v>0</v>
      </c>
      <c r="Q342" s="116" t="e">
        <f t="shared" si="66"/>
        <v>#DIV/0!</v>
      </c>
      <c r="R342" s="115">
        <v>0</v>
      </c>
      <c r="S342" s="100" t="e">
        <f t="shared" si="67"/>
        <v>#DIV/0!</v>
      </c>
    </row>
    <row r="343" spans="1:19" ht="15" x14ac:dyDescent="0.2">
      <c r="A343" s="114" t="s">
        <v>75</v>
      </c>
      <c r="B343" s="100" t="s">
        <v>156</v>
      </c>
      <c r="C343" s="115">
        <v>36000</v>
      </c>
      <c r="D343" s="100">
        <f>(C343/12)*6</f>
        <v>18000</v>
      </c>
      <c r="E343" s="103">
        <f>'Monitoramento Acumulado Geral'!Q343</f>
        <v>1501</v>
      </c>
      <c r="F343" s="100">
        <f>SUM(E338:E343)</f>
        <v>17281.8</v>
      </c>
      <c r="G343" s="102" t="str">
        <f t="shared" si="64"/>
        <v>Farol Amarelo</v>
      </c>
      <c r="H343" s="116">
        <f t="shared" si="62"/>
        <v>718.20000000000073</v>
      </c>
      <c r="I343" s="100">
        <f t="shared" si="63"/>
        <v>6</v>
      </c>
      <c r="J343" s="120">
        <v>37</v>
      </c>
      <c r="K343" s="118">
        <f>'Monitoramento Acumulado Geral'!P343</f>
        <v>3</v>
      </c>
      <c r="L343" s="100">
        <f>$L338+L342</f>
        <v>18.5</v>
      </c>
      <c r="M343" s="100">
        <f t="shared" si="73"/>
        <v>20</v>
      </c>
      <c r="N343" s="115">
        <v>18</v>
      </c>
      <c r="O343" s="116">
        <f>P343/N343</f>
        <v>1</v>
      </c>
      <c r="P343" s="115">
        <v>18</v>
      </c>
      <c r="Q343" s="116">
        <f t="shared" si="66"/>
        <v>0.1111111111111111</v>
      </c>
      <c r="R343" s="115">
        <v>2</v>
      </c>
      <c r="S343" s="100">
        <f t="shared" si="67"/>
        <v>0.1111111111111111</v>
      </c>
    </row>
    <row r="344" spans="1:19" ht="15" x14ac:dyDescent="0.2">
      <c r="A344" s="114" t="s">
        <v>75</v>
      </c>
      <c r="B344" s="100" t="s">
        <v>157</v>
      </c>
      <c r="C344" s="115">
        <v>36000</v>
      </c>
      <c r="D344" s="100">
        <f>(C344/12)*7</f>
        <v>21000</v>
      </c>
      <c r="E344" s="103">
        <f>'Monitoramento Acumulado Geral'!Q344</f>
        <v>9204.7999999999993</v>
      </c>
      <c r="F344" s="100">
        <f>SUM(E338:E344)</f>
        <v>26486.6</v>
      </c>
      <c r="G344" s="102" t="str">
        <f t="shared" si="64"/>
        <v>Farol Verde</v>
      </c>
      <c r="H344" s="116">
        <f t="shared" si="62"/>
        <v>0</v>
      </c>
      <c r="I344" s="100">
        <f t="shared" si="63"/>
        <v>7</v>
      </c>
      <c r="J344" s="119">
        <v>37</v>
      </c>
      <c r="K344" s="118">
        <f>'Monitoramento Acumulado Geral'!P344</f>
        <v>7</v>
      </c>
      <c r="L344" s="100">
        <f>$L338+L343</f>
        <v>21.583333333333332</v>
      </c>
      <c r="M344" s="100">
        <f t="shared" si="73"/>
        <v>27</v>
      </c>
      <c r="N344" s="115"/>
      <c r="O344" s="116" t="e">
        <f t="shared" si="65"/>
        <v>#DIV/0!</v>
      </c>
      <c r="P344" s="115"/>
      <c r="Q344" s="116" t="e">
        <f t="shared" si="66"/>
        <v>#DIV/0!</v>
      </c>
      <c r="R344" s="115"/>
      <c r="S344" s="100" t="e">
        <f t="shared" si="67"/>
        <v>#DIV/0!</v>
      </c>
    </row>
    <row r="345" spans="1:19" ht="15" x14ac:dyDescent="0.2">
      <c r="A345" s="114" t="s">
        <v>75</v>
      </c>
      <c r="B345" s="100" t="s">
        <v>158</v>
      </c>
      <c r="C345" s="115">
        <v>36000</v>
      </c>
      <c r="D345" s="100">
        <f>(C345/12)*8</f>
        <v>24000</v>
      </c>
      <c r="E345" s="103">
        <f>'Monitoramento Acumulado Geral'!Q345</f>
        <v>4353</v>
      </c>
      <c r="F345" s="100">
        <f>SUM(E338:E345)</f>
        <v>30839.599999999999</v>
      </c>
      <c r="G345" s="102" t="str">
        <f t="shared" si="64"/>
        <v>Farol Verde</v>
      </c>
      <c r="H345" s="116">
        <f t="shared" si="62"/>
        <v>0</v>
      </c>
      <c r="I345" s="100">
        <f t="shared" si="63"/>
        <v>8</v>
      </c>
      <c r="J345" s="120">
        <v>37</v>
      </c>
      <c r="K345" s="118">
        <f>'Monitoramento Acumulado Geral'!P345</f>
        <v>8</v>
      </c>
      <c r="L345" s="100">
        <f>L338+L344</f>
        <v>24.666666666666664</v>
      </c>
      <c r="M345" s="100">
        <f t="shared" si="73"/>
        <v>35</v>
      </c>
      <c r="N345" s="115"/>
      <c r="O345" s="116" t="e">
        <f t="shared" si="65"/>
        <v>#DIV/0!</v>
      </c>
      <c r="P345" s="115"/>
      <c r="Q345" s="116" t="e">
        <f t="shared" si="66"/>
        <v>#DIV/0!</v>
      </c>
      <c r="R345" s="115"/>
      <c r="S345" s="100" t="e">
        <f t="shared" si="67"/>
        <v>#DIV/0!</v>
      </c>
    </row>
    <row r="346" spans="1:19" ht="15" x14ac:dyDescent="0.2">
      <c r="A346" s="114" t="s">
        <v>75</v>
      </c>
      <c r="B346" s="100" t="s">
        <v>159</v>
      </c>
      <c r="C346" s="115">
        <v>36000</v>
      </c>
      <c r="D346" s="100">
        <f>(C346/12)*9</f>
        <v>27000</v>
      </c>
      <c r="E346" s="103">
        <f>'Monitoramento Acumulado Geral'!Q346</f>
        <v>17300</v>
      </c>
      <c r="F346" s="100">
        <f>SUM(E338:E346)</f>
        <v>48139.6</v>
      </c>
      <c r="G346" s="102" t="str">
        <f t="shared" si="64"/>
        <v>Farol Verde</v>
      </c>
      <c r="H346" s="116">
        <f t="shared" si="62"/>
        <v>0</v>
      </c>
      <c r="I346" s="100">
        <f t="shared" si="63"/>
        <v>9</v>
      </c>
      <c r="J346" s="119">
        <v>37</v>
      </c>
      <c r="K346" s="118">
        <f>'Monitoramento Acumulado Geral'!P346</f>
        <v>10</v>
      </c>
      <c r="L346" s="100">
        <f>$L338+L345</f>
        <v>27.749999999999996</v>
      </c>
      <c r="M346" s="100">
        <f t="shared" si="73"/>
        <v>45</v>
      </c>
      <c r="N346" s="115"/>
      <c r="O346" s="116" t="e">
        <f t="shared" si="65"/>
        <v>#DIV/0!</v>
      </c>
      <c r="P346" s="115"/>
      <c r="Q346" s="116" t="e">
        <f t="shared" si="66"/>
        <v>#DIV/0!</v>
      </c>
      <c r="R346" s="115"/>
      <c r="S346" s="100" t="e">
        <f t="shared" si="67"/>
        <v>#DIV/0!</v>
      </c>
    </row>
    <row r="347" spans="1:19" ht="15" x14ac:dyDescent="0.2">
      <c r="A347" s="114" t="s">
        <v>75</v>
      </c>
      <c r="B347" s="100" t="s">
        <v>160</v>
      </c>
      <c r="C347" s="115">
        <v>36000</v>
      </c>
      <c r="D347" s="100">
        <f>(C347/12)*10</f>
        <v>30000</v>
      </c>
      <c r="E347" s="103">
        <f>'Monitoramento Acumulado Geral'!Q347</f>
        <v>0</v>
      </c>
      <c r="F347" s="100">
        <f>SUM(E338:E347)</f>
        <v>48139.6</v>
      </c>
      <c r="G347" s="102" t="str">
        <f t="shared" si="64"/>
        <v>Farol Verde</v>
      </c>
      <c r="H347" s="116">
        <f t="shared" si="62"/>
        <v>0</v>
      </c>
      <c r="I347" s="100">
        <f t="shared" si="63"/>
        <v>10</v>
      </c>
      <c r="J347" s="120">
        <v>37</v>
      </c>
      <c r="K347" s="118">
        <f>'Monitoramento Acumulado Geral'!P347</f>
        <v>0</v>
      </c>
      <c r="L347" s="100">
        <f>$L338+L346</f>
        <v>30.833333333333329</v>
      </c>
      <c r="M347" s="100">
        <f t="shared" si="73"/>
        <v>45</v>
      </c>
      <c r="N347" s="115"/>
      <c r="O347" s="116" t="e">
        <f t="shared" si="65"/>
        <v>#DIV/0!</v>
      </c>
      <c r="P347" s="115"/>
      <c r="Q347" s="116" t="e">
        <f t="shared" si="66"/>
        <v>#DIV/0!</v>
      </c>
      <c r="R347" s="115"/>
      <c r="S347" s="100" t="e">
        <f t="shared" si="67"/>
        <v>#DIV/0!</v>
      </c>
    </row>
    <row r="348" spans="1:19" ht="15" x14ac:dyDescent="0.2">
      <c r="A348" s="114" t="s">
        <v>75</v>
      </c>
      <c r="B348" s="100" t="s">
        <v>161</v>
      </c>
      <c r="C348" s="115">
        <v>36000</v>
      </c>
      <c r="D348" s="100">
        <f>(C348/12)*11</f>
        <v>33000</v>
      </c>
      <c r="E348" s="103">
        <f>'Monitoramento Acumulado Geral'!Q348</f>
        <v>0</v>
      </c>
      <c r="F348" s="100">
        <f>SUM(E338:E348)</f>
        <v>48139.6</v>
      </c>
      <c r="G348" s="102" t="str">
        <f t="shared" si="64"/>
        <v>Farol Verde</v>
      </c>
      <c r="H348" s="116">
        <f t="shared" si="62"/>
        <v>0</v>
      </c>
      <c r="I348" s="100">
        <f t="shared" si="63"/>
        <v>11</v>
      </c>
      <c r="J348" s="119">
        <v>37</v>
      </c>
      <c r="K348" s="118">
        <f>'Monitoramento Acumulado Geral'!P348</f>
        <v>0</v>
      </c>
      <c r="L348" s="100">
        <f>L338+L347</f>
        <v>33.916666666666664</v>
      </c>
      <c r="M348" s="100">
        <f t="shared" si="73"/>
        <v>45</v>
      </c>
      <c r="N348" s="115"/>
      <c r="O348" s="116" t="e">
        <f t="shared" si="65"/>
        <v>#DIV/0!</v>
      </c>
      <c r="P348" s="115"/>
      <c r="Q348" s="116" t="e">
        <f t="shared" si="66"/>
        <v>#DIV/0!</v>
      </c>
      <c r="R348" s="115"/>
      <c r="S348" s="100" t="e">
        <f t="shared" si="67"/>
        <v>#DIV/0!</v>
      </c>
    </row>
    <row r="349" spans="1:19" ht="15" x14ac:dyDescent="0.2">
      <c r="A349" s="114" t="s">
        <v>75</v>
      </c>
      <c r="B349" s="100" t="s">
        <v>162</v>
      </c>
      <c r="C349" s="115">
        <v>36000</v>
      </c>
      <c r="D349" s="100">
        <f>(C349/12)*12</f>
        <v>36000</v>
      </c>
      <c r="E349" s="103">
        <f>'Monitoramento Acumulado Geral'!Q349</f>
        <v>0</v>
      </c>
      <c r="F349" s="100">
        <f>SUM(E338:E349)</f>
        <v>48139.6</v>
      </c>
      <c r="G349" s="102" t="str">
        <f t="shared" si="64"/>
        <v>Farol Verde</v>
      </c>
      <c r="H349" s="116">
        <f t="shared" si="62"/>
        <v>0</v>
      </c>
      <c r="I349" s="100">
        <f t="shared" si="63"/>
        <v>12</v>
      </c>
      <c r="J349" s="120">
        <v>37</v>
      </c>
      <c r="K349" s="118">
        <f>'Monitoramento Acumulado Geral'!P349</f>
        <v>0</v>
      </c>
      <c r="L349" s="100">
        <f>$L338+L348</f>
        <v>37</v>
      </c>
      <c r="M349" s="100">
        <f t="shared" si="73"/>
        <v>45</v>
      </c>
      <c r="N349" s="115"/>
      <c r="O349" s="116" t="e">
        <f t="shared" si="65"/>
        <v>#DIV/0!</v>
      </c>
      <c r="P349" s="115"/>
      <c r="Q349" s="116" t="e">
        <f t="shared" si="66"/>
        <v>#DIV/0!</v>
      </c>
      <c r="R349" s="115"/>
      <c r="S349" s="100" t="e">
        <f t="shared" si="67"/>
        <v>#DIV/0!</v>
      </c>
    </row>
    <row r="350" spans="1:19" ht="15" x14ac:dyDescent="0.2">
      <c r="A350" s="114" t="s">
        <v>46</v>
      </c>
      <c r="B350" s="100" t="s">
        <v>151</v>
      </c>
      <c r="C350" s="115">
        <v>10000</v>
      </c>
      <c r="D350" s="100">
        <f>(C350/12)*1</f>
        <v>833.33333333333337</v>
      </c>
      <c r="E350" s="103">
        <f>'Monitoramento Acumulado Geral'!Q350</f>
        <v>0</v>
      </c>
      <c r="F350" s="100">
        <f>E350</f>
        <v>0</v>
      </c>
      <c r="G350" s="102" t="str">
        <f t="shared" si="64"/>
        <v>Farol Vermelho</v>
      </c>
      <c r="H350" s="116">
        <f t="shared" si="62"/>
        <v>833.33333333333337</v>
      </c>
      <c r="I350" s="100">
        <f t="shared" si="63"/>
        <v>1</v>
      </c>
      <c r="J350" s="119">
        <v>12</v>
      </c>
      <c r="K350" s="118">
        <f>'Monitoramento Acumulado Geral'!P350</f>
        <v>0</v>
      </c>
      <c r="L350" s="100">
        <f>J350/12</f>
        <v>1</v>
      </c>
      <c r="M350" s="100">
        <f>K350</f>
        <v>0</v>
      </c>
      <c r="N350" s="115">
        <v>0</v>
      </c>
      <c r="O350" s="116" t="e">
        <f t="shared" si="65"/>
        <v>#DIV/0!</v>
      </c>
      <c r="P350" s="115">
        <v>0</v>
      </c>
      <c r="Q350" s="116" t="e">
        <f t="shared" si="66"/>
        <v>#DIV/0!</v>
      </c>
      <c r="R350" s="115">
        <v>0</v>
      </c>
      <c r="S350" s="100" t="e">
        <f t="shared" si="67"/>
        <v>#DIV/0!</v>
      </c>
    </row>
    <row r="351" spans="1:19" ht="15" x14ac:dyDescent="0.2">
      <c r="A351" s="114" t="s">
        <v>46</v>
      </c>
      <c r="B351" s="100" t="s">
        <v>152</v>
      </c>
      <c r="C351" s="115">
        <v>10000</v>
      </c>
      <c r="D351" s="100">
        <f>(C351/12)*2</f>
        <v>1666.6666666666667</v>
      </c>
      <c r="E351" s="103">
        <f>'Monitoramento Acumulado Geral'!Q351</f>
        <v>0</v>
      </c>
      <c r="F351" s="100">
        <f>SUM(E350:E351)</f>
        <v>0</v>
      </c>
      <c r="G351" s="102" t="str">
        <f t="shared" si="64"/>
        <v>Farol Vermelho</v>
      </c>
      <c r="H351" s="116">
        <f t="shared" si="62"/>
        <v>1666.6666666666667</v>
      </c>
      <c r="I351" s="100">
        <f t="shared" si="63"/>
        <v>2</v>
      </c>
      <c r="J351" s="119">
        <v>12</v>
      </c>
      <c r="K351" s="118">
        <f>'Monitoramento Acumulado Geral'!P351</f>
        <v>0</v>
      </c>
      <c r="L351" s="100">
        <f>L350+L350</f>
        <v>2</v>
      </c>
      <c r="M351" s="100">
        <f>M350+K351</f>
        <v>0</v>
      </c>
      <c r="N351" s="115">
        <v>0</v>
      </c>
      <c r="O351" s="116" t="e">
        <f t="shared" si="65"/>
        <v>#DIV/0!</v>
      </c>
      <c r="P351" s="115">
        <v>0</v>
      </c>
      <c r="Q351" s="116" t="e">
        <f t="shared" si="66"/>
        <v>#DIV/0!</v>
      </c>
      <c r="R351" s="115">
        <v>0</v>
      </c>
      <c r="S351" s="100" t="e">
        <f t="shared" si="67"/>
        <v>#DIV/0!</v>
      </c>
    </row>
    <row r="352" spans="1:19" ht="15" x14ac:dyDescent="0.2">
      <c r="A352" s="114" t="s">
        <v>46</v>
      </c>
      <c r="B352" s="100" t="s">
        <v>153</v>
      </c>
      <c r="C352" s="115">
        <v>10000</v>
      </c>
      <c r="D352" s="100">
        <f>(C352/12)*3</f>
        <v>2500</v>
      </c>
      <c r="E352" s="103">
        <f>'Monitoramento Acumulado Geral'!Q352</f>
        <v>0</v>
      </c>
      <c r="F352" s="100">
        <f>SUM(E350:E352)</f>
        <v>0</v>
      </c>
      <c r="G352" s="102" t="str">
        <f t="shared" si="64"/>
        <v>Farol Vermelho</v>
      </c>
      <c r="H352" s="116">
        <f t="shared" si="62"/>
        <v>2500</v>
      </c>
      <c r="I352" s="100">
        <f t="shared" si="63"/>
        <v>3</v>
      </c>
      <c r="J352" s="119">
        <v>12</v>
      </c>
      <c r="K352" s="118">
        <f>'Monitoramento Acumulado Geral'!P352</f>
        <v>0</v>
      </c>
      <c r="L352" s="100">
        <f>$L350+L351</f>
        <v>3</v>
      </c>
      <c r="M352" s="100">
        <f t="shared" ref="M352:M361" si="74">M351+K352</f>
        <v>0</v>
      </c>
      <c r="N352" s="115">
        <v>0</v>
      </c>
      <c r="O352" s="116" t="e">
        <f t="shared" si="65"/>
        <v>#DIV/0!</v>
      </c>
      <c r="P352" s="115">
        <v>0</v>
      </c>
      <c r="Q352" s="116" t="e">
        <f t="shared" si="66"/>
        <v>#DIV/0!</v>
      </c>
      <c r="R352" s="115">
        <v>0</v>
      </c>
      <c r="S352" s="100" t="e">
        <f t="shared" si="67"/>
        <v>#DIV/0!</v>
      </c>
    </row>
    <row r="353" spans="1:19" ht="15" x14ac:dyDescent="0.2">
      <c r="A353" s="114" t="s">
        <v>46</v>
      </c>
      <c r="B353" s="100" t="s">
        <v>154</v>
      </c>
      <c r="C353" s="115">
        <v>10000</v>
      </c>
      <c r="D353" s="100">
        <f>(C353/12)*4</f>
        <v>3333.3333333333335</v>
      </c>
      <c r="E353" s="103">
        <f>'Monitoramento Acumulado Geral'!Q353</f>
        <v>0</v>
      </c>
      <c r="F353" s="100">
        <f>SUM(E350:E353)</f>
        <v>0</v>
      </c>
      <c r="G353" s="102" t="str">
        <f t="shared" si="64"/>
        <v>Farol Vermelho</v>
      </c>
      <c r="H353" s="116">
        <f t="shared" si="62"/>
        <v>3333.3333333333335</v>
      </c>
      <c r="I353" s="100">
        <f t="shared" si="63"/>
        <v>4</v>
      </c>
      <c r="J353" s="119">
        <v>12</v>
      </c>
      <c r="K353" s="118">
        <f>'Monitoramento Acumulado Geral'!P353</f>
        <v>0</v>
      </c>
      <c r="L353" s="100">
        <f>$L350+L352</f>
        <v>4</v>
      </c>
      <c r="M353" s="100">
        <f t="shared" si="74"/>
        <v>0</v>
      </c>
      <c r="N353" s="115">
        <v>0</v>
      </c>
      <c r="O353" s="116" t="e">
        <f t="shared" si="65"/>
        <v>#DIV/0!</v>
      </c>
      <c r="P353" s="115">
        <v>0</v>
      </c>
      <c r="Q353" s="116" t="e">
        <f t="shared" si="66"/>
        <v>#DIV/0!</v>
      </c>
      <c r="R353" s="115">
        <v>0</v>
      </c>
      <c r="S353" s="100" t="e">
        <f t="shared" si="67"/>
        <v>#DIV/0!</v>
      </c>
    </row>
    <row r="354" spans="1:19" ht="15" x14ac:dyDescent="0.2">
      <c r="A354" s="114" t="s">
        <v>46</v>
      </c>
      <c r="B354" s="100" t="s">
        <v>155</v>
      </c>
      <c r="C354" s="115">
        <v>10000</v>
      </c>
      <c r="D354" s="100">
        <f>(C354/12)*5</f>
        <v>4166.666666666667</v>
      </c>
      <c r="E354" s="103">
        <f>'Monitoramento Acumulado Geral'!Q354</f>
        <v>0</v>
      </c>
      <c r="F354" s="100">
        <f>SUM(E350:E354)</f>
        <v>0</v>
      </c>
      <c r="G354" s="102" t="str">
        <f t="shared" si="64"/>
        <v>Farol Vermelho</v>
      </c>
      <c r="H354" s="116">
        <f t="shared" si="62"/>
        <v>4166.666666666667</v>
      </c>
      <c r="I354" s="100">
        <f t="shared" si="63"/>
        <v>5</v>
      </c>
      <c r="J354" s="119">
        <v>12</v>
      </c>
      <c r="K354" s="118">
        <f>'Monitoramento Acumulado Geral'!P354</f>
        <v>0</v>
      </c>
      <c r="L354" s="100">
        <f>L350+L353</f>
        <v>5</v>
      </c>
      <c r="M354" s="100">
        <f t="shared" si="74"/>
        <v>0</v>
      </c>
      <c r="N354" s="115">
        <v>0</v>
      </c>
      <c r="O354" s="116" t="e">
        <f t="shared" si="65"/>
        <v>#DIV/0!</v>
      </c>
      <c r="P354" s="115">
        <v>0</v>
      </c>
      <c r="Q354" s="116" t="e">
        <f t="shared" si="66"/>
        <v>#DIV/0!</v>
      </c>
      <c r="R354" s="115">
        <v>0</v>
      </c>
      <c r="S354" s="100" t="e">
        <f t="shared" si="67"/>
        <v>#DIV/0!</v>
      </c>
    </row>
    <row r="355" spans="1:19" ht="15" x14ac:dyDescent="0.2">
      <c r="A355" s="114" t="s">
        <v>46</v>
      </c>
      <c r="B355" s="100" t="s">
        <v>156</v>
      </c>
      <c r="C355" s="115">
        <v>10000</v>
      </c>
      <c r="D355" s="100">
        <f>(C355/12)*6</f>
        <v>5000</v>
      </c>
      <c r="E355" s="103">
        <f>'Monitoramento Acumulado Geral'!Q355</f>
        <v>0</v>
      </c>
      <c r="F355" s="100">
        <f>SUM(E350:E355)</f>
        <v>0</v>
      </c>
      <c r="G355" s="102" t="str">
        <f t="shared" si="64"/>
        <v>Farol Vermelho</v>
      </c>
      <c r="H355" s="116">
        <f t="shared" si="62"/>
        <v>5000</v>
      </c>
      <c r="I355" s="100">
        <f t="shared" si="63"/>
        <v>6</v>
      </c>
      <c r="J355" s="119">
        <v>12</v>
      </c>
      <c r="K355" s="118">
        <f>'Monitoramento Acumulado Geral'!P355</f>
        <v>0</v>
      </c>
      <c r="L355" s="100">
        <f>$L350+L354</f>
        <v>6</v>
      </c>
      <c r="M355" s="100">
        <f t="shared" si="74"/>
        <v>0</v>
      </c>
      <c r="N355" s="115"/>
      <c r="O355" s="116" t="e">
        <f t="shared" si="65"/>
        <v>#DIV/0!</v>
      </c>
      <c r="P355" s="115"/>
      <c r="Q355" s="116" t="e">
        <f t="shared" si="66"/>
        <v>#DIV/0!</v>
      </c>
      <c r="R355" s="115"/>
      <c r="S355" s="100" t="e">
        <f t="shared" si="67"/>
        <v>#DIV/0!</v>
      </c>
    </row>
    <row r="356" spans="1:19" ht="15" x14ac:dyDescent="0.2">
      <c r="A356" s="114" t="s">
        <v>46</v>
      </c>
      <c r="B356" s="100" t="s">
        <v>157</v>
      </c>
      <c r="C356" s="115">
        <v>10000</v>
      </c>
      <c r="D356" s="100">
        <f>(C356/12)*7</f>
        <v>5833.3333333333339</v>
      </c>
      <c r="E356" s="103">
        <f>'Monitoramento Acumulado Geral'!Q356</f>
        <v>0</v>
      </c>
      <c r="F356" s="100">
        <f>SUM(E350:E356)</f>
        <v>0</v>
      </c>
      <c r="G356" s="102" t="str">
        <f t="shared" si="64"/>
        <v>Farol Vermelho</v>
      </c>
      <c r="H356" s="116">
        <f t="shared" si="62"/>
        <v>5833.3333333333339</v>
      </c>
      <c r="I356" s="100">
        <f t="shared" si="63"/>
        <v>7</v>
      </c>
      <c r="J356" s="119">
        <v>12</v>
      </c>
      <c r="K356" s="118">
        <f>'Monitoramento Acumulado Geral'!P356</f>
        <v>0</v>
      </c>
      <c r="L356" s="100">
        <f>$L350+L355</f>
        <v>7</v>
      </c>
      <c r="M356" s="100">
        <f t="shared" si="74"/>
        <v>0</v>
      </c>
      <c r="N356" s="115"/>
      <c r="O356" s="116" t="e">
        <f t="shared" si="65"/>
        <v>#DIV/0!</v>
      </c>
      <c r="P356" s="115"/>
      <c r="Q356" s="116" t="e">
        <f t="shared" si="66"/>
        <v>#DIV/0!</v>
      </c>
      <c r="R356" s="115"/>
      <c r="S356" s="100" t="e">
        <f t="shared" si="67"/>
        <v>#DIV/0!</v>
      </c>
    </row>
    <row r="357" spans="1:19" ht="15" x14ac:dyDescent="0.2">
      <c r="A357" s="114" t="s">
        <v>46</v>
      </c>
      <c r="B357" s="100" t="s">
        <v>158</v>
      </c>
      <c r="C357" s="115">
        <v>10000</v>
      </c>
      <c r="D357" s="100">
        <f>(C357/12)*8</f>
        <v>6666.666666666667</v>
      </c>
      <c r="E357" s="103">
        <f>'Monitoramento Acumulado Geral'!Q357</f>
        <v>0</v>
      </c>
      <c r="F357" s="100">
        <f>SUM(E350:E357)</f>
        <v>0</v>
      </c>
      <c r="G357" s="102" t="str">
        <f t="shared" si="64"/>
        <v>Farol Vermelho</v>
      </c>
      <c r="H357" s="116">
        <f t="shared" si="62"/>
        <v>6666.666666666667</v>
      </c>
      <c r="I357" s="100">
        <f t="shared" si="63"/>
        <v>8</v>
      </c>
      <c r="J357" s="119">
        <v>12</v>
      </c>
      <c r="K357" s="118">
        <f>'Monitoramento Acumulado Geral'!P357</f>
        <v>0</v>
      </c>
      <c r="L357" s="100">
        <f>L350+L356</f>
        <v>8</v>
      </c>
      <c r="M357" s="100">
        <f t="shared" si="74"/>
        <v>0</v>
      </c>
      <c r="N357" s="115"/>
      <c r="O357" s="116" t="e">
        <f t="shared" si="65"/>
        <v>#DIV/0!</v>
      </c>
      <c r="P357" s="115"/>
      <c r="Q357" s="116" t="e">
        <f t="shared" si="66"/>
        <v>#DIV/0!</v>
      </c>
      <c r="R357" s="115"/>
      <c r="S357" s="100" t="e">
        <f t="shared" si="67"/>
        <v>#DIV/0!</v>
      </c>
    </row>
    <row r="358" spans="1:19" ht="15" x14ac:dyDescent="0.2">
      <c r="A358" s="114" t="s">
        <v>46</v>
      </c>
      <c r="B358" s="100" t="s">
        <v>159</v>
      </c>
      <c r="C358" s="115">
        <v>10000</v>
      </c>
      <c r="D358" s="100">
        <f>(C358/12)*9</f>
        <v>7500</v>
      </c>
      <c r="E358" s="103">
        <f>'Monitoramento Acumulado Geral'!Q358</f>
        <v>0</v>
      </c>
      <c r="F358" s="100">
        <f>SUM(E350:E358)</f>
        <v>0</v>
      </c>
      <c r="G358" s="102" t="str">
        <f t="shared" si="64"/>
        <v>Farol Vermelho</v>
      </c>
      <c r="H358" s="116">
        <f t="shared" si="62"/>
        <v>7500</v>
      </c>
      <c r="I358" s="100">
        <f t="shared" si="63"/>
        <v>9</v>
      </c>
      <c r="J358" s="119">
        <v>12</v>
      </c>
      <c r="K358" s="118">
        <f>'Monitoramento Acumulado Geral'!P358</f>
        <v>0</v>
      </c>
      <c r="L358" s="100">
        <f>$L350+L357</f>
        <v>9</v>
      </c>
      <c r="M358" s="100">
        <f t="shared" si="74"/>
        <v>0</v>
      </c>
      <c r="N358" s="115"/>
      <c r="O358" s="116" t="e">
        <f t="shared" si="65"/>
        <v>#DIV/0!</v>
      </c>
      <c r="P358" s="115"/>
      <c r="Q358" s="116" t="e">
        <f t="shared" si="66"/>
        <v>#DIV/0!</v>
      </c>
      <c r="R358" s="115"/>
      <c r="S358" s="100" t="e">
        <f t="shared" si="67"/>
        <v>#DIV/0!</v>
      </c>
    </row>
    <row r="359" spans="1:19" ht="15" x14ac:dyDescent="0.2">
      <c r="A359" s="114" t="s">
        <v>46</v>
      </c>
      <c r="B359" s="100" t="s">
        <v>160</v>
      </c>
      <c r="C359" s="115">
        <v>10000</v>
      </c>
      <c r="D359" s="100">
        <f>(C359/12)*10</f>
        <v>8333.3333333333339</v>
      </c>
      <c r="E359" s="103">
        <f>'Monitoramento Acumulado Geral'!Q359</f>
        <v>0</v>
      </c>
      <c r="F359" s="100">
        <f>SUM(E350:E359)</f>
        <v>0</v>
      </c>
      <c r="G359" s="102" t="str">
        <f t="shared" si="64"/>
        <v>Farol Vermelho</v>
      </c>
      <c r="H359" s="116">
        <f t="shared" si="62"/>
        <v>8333.3333333333339</v>
      </c>
      <c r="I359" s="100">
        <f t="shared" si="63"/>
        <v>10</v>
      </c>
      <c r="J359" s="119">
        <v>12</v>
      </c>
      <c r="K359" s="118">
        <f>'Monitoramento Acumulado Geral'!P359</f>
        <v>0</v>
      </c>
      <c r="L359" s="100">
        <f>$L350+L358</f>
        <v>10</v>
      </c>
      <c r="M359" s="100">
        <f t="shared" si="74"/>
        <v>0</v>
      </c>
      <c r="N359" s="115"/>
      <c r="O359" s="116" t="e">
        <f t="shared" si="65"/>
        <v>#DIV/0!</v>
      </c>
      <c r="P359" s="115"/>
      <c r="Q359" s="116" t="e">
        <f t="shared" si="66"/>
        <v>#DIV/0!</v>
      </c>
      <c r="R359" s="115"/>
      <c r="S359" s="100" t="e">
        <f t="shared" si="67"/>
        <v>#DIV/0!</v>
      </c>
    </row>
    <row r="360" spans="1:19" ht="15" x14ac:dyDescent="0.2">
      <c r="A360" s="114" t="s">
        <v>46</v>
      </c>
      <c r="B360" s="100" t="s">
        <v>161</v>
      </c>
      <c r="C360" s="115">
        <v>10000</v>
      </c>
      <c r="D360" s="100">
        <f>(C360/12)*11</f>
        <v>9166.6666666666679</v>
      </c>
      <c r="E360" s="103">
        <f>'Monitoramento Acumulado Geral'!Q360</f>
        <v>0</v>
      </c>
      <c r="F360" s="100">
        <f>SUM(E350:E360)</f>
        <v>0</v>
      </c>
      <c r="G360" s="102" t="str">
        <f t="shared" si="64"/>
        <v>Farol Vermelho</v>
      </c>
      <c r="H360" s="116">
        <f t="shared" si="62"/>
        <v>9166.6666666666679</v>
      </c>
      <c r="I360" s="100">
        <f t="shared" si="63"/>
        <v>11</v>
      </c>
      <c r="J360" s="119">
        <v>12</v>
      </c>
      <c r="K360" s="118">
        <f>'Monitoramento Acumulado Geral'!P360</f>
        <v>0</v>
      </c>
      <c r="L360" s="100">
        <f>L350+L359</f>
        <v>11</v>
      </c>
      <c r="M360" s="100">
        <f t="shared" si="74"/>
        <v>0</v>
      </c>
      <c r="N360" s="115"/>
      <c r="O360" s="116" t="e">
        <f t="shared" si="65"/>
        <v>#DIV/0!</v>
      </c>
      <c r="P360" s="115"/>
      <c r="Q360" s="116" t="e">
        <f t="shared" si="66"/>
        <v>#DIV/0!</v>
      </c>
      <c r="R360" s="115"/>
      <c r="S360" s="100" t="e">
        <f t="shared" si="67"/>
        <v>#DIV/0!</v>
      </c>
    </row>
    <row r="361" spans="1:19" ht="15" x14ac:dyDescent="0.2">
      <c r="A361" s="114" t="s">
        <v>46</v>
      </c>
      <c r="B361" s="100" t="s">
        <v>162</v>
      </c>
      <c r="C361" s="115">
        <v>10000</v>
      </c>
      <c r="D361" s="100">
        <f>(C361/12)*12</f>
        <v>10000</v>
      </c>
      <c r="E361" s="103">
        <f>'Monitoramento Acumulado Geral'!Q361</f>
        <v>0</v>
      </c>
      <c r="F361" s="100">
        <f>SUM(E350:E361)</f>
        <v>0</v>
      </c>
      <c r="G361" s="102" t="str">
        <f t="shared" si="64"/>
        <v>Farol Vermelho</v>
      </c>
      <c r="H361" s="116">
        <f t="shared" si="62"/>
        <v>10000</v>
      </c>
      <c r="I361" s="100">
        <f t="shared" si="63"/>
        <v>12</v>
      </c>
      <c r="J361" s="119">
        <v>12</v>
      </c>
      <c r="K361" s="118">
        <f>'Monitoramento Acumulado Geral'!P361</f>
        <v>0</v>
      </c>
      <c r="L361" s="100">
        <f>$L350+L360</f>
        <v>12</v>
      </c>
      <c r="M361" s="100">
        <f t="shared" si="74"/>
        <v>0</v>
      </c>
      <c r="N361" s="115"/>
      <c r="O361" s="116" t="e">
        <f t="shared" si="65"/>
        <v>#DIV/0!</v>
      </c>
      <c r="P361" s="115"/>
      <c r="Q361" s="116" t="e">
        <f t="shared" si="66"/>
        <v>#DIV/0!</v>
      </c>
      <c r="R361" s="115"/>
      <c r="S361" s="100" t="e">
        <f t="shared" si="67"/>
        <v>#DIV/0!</v>
      </c>
    </row>
    <row r="362" spans="1:19" ht="15" x14ac:dyDescent="0.2">
      <c r="A362" s="114" t="s">
        <v>36</v>
      </c>
      <c r="B362" s="100" t="s">
        <v>151</v>
      </c>
      <c r="C362" s="115">
        <v>21600</v>
      </c>
      <c r="D362" s="100">
        <f>(C362/12)*1</f>
        <v>1800</v>
      </c>
      <c r="E362" s="103">
        <f>'Monitoramento Acumulado Geral'!Q362</f>
        <v>0</v>
      </c>
      <c r="F362" s="100">
        <f>E362</f>
        <v>0</v>
      </c>
      <c r="G362" s="102" t="str">
        <f t="shared" si="64"/>
        <v>Farol Vermelho</v>
      </c>
      <c r="H362" s="116">
        <f t="shared" si="62"/>
        <v>1800</v>
      </c>
      <c r="I362" s="100">
        <f t="shared" si="63"/>
        <v>1</v>
      </c>
      <c r="J362" s="119">
        <v>4</v>
      </c>
      <c r="K362" s="118">
        <f>'Monitoramento Acumulado Geral'!P362</f>
        <v>0</v>
      </c>
      <c r="L362" s="100">
        <f>J362/12</f>
        <v>0.33333333333333331</v>
      </c>
      <c r="M362" s="100">
        <f>K362</f>
        <v>0</v>
      </c>
      <c r="N362" s="115">
        <v>0</v>
      </c>
      <c r="O362" s="116" t="e">
        <f t="shared" si="65"/>
        <v>#DIV/0!</v>
      </c>
      <c r="P362" s="115">
        <v>0</v>
      </c>
      <c r="Q362" s="116" t="e">
        <f t="shared" si="66"/>
        <v>#DIV/0!</v>
      </c>
      <c r="R362" s="115">
        <v>0</v>
      </c>
      <c r="S362" s="100" t="e">
        <f t="shared" si="67"/>
        <v>#DIV/0!</v>
      </c>
    </row>
    <row r="363" spans="1:19" ht="15" x14ac:dyDescent="0.2">
      <c r="A363" s="114" t="s">
        <v>36</v>
      </c>
      <c r="B363" s="100" t="s">
        <v>152</v>
      </c>
      <c r="C363" s="115">
        <v>21600</v>
      </c>
      <c r="D363" s="100">
        <f>(C363/12)*2</f>
        <v>3600</v>
      </c>
      <c r="E363" s="103">
        <f>'Monitoramento Acumulado Geral'!Q363</f>
        <v>0</v>
      </c>
      <c r="F363" s="100">
        <f>SUM(E362:E363)</f>
        <v>0</v>
      </c>
      <c r="G363" s="102" t="str">
        <f t="shared" si="64"/>
        <v>Farol Vermelho</v>
      </c>
      <c r="H363" s="116">
        <f t="shared" si="62"/>
        <v>3600</v>
      </c>
      <c r="I363" s="100">
        <f t="shared" si="63"/>
        <v>2</v>
      </c>
      <c r="J363" s="119">
        <v>4</v>
      </c>
      <c r="K363" s="118">
        <f>'Monitoramento Acumulado Geral'!P363</f>
        <v>0</v>
      </c>
      <c r="L363" s="100">
        <f>L362+L362</f>
        <v>0.66666666666666663</v>
      </c>
      <c r="M363" s="100">
        <f>M362+K363</f>
        <v>0</v>
      </c>
      <c r="N363" s="115">
        <v>0</v>
      </c>
      <c r="O363" s="116" t="e">
        <f t="shared" si="65"/>
        <v>#DIV/0!</v>
      </c>
      <c r="P363" s="115">
        <v>0</v>
      </c>
      <c r="Q363" s="116" t="e">
        <f t="shared" si="66"/>
        <v>#DIV/0!</v>
      </c>
      <c r="R363" s="115">
        <v>0</v>
      </c>
      <c r="S363" s="100" t="e">
        <f t="shared" si="67"/>
        <v>#DIV/0!</v>
      </c>
    </row>
    <row r="364" spans="1:19" ht="15" x14ac:dyDescent="0.2">
      <c r="A364" s="114" t="s">
        <v>36</v>
      </c>
      <c r="B364" s="100" t="s">
        <v>153</v>
      </c>
      <c r="C364" s="115">
        <v>21600</v>
      </c>
      <c r="D364" s="100">
        <f>(C364/12)*3</f>
        <v>5400</v>
      </c>
      <c r="E364" s="103">
        <f>'Monitoramento Acumulado Geral'!Q364</f>
        <v>0</v>
      </c>
      <c r="F364" s="100">
        <f>SUM(E362:E364)</f>
        <v>0</v>
      </c>
      <c r="G364" s="102" t="str">
        <f t="shared" si="64"/>
        <v>Farol Vermelho</v>
      </c>
      <c r="H364" s="116">
        <f t="shared" si="62"/>
        <v>5400</v>
      </c>
      <c r="I364" s="100">
        <f t="shared" si="63"/>
        <v>3</v>
      </c>
      <c r="J364" s="119">
        <v>4</v>
      </c>
      <c r="K364" s="118">
        <f>'Monitoramento Acumulado Geral'!P364</f>
        <v>0</v>
      </c>
      <c r="L364" s="100">
        <f>$L362+L363</f>
        <v>1</v>
      </c>
      <c r="M364" s="100">
        <f t="shared" ref="M364:M373" si="75">M363+K364</f>
        <v>0</v>
      </c>
      <c r="N364" s="115">
        <v>0</v>
      </c>
      <c r="O364" s="116" t="e">
        <f t="shared" si="65"/>
        <v>#DIV/0!</v>
      </c>
      <c r="P364" s="115">
        <v>0</v>
      </c>
      <c r="Q364" s="116" t="e">
        <f t="shared" si="66"/>
        <v>#DIV/0!</v>
      </c>
      <c r="R364" s="115">
        <v>0</v>
      </c>
      <c r="S364" s="100" t="e">
        <f t="shared" si="67"/>
        <v>#DIV/0!</v>
      </c>
    </row>
    <row r="365" spans="1:19" ht="15" x14ac:dyDescent="0.2">
      <c r="A365" s="114" t="s">
        <v>36</v>
      </c>
      <c r="B365" s="100" t="s">
        <v>154</v>
      </c>
      <c r="C365" s="115">
        <v>21600</v>
      </c>
      <c r="D365" s="100">
        <f>(C365/12)*4</f>
        <v>7200</v>
      </c>
      <c r="E365" s="103">
        <f>'Monitoramento Acumulado Geral'!Q365</f>
        <v>0</v>
      </c>
      <c r="F365" s="100">
        <f>SUM(E362:E365)</f>
        <v>0</v>
      </c>
      <c r="G365" s="102" t="str">
        <f t="shared" si="64"/>
        <v>Farol Vermelho</v>
      </c>
      <c r="H365" s="116">
        <f t="shared" si="62"/>
        <v>7200</v>
      </c>
      <c r="I365" s="100">
        <f t="shared" si="63"/>
        <v>4</v>
      </c>
      <c r="J365" s="119">
        <v>4</v>
      </c>
      <c r="K365" s="118">
        <f>'Monitoramento Acumulado Geral'!P365</f>
        <v>0</v>
      </c>
      <c r="L365" s="100">
        <f>$L362+L364</f>
        <v>1.3333333333333333</v>
      </c>
      <c r="M365" s="100">
        <f t="shared" si="75"/>
        <v>0</v>
      </c>
      <c r="N365" s="115">
        <v>0</v>
      </c>
      <c r="O365" s="116" t="e">
        <f t="shared" si="65"/>
        <v>#DIV/0!</v>
      </c>
      <c r="P365" s="115">
        <v>0</v>
      </c>
      <c r="Q365" s="116" t="e">
        <f t="shared" si="66"/>
        <v>#DIV/0!</v>
      </c>
      <c r="R365" s="115">
        <v>0</v>
      </c>
      <c r="S365" s="100" t="e">
        <f t="shared" si="67"/>
        <v>#DIV/0!</v>
      </c>
    </row>
    <row r="366" spans="1:19" ht="15" x14ac:dyDescent="0.2">
      <c r="A366" s="114" t="s">
        <v>36</v>
      </c>
      <c r="B366" s="100" t="s">
        <v>155</v>
      </c>
      <c r="C366" s="115">
        <v>21600</v>
      </c>
      <c r="D366" s="100">
        <f>(C366/12)*5</f>
        <v>9000</v>
      </c>
      <c r="E366" s="103">
        <f>'Monitoramento Acumulado Geral'!Q366</f>
        <v>0</v>
      </c>
      <c r="F366" s="100">
        <f>SUM(E362:E366)</f>
        <v>0</v>
      </c>
      <c r="G366" s="102" t="str">
        <f t="shared" si="64"/>
        <v>Farol Vermelho</v>
      </c>
      <c r="H366" s="116">
        <f t="shared" si="62"/>
        <v>9000</v>
      </c>
      <c r="I366" s="100">
        <f t="shared" si="63"/>
        <v>5</v>
      </c>
      <c r="J366" s="119">
        <v>4</v>
      </c>
      <c r="K366" s="118">
        <f>'Monitoramento Acumulado Geral'!P366</f>
        <v>0</v>
      </c>
      <c r="L366" s="100">
        <f>L362+L365</f>
        <v>1.6666666666666665</v>
      </c>
      <c r="M366" s="100">
        <f t="shared" si="75"/>
        <v>0</v>
      </c>
      <c r="N366" s="115">
        <v>0</v>
      </c>
      <c r="O366" s="116" t="e">
        <f t="shared" si="65"/>
        <v>#DIV/0!</v>
      </c>
      <c r="P366" s="115">
        <v>0</v>
      </c>
      <c r="Q366" s="116" t="e">
        <f t="shared" si="66"/>
        <v>#DIV/0!</v>
      </c>
      <c r="R366" s="115">
        <v>0</v>
      </c>
      <c r="S366" s="100" t="e">
        <f t="shared" si="67"/>
        <v>#DIV/0!</v>
      </c>
    </row>
    <row r="367" spans="1:19" ht="15" x14ac:dyDescent="0.2">
      <c r="A367" s="114" t="s">
        <v>36</v>
      </c>
      <c r="B367" s="100" t="s">
        <v>156</v>
      </c>
      <c r="C367" s="115">
        <v>21600</v>
      </c>
      <c r="D367" s="100">
        <f>(C367/12)*6</f>
        <v>10800</v>
      </c>
      <c r="E367" s="103">
        <f>'Monitoramento Acumulado Geral'!Q367</f>
        <v>0</v>
      </c>
      <c r="F367" s="100">
        <f>SUM(E362:E367)</f>
        <v>0</v>
      </c>
      <c r="G367" s="102" t="str">
        <f t="shared" si="64"/>
        <v>Farol Vermelho</v>
      </c>
      <c r="H367" s="116">
        <f t="shared" si="62"/>
        <v>10800</v>
      </c>
      <c r="I367" s="100">
        <f t="shared" si="63"/>
        <v>6</v>
      </c>
      <c r="J367" s="119">
        <v>4</v>
      </c>
      <c r="K367" s="118">
        <f>'Monitoramento Acumulado Geral'!P367</f>
        <v>0</v>
      </c>
      <c r="L367" s="100">
        <f>$L362+L366</f>
        <v>1.9999999999999998</v>
      </c>
      <c r="M367" s="100">
        <f t="shared" si="75"/>
        <v>0</v>
      </c>
      <c r="N367" s="115">
        <v>1</v>
      </c>
      <c r="O367" s="116">
        <f t="shared" si="65"/>
        <v>1</v>
      </c>
      <c r="P367" s="115">
        <v>1</v>
      </c>
      <c r="Q367" s="116">
        <f t="shared" si="66"/>
        <v>0</v>
      </c>
      <c r="R367" s="115">
        <v>0</v>
      </c>
      <c r="S367" s="100">
        <f t="shared" si="67"/>
        <v>0</v>
      </c>
    </row>
    <row r="368" spans="1:19" ht="15" x14ac:dyDescent="0.2">
      <c r="A368" s="114" t="s">
        <v>36</v>
      </c>
      <c r="B368" s="100" t="s">
        <v>157</v>
      </c>
      <c r="C368" s="115">
        <v>21600</v>
      </c>
      <c r="D368" s="100">
        <f>(C368/12)*7</f>
        <v>12600</v>
      </c>
      <c r="E368" s="103">
        <f>'Monitoramento Acumulado Geral'!Q368</f>
        <v>0</v>
      </c>
      <c r="F368" s="100">
        <f>SUM(E362:E368)</f>
        <v>0</v>
      </c>
      <c r="G368" s="102" t="str">
        <f t="shared" si="64"/>
        <v>Farol Vermelho</v>
      </c>
      <c r="H368" s="116">
        <f t="shared" si="62"/>
        <v>12600</v>
      </c>
      <c r="I368" s="100">
        <f t="shared" si="63"/>
        <v>7</v>
      </c>
      <c r="J368" s="119">
        <v>4</v>
      </c>
      <c r="K368" s="118">
        <f>'Monitoramento Acumulado Geral'!P368</f>
        <v>0</v>
      </c>
      <c r="L368" s="100">
        <f>$L362+L367</f>
        <v>2.333333333333333</v>
      </c>
      <c r="M368" s="100">
        <f t="shared" si="75"/>
        <v>0</v>
      </c>
      <c r="N368" s="115"/>
      <c r="O368" s="116" t="e">
        <f t="shared" si="65"/>
        <v>#DIV/0!</v>
      </c>
      <c r="P368" s="115"/>
      <c r="Q368" s="116" t="e">
        <f t="shared" si="66"/>
        <v>#DIV/0!</v>
      </c>
      <c r="R368" s="115"/>
      <c r="S368" s="100" t="e">
        <f t="shared" si="67"/>
        <v>#DIV/0!</v>
      </c>
    </row>
    <row r="369" spans="1:19" ht="15" x14ac:dyDescent="0.2">
      <c r="A369" s="114" t="s">
        <v>36</v>
      </c>
      <c r="B369" s="100" t="s">
        <v>158</v>
      </c>
      <c r="C369" s="115">
        <v>21600</v>
      </c>
      <c r="D369" s="100">
        <f>(C369/12)*8</f>
        <v>14400</v>
      </c>
      <c r="E369" s="103">
        <f>'Monitoramento Acumulado Geral'!Q369</f>
        <v>0</v>
      </c>
      <c r="F369" s="100">
        <f>SUM(E362:E369)</f>
        <v>0</v>
      </c>
      <c r="G369" s="102" t="str">
        <f t="shared" si="64"/>
        <v>Farol Vermelho</v>
      </c>
      <c r="H369" s="116">
        <f t="shared" si="62"/>
        <v>14400</v>
      </c>
      <c r="I369" s="100">
        <f t="shared" si="63"/>
        <v>8</v>
      </c>
      <c r="J369" s="119">
        <v>4</v>
      </c>
      <c r="K369" s="118">
        <f>'Monitoramento Acumulado Geral'!P369</f>
        <v>0</v>
      </c>
      <c r="L369" s="100">
        <f>L362+L368</f>
        <v>2.6666666666666665</v>
      </c>
      <c r="M369" s="100">
        <f t="shared" si="75"/>
        <v>0</v>
      </c>
      <c r="N369" s="115"/>
      <c r="O369" s="116" t="e">
        <f t="shared" si="65"/>
        <v>#DIV/0!</v>
      </c>
      <c r="P369" s="115"/>
      <c r="Q369" s="116" t="e">
        <f t="shared" si="66"/>
        <v>#DIV/0!</v>
      </c>
      <c r="R369" s="115"/>
      <c r="S369" s="100" t="e">
        <f t="shared" si="67"/>
        <v>#DIV/0!</v>
      </c>
    </row>
    <row r="370" spans="1:19" ht="15" x14ac:dyDescent="0.2">
      <c r="A370" s="114" t="s">
        <v>36</v>
      </c>
      <c r="B370" s="100" t="s">
        <v>159</v>
      </c>
      <c r="C370" s="115">
        <v>21600</v>
      </c>
      <c r="D370" s="100">
        <f>(C370/12)*9</f>
        <v>16200</v>
      </c>
      <c r="E370" s="103">
        <f>'Monitoramento Acumulado Geral'!Q370</f>
        <v>0</v>
      </c>
      <c r="F370" s="100">
        <f>SUM(E362:E370)</f>
        <v>0</v>
      </c>
      <c r="G370" s="102" t="str">
        <f t="shared" si="64"/>
        <v>Farol Vermelho</v>
      </c>
      <c r="H370" s="116">
        <f t="shared" ref="H370:H433" si="76">IF(D370-F370&lt;0,0,D370-F370)</f>
        <v>16200</v>
      </c>
      <c r="I370" s="100">
        <f t="shared" ref="I370:I433" si="77">_xlfn.IFS(B370="Janeiro",1,B370="Fevereiro",2,B370="Março",3,B370="Abril",4,B370="Maio",5,B370="Junho",6,B370="Julho",7,B370="Agosto",8,B370="Setembro",9,B370="Outubro",10,B370="Novembro",11,B370="Dezembro",12,TRUE,0)</f>
        <v>9</v>
      </c>
      <c r="J370" s="119">
        <v>4</v>
      </c>
      <c r="K370" s="118">
        <f>'Monitoramento Acumulado Geral'!P370</f>
        <v>0</v>
      </c>
      <c r="L370" s="100">
        <f>$L362+L369</f>
        <v>3</v>
      </c>
      <c r="M370" s="100">
        <f t="shared" si="75"/>
        <v>0</v>
      </c>
      <c r="N370" s="115"/>
      <c r="O370" s="116" t="e">
        <f t="shared" si="65"/>
        <v>#DIV/0!</v>
      </c>
      <c r="P370" s="115"/>
      <c r="Q370" s="116" t="e">
        <f t="shared" si="66"/>
        <v>#DIV/0!</v>
      </c>
      <c r="R370" s="115"/>
      <c r="S370" s="100" t="e">
        <f t="shared" si="67"/>
        <v>#DIV/0!</v>
      </c>
    </row>
    <row r="371" spans="1:19" ht="15" x14ac:dyDescent="0.2">
      <c r="A371" s="114" t="s">
        <v>36</v>
      </c>
      <c r="B371" s="100" t="s">
        <v>160</v>
      </c>
      <c r="C371" s="115">
        <v>21600</v>
      </c>
      <c r="D371" s="100">
        <f>(C371/12)*10</f>
        <v>18000</v>
      </c>
      <c r="E371" s="103">
        <f>'Monitoramento Acumulado Geral'!Q371</f>
        <v>0</v>
      </c>
      <c r="F371" s="100">
        <f>SUM(E362:E371)</f>
        <v>0</v>
      </c>
      <c r="G371" s="102" t="str">
        <f t="shared" ref="G371:G434" si="78">_xlfn.IFS(F371&gt;D371,"Farol Verde",F371&gt;=D371*0.85,"Farol Amarelo",F371&lt;D371*0.85,"Farol Vermelho","Verdadeiro",0)</f>
        <v>Farol Vermelho</v>
      </c>
      <c r="H371" s="116">
        <f t="shared" si="76"/>
        <v>18000</v>
      </c>
      <c r="I371" s="100">
        <f t="shared" si="77"/>
        <v>10</v>
      </c>
      <c r="J371" s="119">
        <v>4</v>
      </c>
      <c r="K371" s="118">
        <f>'Monitoramento Acumulado Geral'!P371</f>
        <v>0</v>
      </c>
      <c r="L371" s="100">
        <f>$L362+L370</f>
        <v>3.3333333333333335</v>
      </c>
      <c r="M371" s="100">
        <f t="shared" si="75"/>
        <v>0</v>
      </c>
      <c r="N371" s="115"/>
      <c r="O371" s="116" t="e">
        <f t="shared" ref="O371:O434" si="79">P371/N371</f>
        <v>#DIV/0!</v>
      </c>
      <c r="P371" s="115"/>
      <c r="Q371" s="116" t="e">
        <f t="shared" ref="Q371:Q434" si="80">R371/P371</f>
        <v>#DIV/0!</v>
      </c>
      <c r="R371" s="115"/>
      <c r="S371" s="100" t="e">
        <f t="shared" ref="S371:S434" si="81">R371/N371</f>
        <v>#DIV/0!</v>
      </c>
    </row>
    <row r="372" spans="1:19" ht="15" x14ac:dyDescent="0.2">
      <c r="A372" s="114" t="s">
        <v>36</v>
      </c>
      <c r="B372" s="100" t="s">
        <v>161</v>
      </c>
      <c r="C372" s="115">
        <v>21600</v>
      </c>
      <c r="D372" s="100">
        <f>(C372/12)*11</f>
        <v>19800</v>
      </c>
      <c r="E372" s="103">
        <f>'Monitoramento Acumulado Geral'!Q372</f>
        <v>0</v>
      </c>
      <c r="F372" s="100">
        <f>SUM(E362:E372)</f>
        <v>0</v>
      </c>
      <c r="G372" s="102" t="str">
        <f t="shared" si="78"/>
        <v>Farol Vermelho</v>
      </c>
      <c r="H372" s="116">
        <f t="shared" si="76"/>
        <v>19800</v>
      </c>
      <c r="I372" s="100">
        <f t="shared" si="77"/>
        <v>11</v>
      </c>
      <c r="J372" s="119">
        <v>4</v>
      </c>
      <c r="K372" s="118">
        <f>'Monitoramento Acumulado Geral'!P372</f>
        <v>0</v>
      </c>
      <c r="L372" s="100">
        <f>L362+L371</f>
        <v>3.666666666666667</v>
      </c>
      <c r="M372" s="100">
        <f t="shared" si="75"/>
        <v>0</v>
      </c>
      <c r="N372" s="115"/>
      <c r="O372" s="116" t="e">
        <f t="shared" si="79"/>
        <v>#DIV/0!</v>
      </c>
      <c r="P372" s="115"/>
      <c r="Q372" s="116" t="e">
        <f t="shared" si="80"/>
        <v>#DIV/0!</v>
      </c>
      <c r="R372" s="115"/>
      <c r="S372" s="100" t="e">
        <f t="shared" si="81"/>
        <v>#DIV/0!</v>
      </c>
    </row>
    <row r="373" spans="1:19" ht="15" x14ac:dyDescent="0.2">
      <c r="A373" s="114" t="s">
        <v>36</v>
      </c>
      <c r="B373" s="100" t="s">
        <v>162</v>
      </c>
      <c r="C373" s="115">
        <v>21600</v>
      </c>
      <c r="D373" s="100">
        <f>(C373/12)*12</f>
        <v>21600</v>
      </c>
      <c r="E373" s="103">
        <f>'Monitoramento Acumulado Geral'!Q373</f>
        <v>0</v>
      </c>
      <c r="F373" s="100">
        <f>SUM(E362:E373)</f>
        <v>0</v>
      </c>
      <c r="G373" s="102" t="str">
        <f t="shared" si="78"/>
        <v>Farol Vermelho</v>
      </c>
      <c r="H373" s="116">
        <f t="shared" si="76"/>
        <v>21600</v>
      </c>
      <c r="I373" s="100">
        <f t="shared" si="77"/>
        <v>12</v>
      </c>
      <c r="J373" s="119">
        <v>4</v>
      </c>
      <c r="K373" s="118">
        <f>'Monitoramento Acumulado Geral'!P373</f>
        <v>0</v>
      </c>
      <c r="L373" s="100">
        <f>$L362+L372</f>
        <v>4</v>
      </c>
      <c r="M373" s="100">
        <f t="shared" si="75"/>
        <v>0</v>
      </c>
      <c r="N373" s="115"/>
      <c r="O373" s="116" t="e">
        <f t="shared" si="79"/>
        <v>#DIV/0!</v>
      </c>
      <c r="P373" s="115"/>
      <c r="Q373" s="116" t="e">
        <f t="shared" si="80"/>
        <v>#DIV/0!</v>
      </c>
      <c r="R373" s="115"/>
      <c r="S373" s="100" t="e">
        <f t="shared" si="81"/>
        <v>#DIV/0!</v>
      </c>
    </row>
    <row r="374" spans="1:19" ht="15" x14ac:dyDescent="0.2">
      <c r="A374" s="114" t="s">
        <v>82</v>
      </c>
      <c r="B374" s="100" t="s">
        <v>151</v>
      </c>
      <c r="C374" s="115">
        <v>21000</v>
      </c>
      <c r="D374" s="100">
        <f>(C374/12)*1</f>
        <v>1750</v>
      </c>
      <c r="E374" s="103">
        <f>'Monitoramento Acumulado Geral'!Q374</f>
        <v>0</v>
      </c>
      <c r="F374" s="100">
        <f>E374</f>
        <v>0</v>
      </c>
      <c r="G374" s="102" t="str">
        <f t="shared" si="78"/>
        <v>Farol Vermelho</v>
      </c>
      <c r="H374" s="116">
        <f t="shared" si="76"/>
        <v>1750</v>
      </c>
      <c r="I374" s="100">
        <f t="shared" si="77"/>
        <v>1</v>
      </c>
      <c r="J374" s="119">
        <v>10</v>
      </c>
      <c r="K374" s="118">
        <f>'Monitoramento Acumulado Geral'!P374</f>
        <v>0</v>
      </c>
      <c r="L374" s="100">
        <f>J374/12</f>
        <v>0.83333333333333337</v>
      </c>
      <c r="M374" s="100">
        <f>K374</f>
        <v>0</v>
      </c>
      <c r="N374" s="115">
        <v>0</v>
      </c>
      <c r="O374" s="116" t="e">
        <f t="shared" si="79"/>
        <v>#DIV/0!</v>
      </c>
      <c r="P374" s="115">
        <v>0</v>
      </c>
      <c r="Q374" s="116" t="e">
        <f t="shared" si="80"/>
        <v>#DIV/0!</v>
      </c>
      <c r="R374" s="115">
        <v>0</v>
      </c>
      <c r="S374" s="100" t="e">
        <f t="shared" si="81"/>
        <v>#DIV/0!</v>
      </c>
    </row>
    <row r="375" spans="1:19" ht="15" x14ac:dyDescent="0.2">
      <c r="A375" s="114" t="s">
        <v>82</v>
      </c>
      <c r="B375" s="100" t="s">
        <v>152</v>
      </c>
      <c r="C375" s="115">
        <v>21000</v>
      </c>
      <c r="D375" s="100">
        <f>(C375/12)*2</f>
        <v>3500</v>
      </c>
      <c r="E375" s="103">
        <f>'Monitoramento Acumulado Geral'!Q375</f>
        <v>0</v>
      </c>
      <c r="F375" s="100">
        <f>SUM(E374:E375)</f>
        <v>0</v>
      </c>
      <c r="G375" s="102" t="str">
        <f t="shared" si="78"/>
        <v>Farol Vermelho</v>
      </c>
      <c r="H375" s="116">
        <f t="shared" si="76"/>
        <v>3500</v>
      </c>
      <c r="I375" s="100">
        <f t="shared" si="77"/>
        <v>2</v>
      </c>
      <c r="J375" s="119">
        <v>10</v>
      </c>
      <c r="K375" s="118">
        <f>'Monitoramento Acumulado Geral'!P375</f>
        <v>0</v>
      </c>
      <c r="L375" s="100">
        <f>L374+L374</f>
        <v>1.6666666666666667</v>
      </c>
      <c r="M375" s="100">
        <f>M374+K375</f>
        <v>0</v>
      </c>
      <c r="N375" s="115">
        <v>0</v>
      </c>
      <c r="O375" s="116" t="e">
        <f t="shared" si="79"/>
        <v>#DIV/0!</v>
      </c>
      <c r="P375" s="115">
        <v>0</v>
      </c>
      <c r="Q375" s="116" t="e">
        <f t="shared" si="80"/>
        <v>#DIV/0!</v>
      </c>
      <c r="R375" s="115">
        <v>0</v>
      </c>
      <c r="S375" s="100" t="e">
        <f t="shared" si="81"/>
        <v>#DIV/0!</v>
      </c>
    </row>
    <row r="376" spans="1:19" ht="15" x14ac:dyDescent="0.2">
      <c r="A376" s="114" t="s">
        <v>82</v>
      </c>
      <c r="B376" s="100" t="s">
        <v>153</v>
      </c>
      <c r="C376" s="115">
        <v>21000</v>
      </c>
      <c r="D376" s="100">
        <f>(C376/12)*3</f>
        <v>5250</v>
      </c>
      <c r="E376" s="103">
        <f>'Monitoramento Acumulado Geral'!Q376</f>
        <v>1800</v>
      </c>
      <c r="F376" s="100">
        <f>SUM(E374:E376)</f>
        <v>1800</v>
      </c>
      <c r="G376" s="102" t="str">
        <f t="shared" si="78"/>
        <v>Farol Vermelho</v>
      </c>
      <c r="H376" s="116">
        <f t="shared" si="76"/>
        <v>3450</v>
      </c>
      <c r="I376" s="100">
        <f t="shared" si="77"/>
        <v>3</v>
      </c>
      <c r="J376" s="119">
        <v>10</v>
      </c>
      <c r="K376" s="118">
        <f>'Monitoramento Acumulado Geral'!P376</f>
        <v>3</v>
      </c>
      <c r="L376" s="100">
        <f>$L374+L375</f>
        <v>2.5</v>
      </c>
      <c r="M376" s="100">
        <f t="shared" ref="M376:M385" si="82">M375+K376</f>
        <v>3</v>
      </c>
      <c r="N376" s="115">
        <v>0</v>
      </c>
      <c r="O376" s="116" t="e">
        <f t="shared" si="79"/>
        <v>#DIV/0!</v>
      </c>
      <c r="P376" s="115">
        <v>0</v>
      </c>
      <c r="Q376" s="116" t="e">
        <f t="shared" si="80"/>
        <v>#DIV/0!</v>
      </c>
      <c r="R376" s="115">
        <v>0</v>
      </c>
      <c r="S376" s="100" t="e">
        <f t="shared" si="81"/>
        <v>#DIV/0!</v>
      </c>
    </row>
    <row r="377" spans="1:19" ht="15" x14ac:dyDescent="0.2">
      <c r="A377" s="114" t="s">
        <v>82</v>
      </c>
      <c r="B377" s="100" t="s">
        <v>154</v>
      </c>
      <c r="C377" s="115">
        <v>21000</v>
      </c>
      <c r="D377" s="100">
        <f>(C377/12)*4</f>
        <v>7000</v>
      </c>
      <c r="E377" s="103">
        <f>'Monitoramento Acumulado Geral'!Q377</f>
        <v>0</v>
      </c>
      <c r="F377" s="100">
        <f>SUM(E374:E377)</f>
        <v>1800</v>
      </c>
      <c r="G377" s="102" t="str">
        <f t="shared" si="78"/>
        <v>Farol Vermelho</v>
      </c>
      <c r="H377" s="116">
        <f t="shared" si="76"/>
        <v>5200</v>
      </c>
      <c r="I377" s="100">
        <f t="shared" si="77"/>
        <v>4</v>
      </c>
      <c r="J377" s="119">
        <v>10</v>
      </c>
      <c r="K377" s="118">
        <f>'Monitoramento Acumulado Geral'!P377</f>
        <v>0</v>
      </c>
      <c r="L377" s="100">
        <f>$L374+L376</f>
        <v>3.3333333333333335</v>
      </c>
      <c r="M377" s="100">
        <f t="shared" si="82"/>
        <v>3</v>
      </c>
      <c r="N377" s="115">
        <v>0</v>
      </c>
      <c r="O377" s="116" t="e">
        <f t="shared" si="79"/>
        <v>#DIV/0!</v>
      </c>
      <c r="P377" s="115">
        <v>0</v>
      </c>
      <c r="Q377" s="116" t="e">
        <f t="shared" si="80"/>
        <v>#DIV/0!</v>
      </c>
      <c r="R377" s="115">
        <v>0</v>
      </c>
      <c r="S377" s="100" t="e">
        <f t="shared" si="81"/>
        <v>#DIV/0!</v>
      </c>
    </row>
    <row r="378" spans="1:19" ht="15" x14ac:dyDescent="0.2">
      <c r="A378" s="114" t="s">
        <v>82</v>
      </c>
      <c r="B378" s="100" t="s">
        <v>155</v>
      </c>
      <c r="C378" s="115">
        <v>21000</v>
      </c>
      <c r="D378" s="100">
        <f>(C378/12)*5</f>
        <v>8750</v>
      </c>
      <c r="E378" s="103">
        <f>'Monitoramento Acumulado Geral'!Q378</f>
        <v>0</v>
      </c>
      <c r="F378" s="100">
        <f>SUM(E374:E378)</f>
        <v>1800</v>
      </c>
      <c r="G378" s="102" t="str">
        <f t="shared" si="78"/>
        <v>Farol Vermelho</v>
      </c>
      <c r="H378" s="116">
        <f t="shared" si="76"/>
        <v>6950</v>
      </c>
      <c r="I378" s="100">
        <f t="shared" si="77"/>
        <v>5</v>
      </c>
      <c r="J378" s="119">
        <v>10</v>
      </c>
      <c r="K378" s="118">
        <f>'Monitoramento Acumulado Geral'!P378</f>
        <v>0</v>
      </c>
      <c r="L378" s="100">
        <f>L374+L377</f>
        <v>4.166666666666667</v>
      </c>
      <c r="M378" s="100">
        <f t="shared" si="82"/>
        <v>3</v>
      </c>
      <c r="N378" s="115">
        <v>0</v>
      </c>
      <c r="O378" s="116" t="e">
        <f t="shared" si="79"/>
        <v>#DIV/0!</v>
      </c>
      <c r="P378" s="115">
        <v>0</v>
      </c>
      <c r="Q378" s="116" t="e">
        <f t="shared" si="80"/>
        <v>#DIV/0!</v>
      </c>
      <c r="R378" s="115">
        <v>0</v>
      </c>
      <c r="S378" s="100" t="e">
        <f t="shared" si="81"/>
        <v>#DIV/0!</v>
      </c>
    </row>
    <row r="379" spans="1:19" ht="15" x14ac:dyDescent="0.2">
      <c r="A379" s="114" t="s">
        <v>82</v>
      </c>
      <c r="B379" s="100" t="s">
        <v>156</v>
      </c>
      <c r="C379" s="115">
        <v>21000</v>
      </c>
      <c r="D379" s="100">
        <f>(C379/12)*6</f>
        <v>10500</v>
      </c>
      <c r="E379" s="103">
        <f>'Monitoramento Acumulado Geral'!Q379</f>
        <v>5320</v>
      </c>
      <c r="F379" s="100">
        <f>SUM(E374:E379)</f>
        <v>7120</v>
      </c>
      <c r="G379" s="102" t="str">
        <f t="shared" si="78"/>
        <v>Farol Vermelho</v>
      </c>
      <c r="H379" s="116">
        <f t="shared" si="76"/>
        <v>3380</v>
      </c>
      <c r="I379" s="100">
        <f t="shared" si="77"/>
        <v>6</v>
      </c>
      <c r="J379" s="119">
        <v>10</v>
      </c>
      <c r="K379" s="118">
        <f>'Monitoramento Acumulado Geral'!P379</f>
        <v>2</v>
      </c>
      <c r="L379" s="100">
        <f>$L374+L378</f>
        <v>5</v>
      </c>
      <c r="M379" s="100">
        <f t="shared" si="82"/>
        <v>5</v>
      </c>
      <c r="N379" s="115">
        <v>3</v>
      </c>
      <c r="O379" s="116">
        <f t="shared" si="79"/>
        <v>0.33333333333333331</v>
      </c>
      <c r="P379" s="115">
        <v>1</v>
      </c>
      <c r="Q379" s="116">
        <f t="shared" si="80"/>
        <v>1</v>
      </c>
      <c r="R379" s="115">
        <v>1</v>
      </c>
      <c r="S379" s="100">
        <f t="shared" si="81"/>
        <v>0.33333333333333331</v>
      </c>
    </row>
    <row r="380" spans="1:19" ht="15" x14ac:dyDescent="0.2">
      <c r="A380" s="114" t="s">
        <v>82</v>
      </c>
      <c r="B380" s="100" t="s">
        <v>157</v>
      </c>
      <c r="C380" s="115">
        <v>21000</v>
      </c>
      <c r="D380" s="100">
        <f>(C380/12)*7</f>
        <v>12250</v>
      </c>
      <c r="E380" s="103">
        <f>'Monitoramento Acumulado Geral'!Q380</f>
        <v>34618.230000000003</v>
      </c>
      <c r="F380" s="100">
        <f>SUM(E374:E380)</f>
        <v>41738.230000000003</v>
      </c>
      <c r="G380" s="102" t="str">
        <f t="shared" si="78"/>
        <v>Farol Verde</v>
      </c>
      <c r="H380" s="116">
        <f t="shared" si="76"/>
        <v>0</v>
      </c>
      <c r="I380" s="100">
        <f t="shared" si="77"/>
        <v>7</v>
      </c>
      <c r="J380" s="119">
        <v>10</v>
      </c>
      <c r="K380" s="118">
        <f>'Monitoramento Acumulado Geral'!P380</f>
        <v>1</v>
      </c>
      <c r="L380" s="100">
        <f>$L374+L379</f>
        <v>5.833333333333333</v>
      </c>
      <c r="M380" s="100">
        <f t="shared" si="82"/>
        <v>6</v>
      </c>
      <c r="N380" s="115"/>
      <c r="O380" s="116" t="e">
        <f t="shared" si="79"/>
        <v>#DIV/0!</v>
      </c>
      <c r="P380" s="115"/>
      <c r="Q380" s="116" t="e">
        <f t="shared" si="80"/>
        <v>#DIV/0!</v>
      </c>
      <c r="R380" s="115"/>
      <c r="S380" s="100" t="e">
        <f t="shared" si="81"/>
        <v>#DIV/0!</v>
      </c>
    </row>
    <row r="381" spans="1:19" ht="15" x14ac:dyDescent="0.2">
      <c r="A381" s="114" t="s">
        <v>82</v>
      </c>
      <c r="B381" s="100" t="s">
        <v>158</v>
      </c>
      <c r="C381" s="115">
        <v>21000</v>
      </c>
      <c r="D381" s="100">
        <f>(C381/12)*8</f>
        <v>14000</v>
      </c>
      <c r="E381" s="103">
        <f>'Monitoramento Acumulado Geral'!Q381</f>
        <v>0</v>
      </c>
      <c r="F381" s="100">
        <f>SUM(E374:E381)</f>
        <v>41738.230000000003</v>
      </c>
      <c r="G381" s="102" t="str">
        <f t="shared" si="78"/>
        <v>Farol Verde</v>
      </c>
      <c r="H381" s="116">
        <f t="shared" si="76"/>
        <v>0</v>
      </c>
      <c r="I381" s="100">
        <f t="shared" si="77"/>
        <v>8</v>
      </c>
      <c r="J381" s="119">
        <v>10</v>
      </c>
      <c r="K381" s="118">
        <f>'Monitoramento Acumulado Geral'!P381</f>
        <v>0</v>
      </c>
      <c r="L381" s="100">
        <f>L374+L380</f>
        <v>6.6666666666666661</v>
      </c>
      <c r="M381" s="100">
        <f t="shared" si="82"/>
        <v>6</v>
      </c>
      <c r="N381" s="115"/>
      <c r="O381" s="116" t="e">
        <f t="shared" si="79"/>
        <v>#DIV/0!</v>
      </c>
      <c r="P381" s="115"/>
      <c r="Q381" s="116" t="e">
        <f t="shared" si="80"/>
        <v>#DIV/0!</v>
      </c>
      <c r="R381" s="115"/>
      <c r="S381" s="100" t="e">
        <f t="shared" si="81"/>
        <v>#DIV/0!</v>
      </c>
    </row>
    <row r="382" spans="1:19" ht="15" x14ac:dyDescent="0.2">
      <c r="A382" s="114" t="s">
        <v>82</v>
      </c>
      <c r="B382" s="100" t="s">
        <v>159</v>
      </c>
      <c r="C382" s="115">
        <v>21000</v>
      </c>
      <c r="D382" s="100">
        <f>(C382/12)*9</f>
        <v>15750</v>
      </c>
      <c r="E382" s="103">
        <f>'Monitoramento Acumulado Geral'!Q382</f>
        <v>0</v>
      </c>
      <c r="F382" s="100">
        <f>SUM(E374:E382)</f>
        <v>41738.230000000003</v>
      </c>
      <c r="G382" s="102" t="str">
        <f t="shared" si="78"/>
        <v>Farol Verde</v>
      </c>
      <c r="H382" s="116">
        <f t="shared" si="76"/>
        <v>0</v>
      </c>
      <c r="I382" s="100">
        <f t="shared" si="77"/>
        <v>9</v>
      </c>
      <c r="J382" s="119">
        <v>10</v>
      </c>
      <c r="K382" s="118">
        <f>'Monitoramento Acumulado Geral'!P382</f>
        <v>0</v>
      </c>
      <c r="L382" s="100">
        <f>$L374+L381</f>
        <v>7.4999999999999991</v>
      </c>
      <c r="M382" s="100">
        <f t="shared" si="82"/>
        <v>6</v>
      </c>
      <c r="N382" s="115"/>
      <c r="O382" s="116" t="e">
        <f t="shared" si="79"/>
        <v>#DIV/0!</v>
      </c>
      <c r="P382" s="115"/>
      <c r="Q382" s="116" t="e">
        <f t="shared" si="80"/>
        <v>#DIV/0!</v>
      </c>
      <c r="R382" s="115"/>
      <c r="S382" s="100" t="e">
        <f t="shared" si="81"/>
        <v>#DIV/0!</v>
      </c>
    </row>
    <row r="383" spans="1:19" ht="15" x14ac:dyDescent="0.2">
      <c r="A383" s="114" t="s">
        <v>82</v>
      </c>
      <c r="B383" s="100" t="s">
        <v>160</v>
      </c>
      <c r="C383" s="115">
        <v>21000</v>
      </c>
      <c r="D383" s="100">
        <f>(C383/12)*10</f>
        <v>17500</v>
      </c>
      <c r="E383" s="103">
        <f>'Monitoramento Acumulado Geral'!Q383</f>
        <v>0</v>
      </c>
      <c r="F383" s="100">
        <f>SUM(E374:E383)</f>
        <v>41738.230000000003</v>
      </c>
      <c r="G383" s="102" t="str">
        <f t="shared" si="78"/>
        <v>Farol Verde</v>
      </c>
      <c r="H383" s="116">
        <f t="shared" si="76"/>
        <v>0</v>
      </c>
      <c r="I383" s="100">
        <f t="shared" si="77"/>
        <v>10</v>
      </c>
      <c r="J383" s="119">
        <v>10</v>
      </c>
      <c r="K383" s="118">
        <f>'Monitoramento Acumulado Geral'!P383</f>
        <v>0</v>
      </c>
      <c r="L383" s="100">
        <f>$L374+L382</f>
        <v>8.3333333333333321</v>
      </c>
      <c r="M383" s="100">
        <f t="shared" si="82"/>
        <v>6</v>
      </c>
      <c r="N383" s="115"/>
      <c r="O383" s="116" t="e">
        <f t="shared" si="79"/>
        <v>#DIV/0!</v>
      </c>
      <c r="P383" s="115"/>
      <c r="Q383" s="116" t="e">
        <f t="shared" si="80"/>
        <v>#DIV/0!</v>
      </c>
      <c r="R383" s="115"/>
      <c r="S383" s="100" t="e">
        <f t="shared" si="81"/>
        <v>#DIV/0!</v>
      </c>
    </row>
    <row r="384" spans="1:19" ht="15" x14ac:dyDescent="0.2">
      <c r="A384" s="114" t="s">
        <v>82</v>
      </c>
      <c r="B384" s="100" t="s">
        <v>161</v>
      </c>
      <c r="C384" s="115">
        <v>21000</v>
      </c>
      <c r="D384" s="100">
        <f>(C384/12)*11</f>
        <v>19250</v>
      </c>
      <c r="E384" s="103">
        <f>'Monitoramento Acumulado Geral'!Q384</f>
        <v>0</v>
      </c>
      <c r="F384" s="100">
        <f>SUM(E374:E384)</f>
        <v>41738.230000000003</v>
      </c>
      <c r="G384" s="102" t="str">
        <f t="shared" si="78"/>
        <v>Farol Verde</v>
      </c>
      <c r="H384" s="116">
        <f t="shared" si="76"/>
        <v>0</v>
      </c>
      <c r="I384" s="100">
        <f t="shared" si="77"/>
        <v>11</v>
      </c>
      <c r="J384" s="119">
        <v>10</v>
      </c>
      <c r="K384" s="118">
        <f>'Monitoramento Acumulado Geral'!P384</f>
        <v>0</v>
      </c>
      <c r="L384" s="100">
        <f>L374+L383</f>
        <v>9.1666666666666661</v>
      </c>
      <c r="M384" s="100">
        <f t="shared" si="82"/>
        <v>6</v>
      </c>
      <c r="N384" s="115"/>
      <c r="O384" s="116" t="e">
        <f t="shared" si="79"/>
        <v>#DIV/0!</v>
      </c>
      <c r="P384" s="115"/>
      <c r="Q384" s="116" t="e">
        <f t="shared" si="80"/>
        <v>#DIV/0!</v>
      </c>
      <c r="R384" s="115"/>
      <c r="S384" s="100" t="e">
        <f t="shared" si="81"/>
        <v>#DIV/0!</v>
      </c>
    </row>
    <row r="385" spans="1:19" ht="15" x14ac:dyDescent="0.2">
      <c r="A385" s="114" t="s">
        <v>82</v>
      </c>
      <c r="B385" s="100" t="s">
        <v>162</v>
      </c>
      <c r="C385" s="115">
        <v>21000</v>
      </c>
      <c r="D385" s="100">
        <f>(C385/12)*12</f>
        <v>21000</v>
      </c>
      <c r="E385" s="103">
        <f>'Monitoramento Acumulado Geral'!Q385</f>
        <v>0</v>
      </c>
      <c r="F385" s="100">
        <f>SUM(E374:E385)</f>
        <v>41738.230000000003</v>
      </c>
      <c r="G385" s="102" t="str">
        <f t="shared" si="78"/>
        <v>Farol Verde</v>
      </c>
      <c r="H385" s="116">
        <f t="shared" si="76"/>
        <v>0</v>
      </c>
      <c r="I385" s="100">
        <f t="shared" si="77"/>
        <v>12</v>
      </c>
      <c r="J385" s="119">
        <v>10</v>
      </c>
      <c r="K385" s="118">
        <f>'Monitoramento Acumulado Geral'!P385</f>
        <v>0</v>
      </c>
      <c r="L385" s="100">
        <f>$L374+L384</f>
        <v>10</v>
      </c>
      <c r="M385" s="100">
        <f t="shared" si="82"/>
        <v>6</v>
      </c>
      <c r="N385" s="115"/>
      <c r="O385" s="116" t="e">
        <f t="shared" si="79"/>
        <v>#DIV/0!</v>
      </c>
      <c r="P385" s="115"/>
      <c r="Q385" s="116" t="e">
        <f t="shared" si="80"/>
        <v>#DIV/0!</v>
      </c>
      <c r="R385" s="115"/>
      <c r="S385" s="100" t="e">
        <f t="shared" si="81"/>
        <v>#DIV/0!</v>
      </c>
    </row>
    <row r="386" spans="1:19" ht="15" x14ac:dyDescent="0.2">
      <c r="A386" s="114" t="s">
        <v>64</v>
      </c>
      <c r="B386" s="100" t="s">
        <v>151</v>
      </c>
      <c r="C386" s="115">
        <v>34000</v>
      </c>
      <c r="D386" s="100">
        <f>(C386/12)*1</f>
        <v>2833.3333333333335</v>
      </c>
      <c r="E386" s="103">
        <f>'Monitoramento Acumulado Geral'!Q386</f>
        <v>0</v>
      </c>
      <c r="F386" s="100">
        <f>E386</f>
        <v>0</v>
      </c>
      <c r="G386" s="102" t="str">
        <f t="shared" si="78"/>
        <v>Farol Vermelho</v>
      </c>
      <c r="H386" s="116">
        <f t="shared" si="76"/>
        <v>2833.3333333333335</v>
      </c>
      <c r="I386" s="100">
        <f t="shared" si="77"/>
        <v>1</v>
      </c>
      <c r="J386" s="119">
        <v>13</v>
      </c>
      <c r="K386" s="118">
        <f>'Monitoramento Acumulado Geral'!P386</f>
        <v>0</v>
      </c>
      <c r="L386" s="100">
        <f>J386/12</f>
        <v>1.0833333333333333</v>
      </c>
      <c r="M386" s="100">
        <f>K386</f>
        <v>0</v>
      </c>
      <c r="N386" s="115">
        <v>0</v>
      </c>
      <c r="O386" s="116" t="e">
        <f t="shared" si="79"/>
        <v>#DIV/0!</v>
      </c>
      <c r="P386" s="115">
        <v>0</v>
      </c>
      <c r="Q386" s="116" t="e">
        <f t="shared" si="80"/>
        <v>#DIV/0!</v>
      </c>
      <c r="R386" s="115">
        <v>0</v>
      </c>
      <c r="S386" s="100" t="e">
        <f t="shared" si="81"/>
        <v>#DIV/0!</v>
      </c>
    </row>
    <row r="387" spans="1:19" ht="15" x14ac:dyDescent="0.2">
      <c r="A387" s="114" t="s">
        <v>64</v>
      </c>
      <c r="B387" s="100" t="s">
        <v>152</v>
      </c>
      <c r="C387" s="115">
        <v>34000</v>
      </c>
      <c r="D387" s="100">
        <f>(C387/12)*2</f>
        <v>5666.666666666667</v>
      </c>
      <c r="E387" s="103">
        <f>'Monitoramento Acumulado Geral'!Q387</f>
        <v>0</v>
      </c>
      <c r="F387" s="100">
        <f>SUM(E386:E387)</f>
        <v>0</v>
      </c>
      <c r="G387" s="102" t="str">
        <f t="shared" si="78"/>
        <v>Farol Vermelho</v>
      </c>
      <c r="H387" s="116">
        <f t="shared" si="76"/>
        <v>5666.666666666667</v>
      </c>
      <c r="I387" s="100">
        <f t="shared" si="77"/>
        <v>2</v>
      </c>
      <c r="J387" s="119">
        <v>13</v>
      </c>
      <c r="K387" s="118">
        <f>'Monitoramento Acumulado Geral'!P387</f>
        <v>0</v>
      </c>
      <c r="L387" s="100">
        <f>L386+L386</f>
        <v>2.1666666666666665</v>
      </c>
      <c r="M387" s="100">
        <f>M386+K387</f>
        <v>0</v>
      </c>
      <c r="N387" s="115">
        <v>0</v>
      </c>
      <c r="O387" s="116" t="e">
        <f t="shared" si="79"/>
        <v>#DIV/0!</v>
      </c>
      <c r="P387" s="115">
        <v>0</v>
      </c>
      <c r="Q387" s="116" t="e">
        <f t="shared" si="80"/>
        <v>#DIV/0!</v>
      </c>
      <c r="R387" s="115">
        <v>0</v>
      </c>
      <c r="S387" s="100" t="e">
        <f t="shared" si="81"/>
        <v>#DIV/0!</v>
      </c>
    </row>
    <row r="388" spans="1:19" ht="15" x14ac:dyDescent="0.2">
      <c r="A388" s="114" t="s">
        <v>64</v>
      </c>
      <c r="B388" s="100" t="s">
        <v>153</v>
      </c>
      <c r="C388" s="115">
        <v>34000</v>
      </c>
      <c r="D388" s="100">
        <f>(C388/12)*3</f>
        <v>8500</v>
      </c>
      <c r="E388" s="103">
        <f>'Monitoramento Acumulado Geral'!Q388</f>
        <v>0</v>
      </c>
      <c r="F388" s="100">
        <f>SUM(E386:E388)</f>
        <v>0</v>
      </c>
      <c r="G388" s="102" t="str">
        <f t="shared" si="78"/>
        <v>Farol Vermelho</v>
      </c>
      <c r="H388" s="116">
        <f t="shared" si="76"/>
        <v>8500</v>
      </c>
      <c r="I388" s="100">
        <f t="shared" si="77"/>
        <v>3</v>
      </c>
      <c r="J388" s="119">
        <v>13</v>
      </c>
      <c r="K388" s="118">
        <f>'Monitoramento Acumulado Geral'!P388</f>
        <v>0</v>
      </c>
      <c r="L388" s="100">
        <f>$L386+L387</f>
        <v>3.25</v>
      </c>
      <c r="M388" s="100">
        <f t="shared" ref="M388:M397" si="83">M387+K388</f>
        <v>0</v>
      </c>
      <c r="N388" s="115">
        <v>0</v>
      </c>
      <c r="O388" s="116" t="e">
        <f t="shared" si="79"/>
        <v>#DIV/0!</v>
      </c>
      <c r="P388" s="115">
        <v>0</v>
      </c>
      <c r="Q388" s="116" t="e">
        <f t="shared" si="80"/>
        <v>#DIV/0!</v>
      </c>
      <c r="R388" s="115">
        <v>0</v>
      </c>
      <c r="S388" s="100" t="e">
        <f t="shared" si="81"/>
        <v>#DIV/0!</v>
      </c>
    </row>
    <row r="389" spans="1:19" ht="15" x14ac:dyDescent="0.2">
      <c r="A389" s="114" t="s">
        <v>64</v>
      </c>
      <c r="B389" s="100" t="s">
        <v>154</v>
      </c>
      <c r="C389" s="115">
        <v>34000</v>
      </c>
      <c r="D389" s="100">
        <f>(C389/12)*4</f>
        <v>11333.333333333334</v>
      </c>
      <c r="E389" s="103">
        <f>'Monitoramento Acumulado Geral'!Q389</f>
        <v>0</v>
      </c>
      <c r="F389" s="100">
        <f>SUM(E386:E389)</f>
        <v>0</v>
      </c>
      <c r="G389" s="102" t="str">
        <f t="shared" si="78"/>
        <v>Farol Vermelho</v>
      </c>
      <c r="H389" s="116">
        <f t="shared" si="76"/>
        <v>11333.333333333334</v>
      </c>
      <c r="I389" s="100">
        <f t="shared" si="77"/>
        <v>4</v>
      </c>
      <c r="J389" s="119">
        <v>13</v>
      </c>
      <c r="K389" s="118">
        <f>'Monitoramento Acumulado Geral'!P389</f>
        <v>0</v>
      </c>
      <c r="L389" s="100">
        <f>$L386+L388</f>
        <v>4.333333333333333</v>
      </c>
      <c r="M389" s="100">
        <f t="shared" si="83"/>
        <v>0</v>
      </c>
      <c r="N389" s="115">
        <v>0</v>
      </c>
      <c r="O389" s="116" t="e">
        <f t="shared" si="79"/>
        <v>#DIV/0!</v>
      </c>
      <c r="P389" s="115">
        <v>0</v>
      </c>
      <c r="Q389" s="116" t="e">
        <f t="shared" si="80"/>
        <v>#DIV/0!</v>
      </c>
      <c r="R389" s="115">
        <v>0</v>
      </c>
      <c r="S389" s="100" t="e">
        <f t="shared" si="81"/>
        <v>#DIV/0!</v>
      </c>
    </row>
    <row r="390" spans="1:19" ht="15" x14ac:dyDescent="0.2">
      <c r="A390" s="114" t="s">
        <v>64</v>
      </c>
      <c r="B390" s="100" t="s">
        <v>155</v>
      </c>
      <c r="C390" s="115">
        <v>34000</v>
      </c>
      <c r="D390" s="100">
        <f>(C390/12)*5</f>
        <v>14166.666666666668</v>
      </c>
      <c r="E390" s="103">
        <f>'Monitoramento Acumulado Geral'!Q390</f>
        <v>0</v>
      </c>
      <c r="F390" s="100">
        <f>SUM(E386:E390)</f>
        <v>0</v>
      </c>
      <c r="G390" s="102" t="str">
        <f t="shared" si="78"/>
        <v>Farol Vermelho</v>
      </c>
      <c r="H390" s="116">
        <f t="shared" si="76"/>
        <v>14166.666666666668</v>
      </c>
      <c r="I390" s="100">
        <f t="shared" si="77"/>
        <v>5</v>
      </c>
      <c r="J390" s="119">
        <v>13</v>
      </c>
      <c r="K390" s="118">
        <f>'Monitoramento Acumulado Geral'!P390</f>
        <v>0</v>
      </c>
      <c r="L390" s="100">
        <f>L386+L389</f>
        <v>5.4166666666666661</v>
      </c>
      <c r="M390" s="100">
        <f t="shared" si="83"/>
        <v>0</v>
      </c>
      <c r="N390" s="115">
        <v>0</v>
      </c>
      <c r="O390" s="116" t="e">
        <f t="shared" si="79"/>
        <v>#DIV/0!</v>
      </c>
      <c r="P390" s="115">
        <v>0</v>
      </c>
      <c r="Q390" s="116" t="e">
        <f t="shared" si="80"/>
        <v>#DIV/0!</v>
      </c>
      <c r="R390" s="115">
        <v>0</v>
      </c>
      <c r="S390" s="100" t="e">
        <f t="shared" si="81"/>
        <v>#DIV/0!</v>
      </c>
    </row>
    <row r="391" spans="1:19" ht="15" x14ac:dyDescent="0.2">
      <c r="A391" s="114" t="s">
        <v>64</v>
      </c>
      <c r="B391" s="100" t="s">
        <v>156</v>
      </c>
      <c r="C391" s="115">
        <v>34000</v>
      </c>
      <c r="D391" s="100">
        <f>(C391/12)*6</f>
        <v>17000</v>
      </c>
      <c r="E391" s="103">
        <f>'Monitoramento Acumulado Geral'!Q391</f>
        <v>0</v>
      </c>
      <c r="F391" s="100">
        <f>SUM(E386:E391)</f>
        <v>0</v>
      </c>
      <c r="G391" s="102" t="str">
        <f t="shared" si="78"/>
        <v>Farol Vermelho</v>
      </c>
      <c r="H391" s="116">
        <f t="shared" si="76"/>
        <v>17000</v>
      </c>
      <c r="I391" s="100">
        <f t="shared" si="77"/>
        <v>6</v>
      </c>
      <c r="J391" s="119">
        <v>13</v>
      </c>
      <c r="K391" s="118">
        <f>'Monitoramento Acumulado Geral'!P391</f>
        <v>0</v>
      </c>
      <c r="L391" s="100">
        <f>$L386+L390</f>
        <v>6.4999999999999991</v>
      </c>
      <c r="M391" s="100">
        <f t="shared" si="83"/>
        <v>0</v>
      </c>
      <c r="N391" s="115">
        <v>0</v>
      </c>
      <c r="O391" s="116" t="e">
        <f t="shared" si="79"/>
        <v>#DIV/0!</v>
      </c>
      <c r="P391" s="115">
        <v>0</v>
      </c>
      <c r="Q391" s="116" t="e">
        <f t="shared" si="80"/>
        <v>#DIV/0!</v>
      </c>
      <c r="R391" s="115">
        <v>0</v>
      </c>
      <c r="S391" s="100" t="e">
        <f t="shared" si="81"/>
        <v>#DIV/0!</v>
      </c>
    </row>
    <row r="392" spans="1:19" ht="15" x14ac:dyDescent="0.2">
      <c r="A392" s="114" t="s">
        <v>64</v>
      </c>
      <c r="B392" s="100" t="s">
        <v>157</v>
      </c>
      <c r="C392" s="115">
        <v>34000</v>
      </c>
      <c r="D392" s="100">
        <f>(C392/12)*7</f>
        <v>19833.333333333336</v>
      </c>
      <c r="E392" s="103">
        <f>'Monitoramento Acumulado Geral'!Q392</f>
        <v>0</v>
      </c>
      <c r="F392" s="100">
        <f>SUM(E386:E392)</f>
        <v>0</v>
      </c>
      <c r="G392" s="102" t="str">
        <f t="shared" si="78"/>
        <v>Farol Vermelho</v>
      </c>
      <c r="H392" s="116">
        <f t="shared" si="76"/>
        <v>19833.333333333336</v>
      </c>
      <c r="I392" s="100">
        <f t="shared" si="77"/>
        <v>7</v>
      </c>
      <c r="J392" s="119">
        <v>13</v>
      </c>
      <c r="K392" s="118">
        <f>'Monitoramento Acumulado Geral'!P392</f>
        <v>0</v>
      </c>
      <c r="L392" s="100">
        <f>$L386+L391</f>
        <v>7.5833333333333321</v>
      </c>
      <c r="M392" s="100">
        <f t="shared" si="83"/>
        <v>0</v>
      </c>
      <c r="N392" s="115"/>
      <c r="O392" s="116" t="e">
        <f t="shared" si="79"/>
        <v>#DIV/0!</v>
      </c>
      <c r="P392" s="115"/>
      <c r="Q392" s="116" t="e">
        <f t="shared" si="80"/>
        <v>#DIV/0!</v>
      </c>
      <c r="R392" s="115"/>
      <c r="S392" s="100" t="e">
        <f t="shared" si="81"/>
        <v>#DIV/0!</v>
      </c>
    </row>
    <row r="393" spans="1:19" ht="15" x14ac:dyDescent="0.2">
      <c r="A393" s="114" t="s">
        <v>64</v>
      </c>
      <c r="B393" s="100" t="s">
        <v>158</v>
      </c>
      <c r="C393" s="115">
        <v>34000</v>
      </c>
      <c r="D393" s="100">
        <f>(C393/12)*8</f>
        <v>22666.666666666668</v>
      </c>
      <c r="E393" s="103">
        <f>'Monitoramento Acumulado Geral'!Q393</f>
        <v>0</v>
      </c>
      <c r="F393" s="100">
        <f>SUM(E386:E393)</f>
        <v>0</v>
      </c>
      <c r="G393" s="102" t="str">
        <f t="shared" si="78"/>
        <v>Farol Vermelho</v>
      </c>
      <c r="H393" s="116">
        <f t="shared" si="76"/>
        <v>22666.666666666668</v>
      </c>
      <c r="I393" s="100">
        <f t="shared" si="77"/>
        <v>8</v>
      </c>
      <c r="J393" s="119">
        <v>13</v>
      </c>
      <c r="K393" s="118">
        <f>'Monitoramento Acumulado Geral'!P393</f>
        <v>0</v>
      </c>
      <c r="L393" s="100">
        <f>L386+L392</f>
        <v>8.6666666666666661</v>
      </c>
      <c r="M393" s="100">
        <f t="shared" si="83"/>
        <v>0</v>
      </c>
      <c r="N393" s="115"/>
      <c r="O393" s="116" t="e">
        <f t="shared" si="79"/>
        <v>#DIV/0!</v>
      </c>
      <c r="P393" s="115"/>
      <c r="Q393" s="116" t="e">
        <f t="shared" si="80"/>
        <v>#DIV/0!</v>
      </c>
      <c r="R393" s="115"/>
      <c r="S393" s="100" t="e">
        <f t="shared" si="81"/>
        <v>#DIV/0!</v>
      </c>
    </row>
    <row r="394" spans="1:19" ht="15" x14ac:dyDescent="0.2">
      <c r="A394" s="114" t="s">
        <v>64</v>
      </c>
      <c r="B394" s="100" t="s">
        <v>159</v>
      </c>
      <c r="C394" s="115">
        <v>34000</v>
      </c>
      <c r="D394" s="100">
        <f>(C394/12)*9</f>
        <v>25500</v>
      </c>
      <c r="E394" s="103">
        <f>'Monitoramento Acumulado Geral'!Q394</f>
        <v>0</v>
      </c>
      <c r="F394" s="100">
        <f>SUM(E386:E394)</f>
        <v>0</v>
      </c>
      <c r="G394" s="102" t="str">
        <f t="shared" si="78"/>
        <v>Farol Vermelho</v>
      </c>
      <c r="H394" s="116">
        <f t="shared" si="76"/>
        <v>25500</v>
      </c>
      <c r="I394" s="100">
        <f t="shared" si="77"/>
        <v>9</v>
      </c>
      <c r="J394" s="119">
        <v>13</v>
      </c>
      <c r="K394" s="118">
        <f>'Monitoramento Acumulado Geral'!P394</f>
        <v>0</v>
      </c>
      <c r="L394" s="100">
        <f>$L386+L393</f>
        <v>9.75</v>
      </c>
      <c r="M394" s="100">
        <f t="shared" si="83"/>
        <v>0</v>
      </c>
      <c r="N394" s="115"/>
      <c r="O394" s="116" t="e">
        <f t="shared" si="79"/>
        <v>#DIV/0!</v>
      </c>
      <c r="P394" s="115"/>
      <c r="Q394" s="116" t="e">
        <f t="shared" si="80"/>
        <v>#DIV/0!</v>
      </c>
      <c r="R394" s="115"/>
      <c r="S394" s="100" t="e">
        <f t="shared" si="81"/>
        <v>#DIV/0!</v>
      </c>
    </row>
    <row r="395" spans="1:19" ht="15" x14ac:dyDescent="0.2">
      <c r="A395" s="114" t="s">
        <v>64</v>
      </c>
      <c r="B395" s="100" t="s">
        <v>160</v>
      </c>
      <c r="C395" s="115">
        <v>34000</v>
      </c>
      <c r="D395" s="100">
        <f>(C395/12)*10</f>
        <v>28333.333333333336</v>
      </c>
      <c r="E395" s="103">
        <f>'Monitoramento Acumulado Geral'!Q395</f>
        <v>0</v>
      </c>
      <c r="F395" s="100">
        <f>SUM(E386:E395)</f>
        <v>0</v>
      </c>
      <c r="G395" s="102" t="str">
        <f t="shared" si="78"/>
        <v>Farol Vermelho</v>
      </c>
      <c r="H395" s="116">
        <f t="shared" si="76"/>
        <v>28333.333333333336</v>
      </c>
      <c r="I395" s="100">
        <f t="shared" si="77"/>
        <v>10</v>
      </c>
      <c r="J395" s="119">
        <v>13</v>
      </c>
      <c r="K395" s="118">
        <f>'Monitoramento Acumulado Geral'!P395</f>
        <v>0</v>
      </c>
      <c r="L395" s="100">
        <f>$L386+L394</f>
        <v>10.833333333333334</v>
      </c>
      <c r="M395" s="100">
        <f t="shared" si="83"/>
        <v>0</v>
      </c>
      <c r="N395" s="115"/>
      <c r="O395" s="116" t="e">
        <f t="shared" si="79"/>
        <v>#DIV/0!</v>
      </c>
      <c r="P395" s="115"/>
      <c r="Q395" s="116" t="e">
        <f t="shared" si="80"/>
        <v>#DIV/0!</v>
      </c>
      <c r="R395" s="115"/>
      <c r="S395" s="100" t="e">
        <f t="shared" si="81"/>
        <v>#DIV/0!</v>
      </c>
    </row>
    <row r="396" spans="1:19" ht="15" x14ac:dyDescent="0.2">
      <c r="A396" s="114" t="s">
        <v>64</v>
      </c>
      <c r="B396" s="100" t="s">
        <v>161</v>
      </c>
      <c r="C396" s="115">
        <v>34000</v>
      </c>
      <c r="D396" s="100">
        <f>(C396/12)*11</f>
        <v>31166.666666666668</v>
      </c>
      <c r="E396" s="103">
        <f>'Monitoramento Acumulado Geral'!Q396</f>
        <v>0</v>
      </c>
      <c r="F396" s="100">
        <f>SUM(E386:E396)</f>
        <v>0</v>
      </c>
      <c r="G396" s="102" t="str">
        <f t="shared" si="78"/>
        <v>Farol Vermelho</v>
      </c>
      <c r="H396" s="116">
        <f t="shared" si="76"/>
        <v>31166.666666666668</v>
      </c>
      <c r="I396" s="100">
        <f t="shared" si="77"/>
        <v>11</v>
      </c>
      <c r="J396" s="119">
        <v>13</v>
      </c>
      <c r="K396" s="118">
        <f>'Monitoramento Acumulado Geral'!P396</f>
        <v>0</v>
      </c>
      <c r="L396" s="100">
        <f>L386+L395</f>
        <v>11.916666666666668</v>
      </c>
      <c r="M396" s="100">
        <f t="shared" si="83"/>
        <v>0</v>
      </c>
      <c r="N396" s="115"/>
      <c r="O396" s="116" t="e">
        <f t="shared" si="79"/>
        <v>#DIV/0!</v>
      </c>
      <c r="P396" s="115"/>
      <c r="Q396" s="116" t="e">
        <f t="shared" si="80"/>
        <v>#DIV/0!</v>
      </c>
      <c r="R396" s="115"/>
      <c r="S396" s="100" t="e">
        <f t="shared" si="81"/>
        <v>#DIV/0!</v>
      </c>
    </row>
    <row r="397" spans="1:19" ht="15" x14ac:dyDescent="0.2">
      <c r="A397" s="114" t="s">
        <v>64</v>
      </c>
      <c r="B397" s="100" t="s">
        <v>162</v>
      </c>
      <c r="C397" s="115">
        <v>34000</v>
      </c>
      <c r="D397" s="100">
        <f>(C397/12)*12</f>
        <v>34000</v>
      </c>
      <c r="E397" s="103">
        <f>'Monitoramento Acumulado Geral'!Q397</f>
        <v>0</v>
      </c>
      <c r="F397" s="100">
        <f>SUM(E386:E397)</f>
        <v>0</v>
      </c>
      <c r="G397" s="102" t="str">
        <f t="shared" si="78"/>
        <v>Farol Vermelho</v>
      </c>
      <c r="H397" s="116">
        <f t="shared" si="76"/>
        <v>34000</v>
      </c>
      <c r="I397" s="100">
        <f t="shared" si="77"/>
        <v>12</v>
      </c>
      <c r="J397" s="119">
        <v>13</v>
      </c>
      <c r="K397" s="118">
        <f>'Monitoramento Acumulado Geral'!P397</f>
        <v>0</v>
      </c>
      <c r="L397" s="100">
        <f>$L386+L396</f>
        <v>13.000000000000002</v>
      </c>
      <c r="M397" s="100">
        <f t="shared" si="83"/>
        <v>0</v>
      </c>
      <c r="N397" s="115"/>
      <c r="O397" s="116" t="e">
        <f t="shared" si="79"/>
        <v>#DIV/0!</v>
      </c>
      <c r="P397" s="115"/>
      <c r="Q397" s="116" t="e">
        <f t="shared" si="80"/>
        <v>#DIV/0!</v>
      </c>
      <c r="R397" s="115"/>
      <c r="S397" s="100" t="e">
        <f t="shared" si="81"/>
        <v>#DIV/0!</v>
      </c>
    </row>
    <row r="398" spans="1:19" ht="15" x14ac:dyDescent="0.2">
      <c r="A398" s="114" t="s">
        <v>135</v>
      </c>
      <c r="B398" s="100" t="s">
        <v>151</v>
      </c>
      <c r="C398" s="115">
        <v>7000</v>
      </c>
      <c r="D398" s="100">
        <f>(C398/12)*1</f>
        <v>583.33333333333337</v>
      </c>
      <c r="E398" s="103">
        <f>'Monitoramento Acumulado Geral'!Q398</f>
        <v>0</v>
      </c>
      <c r="F398" s="100">
        <f>E398</f>
        <v>0</v>
      </c>
      <c r="G398" s="102" t="str">
        <f t="shared" si="78"/>
        <v>Farol Vermelho</v>
      </c>
      <c r="H398" s="116">
        <f t="shared" si="76"/>
        <v>583.33333333333337</v>
      </c>
      <c r="I398" s="100">
        <f t="shared" si="77"/>
        <v>1</v>
      </c>
      <c r="J398" s="119">
        <v>7</v>
      </c>
      <c r="K398" s="118">
        <f>'Monitoramento Acumulado Geral'!P398</f>
        <v>0</v>
      </c>
      <c r="L398" s="100">
        <f>J398/12</f>
        <v>0.58333333333333337</v>
      </c>
      <c r="M398" s="100">
        <f>K398</f>
        <v>0</v>
      </c>
      <c r="N398" s="115">
        <v>0</v>
      </c>
      <c r="O398" s="116" t="e">
        <f t="shared" si="79"/>
        <v>#DIV/0!</v>
      </c>
      <c r="P398" s="115">
        <v>0</v>
      </c>
      <c r="Q398" s="116" t="e">
        <f t="shared" si="80"/>
        <v>#DIV/0!</v>
      </c>
      <c r="R398" s="115">
        <v>0</v>
      </c>
      <c r="S398" s="100" t="e">
        <f t="shared" si="81"/>
        <v>#DIV/0!</v>
      </c>
    </row>
    <row r="399" spans="1:19" ht="15" x14ac:dyDescent="0.2">
      <c r="A399" s="114" t="s">
        <v>135</v>
      </c>
      <c r="B399" s="100" t="s">
        <v>152</v>
      </c>
      <c r="C399" s="115">
        <v>7000</v>
      </c>
      <c r="D399" s="100">
        <f>(C399/12)*2</f>
        <v>1166.6666666666667</v>
      </c>
      <c r="E399" s="103">
        <f>'Monitoramento Acumulado Geral'!Q399</f>
        <v>0</v>
      </c>
      <c r="F399" s="100">
        <f>SUM(E398:E399)</f>
        <v>0</v>
      </c>
      <c r="G399" s="102" t="str">
        <f t="shared" si="78"/>
        <v>Farol Vermelho</v>
      </c>
      <c r="H399" s="116">
        <f t="shared" si="76"/>
        <v>1166.6666666666667</v>
      </c>
      <c r="I399" s="100">
        <f t="shared" si="77"/>
        <v>2</v>
      </c>
      <c r="J399" s="119">
        <v>7</v>
      </c>
      <c r="K399" s="118">
        <f>'Monitoramento Acumulado Geral'!P399</f>
        <v>0</v>
      </c>
      <c r="L399" s="100">
        <f>L398+L398</f>
        <v>1.1666666666666667</v>
      </c>
      <c r="M399" s="100">
        <f>M398+K399</f>
        <v>0</v>
      </c>
      <c r="N399" s="115">
        <v>0</v>
      </c>
      <c r="O399" s="116" t="e">
        <f t="shared" si="79"/>
        <v>#DIV/0!</v>
      </c>
      <c r="P399" s="115">
        <v>0</v>
      </c>
      <c r="Q399" s="116" t="e">
        <f t="shared" si="80"/>
        <v>#DIV/0!</v>
      </c>
      <c r="R399" s="115">
        <v>0</v>
      </c>
      <c r="S399" s="100" t="e">
        <f t="shared" si="81"/>
        <v>#DIV/0!</v>
      </c>
    </row>
    <row r="400" spans="1:19" ht="15" x14ac:dyDescent="0.2">
      <c r="A400" s="114" t="s">
        <v>135</v>
      </c>
      <c r="B400" s="100" t="s">
        <v>153</v>
      </c>
      <c r="C400" s="115">
        <v>7000</v>
      </c>
      <c r="D400" s="100">
        <f>(C400/12)*3</f>
        <v>1750</v>
      </c>
      <c r="E400" s="103">
        <f>'Monitoramento Acumulado Geral'!Q400</f>
        <v>0</v>
      </c>
      <c r="F400" s="100">
        <f>SUM(E398:E400)</f>
        <v>0</v>
      </c>
      <c r="G400" s="102" t="str">
        <f t="shared" si="78"/>
        <v>Farol Vermelho</v>
      </c>
      <c r="H400" s="116">
        <f t="shared" si="76"/>
        <v>1750</v>
      </c>
      <c r="I400" s="100">
        <f t="shared" si="77"/>
        <v>3</v>
      </c>
      <c r="J400" s="119">
        <v>7</v>
      </c>
      <c r="K400" s="118">
        <f>'Monitoramento Acumulado Geral'!P400</f>
        <v>0</v>
      </c>
      <c r="L400" s="100">
        <f>$L398+L399</f>
        <v>1.75</v>
      </c>
      <c r="M400" s="100">
        <f t="shared" ref="M400:M409" si="84">M399+K400</f>
        <v>0</v>
      </c>
      <c r="N400" s="115">
        <v>0</v>
      </c>
      <c r="O400" s="116" t="e">
        <f t="shared" si="79"/>
        <v>#DIV/0!</v>
      </c>
      <c r="P400" s="115">
        <v>0</v>
      </c>
      <c r="Q400" s="116" t="e">
        <f t="shared" si="80"/>
        <v>#DIV/0!</v>
      </c>
      <c r="R400" s="115">
        <v>0</v>
      </c>
      <c r="S400" s="100" t="e">
        <f t="shared" si="81"/>
        <v>#DIV/0!</v>
      </c>
    </row>
    <row r="401" spans="1:19" ht="15" x14ac:dyDescent="0.2">
      <c r="A401" s="114" t="s">
        <v>135</v>
      </c>
      <c r="B401" s="100" t="s">
        <v>154</v>
      </c>
      <c r="C401" s="115">
        <v>7000</v>
      </c>
      <c r="D401" s="100">
        <f>(C401/12)*4</f>
        <v>2333.3333333333335</v>
      </c>
      <c r="E401" s="103">
        <f>'Monitoramento Acumulado Geral'!Q401</f>
        <v>0</v>
      </c>
      <c r="F401" s="100">
        <f>SUM(E398:E401)</f>
        <v>0</v>
      </c>
      <c r="G401" s="102" t="str">
        <f t="shared" si="78"/>
        <v>Farol Vermelho</v>
      </c>
      <c r="H401" s="116">
        <f t="shared" si="76"/>
        <v>2333.3333333333335</v>
      </c>
      <c r="I401" s="100">
        <f t="shared" si="77"/>
        <v>4</v>
      </c>
      <c r="J401" s="119">
        <v>7</v>
      </c>
      <c r="K401" s="118">
        <f>'Monitoramento Acumulado Geral'!P401</f>
        <v>0</v>
      </c>
      <c r="L401" s="100">
        <f>$L398+L400</f>
        <v>2.3333333333333335</v>
      </c>
      <c r="M401" s="100">
        <f t="shared" si="84"/>
        <v>0</v>
      </c>
      <c r="N401" s="115">
        <v>0</v>
      </c>
      <c r="O401" s="116" t="e">
        <f t="shared" si="79"/>
        <v>#DIV/0!</v>
      </c>
      <c r="P401" s="115">
        <v>0</v>
      </c>
      <c r="Q401" s="116" t="e">
        <f t="shared" si="80"/>
        <v>#DIV/0!</v>
      </c>
      <c r="R401" s="115">
        <v>0</v>
      </c>
      <c r="S401" s="100" t="e">
        <f t="shared" si="81"/>
        <v>#DIV/0!</v>
      </c>
    </row>
    <row r="402" spans="1:19" ht="15" x14ac:dyDescent="0.2">
      <c r="A402" s="114" t="s">
        <v>135</v>
      </c>
      <c r="B402" s="100" t="s">
        <v>155</v>
      </c>
      <c r="C402" s="115">
        <v>7000</v>
      </c>
      <c r="D402" s="100">
        <f>(C402/12)*5</f>
        <v>2916.666666666667</v>
      </c>
      <c r="E402" s="103">
        <f>'Monitoramento Acumulado Geral'!Q402</f>
        <v>1400</v>
      </c>
      <c r="F402" s="100">
        <f>SUM(E398:E402)</f>
        <v>1400</v>
      </c>
      <c r="G402" s="102" t="str">
        <f t="shared" si="78"/>
        <v>Farol Vermelho</v>
      </c>
      <c r="H402" s="116">
        <f t="shared" si="76"/>
        <v>1516.666666666667</v>
      </c>
      <c r="I402" s="100">
        <f t="shared" si="77"/>
        <v>5</v>
      </c>
      <c r="J402" s="119">
        <v>7</v>
      </c>
      <c r="K402" s="118">
        <f>'Monitoramento Acumulado Geral'!P402</f>
        <v>1</v>
      </c>
      <c r="L402" s="100">
        <f>L398+L401</f>
        <v>2.916666666666667</v>
      </c>
      <c r="M402" s="100">
        <f t="shared" si="84"/>
        <v>1</v>
      </c>
      <c r="N402" s="115">
        <v>1</v>
      </c>
      <c r="O402" s="116">
        <f t="shared" si="79"/>
        <v>1</v>
      </c>
      <c r="P402" s="115">
        <v>1</v>
      </c>
      <c r="Q402" s="116">
        <f t="shared" si="80"/>
        <v>1</v>
      </c>
      <c r="R402" s="115">
        <v>1</v>
      </c>
      <c r="S402" s="100">
        <f t="shared" si="81"/>
        <v>1</v>
      </c>
    </row>
    <row r="403" spans="1:19" ht="15" x14ac:dyDescent="0.2">
      <c r="A403" s="114" t="s">
        <v>135</v>
      </c>
      <c r="B403" s="100" t="s">
        <v>156</v>
      </c>
      <c r="C403" s="115">
        <v>7000</v>
      </c>
      <c r="D403" s="100">
        <f>(C403/12)*6</f>
        <v>3500</v>
      </c>
      <c r="E403" s="103">
        <f>'Monitoramento Acumulado Geral'!Q403</f>
        <v>1400</v>
      </c>
      <c r="F403" s="100">
        <f>SUM(E398:E403)</f>
        <v>2800</v>
      </c>
      <c r="G403" s="102" t="str">
        <f t="shared" si="78"/>
        <v>Farol Vermelho</v>
      </c>
      <c r="H403" s="116">
        <f t="shared" si="76"/>
        <v>700</v>
      </c>
      <c r="I403" s="100">
        <f t="shared" si="77"/>
        <v>6</v>
      </c>
      <c r="J403" s="119">
        <v>7</v>
      </c>
      <c r="K403" s="118">
        <f>'Monitoramento Acumulado Geral'!P403</f>
        <v>1</v>
      </c>
      <c r="L403" s="100">
        <f>$L398+L402</f>
        <v>3.5000000000000004</v>
      </c>
      <c r="M403" s="100">
        <f t="shared" si="84"/>
        <v>2</v>
      </c>
      <c r="N403" s="115">
        <v>1</v>
      </c>
      <c r="O403" s="116">
        <f t="shared" si="79"/>
        <v>1</v>
      </c>
      <c r="P403" s="115">
        <v>1</v>
      </c>
      <c r="Q403" s="116">
        <f t="shared" si="80"/>
        <v>1</v>
      </c>
      <c r="R403" s="115">
        <v>1</v>
      </c>
      <c r="S403" s="100">
        <f t="shared" si="81"/>
        <v>1</v>
      </c>
    </row>
    <row r="404" spans="1:19" ht="15" x14ac:dyDescent="0.2">
      <c r="A404" s="114" t="s">
        <v>135</v>
      </c>
      <c r="B404" s="100" t="s">
        <v>157</v>
      </c>
      <c r="C404" s="115">
        <v>7000</v>
      </c>
      <c r="D404" s="100">
        <f>(C404/12)*7</f>
        <v>4083.3333333333335</v>
      </c>
      <c r="E404" s="103">
        <f>'Monitoramento Acumulado Geral'!Q404</f>
        <v>1200</v>
      </c>
      <c r="F404" s="100">
        <f>SUM(E398:E404)</f>
        <v>4000</v>
      </c>
      <c r="G404" s="102" t="str">
        <f t="shared" si="78"/>
        <v>Farol Amarelo</v>
      </c>
      <c r="H404" s="116">
        <f t="shared" si="76"/>
        <v>83.333333333333485</v>
      </c>
      <c r="I404" s="100">
        <f t="shared" si="77"/>
        <v>7</v>
      </c>
      <c r="J404" s="119">
        <v>7</v>
      </c>
      <c r="K404" s="118">
        <f>'Monitoramento Acumulado Geral'!P404</f>
        <v>1</v>
      </c>
      <c r="L404" s="100">
        <f>$L398+L403</f>
        <v>4.0833333333333339</v>
      </c>
      <c r="M404" s="100">
        <f t="shared" si="84"/>
        <v>3</v>
      </c>
      <c r="N404" s="115"/>
      <c r="O404" s="116" t="e">
        <f t="shared" si="79"/>
        <v>#DIV/0!</v>
      </c>
      <c r="P404" s="115"/>
      <c r="Q404" s="116" t="e">
        <f t="shared" si="80"/>
        <v>#DIV/0!</v>
      </c>
      <c r="R404" s="115"/>
      <c r="S404" s="100" t="e">
        <f t="shared" si="81"/>
        <v>#DIV/0!</v>
      </c>
    </row>
    <row r="405" spans="1:19" ht="15" x14ac:dyDescent="0.2">
      <c r="A405" s="114" t="s">
        <v>135</v>
      </c>
      <c r="B405" s="100" t="s">
        <v>158</v>
      </c>
      <c r="C405" s="115">
        <v>7000</v>
      </c>
      <c r="D405" s="100">
        <f>(C405/12)*8</f>
        <v>4666.666666666667</v>
      </c>
      <c r="E405" s="103">
        <f>'Monitoramento Acumulado Geral'!Q405</f>
        <v>1500</v>
      </c>
      <c r="F405" s="100">
        <f>SUM(E398:E405)</f>
        <v>5500</v>
      </c>
      <c r="G405" s="102" t="str">
        <f t="shared" si="78"/>
        <v>Farol Verde</v>
      </c>
      <c r="H405" s="116">
        <f t="shared" si="76"/>
        <v>0</v>
      </c>
      <c r="I405" s="100">
        <f t="shared" si="77"/>
        <v>8</v>
      </c>
      <c r="J405" s="119">
        <v>7</v>
      </c>
      <c r="K405" s="118">
        <f>'Monitoramento Acumulado Geral'!P405</f>
        <v>1</v>
      </c>
      <c r="L405" s="100">
        <f>L398+L404</f>
        <v>4.666666666666667</v>
      </c>
      <c r="M405" s="100">
        <f t="shared" si="84"/>
        <v>4</v>
      </c>
      <c r="N405" s="115"/>
      <c r="O405" s="116" t="e">
        <f t="shared" si="79"/>
        <v>#DIV/0!</v>
      </c>
      <c r="P405" s="115"/>
      <c r="Q405" s="116" t="e">
        <f t="shared" si="80"/>
        <v>#DIV/0!</v>
      </c>
      <c r="R405" s="115"/>
      <c r="S405" s="100" t="e">
        <f t="shared" si="81"/>
        <v>#DIV/0!</v>
      </c>
    </row>
    <row r="406" spans="1:19" ht="15" x14ac:dyDescent="0.2">
      <c r="A406" s="114" t="s">
        <v>135</v>
      </c>
      <c r="B406" s="100" t="s">
        <v>159</v>
      </c>
      <c r="C406" s="115">
        <v>7000</v>
      </c>
      <c r="D406" s="100">
        <f>(C406/12)*9</f>
        <v>5250</v>
      </c>
      <c r="E406" s="103">
        <f>'Monitoramento Acumulado Geral'!Q406</f>
        <v>50</v>
      </c>
      <c r="F406" s="100">
        <f>SUM(E398:E406)</f>
        <v>5550</v>
      </c>
      <c r="G406" s="102" t="str">
        <f t="shared" si="78"/>
        <v>Farol Verde</v>
      </c>
      <c r="H406" s="116">
        <f t="shared" si="76"/>
        <v>0</v>
      </c>
      <c r="I406" s="100">
        <f t="shared" si="77"/>
        <v>9</v>
      </c>
      <c r="J406" s="119">
        <v>7</v>
      </c>
      <c r="K406" s="118">
        <f>'Monitoramento Acumulado Geral'!P406</f>
        <v>1</v>
      </c>
      <c r="L406" s="100">
        <f>$L398+L405</f>
        <v>5.25</v>
      </c>
      <c r="M406" s="100">
        <f t="shared" si="84"/>
        <v>5</v>
      </c>
      <c r="N406" s="115"/>
      <c r="O406" s="116" t="e">
        <f t="shared" si="79"/>
        <v>#DIV/0!</v>
      </c>
      <c r="P406" s="115"/>
      <c r="Q406" s="116" t="e">
        <f t="shared" si="80"/>
        <v>#DIV/0!</v>
      </c>
      <c r="R406" s="115"/>
      <c r="S406" s="100" t="e">
        <f t="shared" si="81"/>
        <v>#DIV/0!</v>
      </c>
    </row>
    <row r="407" spans="1:19" ht="15" x14ac:dyDescent="0.2">
      <c r="A407" s="114" t="s">
        <v>135</v>
      </c>
      <c r="B407" s="100" t="s">
        <v>160</v>
      </c>
      <c r="C407" s="115">
        <v>7000</v>
      </c>
      <c r="D407" s="100">
        <f>(C407/12)*10</f>
        <v>5833.3333333333339</v>
      </c>
      <c r="E407" s="103">
        <f>'Monitoramento Acumulado Geral'!Q407</f>
        <v>0</v>
      </c>
      <c r="F407" s="100">
        <f>SUM(E398:E407)</f>
        <v>5550</v>
      </c>
      <c r="G407" s="102" t="str">
        <f t="shared" si="78"/>
        <v>Farol Amarelo</v>
      </c>
      <c r="H407" s="116">
        <f t="shared" si="76"/>
        <v>283.33333333333394</v>
      </c>
      <c r="I407" s="100">
        <f t="shared" si="77"/>
        <v>10</v>
      </c>
      <c r="J407" s="119">
        <v>7</v>
      </c>
      <c r="K407" s="118">
        <f>'Monitoramento Acumulado Geral'!P407</f>
        <v>0</v>
      </c>
      <c r="L407" s="100">
        <f>$L398+L406</f>
        <v>5.833333333333333</v>
      </c>
      <c r="M407" s="100">
        <f t="shared" si="84"/>
        <v>5</v>
      </c>
      <c r="N407" s="115"/>
      <c r="O407" s="116" t="e">
        <f t="shared" si="79"/>
        <v>#DIV/0!</v>
      </c>
      <c r="P407" s="115"/>
      <c r="Q407" s="116" t="e">
        <f t="shared" si="80"/>
        <v>#DIV/0!</v>
      </c>
      <c r="R407" s="115"/>
      <c r="S407" s="100" t="e">
        <f t="shared" si="81"/>
        <v>#DIV/0!</v>
      </c>
    </row>
    <row r="408" spans="1:19" ht="15" x14ac:dyDescent="0.2">
      <c r="A408" s="114" t="s">
        <v>135</v>
      </c>
      <c r="B408" s="100" t="s">
        <v>161</v>
      </c>
      <c r="C408" s="115">
        <v>7000</v>
      </c>
      <c r="D408" s="100">
        <f>(C408/12)*11</f>
        <v>6416.666666666667</v>
      </c>
      <c r="E408" s="103">
        <f>'Monitoramento Acumulado Geral'!Q408</f>
        <v>0</v>
      </c>
      <c r="F408" s="100">
        <f>SUM(E398:E408)</f>
        <v>5550</v>
      </c>
      <c r="G408" s="102" t="str">
        <f t="shared" si="78"/>
        <v>Farol Amarelo</v>
      </c>
      <c r="H408" s="116">
        <f t="shared" si="76"/>
        <v>866.66666666666697</v>
      </c>
      <c r="I408" s="100">
        <f t="shared" si="77"/>
        <v>11</v>
      </c>
      <c r="J408" s="119">
        <v>7</v>
      </c>
      <c r="K408" s="118">
        <f>'Monitoramento Acumulado Geral'!P408</f>
        <v>0</v>
      </c>
      <c r="L408" s="100">
        <f>L398+L407</f>
        <v>6.4166666666666661</v>
      </c>
      <c r="M408" s="100">
        <f t="shared" si="84"/>
        <v>5</v>
      </c>
      <c r="N408" s="115"/>
      <c r="O408" s="116" t="e">
        <f t="shared" si="79"/>
        <v>#DIV/0!</v>
      </c>
      <c r="P408" s="115"/>
      <c r="Q408" s="116" t="e">
        <f t="shared" si="80"/>
        <v>#DIV/0!</v>
      </c>
      <c r="R408" s="115"/>
      <c r="S408" s="100" t="e">
        <f t="shared" si="81"/>
        <v>#DIV/0!</v>
      </c>
    </row>
    <row r="409" spans="1:19" ht="15" x14ac:dyDescent="0.2">
      <c r="A409" s="114" t="s">
        <v>135</v>
      </c>
      <c r="B409" s="100" t="s">
        <v>162</v>
      </c>
      <c r="C409" s="115">
        <v>7000</v>
      </c>
      <c r="D409" s="100">
        <f>(C409/12)*12</f>
        <v>7000</v>
      </c>
      <c r="E409" s="103">
        <f>'Monitoramento Acumulado Geral'!Q409</f>
        <v>0</v>
      </c>
      <c r="F409" s="100">
        <f>SUM(E398:E409)</f>
        <v>5550</v>
      </c>
      <c r="G409" s="102" t="str">
        <f t="shared" si="78"/>
        <v>Farol Vermelho</v>
      </c>
      <c r="H409" s="116">
        <f t="shared" si="76"/>
        <v>1450</v>
      </c>
      <c r="I409" s="100">
        <f t="shared" si="77"/>
        <v>12</v>
      </c>
      <c r="J409" s="119">
        <v>7</v>
      </c>
      <c r="K409" s="118">
        <f>'Monitoramento Acumulado Geral'!P409</f>
        <v>0</v>
      </c>
      <c r="L409" s="100">
        <f>$L398+L408</f>
        <v>6.9999999999999991</v>
      </c>
      <c r="M409" s="100">
        <f t="shared" si="84"/>
        <v>5</v>
      </c>
      <c r="N409" s="115"/>
      <c r="O409" s="116" t="e">
        <f t="shared" si="79"/>
        <v>#DIV/0!</v>
      </c>
      <c r="P409" s="115"/>
      <c r="Q409" s="116" t="e">
        <f t="shared" si="80"/>
        <v>#DIV/0!</v>
      </c>
      <c r="R409" s="115"/>
      <c r="S409" s="100" t="e">
        <f t="shared" si="81"/>
        <v>#DIV/0!</v>
      </c>
    </row>
    <row r="410" spans="1:19" ht="15" x14ac:dyDescent="0.2">
      <c r="A410" s="114" t="s">
        <v>103</v>
      </c>
      <c r="B410" s="100" t="s">
        <v>151</v>
      </c>
      <c r="C410" s="115">
        <v>102000</v>
      </c>
      <c r="D410" s="100">
        <f>(C410/12)*1</f>
        <v>8500</v>
      </c>
      <c r="E410" s="103">
        <f>'Monitoramento Acumulado Geral'!Q410</f>
        <v>0</v>
      </c>
      <c r="F410" s="100">
        <f>E410</f>
        <v>0</v>
      </c>
      <c r="G410" s="102" t="str">
        <f t="shared" si="78"/>
        <v>Farol Vermelho</v>
      </c>
      <c r="H410" s="116">
        <f t="shared" si="76"/>
        <v>8500</v>
      </c>
      <c r="I410" s="100">
        <f t="shared" si="77"/>
        <v>1</v>
      </c>
      <c r="J410" s="119">
        <v>40</v>
      </c>
      <c r="K410" s="118">
        <f>'Monitoramento Acumulado Geral'!P410</f>
        <v>0</v>
      </c>
      <c r="L410" s="100">
        <f>J410/12</f>
        <v>3.3333333333333335</v>
      </c>
      <c r="M410" s="100">
        <f>K410</f>
        <v>0</v>
      </c>
      <c r="N410" s="115">
        <v>0</v>
      </c>
      <c r="O410" s="116" t="e">
        <f t="shared" si="79"/>
        <v>#DIV/0!</v>
      </c>
      <c r="P410" s="115">
        <v>0</v>
      </c>
      <c r="Q410" s="116" t="e">
        <f t="shared" si="80"/>
        <v>#DIV/0!</v>
      </c>
      <c r="R410" s="115">
        <v>0</v>
      </c>
      <c r="S410" s="100" t="e">
        <f t="shared" si="81"/>
        <v>#DIV/0!</v>
      </c>
    </row>
    <row r="411" spans="1:19" ht="15" x14ac:dyDescent="0.2">
      <c r="A411" s="114" t="s">
        <v>103</v>
      </c>
      <c r="B411" s="100" t="s">
        <v>152</v>
      </c>
      <c r="C411" s="115">
        <v>102000</v>
      </c>
      <c r="D411" s="100">
        <f>(C411/12)*2</f>
        <v>17000</v>
      </c>
      <c r="E411" s="103">
        <f>'Monitoramento Acumulado Geral'!Q411</f>
        <v>3900</v>
      </c>
      <c r="F411" s="100">
        <f>SUM(E410:E411)</f>
        <v>3900</v>
      </c>
      <c r="G411" s="102" t="str">
        <f t="shared" si="78"/>
        <v>Farol Vermelho</v>
      </c>
      <c r="H411" s="116">
        <f t="shared" si="76"/>
        <v>13100</v>
      </c>
      <c r="I411" s="100">
        <f t="shared" si="77"/>
        <v>2</v>
      </c>
      <c r="J411" s="119">
        <v>40</v>
      </c>
      <c r="K411" s="118">
        <f>'Monitoramento Acumulado Geral'!P411</f>
        <v>2</v>
      </c>
      <c r="L411" s="100">
        <f>L410+L410</f>
        <v>6.666666666666667</v>
      </c>
      <c r="M411" s="100">
        <f>M410+K411</f>
        <v>2</v>
      </c>
      <c r="N411" s="115">
        <v>0</v>
      </c>
      <c r="O411" s="116" t="e">
        <f t="shared" si="79"/>
        <v>#DIV/0!</v>
      </c>
      <c r="P411" s="115">
        <v>0</v>
      </c>
      <c r="Q411" s="116" t="e">
        <f t="shared" si="80"/>
        <v>#DIV/0!</v>
      </c>
      <c r="R411" s="115">
        <v>0</v>
      </c>
      <c r="S411" s="100" t="e">
        <f t="shared" si="81"/>
        <v>#DIV/0!</v>
      </c>
    </row>
    <row r="412" spans="1:19" ht="15" x14ac:dyDescent="0.2">
      <c r="A412" s="114" t="s">
        <v>103</v>
      </c>
      <c r="B412" s="100" t="s">
        <v>153</v>
      </c>
      <c r="C412" s="115">
        <v>102000</v>
      </c>
      <c r="D412" s="100">
        <f>(C412/12)*3</f>
        <v>25500</v>
      </c>
      <c r="E412" s="103">
        <f>'Monitoramento Acumulado Geral'!Q412</f>
        <v>8000</v>
      </c>
      <c r="F412" s="100">
        <f>SUM(E410:E412)</f>
        <v>11900</v>
      </c>
      <c r="G412" s="102" t="str">
        <f t="shared" si="78"/>
        <v>Farol Vermelho</v>
      </c>
      <c r="H412" s="116">
        <f t="shared" si="76"/>
        <v>13600</v>
      </c>
      <c r="I412" s="100">
        <f t="shared" si="77"/>
        <v>3</v>
      </c>
      <c r="J412" s="119">
        <v>40</v>
      </c>
      <c r="K412" s="118">
        <f>'Monitoramento Acumulado Geral'!P412</f>
        <v>3</v>
      </c>
      <c r="L412" s="100">
        <f>$L410+L411</f>
        <v>10</v>
      </c>
      <c r="M412" s="100">
        <f t="shared" ref="M412:M421" si="85">M411+K412</f>
        <v>5</v>
      </c>
      <c r="N412" s="115">
        <v>0</v>
      </c>
      <c r="O412" s="116" t="e">
        <f t="shared" si="79"/>
        <v>#DIV/0!</v>
      </c>
      <c r="P412" s="115">
        <v>0</v>
      </c>
      <c r="Q412" s="116" t="e">
        <f t="shared" si="80"/>
        <v>#DIV/0!</v>
      </c>
      <c r="R412" s="115">
        <v>0</v>
      </c>
      <c r="S412" s="100" t="e">
        <f t="shared" si="81"/>
        <v>#DIV/0!</v>
      </c>
    </row>
    <row r="413" spans="1:19" ht="15" x14ac:dyDescent="0.2">
      <c r="A413" s="114" t="s">
        <v>103</v>
      </c>
      <c r="B413" s="100" t="s">
        <v>154</v>
      </c>
      <c r="C413" s="115">
        <v>102000</v>
      </c>
      <c r="D413" s="100">
        <f>(C413/12)*4</f>
        <v>34000</v>
      </c>
      <c r="E413" s="103">
        <f>'Monitoramento Acumulado Geral'!Q413</f>
        <v>0</v>
      </c>
      <c r="F413" s="100">
        <f>SUM(E410:E413)</f>
        <v>11900</v>
      </c>
      <c r="G413" s="102" t="str">
        <f t="shared" si="78"/>
        <v>Farol Vermelho</v>
      </c>
      <c r="H413" s="116">
        <f t="shared" si="76"/>
        <v>22100</v>
      </c>
      <c r="I413" s="100">
        <f t="shared" si="77"/>
        <v>4</v>
      </c>
      <c r="J413" s="119">
        <v>40</v>
      </c>
      <c r="K413" s="118">
        <f>'Monitoramento Acumulado Geral'!P413</f>
        <v>0</v>
      </c>
      <c r="L413" s="100">
        <f>$L410+L412</f>
        <v>13.333333333333334</v>
      </c>
      <c r="M413" s="100">
        <f t="shared" si="85"/>
        <v>5</v>
      </c>
      <c r="N413" s="115">
        <v>0</v>
      </c>
      <c r="O413" s="116" t="e">
        <f t="shared" si="79"/>
        <v>#DIV/0!</v>
      </c>
      <c r="P413" s="115">
        <v>0</v>
      </c>
      <c r="Q413" s="116" t="e">
        <f t="shared" si="80"/>
        <v>#DIV/0!</v>
      </c>
      <c r="R413" s="115">
        <v>0</v>
      </c>
      <c r="S413" s="100" t="e">
        <f t="shared" si="81"/>
        <v>#DIV/0!</v>
      </c>
    </row>
    <row r="414" spans="1:19" ht="15" x14ac:dyDescent="0.2">
      <c r="A414" s="114" t="s">
        <v>103</v>
      </c>
      <c r="B414" s="100" t="s">
        <v>155</v>
      </c>
      <c r="C414" s="115">
        <v>102000</v>
      </c>
      <c r="D414" s="100">
        <f>(C414/12)*5</f>
        <v>42500</v>
      </c>
      <c r="E414" s="103">
        <f>'Monitoramento Acumulado Geral'!Q414</f>
        <v>0</v>
      </c>
      <c r="F414" s="100">
        <f>SUM(E410:E414)</f>
        <v>11900</v>
      </c>
      <c r="G414" s="102" t="str">
        <f t="shared" si="78"/>
        <v>Farol Vermelho</v>
      </c>
      <c r="H414" s="116">
        <f t="shared" si="76"/>
        <v>30600</v>
      </c>
      <c r="I414" s="100">
        <f t="shared" si="77"/>
        <v>5</v>
      </c>
      <c r="J414" s="119">
        <v>40</v>
      </c>
      <c r="K414" s="118">
        <f>'Monitoramento Acumulado Geral'!P414</f>
        <v>0</v>
      </c>
      <c r="L414" s="100">
        <f>L410+L413</f>
        <v>16.666666666666668</v>
      </c>
      <c r="M414" s="100">
        <f t="shared" si="85"/>
        <v>5</v>
      </c>
      <c r="N414" s="115">
        <v>4</v>
      </c>
      <c r="O414" s="116">
        <f t="shared" si="79"/>
        <v>0.75</v>
      </c>
      <c r="P414" s="115">
        <v>3</v>
      </c>
      <c r="Q414" s="116">
        <f t="shared" si="80"/>
        <v>0</v>
      </c>
      <c r="R414" s="115">
        <v>0</v>
      </c>
      <c r="S414" s="100">
        <f t="shared" si="81"/>
        <v>0</v>
      </c>
    </row>
    <row r="415" spans="1:19" ht="15" x14ac:dyDescent="0.2">
      <c r="A415" s="114" t="s">
        <v>103</v>
      </c>
      <c r="B415" s="100" t="s">
        <v>156</v>
      </c>
      <c r="C415" s="115">
        <v>102000</v>
      </c>
      <c r="D415" s="100">
        <f>(C415/12)*6</f>
        <v>51000</v>
      </c>
      <c r="E415" s="103">
        <f>'Monitoramento Acumulado Geral'!Q415</f>
        <v>0</v>
      </c>
      <c r="F415" s="100">
        <f>SUM(E410:E415)</f>
        <v>11900</v>
      </c>
      <c r="G415" s="102" t="str">
        <f t="shared" si="78"/>
        <v>Farol Vermelho</v>
      </c>
      <c r="H415" s="116">
        <f t="shared" si="76"/>
        <v>39100</v>
      </c>
      <c r="I415" s="100">
        <f t="shared" si="77"/>
        <v>6</v>
      </c>
      <c r="J415" s="119">
        <v>40</v>
      </c>
      <c r="K415" s="118">
        <f>'Monitoramento Acumulado Geral'!P415</f>
        <v>0</v>
      </c>
      <c r="L415" s="100">
        <f>$L410+L414</f>
        <v>20</v>
      </c>
      <c r="M415" s="100">
        <f t="shared" si="85"/>
        <v>5</v>
      </c>
      <c r="N415" s="115"/>
      <c r="O415" s="116" t="e">
        <f t="shared" si="79"/>
        <v>#DIV/0!</v>
      </c>
      <c r="P415" s="115"/>
      <c r="Q415" s="116" t="e">
        <f t="shared" si="80"/>
        <v>#DIV/0!</v>
      </c>
      <c r="R415" s="115"/>
      <c r="S415" s="100" t="e">
        <f t="shared" si="81"/>
        <v>#DIV/0!</v>
      </c>
    </row>
    <row r="416" spans="1:19" ht="15" x14ac:dyDescent="0.2">
      <c r="A416" s="114" t="s">
        <v>103</v>
      </c>
      <c r="B416" s="100" t="s">
        <v>157</v>
      </c>
      <c r="C416" s="115">
        <v>102000</v>
      </c>
      <c r="D416" s="100">
        <f>(C416/12)*7</f>
        <v>59500</v>
      </c>
      <c r="E416" s="103">
        <f>'Monitoramento Acumulado Geral'!Q416</f>
        <v>0</v>
      </c>
      <c r="F416" s="100">
        <f>SUM(E410:E416)</f>
        <v>11900</v>
      </c>
      <c r="G416" s="102" t="str">
        <f t="shared" si="78"/>
        <v>Farol Vermelho</v>
      </c>
      <c r="H416" s="116">
        <f t="shared" si="76"/>
        <v>47600</v>
      </c>
      <c r="I416" s="100">
        <f t="shared" si="77"/>
        <v>7</v>
      </c>
      <c r="J416" s="119">
        <v>40</v>
      </c>
      <c r="K416" s="118">
        <f>'Monitoramento Acumulado Geral'!P416</f>
        <v>0</v>
      </c>
      <c r="L416" s="100">
        <f>$L410+L415</f>
        <v>23.333333333333332</v>
      </c>
      <c r="M416" s="100">
        <f t="shared" si="85"/>
        <v>5</v>
      </c>
      <c r="N416" s="115"/>
      <c r="O416" s="116" t="e">
        <f t="shared" si="79"/>
        <v>#DIV/0!</v>
      </c>
      <c r="P416" s="115"/>
      <c r="Q416" s="116" t="e">
        <f t="shared" si="80"/>
        <v>#DIV/0!</v>
      </c>
      <c r="R416" s="115"/>
      <c r="S416" s="100" t="e">
        <f t="shared" si="81"/>
        <v>#DIV/0!</v>
      </c>
    </row>
    <row r="417" spans="1:19" ht="15" x14ac:dyDescent="0.2">
      <c r="A417" s="114" t="s">
        <v>103</v>
      </c>
      <c r="B417" s="100" t="s">
        <v>158</v>
      </c>
      <c r="C417" s="115">
        <v>102000</v>
      </c>
      <c r="D417" s="100">
        <f>(C417/12)*8</f>
        <v>68000</v>
      </c>
      <c r="E417" s="103">
        <f>'Monitoramento Acumulado Geral'!Q417</f>
        <v>22784.5</v>
      </c>
      <c r="F417" s="100">
        <f>SUM(E410:E417)</f>
        <v>34684.5</v>
      </c>
      <c r="G417" s="102" t="str">
        <f t="shared" si="78"/>
        <v>Farol Vermelho</v>
      </c>
      <c r="H417" s="116">
        <f t="shared" si="76"/>
        <v>33315.5</v>
      </c>
      <c r="I417" s="100">
        <f t="shared" si="77"/>
        <v>8</v>
      </c>
      <c r="J417" s="119">
        <v>40</v>
      </c>
      <c r="K417" s="118">
        <f>'Monitoramento Acumulado Geral'!P417</f>
        <v>9</v>
      </c>
      <c r="L417" s="100">
        <f>L410+L416</f>
        <v>26.666666666666664</v>
      </c>
      <c r="M417" s="100">
        <f t="shared" si="85"/>
        <v>14</v>
      </c>
      <c r="N417" s="115"/>
      <c r="O417" s="116" t="e">
        <f t="shared" si="79"/>
        <v>#DIV/0!</v>
      </c>
      <c r="P417" s="115"/>
      <c r="Q417" s="116" t="e">
        <f t="shared" si="80"/>
        <v>#DIV/0!</v>
      </c>
      <c r="R417" s="115"/>
      <c r="S417" s="100" t="e">
        <f t="shared" si="81"/>
        <v>#DIV/0!</v>
      </c>
    </row>
    <row r="418" spans="1:19" ht="15" x14ac:dyDescent="0.2">
      <c r="A418" s="114" t="s">
        <v>103</v>
      </c>
      <c r="B418" s="100" t="s">
        <v>159</v>
      </c>
      <c r="C418" s="115">
        <v>102000</v>
      </c>
      <c r="D418" s="100">
        <f>(C418/12)*9</f>
        <v>76500</v>
      </c>
      <c r="E418" s="103">
        <f>'Monitoramento Acumulado Geral'!Q418</f>
        <v>0</v>
      </c>
      <c r="F418" s="100">
        <f>SUM(E410:E418)</f>
        <v>34684.5</v>
      </c>
      <c r="G418" s="102" t="str">
        <f t="shared" si="78"/>
        <v>Farol Vermelho</v>
      </c>
      <c r="H418" s="116">
        <f t="shared" si="76"/>
        <v>41815.5</v>
      </c>
      <c r="I418" s="100">
        <f t="shared" si="77"/>
        <v>9</v>
      </c>
      <c r="J418" s="119">
        <v>40</v>
      </c>
      <c r="K418" s="118">
        <f>'Monitoramento Acumulado Geral'!P418</f>
        <v>0</v>
      </c>
      <c r="L418" s="100">
        <f>$L410+L417</f>
        <v>29.999999999999996</v>
      </c>
      <c r="M418" s="100">
        <f t="shared" si="85"/>
        <v>14</v>
      </c>
      <c r="N418" s="115"/>
      <c r="O418" s="116" t="e">
        <f t="shared" si="79"/>
        <v>#DIV/0!</v>
      </c>
      <c r="P418" s="115"/>
      <c r="Q418" s="116" t="e">
        <f t="shared" si="80"/>
        <v>#DIV/0!</v>
      </c>
      <c r="R418" s="115"/>
      <c r="S418" s="100" t="e">
        <f t="shared" si="81"/>
        <v>#DIV/0!</v>
      </c>
    </row>
    <row r="419" spans="1:19" ht="15" x14ac:dyDescent="0.2">
      <c r="A419" s="114" t="s">
        <v>103</v>
      </c>
      <c r="B419" s="100" t="s">
        <v>160</v>
      </c>
      <c r="C419" s="115">
        <v>102000</v>
      </c>
      <c r="D419" s="100">
        <f>(C419/12)*10</f>
        <v>85000</v>
      </c>
      <c r="E419" s="103">
        <f>'Monitoramento Acumulado Geral'!Q419</f>
        <v>0</v>
      </c>
      <c r="F419" s="100">
        <f>SUM(E410:E419)</f>
        <v>34684.5</v>
      </c>
      <c r="G419" s="102" t="str">
        <f t="shared" si="78"/>
        <v>Farol Vermelho</v>
      </c>
      <c r="H419" s="116">
        <f t="shared" si="76"/>
        <v>50315.5</v>
      </c>
      <c r="I419" s="100">
        <f t="shared" si="77"/>
        <v>10</v>
      </c>
      <c r="J419" s="119">
        <v>40</v>
      </c>
      <c r="K419" s="118">
        <f>'Monitoramento Acumulado Geral'!P419</f>
        <v>0</v>
      </c>
      <c r="L419" s="100">
        <f>$L410+L418</f>
        <v>33.333333333333329</v>
      </c>
      <c r="M419" s="100">
        <f t="shared" si="85"/>
        <v>14</v>
      </c>
      <c r="N419" s="115"/>
      <c r="O419" s="116" t="e">
        <f t="shared" si="79"/>
        <v>#DIV/0!</v>
      </c>
      <c r="P419" s="115"/>
      <c r="Q419" s="116" t="e">
        <f t="shared" si="80"/>
        <v>#DIV/0!</v>
      </c>
      <c r="R419" s="115"/>
      <c r="S419" s="100" t="e">
        <f t="shared" si="81"/>
        <v>#DIV/0!</v>
      </c>
    </row>
    <row r="420" spans="1:19" ht="15" x14ac:dyDescent="0.2">
      <c r="A420" s="114" t="s">
        <v>103</v>
      </c>
      <c r="B420" s="100" t="s">
        <v>161</v>
      </c>
      <c r="C420" s="115">
        <v>102000</v>
      </c>
      <c r="D420" s="100">
        <f>(C420/12)*11</f>
        <v>93500</v>
      </c>
      <c r="E420" s="103">
        <f>'Monitoramento Acumulado Geral'!Q420</f>
        <v>0</v>
      </c>
      <c r="F420" s="100">
        <f>SUM(E410:E420)</f>
        <v>34684.5</v>
      </c>
      <c r="G420" s="102" t="str">
        <f t="shared" si="78"/>
        <v>Farol Vermelho</v>
      </c>
      <c r="H420" s="116">
        <f t="shared" si="76"/>
        <v>58815.5</v>
      </c>
      <c r="I420" s="100">
        <f t="shared" si="77"/>
        <v>11</v>
      </c>
      <c r="J420" s="119">
        <v>40</v>
      </c>
      <c r="K420" s="118">
        <f>'Monitoramento Acumulado Geral'!P420</f>
        <v>0</v>
      </c>
      <c r="L420" s="100">
        <f>L410+L419</f>
        <v>36.666666666666664</v>
      </c>
      <c r="M420" s="100">
        <f t="shared" si="85"/>
        <v>14</v>
      </c>
      <c r="N420" s="115"/>
      <c r="O420" s="116" t="e">
        <f t="shared" si="79"/>
        <v>#DIV/0!</v>
      </c>
      <c r="P420" s="115"/>
      <c r="Q420" s="116" t="e">
        <f t="shared" si="80"/>
        <v>#DIV/0!</v>
      </c>
      <c r="R420" s="115"/>
      <c r="S420" s="100" t="e">
        <f t="shared" si="81"/>
        <v>#DIV/0!</v>
      </c>
    </row>
    <row r="421" spans="1:19" ht="15" x14ac:dyDescent="0.2">
      <c r="A421" s="114" t="s">
        <v>103</v>
      </c>
      <c r="B421" s="100" t="s">
        <v>162</v>
      </c>
      <c r="C421" s="115">
        <v>102000</v>
      </c>
      <c r="D421" s="100">
        <f>(C421/12)*12</f>
        <v>102000</v>
      </c>
      <c r="E421" s="103">
        <f>'Monitoramento Acumulado Geral'!Q421</f>
        <v>0</v>
      </c>
      <c r="F421" s="100">
        <f>SUM(E410:E421)</f>
        <v>34684.5</v>
      </c>
      <c r="G421" s="102" t="str">
        <f t="shared" si="78"/>
        <v>Farol Vermelho</v>
      </c>
      <c r="H421" s="116">
        <f t="shared" si="76"/>
        <v>67315.5</v>
      </c>
      <c r="I421" s="100">
        <f t="shared" si="77"/>
        <v>12</v>
      </c>
      <c r="J421" s="119">
        <v>40</v>
      </c>
      <c r="K421" s="118">
        <f>'Monitoramento Acumulado Geral'!P421</f>
        <v>0</v>
      </c>
      <c r="L421" s="100">
        <f>$L410+L420</f>
        <v>40</v>
      </c>
      <c r="M421" s="100">
        <f t="shared" si="85"/>
        <v>14</v>
      </c>
      <c r="N421" s="115"/>
      <c r="O421" s="116" t="e">
        <f t="shared" si="79"/>
        <v>#DIV/0!</v>
      </c>
      <c r="P421" s="115"/>
      <c r="Q421" s="116" t="e">
        <f t="shared" si="80"/>
        <v>#DIV/0!</v>
      </c>
      <c r="R421" s="115"/>
      <c r="S421" s="100" t="e">
        <f t="shared" si="81"/>
        <v>#DIV/0!</v>
      </c>
    </row>
    <row r="422" spans="1:19" ht="15" x14ac:dyDescent="0.2">
      <c r="A422" s="114" t="s">
        <v>85</v>
      </c>
      <c r="B422" s="100" t="s">
        <v>151</v>
      </c>
      <c r="C422" s="115">
        <v>8100</v>
      </c>
      <c r="D422" s="100">
        <f>(C422/12)*1</f>
        <v>675</v>
      </c>
      <c r="E422" s="103">
        <f>'Monitoramento Acumulado Geral'!Q422</f>
        <v>0</v>
      </c>
      <c r="F422" s="100">
        <f>E422</f>
        <v>0</v>
      </c>
      <c r="G422" s="102" t="str">
        <f t="shared" si="78"/>
        <v>Farol Vermelho</v>
      </c>
      <c r="H422" s="116">
        <f t="shared" si="76"/>
        <v>675</v>
      </c>
      <c r="I422" s="100">
        <f t="shared" si="77"/>
        <v>1</v>
      </c>
      <c r="J422" s="119">
        <v>10</v>
      </c>
      <c r="K422" s="118">
        <f>'Monitoramento Acumulado Geral'!P422</f>
        <v>0</v>
      </c>
      <c r="L422" s="100">
        <f>J422/12</f>
        <v>0.83333333333333337</v>
      </c>
      <c r="M422" s="100">
        <f>K422</f>
        <v>0</v>
      </c>
      <c r="N422" s="115">
        <v>0</v>
      </c>
      <c r="O422" s="116" t="e">
        <f t="shared" si="79"/>
        <v>#DIV/0!</v>
      </c>
      <c r="P422" s="115">
        <v>0</v>
      </c>
      <c r="Q422" s="116" t="e">
        <f t="shared" si="80"/>
        <v>#DIV/0!</v>
      </c>
      <c r="R422" s="115">
        <v>0</v>
      </c>
      <c r="S422" s="100" t="e">
        <f t="shared" si="81"/>
        <v>#DIV/0!</v>
      </c>
    </row>
    <row r="423" spans="1:19" ht="15" x14ac:dyDescent="0.2">
      <c r="A423" s="114" t="s">
        <v>85</v>
      </c>
      <c r="B423" s="100" t="s">
        <v>152</v>
      </c>
      <c r="C423" s="115">
        <v>8100</v>
      </c>
      <c r="D423" s="100">
        <f>(C423/12)*2</f>
        <v>1350</v>
      </c>
      <c r="E423" s="103">
        <f>'Monitoramento Acumulado Geral'!Q423</f>
        <v>0</v>
      </c>
      <c r="F423" s="100">
        <f>SUM(E422:E423)</f>
        <v>0</v>
      </c>
      <c r="G423" s="102" t="str">
        <f t="shared" si="78"/>
        <v>Farol Vermelho</v>
      </c>
      <c r="H423" s="116">
        <f t="shared" si="76"/>
        <v>1350</v>
      </c>
      <c r="I423" s="100">
        <f t="shared" si="77"/>
        <v>2</v>
      </c>
      <c r="J423" s="119">
        <v>10</v>
      </c>
      <c r="K423" s="118">
        <f>'Monitoramento Acumulado Geral'!P423</f>
        <v>0</v>
      </c>
      <c r="L423" s="100">
        <f>L422+L422</f>
        <v>1.6666666666666667</v>
      </c>
      <c r="M423" s="100">
        <f>M422+K423</f>
        <v>0</v>
      </c>
      <c r="N423" s="115">
        <v>0</v>
      </c>
      <c r="O423" s="116" t="e">
        <f t="shared" si="79"/>
        <v>#DIV/0!</v>
      </c>
      <c r="P423" s="115">
        <v>0</v>
      </c>
      <c r="Q423" s="116" t="e">
        <f t="shared" si="80"/>
        <v>#DIV/0!</v>
      </c>
      <c r="R423" s="115">
        <v>0</v>
      </c>
      <c r="S423" s="100" t="e">
        <f t="shared" si="81"/>
        <v>#DIV/0!</v>
      </c>
    </row>
    <row r="424" spans="1:19" ht="15" x14ac:dyDescent="0.2">
      <c r="A424" s="114" t="s">
        <v>85</v>
      </c>
      <c r="B424" s="100" t="s">
        <v>153</v>
      </c>
      <c r="C424" s="115">
        <v>8100</v>
      </c>
      <c r="D424" s="100">
        <f>(C424/12)*3</f>
        <v>2025</v>
      </c>
      <c r="E424" s="103">
        <f>'Monitoramento Acumulado Geral'!Q424</f>
        <v>0</v>
      </c>
      <c r="F424" s="100">
        <f>SUM(E422:E424)</f>
        <v>0</v>
      </c>
      <c r="G424" s="102" t="str">
        <f t="shared" si="78"/>
        <v>Farol Vermelho</v>
      </c>
      <c r="H424" s="116">
        <f t="shared" si="76"/>
        <v>2025</v>
      </c>
      <c r="I424" s="100">
        <f t="shared" si="77"/>
        <v>3</v>
      </c>
      <c r="J424" s="119">
        <v>10</v>
      </c>
      <c r="K424" s="118">
        <f>'Monitoramento Acumulado Geral'!P424</f>
        <v>0</v>
      </c>
      <c r="L424" s="100">
        <f>$L422+L423</f>
        <v>2.5</v>
      </c>
      <c r="M424" s="100">
        <f t="shared" ref="M424:M433" si="86">M423+K424</f>
        <v>0</v>
      </c>
      <c r="N424" s="115">
        <v>0</v>
      </c>
      <c r="O424" s="116" t="e">
        <f t="shared" si="79"/>
        <v>#DIV/0!</v>
      </c>
      <c r="P424" s="115">
        <v>0</v>
      </c>
      <c r="Q424" s="116" t="e">
        <f t="shared" si="80"/>
        <v>#DIV/0!</v>
      </c>
      <c r="R424" s="115">
        <v>0</v>
      </c>
      <c r="S424" s="100" t="e">
        <f t="shared" si="81"/>
        <v>#DIV/0!</v>
      </c>
    </row>
    <row r="425" spans="1:19" ht="15" x14ac:dyDescent="0.2">
      <c r="A425" s="114" t="s">
        <v>85</v>
      </c>
      <c r="B425" s="100" t="s">
        <v>154</v>
      </c>
      <c r="C425" s="115">
        <v>8100</v>
      </c>
      <c r="D425" s="100">
        <f>(C425/12)*4</f>
        <v>2700</v>
      </c>
      <c r="E425" s="103">
        <f>'Monitoramento Acumulado Geral'!Q425</f>
        <v>0</v>
      </c>
      <c r="F425" s="100">
        <f>SUM(E422:E425)</f>
        <v>0</v>
      </c>
      <c r="G425" s="102" t="str">
        <f t="shared" si="78"/>
        <v>Farol Vermelho</v>
      </c>
      <c r="H425" s="116">
        <f t="shared" si="76"/>
        <v>2700</v>
      </c>
      <c r="I425" s="100">
        <f t="shared" si="77"/>
        <v>4</v>
      </c>
      <c r="J425" s="119">
        <v>10</v>
      </c>
      <c r="K425" s="118">
        <f>'Monitoramento Acumulado Geral'!P425</f>
        <v>0</v>
      </c>
      <c r="L425" s="100">
        <f>$L422+L424</f>
        <v>3.3333333333333335</v>
      </c>
      <c r="M425" s="100">
        <f t="shared" si="86"/>
        <v>0</v>
      </c>
      <c r="N425" s="115">
        <v>0</v>
      </c>
      <c r="O425" s="116" t="e">
        <f t="shared" si="79"/>
        <v>#DIV/0!</v>
      </c>
      <c r="P425" s="115">
        <v>0</v>
      </c>
      <c r="Q425" s="116" t="e">
        <f t="shared" si="80"/>
        <v>#DIV/0!</v>
      </c>
      <c r="R425" s="115">
        <v>0</v>
      </c>
      <c r="S425" s="100" t="e">
        <f t="shared" si="81"/>
        <v>#DIV/0!</v>
      </c>
    </row>
    <row r="426" spans="1:19" ht="15" x14ac:dyDescent="0.2">
      <c r="A426" s="114" t="s">
        <v>85</v>
      </c>
      <c r="B426" s="100" t="s">
        <v>155</v>
      </c>
      <c r="C426" s="115">
        <v>8100</v>
      </c>
      <c r="D426" s="100">
        <f>(C426/12)*5</f>
        <v>3375</v>
      </c>
      <c r="E426" s="103">
        <f>'Monitoramento Acumulado Geral'!Q426</f>
        <v>300</v>
      </c>
      <c r="F426" s="100">
        <f>SUM(E422:E426)</f>
        <v>300</v>
      </c>
      <c r="G426" s="102" t="str">
        <f t="shared" si="78"/>
        <v>Farol Vermelho</v>
      </c>
      <c r="H426" s="116">
        <f t="shared" si="76"/>
        <v>3075</v>
      </c>
      <c r="I426" s="100">
        <f t="shared" si="77"/>
        <v>5</v>
      </c>
      <c r="J426" s="119">
        <v>10</v>
      </c>
      <c r="K426" s="118">
        <f>'Monitoramento Acumulado Geral'!P426</f>
        <v>1</v>
      </c>
      <c r="L426" s="100">
        <f>L422+L425</f>
        <v>4.166666666666667</v>
      </c>
      <c r="M426" s="100">
        <f t="shared" si="86"/>
        <v>1</v>
      </c>
      <c r="N426" s="115">
        <v>0</v>
      </c>
      <c r="O426" s="116" t="e">
        <f t="shared" si="79"/>
        <v>#DIV/0!</v>
      </c>
      <c r="P426" s="115">
        <v>0</v>
      </c>
      <c r="Q426" s="116" t="e">
        <f t="shared" si="80"/>
        <v>#DIV/0!</v>
      </c>
      <c r="R426" s="115">
        <v>0</v>
      </c>
      <c r="S426" s="100" t="e">
        <f t="shared" si="81"/>
        <v>#DIV/0!</v>
      </c>
    </row>
    <row r="427" spans="1:19" ht="15" x14ac:dyDescent="0.2">
      <c r="A427" s="114" t="s">
        <v>85</v>
      </c>
      <c r="B427" s="100" t="s">
        <v>156</v>
      </c>
      <c r="C427" s="115">
        <v>8100</v>
      </c>
      <c r="D427" s="100">
        <f>(C427/12)*6</f>
        <v>4050</v>
      </c>
      <c r="E427" s="103">
        <f>'Monitoramento Acumulado Geral'!Q427</f>
        <v>550</v>
      </c>
      <c r="F427" s="100">
        <f>SUM(E422:E427)</f>
        <v>850</v>
      </c>
      <c r="G427" s="102" t="str">
        <f t="shared" si="78"/>
        <v>Farol Vermelho</v>
      </c>
      <c r="H427" s="116">
        <f t="shared" si="76"/>
        <v>3200</v>
      </c>
      <c r="I427" s="100">
        <f t="shared" si="77"/>
        <v>6</v>
      </c>
      <c r="J427" s="119">
        <v>10</v>
      </c>
      <c r="K427" s="118">
        <f>'Monitoramento Acumulado Geral'!P427</f>
        <v>3</v>
      </c>
      <c r="L427" s="100">
        <f>$L422+L426</f>
        <v>5</v>
      </c>
      <c r="M427" s="100">
        <f t="shared" si="86"/>
        <v>4</v>
      </c>
      <c r="N427" s="115"/>
      <c r="O427" s="116" t="e">
        <f t="shared" si="79"/>
        <v>#DIV/0!</v>
      </c>
      <c r="P427" s="115"/>
      <c r="Q427" s="116" t="e">
        <f t="shared" si="80"/>
        <v>#DIV/0!</v>
      </c>
      <c r="R427" s="115"/>
      <c r="S427" s="100" t="e">
        <f t="shared" si="81"/>
        <v>#DIV/0!</v>
      </c>
    </row>
    <row r="428" spans="1:19" ht="15" x14ac:dyDescent="0.2">
      <c r="A428" s="114" t="s">
        <v>85</v>
      </c>
      <c r="B428" s="100" t="s">
        <v>157</v>
      </c>
      <c r="C428" s="115">
        <v>8100</v>
      </c>
      <c r="D428" s="100">
        <f>(C428/12)*7</f>
        <v>4725</v>
      </c>
      <c r="E428" s="103">
        <f>'Monitoramento Acumulado Geral'!Q428</f>
        <v>3100</v>
      </c>
      <c r="F428" s="100">
        <f>SUM(E422:E428)</f>
        <v>3950</v>
      </c>
      <c r="G428" s="102" t="str">
        <f t="shared" si="78"/>
        <v>Farol Vermelho</v>
      </c>
      <c r="H428" s="116">
        <f t="shared" si="76"/>
        <v>775</v>
      </c>
      <c r="I428" s="100">
        <f t="shared" si="77"/>
        <v>7</v>
      </c>
      <c r="J428" s="119">
        <v>10</v>
      </c>
      <c r="K428" s="118">
        <f>'Monitoramento Acumulado Geral'!P428</f>
        <v>10</v>
      </c>
      <c r="L428" s="100">
        <f>$L422+L427</f>
        <v>5.833333333333333</v>
      </c>
      <c r="M428" s="100">
        <f t="shared" si="86"/>
        <v>14</v>
      </c>
      <c r="N428" s="115"/>
      <c r="O428" s="116" t="e">
        <f t="shared" si="79"/>
        <v>#DIV/0!</v>
      </c>
      <c r="P428" s="115"/>
      <c r="Q428" s="116" t="e">
        <f t="shared" si="80"/>
        <v>#DIV/0!</v>
      </c>
      <c r="R428" s="115"/>
      <c r="S428" s="100" t="e">
        <f t="shared" si="81"/>
        <v>#DIV/0!</v>
      </c>
    </row>
    <row r="429" spans="1:19" ht="15" x14ac:dyDescent="0.2">
      <c r="A429" s="114" t="s">
        <v>85</v>
      </c>
      <c r="B429" s="100" t="s">
        <v>158</v>
      </c>
      <c r="C429" s="115">
        <v>8100</v>
      </c>
      <c r="D429" s="100">
        <f>(C429/12)*8</f>
        <v>5400</v>
      </c>
      <c r="E429" s="103">
        <f>'Monitoramento Acumulado Geral'!Q429</f>
        <v>1850</v>
      </c>
      <c r="F429" s="100">
        <f>SUM(E422:E429)</f>
        <v>5800</v>
      </c>
      <c r="G429" s="102" t="str">
        <f t="shared" si="78"/>
        <v>Farol Verde</v>
      </c>
      <c r="H429" s="116">
        <f t="shared" si="76"/>
        <v>0</v>
      </c>
      <c r="I429" s="100">
        <f t="shared" si="77"/>
        <v>8</v>
      </c>
      <c r="J429" s="119">
        <v>10</v>
      </c>
      <c r="K429" s="118">
        <f>'Monitoramento Acumulado Geral'!P429</f>
        <v>7</v>
      </c>
      <c r="L429" s="100">
        <f>L422+L428</f>
        <v>6.6666666666666661</v>
      </c>
      <c r="M429" s="100">
        <f t="shared" si="86"/>
        <v>21</v>
      </c>
      <c r="N429" s="115"/>
      <c r="O429" s="116" t="e">
        <f t="shared" si="79"/>
        <v>#DIV/0!</v>
      </c>
      <c r="P429" s="115"/>
      <c r="Q429" s="116" t="e">
        <f t="shared" si="80"/>
        <v>#DIV/0!</v>
      </c>
      <c r="R429" s="115"/>
      <c r="S429" s="100" t="e">
        <f t="shared" si="81"/>
        <v>#DIV/0!</v>
      </c>
    </row>
    <row r="430" spans="1:19" ht="15" x14ac:dyDescent="0.2">
      <c r="A430" s="114" t="s">
        <v>85</v>
      </c>
      <c r="B430" s="100" t="s">
        <v>159</v>
      </c>
      <c r="C430" s="115">
        <v>8100</v>
      </c>
      <c r="D430" s="100">
        <f>(C430/12)*9</f>
        <v>6075</v>
      </c>
      <c r="E430" s="103">
        <f>'Monitoramento Acumulado Geral'!Q430</f>
        <v>890</v>
      </c>
      <c r="F430" s="100">
        <f>SUM(E422:E430)</f>
        <v>6690</v>
      </c>
      <c r="G430" s="102" t="str">
        <f t="shared" si="78"/>
        <v>Farol Verde</v>
      </c>
      <c r="H430" s="116">
        <f t="shared" si="76"/>
        <v>0</v>
      </c>
      <c r="I430" s="100">
        <f t="shared" si="77"/>
        <v>9</v>
      </c>
      <c r="J430" s="119">
        <v>10</v>
      </c>
      <c r="K430" s="118">
        <f>'Monitoramento Acumulado Geral'!P430</f>
        <v>5</v>
      </c>
      <c r="L430" s="100">
        <f>$L422+L429</f>
        <v>7.4999999999999991</v>
      </c>
      <c r="M430" s="100">
        <f t="shared" si="86"/>
        <v>26</v>
      </c>
      <c r="N430" s="115"/>
      <c r="O430" s="116" t="e">
        <f t="shared" si="79"/>
        <v>#DIV/0!</v>
      </c>
      <c r="P430" s="115"/>
      <c r="Q430" s="116" t="e">
        <f t="shared" si="80"/>
        <v>#DIV/0!</v>
      </c>
      <c r="R430" s="115"/>
      <c r="S430" s="100" t="e">
        <f t="shared" si="81"/>
        <v>#DIV/0!</v>
      </c>
    </row>
    <row r="431" spans="1:19" ht="15" x14ac:dyDescent="0.2">
      <c r="A431" s="114" t="s">
        <v>85</v>
      </c>
      <c r="B431" s="100" t="s">
        <v>160</v>
      </c>
      <c r="C431" s="115">
        <v>8100</v>
      </c>
      <c r="D431" s="100">
        <f>(C431/12)*10</f>
        <v>6750</v>
      </c>
      <c r="E431" s="103">
        <f>'Monitoramento Acumulado Geral'!Q431</f>
        <v>0</v>
      </c>
      <c r="F431" s="100">
        <f>SUM(E422:E431)</f>
        <v>6690</v>
      </c>
      <c r="G431" s="102" t="str">
        <f t="shared" si="78"/>
        <v>Farol Amarelo</v>
      </c>
      <c r="H431" s="116">
        <f t="shared" si="76"/>
        <v>60</v>
      </c>
      <c r="I431" s="100">
        <f t="shared" si="77"/>
        <v>10</v>
      </c>
      <c r="J431" s="119">
        <v>10</v>
      </c>
      <c r="K431" s="118">
        <f>'Monitoramento Acumulado Geral'!P431</f>
        <v>0</v>
      </c>
      <c r="L431" s="100">
        <f>$L422+L430</f>
        <v>8.3333333333333321</v>
      </c>
      <c r="M431" s="100">
        <f t="shared" si="86"/>
        <v>26</v>
      </c>
      <c r="N431" s="115"/>
      <c r="O431" s="116" t="e">
        <f t="shared" si="79"/>
        <v>#DIV/0!</v>
      </c>
      <c r="P431" s="115"/>
      <c r="Q431" s="116" t="e">
        <f t="shared" si="80"/>
        <v>#DIV/0!</v>
      </c>
      <c r="R431" s="115"/>
      <c r="S431" s="100" t="e">
        <f t="shared" si="81"/>
        <v>#DIV/0!</v>
      </c>
    </row>
    <row r="432" spans="1:19" ht="15" x14ac:dyDescent="0.2">
      <c r="A432" s="114" t="s">
        <v>85</v>
      </c>
      <c r="B432" s="100" t="s">
        <v>161</v>
      </c>
      <c r="C432" s="115">
        <v>8100</v>
      </c>
      <c r="D432" s="100">
        <f>(C432/12)*11</f>
        <v>7425</v>
      </c>
      <c r="E432" s="103">
        <f>'Monitoramento Acumulado Geral'!Q432</f>
        <v>0</v>
      </c>
      <c r="F432" s="100">
        <f>SUM(E422:E432)</f>
        <v>6690</v>
      </c>
      <c r="G432" s="102" t="str">
        <f t="shared" si="78"/>
        <v>Farol Amarelo</v>
      </c>
      <c r="H432" s="116">
        <f t="shared" si="76"/>
        <v>735</v>
      </c>
      <c r="I432" s="100">
        <f t="shared" si="77"/>
        <v>11</v>
      </c>
      <c r="J432" s="119">
        <v>10</v>
      </c>
      <c r="K432" s="118">
        <f>'Monitoramento Acumulado Geral'!P432</f>
        <v>0</v>
      </c>
      <c r="L432" s="100">
        <f>L422+L431</f>
        <v>9.1666666666666661</v>
      </c>
      <c r="M432" s="100">
        <f t="shared" si="86"/>
        <v>26</v>
      </c>
      <c r="N432" s="115"/>
      <c r="O432" s="116" t="e">
        <f t="shared" si="79"/>
        <v>#DIV/0!</v>
      </c>
      <c r="P432" s="115"/>
      <c r="Q432" s="116" t="e">
        <f t="shared" si="80"/>
        <v>#DIV/0!</v>
      </c>
      <c r="R432" s="115"/>
      <c r="S432" s="100" t="e">
        <f t="shared" si="81"/>
        <v>#DIV/0!</v>
      </c>
    </row>
    <row r="433" spans="1:19" ht="15" x14ac:dyDescent="0.2">
      <c r="A433" s="114" t="s">
        <v>85</v>
      </c>
      <c r="B433" s="100" t="s">
        <v>162</v>
      </c>
      <c r="C433" s="115">
        <v>8100</v>
      </c>
      <c r="D433" s="100">
        <f>(C433/12)*12</f>
        <v>8100</v>
      </c>
      <c r="E433" s="103">
        <f>'Monitoramento Acumulado Geral'!Q433</f>
        <v>0</v>
      </c>
      <c r="F433" s="100">
        <f>SUM(E422:E433)</f>
        <v>6690</v>
      </c>
      <c r="G433" s="102" t="str">
        <f t="shared" si="78"/>
        <v>Farol Vermelho</v>
      </c>
      <c r="H433" s="116">
        <f t="shared" si="76"/>
        <v>1410</v>
      </c>
      <c r="I433" s="100">
        <f t="shared" si="77"/>
        <v>12</v>
      </c>
      <c r="J433" s="119">
        <v>10</v>
      </c>
      <c r="K433" s="118">
        <f>'Monitoramento Acumulado Geral'!P433</f>
        <v>0</v>
      </c>
      <c r="L433" s="100">
        <f>$L422+L432</f>
        <v>10</v>
      </c>
      <c r="M433" s="100">
        <f t="shared" si="86"/>
        <v>26</v>
      </c>
      <c r="N433" s="115"/>
      <c r="O433" s="116" t="e">
        <f t="shared" si="79"/>
        <v>#DIV/0!</v>
      </c>
      <c r="P433" s="115"/>
      <c r="Q433" s="116" t="e">
        <f t="shared" si="80"/>
        <v>#DIV/0!</v>
      </c>
      <c r="R433" s="115"/>
      <c r="S433" s="100" t="e">
        <f t="shared" si="81"/>
        <v>#DIV/0!</v>
      </c>
    </row>
    <row r="434" spans="1:19" ht="15" x14ac:dyDescent="0.2">
      <c r="A434" s="114" t="s">
        <v>121</v>
      </c>
      <c r="B434" s="100" t="s">
        <v>151</v>
      </c>
      <c r="C434" s="115">
        <v>125346</v>
      </c>
      <c r="D434" s="100">
        <f>(C434/12)*1</f>
        <v>10445.5</v>
      </c>
      <c r="E434" s="103">
        <f>'Monitoramento Acumulado Geral'!Q434</f>
        <v>9000</v>
      </c>
      <c r="F434" s="100">
        <f>E434</f>
        <v>9000</v>
      </c>
      <c r="G434" s="102" t="str">
        <f t="shared" si="78"/>
        <v>Farol Amarelo</v>
      </c>
      <c r="H434" s="116">
        <f t="shared" ref="H434:H521" si="87">IF(D434-F434&lt;0,0,D434-F434)</f>
        <v>1445.5</v>
      </c>
      <c r="I434" s="100">
        <f t="shared" ref="I434:I521" si="88">_xlfn.IFS(B434="Janeiro",1,B434="Fevereiro",2,B434="Março",3,B434="Abril",4,B434="Maio",5,B434="Junho",6,B434="Julho",7,B434="Agosto",8,B434="Setembro",9,B434="Outubro",10,B434="Novembro",11,B434="Dezembro",12,TRUE,0)</f>
        <v>1</v>
      </c>
      <c r="J434" s="119">
        <v>9</v>
      </c>
      <c r="K434" s="118">
        <f>'Monitoramento Acumulado Geral'!P434</f>
        <v>1</v>
      </c>
      <c r="L434" s="100">
        <f>J434/12</f>
        <v>0.75</v>
      </c>
      <c r="M434" s="100">
        <f>K434</f>
        <v>1</v>
      </c>
      <c r="N434" s="115">
        <v>0</v>
      </c>
      <c r="O434" s="116" t="e">
        <f t="shared" si="79"/>
        <v>#DIV/0!</v>
      </c>
      <c r="P434" s="115">
        <v>0</v>
      </c>
      <c r="Q434" s="116" t="e">
        <f t="shared" si="80"/>
        <v>#DIV/0!</v>
      </c>
      <c r="R434" s="115">
        <v>0</v>
      </c>
      <c r="S434" s="100" t="e">
        <f t="shared" si="81"/>
        <v>#DIV/0!</v>
      </c>
    </row>
    <row r="435" spans="1:19" ht="15" x14ac:dyDescent="0.2">
      <c r="A435" s="114" t="s">
        <v>121</v>
      </c>
      <c r="B435" s="100" t="s">
        <v>152</v>
      </c>
      <c r="C435" s="115">
        <v>125346</v>
      </c>
      <c r="D435" s="100">
        <f>(C435/12)*2</f>
        <v>20891</v>
      </c>
      <c r="E435" s="103">
        <f>'Monitoramento Acumulado Geral'!Q435</f>
        <v>4600</v>
      </c>
      <c r="F435" s="100">
        <f>SUM(E434:E435)</f>
        <v>13600</v>
      </c>
      <c r="G435" s="102" t="str">
        <f t="shared" ref="G435:G522" si="89">_xlfn.IFS(F435&gt;D435,"Farol Verde",F435&gt;=D435*0.85,"Farol Amarelo",F435&lt;D435*0.85,"Farol Vermelho","Verdadeiro",0)</f>
        <v>Farol Vermelho</v>
      </c>
      <c r="H435" s="116">
        <f t="shared" si="87"/>
        <v>7291</v>
      </c>
      <c r="I435" s="100">
        <f t="shared" si="88"/>
        <v>2</v>
      </c>
      <c r="J435" s="119">
        <v>9</v>
      </c>
      <c r="K435" s="118">
        <f>'Monitoramento Acumulado Geral'!P435</f>
        <v>1</v>
      </c>
      <c r="L435" s="100">
        <f>L434+L434</f>
        <v>1.5</v>
      </c>
      <c r="M435" s="100">
        <f>M434+K435</f>
        <v>2</v>
      </c>
      <c r="N435" s="115">
        <v>0</v>
      </c>
      <c r="O435" s="116" t="e">
        <f t="shared" ref="O435:O522" si="90">P435/N435</f>
        <v>#DIV/0!</v>
      </c>
      <c r="P435" s="115">
        <v>0</v>
      </c>
      <c r="Q435" s="116" t="e">
        <f t="shared" ref="Q435:Q522" si="91">R435/P435</f>
        <v>#DIV/0!</v>
      </c>
      <c r="R435" s="115">
        <v>0</v>
      </c>
      <c r="S435" s="100" t="e">
        <f t="shared" ref="S435:S522" si="92">R435/N435</f>
        <v>#DIV/0!</v>
      </c>
    </row>
    <row r="436" spans="1:19" ht="15" x14ac:dyDescent="0.2">
      <c r="A436" s="114" t="s">
        <v>121</v>
      </c>
      <c r="B436" s="100" t="s">
        <v>153</v>
      </c>
      <c r="C436" s="115">
        <v>125346</v>
      </c>
      <c r="D436" s="100">
        <f>(C436/12)*3</f>
        <v>31336.5</v>
      </c>
      <c r="E436" s="103">
        <f>'Monitoramento Acumulado Geral'!Q436</f>
        <v>19880</v>
      </c>
      <c r="F436" s="100">
        <f>SUM(E434:E436)</f>
        <v>33480</v>
      </c>
      <c r="G436" s="102" t="str">
        <f t="shared" si="89"/>
        <v>Farol Verde</v>
      </c>
      <c r="H436" s="116">
        <f t="shared" si="87"/>
        <v>0</v>
      </c>
      <c r="I436" s="100">
        <f t="shared" si="88"/>
        <v>3</v>
      </c>
      <c r="J436" s="119">
        <v>9</v>
      </c>
      <c r="K436" s="118">
        <f>'Monitoramento Acumulado Geral'!P436</f>
        <v>1</v>
      </c>
      <c r="L436" s="100">
        <f>$L434+L435</f>
        <v>2.25</v>
      </c>
      <c r="M436" s="100">
        <f t="shared" ref="M436:M445" si="93">M435+K436</f>
        <v>3</v>
      </c>
      <c r="N436" s="115">
        <v>0</v>
      </c>
      <c r="O436" s="116" t="e">
        <f t="shared" si="90"/>
        <v>#DIV/0!</v>
      </c>
      <c r="P436" s="115">
        <v>0</v>
      </c>
      <c r="Q436" s="116" t="e">
        <f t="shared" si="91"/>
        <v>#DIV/0!</v>
      </c>
      <c r="R436" s="115">
        <v>0</v>
      </c>
      <c r="S436" s="100" t="e">
        <f t="shared" si="92"/>
        <v>#DIV/0!</v>
      </c>
    </row>
    <row r="437" spans="1:19" ht="15" x14ac:dyDescent="0.2">
      <c r="A437" s="114" t="s">
        <v>121</v>
      </c>
      <c r="B437" s="100" t="s">
        <v>154</v>
      </c>
      <c r="C437" s="115">
        <v>125346</v>
      </c>
      <c r="D437" s="100">
        <f>(C437/12)*4</f>
        <v>41782</v>
      </c>
      <c r="E437" s="103">
        <f>'Monitoramento Acumulado Geral'!Q437</f>
        <v>12880</v>
      </c>
      <c r="F437" s="100">
        <f>SUM(E434:E437)</f>
        <v>46360</v>
      </c>
      <c r="G437" s="102" t="str">
        <f t="shared" si="89"/>
        <v>Farol Verde</v>
      </c>
      <c r="H437" s="116">
        <f t="shared" si="87"/>
        <v>0</v>
      </c>
      <c r="I437" s="100">
        <f t="shared" si="88"/>
        <v>4</v>
      </c>
      <c r="J437" s="119">
        <v>9</v>
      </c>
      <c r="K437" s="118">
        <f>'Monitoramento Acumulado Geral'!P437</f>
        <v>1</v>
      </c>
      <c r="L437" s="100">
        <f>$L434+L436</f>
        <v>3</v>
      </c>
      <c r="M437" s="100">
        <f t="shared" si="93"/>
        <v>4</v>
      </c>
      <c r="N437" s="115">
        <v>0</v>
      </c>
      <c r="O437" s="116" t="e">
        <f t="shared" si="90"/>
        <v>#DIV/0!</v>
      </c>
      <c r="P437" s="115">
        <v>0</v>
      </c>
      <c r="Q437" s="116" t="e">
        <f t="shared" si="91"/>
        <v>#DIV/0!</v>
      </c>
      <c r="R437" s="115">
        <v>0</v>
      </c>
      <c r="S437" s="100" t="e">
        <f t="shared" si="92"/>
        <v>#DIV/0!</v>
      </c>
    </row>
    <row r="438" spans="1:19" ht="15" x14ac:dyDescent="0.2">
      <c r="A438" s="114" t="s">
        <v>121</v>
      </c>
      <c r="B438" s="100" t="s">
        <v>155</v>
      </c>
      <c r="C438" s="115">
        <v>125346</v>
      </c>
      <c r="D438" s="100">
        <f>(C438/12)*5</f>
        <v>52227.5</v>
      </c>
      <c r="E438" s="103">
        <f>'Monitoramento Acumulado Geral'!Q438</f>
        <v>0</v>
      </c>
      <c r="F438" s="100">
        <f>SUM(E434:E438)</f>
        <v>46360</v>
      </c>
      <c r="G438" s="102" t="str">
        <f t="shared" si="89"/>
        <v>Farol Amarelo</v>
      </c>
      <c r="H438" s="116">
        <f t="shared" si="87"/>
        <v>5867.5</v>
      </c>
      <c r="I438" s="100">
        <f t="shared" si="88"/>
        <v>5</v>
      </c>
      <c r="J438" s="119">
        <v>9</v>
      </c>
      <c r="K438" s="118">
        <f>'Monitoramento Acumulado Geral'!P438</f>
        <v>0</v>
      </c>
      <c r="L438" s="100">
        <f>L434+L437</f>
        <v>3.75</v>
      </c>
      <c r="M438" s="100">
        <f t="shared" si="93"/>
        <v>4</v>
      </c>
      <c r="N438" s="115">
        <v>0</v>
      </c>
      <c r="O438" s="116" t="e">
        <f t="shared" si="90"/>
        <v>#DIV/0!</v>
      </c>
      <c r="P438" s="115">
        <v>0</v>
      </c>
      <c r="Q438" s="116" t="e">
        <f t="shared" si="91"/>
        <v>#DIV/0!</v>
      </c>
      <c r="R438" s="115">
        <v>0</v>
      </c>
      <c r="S438" s="100" t="e">
        <f t="shared" si="92"/>
        <v>#DIV/0!</v>
      </c>
    </row>
    <row r="439" spans="1:19" ht="15" x14ac:dyDescent="0.2">
      <c r="A439" s="114" t="s">
        <v>121</v>
      </c>
      <c r="B439" s="100" t="s">
        <v>156</v>
      </c>
      <c r="C439" s="115">
        <v>125346</v>
      </c>
      <c r="D439" s="100">
        <f>(C439/12)*6</f>
        <v>62673</v>
      </c>
      <c r="E439" s="103">
        <f>'Monitoramento Acumulado Geral'!Q439</f>
        <v>296.39999999999998</v>
      </c>
      <c r="F439" s="100">
        <f>SUM(E434:E439)</f>
        <v>46656.4</v>
      </c>
      <c r="G439" s="102" t="str">
        <f t="shared" si="89"/>
        <v>Farol Vermelho</v>
      </c>
      <c r="H439" s="116">
        <f t="shared" si="87"/>
        <v>16016.599999999999</v>
      </c>
      <c r="I439" s="100">
        <f t="shared" si="88"/>
        <v>6</v>
      </c>
      <c r="J439" s="119">
        <v>9</v>
      </c>
      <c r="K439" s="118">
        <f>'Monitoramento Acumulado Geral'!P439</f>
        <v>1</v>
      </c>
      <c r="L439" s="100">
        <f>$L434+L438</f>
        <v>4.5</v>
      </c>
      <c r="M439" s="100">
        <f t="shared" si="93"/>
        <v>5</v>
      </c>
      <c r="N439" s="115">
        <v>3</v>
      </c>
      <c r="O439" s="116">
        <f t="shared" si="90"/>
        <v>1</v>
      </c>
      <c r="P439" s="115">
        <v>3</v>
      </c>
      <c r="Q439" s="116">
        <f t="shared" si="91"/>
        <v>0</v>
      </c>
      <c r="R439" s="115">
        <v>0</v>
      </c>
      <c r="S439" s="100">
        <f t="shared" si="92"/>
        <v>0</v>
      </c>
    </row>
    <row r="440" spans="1:19" ht="15" x14ac:dyDescent="0.2">
      <c r="A440" s="114" t="s">
        <v>121</v>
      </c>
      <c r="B440" s="100" t="s">
        <v>157</v>
      </c>
      <c r="C440" s="115">
        <v>125346</v>
      </c>
      <c r="D440" s="100">
        <f>(C440/12)*7</f>
        <v>73118.5</v>
      </c>
      <c r="E440" s="103">
        <f>'Monitoramento Acumulado Geral'!Q440</f>
        <v>34618.230000000003</v>
      </c>
      <c r="F440" s="100">
        <f>SUM(E434:E440)</f>
        <v>81274.63</v>
      </c>
      <c r="G440" s="102" t="str">
        <f t="shared" si="89"/>
        <v>Farol Verde</v>
      </c>
      <c r="H440" s="116">
        <f t="shared" si="87"/>
        <v>0</v>
      </c>
      <c r="I440" s="100">
        <f t="shared" si="88"/>
        <v>7</v>
      </c>
      <c r="J440" s="119">
        <v>9</v>
      </c>
      <c r="K440" s="118">
        <f>'Monitoramento Acumulado Geral'!P440</f>
        <v>1</v>
      </c>
      <c r="L440" s="100">
        <f>$L434+L439</f>
        <v>5.25</v>
      </c>
      <c r="M440" s="100">
        <f t="shared" si="93"/>
        <v>6</v>
      </c>
      <c r="N440" s="115"/>
      <c r="O440" s="116" t="e">
        <f t="shared" si="90"/>
        <v>#DIV/0!</v>
      </c>
      <c r="P440" s="115"/>
      <c r="Q440" s="116" t="e">
        <f t="shared" si="91"/>
        <v>#DIV/0!</v>
      </c>
      <c r="R440" s="115"/>
      <c r="S440" s="100" t="e">
        <f t="shared" si="92"/>
        <v>#DIV/0!</v>
      </c>
    </row>
    <row r="441" spans="1:19" ht="15" x14ac:dyDescent="0.2">
      <c r="A441" s="114" t="s">
        <v>121</v>
      </c>
      <c r="B441" s="100" t="s">
        <v>158</v>
      </c>
      <c r="C441" s="115">
        <v>125346</v>
      </c>
      <c r="D441" s="100">
        <f>(C441/12)*8</f>
        <v>83564</v>
      </c>
      <c r="E441" s="103">
        <f>'Monitoramento Acumulado Geral'!Q441</f>
        <v>1035.5999999999999</v>
      </c>
      <c r="F441" s="100">
        <f>SUM(E434:E441)</f>
        <v>82310.23000000001</v>
      </c>
      <c r="G441" s="102" t="str">
        <f t="shared" si="89"/>
        <v>Farol Amarelo</v>
      </c>
      <c r="H441" s="116">
        <f t="shared" si="87"/>
        <v>1253.7699999999895</v>
      </c>
      <c r="I441" s="100">
        <f t="shared" si="88"/>
        <v>8</v>
      </c>
      <c r="J441" s="119">
        <v>9</v>
      </c>
      <c r="K441" s="118">
        <f>'Monitoramento Acumulado Geral'!P441</f>
        <v>2</v>
      </c>
      <c r="L441" s="100">
        <f>L434+L440</f>
        <v>6</v>
      </c>
      <c r="M441" s="100">
        <f t="shared" si="93"/>
        <v>8</v>
      </c>
      <c r="N441" s="115"/>
      <c r="O441" s="116" t="e">
        <f t="shared" si="90"/>
        <v>#DIV/0!</v>
      </c>
      <c r="P441" s="115"/>
      <c r="Q441" s="116" t="e">
        <f t="shared" si="91"/>
        <v>#DIV/0!</v>
      </c>
      <c r="R441" s="115"/>
      <c r="S441" s="100" t="e">
        <f t="shared" si="92"/>
        <v>#DIV/0!</v>
      </c>
    </row>
    <row r="442" spans="1:19" ht="15" x14ac:dyDescent="0.2">
      <c r="A442" s="114" t="s">
        <v>121</v>
      </c>
      <c r="B442" s="100" t="s">
        <v>159</v>
      </c>
      <c r="C442" s="115">
        <v>125346</v>
      </c>
      <c r="D442" s="100">
        <f>(C442/12)*9</f>
        <v>94009.5</v>
      </c>
      <c r="E442" s="103">
        <f>'Monitoramento Acumulado Geral'!Q442</f>
        <v>296.39999999999998</v>
      </c>
      <c r="F442" s="100">
        <f>SUM(E434:E442)</f>
        <v>82606.63</v>
      </c>
      <c r="G442" s="102" t="str">
        <f t="shared" si="89"/>
        <v>Farol Amarelo</v>
      </c>
      <c r="H442" s="116">
        <f t="shared" si="87"/>
        <v>11402.869999999995</v>
      </c>
      <c r="I442" s="100">
        <f t="shared" si="88"/>
        <v>9</v>
      </c>
      <c r="J442" s="119">
        <v>9</v>
      </c>
      <c r="K442" s="118">
        <f>'Monitoramento Acumulado Geral'!P442</f>
        <v>1</v>
      </c>
      <c r="L442" s="100">
        <f>$L434+L441</f>
        <v>6.75</v>
      </c>
      <c r="M442" s="100">
        <f t="shared" si="93"/>
        <v>9</v>
      </c>
      <c r="N442" s="115"/>
      <c r="O442" s="116" t="e">
        <f t="shared" si="90"/>
        <v>#DIV/0!</v>
      </c>
      <c r="P442" s="115"/>
      <c r="Q442" s="116" t="e">
        <f t="shared" si="91"/>
        <v>#DIV/0!</v>
      </c>
      <c r="R442" s="115"/>
      <c r="S442" s="100" t="e">
        <f t="shared" si="92"/>
        <v>#DIV/0!</v>
      </c>
    </row>
    <row r="443" spans="1:19" ht="15" x14ac:dyDescent="0.2">
      <c r="A443" s="114" t="s">
        <v>121</v>
      </c>
      <c r="B443" s="100" t="s">
        <v>160</v>
      </c>
      <c r="C443" s="115">
        <v>125346</v>
      </c>
      <c r="D443" s="100">
        <f>(C443/12)*10</f>
        <v>104455</v>
      </c>
      <c r="E443" s="103">
        <f>'Monitoramento Acumulado Geral'!Q443</f>
        <v>0</v>
      </c>
      <c r="F443" s="100">
        <f>SUM(E434:E443)</f>
        <v>82606.63</v>
      </c>
      <c r="G443" s="102" t="str">
        <f t="shared" si="89"/>
        <v>Farol Vermelho</v>
      </c>
      <c r="H443" s="116">
        <f t="shared" si="87"/>
        <v>21848.369999999995</v>
      </c>
      <c r="I443" s="100">
        <f t="shared" si="88"/>
        <v>10</v>
      </c>
      <c r="J443" s="119">
        <v>9</v>
      </c>
      <c r="K443" s="118">
        <f>'Monitoramento Acumulado Geral'!P443</f>
        <v>0</v>
      </c>
      <c r="L443" s="100">
        <f>$L434+L442</f>
        <v>7.5</v>
      </c>
      <c r="M443" s="100">
        <f t="shared" si="93"/>
        <v>9</v>
      </c>
      <c r="N443" s="115"/>
      <c r="O443" s="116" t="e">
        <f t="shared" si="90"/>
        <v>#DIV/0!</v>
      </c>
      <c r="P443" s="115"/>
      <c r="Q443" s="116" t="e">
        <f t="shared" si="91"/>
        <v>#DIV/0!</v>
      </c>
      <c r="R443" s="115"/>
      <c r="S443" s="100" t="e">
        <f t="shared" si="92"/>
        <v>#DIV/0!</v>
      </c>
    </row>
    <row r="444" spans="1:19" ht="15" x14ac:dyDescent="0.2">
      <c r="A444" s="114" t="s">
        <v>121</v>
      </c>
      <c r="B444" s="100" t="s">
        <v>161</v>
      </c>
      <c r="C444" s="115">
        <v>125346</v>
      </c>
      <c r="D444" s="100">
        <f>(C444/12)*11</f>
        <v>114900.5</v>
      </c>
      <c r="E444" s="103">
        <f>'Monitoramento Acumulado Geral'!Q444</f>
        <v>0</v>
      </c>
      <c r="F444" s="100">
        <f>SUM(E434:E444)</f>
        <v>82606.63</v>
      </c>
      <c r="G444" s="102" t="str">
        <f t="shared" si="89"/>
        <v>Farol Vermelho</v>
      </c>
      <c r="H444" s="116">
        <f t="shared" si="87"/>
        <v>32293.869999999995</v>
      </c>
      <c r="I444" s="100">
        <f t="shared" si="88"/>
        <v>11</v>
      </c>
      <c r="J444" s="119">
        <v>9</v>
      </c>
      <c r="K444" s="118">
        <f>'Monitoramento Acumulado Geral'!P444</f>
        <v>0</v>
      </c>
      <c r="L444" s="100">
        <f>L434+L443</f>
        <v>8.25</v>
      </c>
      <c r="M444" s="100">
        <f t="shared" si="93"/>
        <v>9</v>
      </c>
      <c r="N444" s="115"/>
      <c r="O444" s="116" t="e">
        <f t="shared" si="90"/>
        <v>#DIV/0!</v>
      </c>
      <c r="P444" s="115"/>
      <c r="Q444" s="116" t="e">
        <f t="shared" si="91"/>
        <v>#DIV/0!</v>
      </c>
      <c r="R444" s="115"/>
      <c r="S444" s="100" t="e">
        <f t="shared" si="92"/>
        <v>#DIV/0!</v>
      </c>
    </row>
    <row r="445" spans="1:19" ht="15" x14ac:dyDescent="0.2">
      <c r="A445" s="114" t="s">
        <v>121</v>
      </c>
      <c r="B445" s="100" t="s">
        <v>162</v>
      </c>
      <c r="C445" s="115">
        <v>125346</v>
      </c>
      <c r="D445" s="100">
        <f>(C445/12)*12</f>
        <v>125346</v>
      </c>
      <c r="E445" s="103">
        <f>'Monitoramento Acumulado Geral'!Q445</f>
        <v>0</v>
      </c>
      <c r="F445" s="100">
        <f>SUM(E434:E445)</f>
        <v>82606.63</v>
      </c>
      <c r="G445" s="102" t="str">
        <f t="shared" si="89"/>
        <v>Farol Vermelho</v>
      </c>
      <c r="H445" s="116">
        <f t="shared" si="87"/>
        <v>42739.369999999995</v>
      </c>
      <c r="I445" s="100">
        <f t="shared" si="88"/>
        <v>12</v>
      </c>
      <c r="J445" s="119">
        <v>9</v>
      </c>
      <c r="K445" s="118">
        <f>'Monitoramento Acumulado Geral'!P445</f>
        <v>0</v>
      </c>
      <c r="L445" s="100">
        <f>$L434+L444</f>
        <v>9</v>
      </c>
      <c r="M445" s="100">
        <f t="shared" si="93"/>
        <v>9</v>
      </c>
      <c r="N445" s="115"/>
      <c r="O445" s="116" t="e">
        <f t="shared" si="90"/>
        <v>#DIV/0!</v>
      </c>
      <c r="P445" s="115"/>
      <c r="Q445" s="116" t="e">
        <f t="shared" si="91"/>
        <v>#DIV/0!</v>
      </c>
      <c r="R445" s="115"/>
      <c r="S445" s="100" t="e">
        <f t="shared" si="92"/>
        <v>#DIV/0!</v>
      </c>
    </row>
    <row r="446" spans="1:19" ht="15" x14ac:dyDescent="0.2">
      <c r="A446" s="114" t="s">
        <v>314</v>
      </c>
      <c r="B446" s="100" t="s">
        <v>151</v>
      </c>
      <c r="C446" s="115">
        <v>0</v>
      </c>
      <c r="D446" s="100">
        <f>(C446/12)*1</f>
        <v>0</v>
      </c>
      <c r="E446" s="103">
        <f>'Monitoramento Acumulado Geral'!Q446</f>
        <v>0</v>
      </c>
      <c r="F446" s="100">
        <f>E446</f>
        <v>0</v>
      </c>
      <c r="G446" s="102" t="str">
        <f t="shared" si="89"/>
        <v>Farol Amarelo</v>
      </c>
      <c r="H446" s="116">
        <f t="shared" si="87"/>
        <v>0</v>
      </c>
      <c r="I446" s="100">
        <f t="shared" si="88"/>
        <v>1</v>
      </c>
      <c r="J446" s="119">
        <v>0</v>
      </c>
      <c r="K446" s="118">
        <f>'Monitoramento Acumulado Geral'!P446</f>
        <v>0</v>
      </c>
      <c r="L446" s="100">
        <f>J446/12</f>
        <v>0</v>
      </c>
      <c r="M446" s="100">
        <f>K446</f>
        <v>0</v>
      </c>
      <c r="N446" s="115"/>
      <c r="O446" s="116" t="e">
        <f t="shared" si="90"/>
        <v>#DIV/0!</v>
      </c>
      <c r="P446" s="115"/>
      <c r="Q446" s="116" t="e">
        <f t="shared" si="91"/>
        <v>#DIV/0!</v>
      </c>
      <c r="R446" s="115"/>
      <c r="S446" s="100" t="e">
        <f t="shared" si="92"/>
        <v>#DIV/0!</v>
      </c>
    </row>
    <row r="447" spans="1:19" ht="15" x14ac:dyDescent="0.2">
      <c r="A447" s="114" t="s">
        <v>314</v>
      </c>
      <c r="B447" s="100" t="s">
        <v>152</v>
      </c>
      <c r="C447" s="115">
        <v>0</v>
      </c>
      <c r="D447" s="100">
        <f>(C447/12)*2</f>
        <v>0</v>
      </c>
      <c r="E447" s="103">
        <f>'Monitoramento Acumulado Geral'!Q447</f>
        <v>0</v>
      </c>
      <c r="F447" s="100">
        <f>SUM(E446:E447)</f>
        <v>0</v>
      </c>
      <c r="G447" s="102" t="str">
        <f t="shared" si="89"/>
        <v>Farol Amarelo</v>
      </c>
      <c r="H447" s="116">
        <f t="shared" si="87"/>
        <v>0</v>
      </c>
      <c r="I447" s="100">
        <f t="shared" si="88"/>
        <v>2</v>
      </c>
      <c r="J447" s="119">
        <v>0</v>
      </c>
      <c r="K447" s="118">
        <f>'Monitoramento Acumulado Geral'!P447</f>
        <v>0</v>
      </c>
      <c r="L447" s="100">
        <f>L446+L446</f>
        <v>0</v>
      </c>
      <c r="M447" s="100">
        <f>M446+K447</f>
        <v>0</v>
      </c>
      <c r="N447" s="115"/>
      <c r="O447" s="116" t="e">
        <f t="shared" si="90"/>
        <v>#DIV/0!</v>
      </c>
      <c r="P447" s="115"/>
      <c r="Q447" s="116" t="e">
        <f t="shared" si="91"/>
        <v>#DIV/0!</v>
      </c>
      <c r="R447" s="115"/>
      <c r="S447" s="100" t="e">
        <f t="shared" si="92"/>
        <v>#DIV/0!</v>
      </c>
    </row>
    <row r="448" spans="1:19" ht="15" x14ac:dyDescent="0.2">
      <c r="A448" s="114" t="s">
        <v>314</v>
      </c>
      <c r="B448" s="100" t="s">
        <v>153</v>
      </c>
      <c r="C448" s="115">
        <v>0</v>
      </c>
      <c r="D448" s="100">
        <f>(C448/12)*3</f>
        <v>0</v>
      </c>
      <c r="E448" s="103">
        <f>'Monitoramento Acumulado Geral'!Q448</f>
        <v>0</v>
      </c>
      <c r="F448" s="100">
        <f>SUM(E446:E448)</f>
        <v>0</v>
      </c>
      <c r="G448" s="102" t="str">
        <f t="shared" si="89"/>
        <v>Farol Amarelo</v>
      </c>
      <c r="H448" s="116">
        <f t="shared" si="87"/>
        <v>0</v>
      </c>
      <c r="I448" s="100">
        <f t="shared" si="88"/>
        <v>3</v>
      </c>
      <c r="J448" s="119">
        <v>0</v>
      </c>
      <c r="K448" s="118">
        <f>'Monitoramento Acumulado Geral'!P448</f>
        <v>0</v>
      </c>
      <c r="L448" s="100">
        <f>$L446+L447</f>
        <v>0</v>
      </c>
      <c r="M448" s="100">
        <f t="shared" ref="M448:M457" si="94">M447+K448</f>
        <v>0</v>
      </c>
      <c r="N448" s="115"/>
      <c r="O448" s="116" t="e">
        <f t="shared" si="90"/>
        <v>#DIV/0!</v>
      </c>
      <c r="P448" s="115"/>
      <c r="Q448" s="116" t="e">
        <f t="shared" si="91"/>
        <v>#DIV/0!</v>
      </c>
      <c r="R448" s="115"/>
      <c r="S448" s="100" t="e">
        <f t="shared" si="92"/>
        <v>#DIV/0!</v>
      </c>
    </row>
    <row r="449" spans="1:19" ht="15" x14ac:dyDescent="0.2">
      <c r="A449" s="114" t="s">
        <v>314</v>
      </c>
      <c r="B449" s="100" t="s">
        <v>154</v>
      </c>
      <c r="C449" s="115">
        <v>0</v>
      </c>
      <c r="D449" s="100">
        <f>(C449/12)*4</f>
        <v>0</v>
      </c>
      <c r="E449" s="103">
        <f>'Monitoramento Acumulado Geral'!Q449</f>
        <v>0</v>
      </c>
      <c r="F449" s="100">
        <f>SUM(E446:E449)</f>
        <v>0</v>
      </c>
      <c r="G449" s="102" t="str">
        <f t="shared" si="89"/>
        <v>Farol Amarelo</v>
      </c>
      <c r="H449" s="116">
        <f t="shared" si="87"/>
        <v>0</v>
      </c>
      <c r="I449" s="100">
        <f t="shared" si="88"/>
        <v>4</v>
      </c>
      <c r="J449" s="119">
        <v>0</v>
      </c>
      <c r="K449" s="118">
        <f>'Monitoramento Acumulado Geral'!P449</f>
        <v>0</v>
      </c>
      <c r="L449" s="100">
        <f>$L446+L448</f>
        <v>0</v>
      </c>
      <c r="M449" s="100">
        <f t="shared" si="94"/>
        <v>0</v>
      </c>
      <c r="N449" s="115"/>
      <c r="O449" s="116" t="e">
        <f t="shared" si="90"/>
        <v>#DIV/0!</v>
      </c>
      <c r="P449" s="115"/>
      <c r="Q449" s="116" t="e">
        <f t="shared" si="91"/>
        <v>#DIV/0!</v>
      </c>
      <c r="R449" s="115"/>
      <c r="S449" s="100" t="e">
        <f t="shared" si="92"/>
        <v>#DIV/0!</v>
      </c>
    </row>
    <row r="450" spans="1:19" ht="15" x14ac:dyDescent="0.2">
      <c r="A450" s="114" t="s">
        <v>314</v>
      </c>
      <c r="B450" s="100" t="s">
        <v>155</v>
      </c>
      <c r="C450" s="115">
        <v>0</v>
      </c>
      <c r="D450" s="100">
        <f>(C450/12)*5</f>
        <v>0</v>
      </c>
      <c r="E450" s="103">
        <f>'Monitoramento Acumulado Geral'!Q450</f>
        <v>0</v>
      </c>
      <c r="F450" s="100">
        <f>SUM(E446:E450)</f>
        <v>0</v>
      </c>
      <c r="G450" s="102" t="str">
        <f t="shared" si="89"/>
        <v>Farol Amarelo</v>
      </c>
      <c r="H450" s="116">
        <f t="shared" si="87"/>
        <v>0</v>
      </c>
      <c r="I450" s="100">
        <f t="shared" si="88"/>
        <v>5</v>
      </c>
      <c r="J450" s="119">
        <v>0</v>
      </c>
      <c r="K450" s="118">
        <f>'Monitoramento Acumulado Geral'!P450</f>
        <v>0</v>
      </c>
      <c r="L450" s="100">
        <f>L446+L449</f>
        <v>0</v>
      </c>
      <c r="M450" s="100">
        <f t="shared" si="94"/>
        <v>0</v>
      </c>
      <c r="N450" s="115"/>
      <c r="O450" s="116" t="e">
        <f t="shared" si="90"/>
        <v>#DIV/0!</v>
      </c>
      <c r="P450" s="115"/>
      <c r="Q450" s="116" t="e">
        <f t="shared" si="91"/>
        <v>#DIV/0!</v>
      </c>
      <c r="R450" s="115"/>
      <c r="S450" s="100" t="e">
        <f t="shared" si="92"/>
        <v>#DIV/0!</v>
      </c>
    </row>
    <row r="451" spans="1:19" ht="15" x14ac:dyDescent="0.2">
      <c r="A451" s="114" t="s">
        <v>314</v>
      </c>
      <c r="B451" s="100" t="s">
        <v>156</v>
      </c>
      <c r="C451" s="115">
        <v>0</v>
      </c>
      <c r="D451" s="100">
        <f>(C451/12)*6</f>
        <v>0</v>
      </c>
      <c r="E451" s="103">
        <f>'Monitoramento Acumulado Geral'!Q451</f>
        <v>0</v>
      </c>
      <c r="F451" s="100">
        <f>SUM(E446:E451)</f>
        <v>0</v>
      </c>
      <c r="G451" s="102" t="str">
        <f t="shared" si="89"/>
        <v>Farol Amarelo</v>
      </c>
      <c r="H451" s="116">
        <f t="shared" si="87"/>
        <v>0</v>
      </c>
      <c r="I451" s="100">
        <f t="shared" si="88"/>
        <v>6</v>
      </c>
      <c r="J451" s="119">
        <v>0</v>
      </c>
      <c r="K451" s="118">
        <f>'Monitoramento Acumulado Geral'!P451</f>
        <v>0</v>
      </c>
      <c r="L451" s="100">
        <f>$L446+L450</f>
        <v>0</v>
      </c>
      <c r="M451" s="100">
        <f t="shared" si="94"/>
        <v>0</v>
      </c>
      <c r="N451" s="115"/>
      <c r="O451" s="116" t="e">
        <f t="shared" si="90"/>
        <v>#DIV/0!</v>
      </c>
      <c r="P451" s="115"/>
      <c r="Q451" s="116" t="e">
        <f t="shared" si="91"/>
        <v>#DIV/0!</v>
      </c>
      <c r="R451" s="115"/>
      <c r="S451" s="100" t="e">
        <f t="shared" si="92"/>
        <v>#DIV/0!</v>
      </c>
    </row>
    <row r="452" spans="1:19" ht="15" x14ac:dyDescent="0.2">
      <c r="A452" s="114" t="s">
        <v>314</v>
      </c>
      <c r="B452" s="100" t="s">
        <v>157</v>
      </c>
      <c r="C452" s="115">
        <v>0</v>
      </c>
      <c r="D452" s="100">
        <f>(C452/12)*7</f>
        <v>0</v>
      </c>
      <c r="E452" s="103">
        <f>'Monitoramento Acumulado Geral'!Q452</f>
        <v>0</v>
      </c>
      <c r="F452" s="100">
        <f>SUM(E446:E452)</f>
        <v>0</v>
      </c>
      <c r="G452" s="102" t="str">
        <f t="shared" si="89"/>
        <v>Farol Amarelo</v>
      </c>
      <c r="H452" s="116">
        <f t="shared" si="87"/>
        <v>0</v>
      </c>
      <c r="I452" s="100">
        <f t="shared" si="88"/>
        <v>7</v>
      </c>
      <c r="J452" s="119">
        <v>0</v>
      </c>
      <c r="K452" s="118">
        <f>'Monitoramento Acumulado Geral'!P452</f>
        <v>0</v>
      </c>
      <c r="L452" s="100">
        <f>$L446+L451</f>
        <v>0</v>
      </c>
      <c r="M452" s="100">
        <f t="shared" si="94"/>
        <v>0</v>
      </c>
      <c r="N452" s="115"/>
      <c r="O452" s="116" t="e">
        <f t="shared" si="90"/>
        <v>#DIV/0!</v>
      </c>
      <c r="P452" s="115"/>
      <c r="Q452" s="116" t="e">
        <f t="shared" si="91"/>
        <v>#DIV/0!</v>
      </c>
      <c r="R452" s="115"/>
      <c r="S452" s="100" t="e">
        <f t="shared" si="92"/>
        <v>#DIV/0!</v>
      </c>
    </row>
    <row r="453" spans="1:19" ht="15" x14ac:dyDescent="0.2">
      <c r="A453" s="114" t="s">
        <v>314</v>
      </c>
      <c r="B453" s="100" t="s">
        <v>158</v>
      </c>
      <c r="C453" s="115">
        <v>0</v>
      </c>
      <c r="D453" s="100">
        <f>(C453/12)*8</f>
        <v>0</v>
      </c>
      <c r="E453" s="103">
        <f>'Monitoramento Acumulado Geral'!Q453</f>
        <v>0</v>
      </c>
      <c r="F453" s="100">
        <f>SUM(E446:E453)</f>
        <v>0</v>
      </c>
      <c r="G453" s="102" t="str">
        <f t="shared" si="89"/>
        <v>Farol Amarelo</v>
      </c>
      <c r="H453" s="116">
        <f t="shared" si="87"/>
        <v>0</v>
      </c>
      <c r="I453" s="100">
        <f t="shared" si="88"/>
        <v>8</v>
      </c>
      <c r="J453" s="119">
        <v>0</v>
      </c>
      <c r="K453" s="118">
        <f>'Monitoramento Acumulado Geral'!P453</f>
        <v>0</v>
      </c>
      <c r="L453" s="100">
        <f>L446+L452</f>
        <v>0</v>
      </c>
      <c r="M453" s="100">
        <f t="shared" si="94"/>
        <v>0</v>
      </c>
      <c r="N453" s="115"/>
      <c r="O453" s="116" t="e">
        <f t="shared" si="90"/>
        <v>#DIV/0!</v>
      </c>
      <c r="P453" s="115"/>
      <c r="Q453" s="116" t="e">
        <f t="shared" si="91"/>
        <v>#DIV/0!</v>
      </c>
      <c r="R453" s="115"/>
      <c r="S453" s="100" t="e">
        <f t="shared" si="92"/>
        <v>#DIV/0!</v>
      </c>
    </row>
    <row r="454" spans="1:19" ht="15" x14ac:dyDescent="0.2">
      <c r="A454" s="114" t="s">
        <v>314</v>
      </c>
      <c r="B454" s="100" t="s">
        <v>159</v>
      </c>
      <c r="C454" s="115">
        <v>0</v>
      </c>
      <c r="D454" s="100">
        <f>(C454/12)*9</f>
        <v>0</v>
      </c>
      <c r="E454" s="103">
        <f>'Monitoramento Acumulado Geral'!Q454</f>
        <v>0</v>
      </c>
      <c r="F454" s="100">
        <f>SUM(E446:E454)</f>
        <v>0</v>
      </c>
      <c r="G454" s="102" t="str">
        <f t="shared" si="89"/>
        <v>Farol Amarelo</v>
      </c>
      <c r="H454" s="116">
        <f t="shared" si="87"/>
        <v>0</v>
      </c>
      <c r="I454" s="100">
        <f t="shared" si="88"/>
        <v>9</v>
      </c>
      <c r="J454" s="119">
        <v>0</v>
      </c>
      <c r="K454" s="118">
        <f>'Monitoramento Acumulado Geral'!P454</f>
        <v>0</v>
      </c>
      <c r="L454" s="100">
        <f>$L446+L453</f>
        <v>0</v>
      </c>
      <c r="M454" s="100">
        <f t="shared" si="94"/>
        <v>0</v>
      </c>
      <c r="N454" s="115"/>
      <c r="O454" s="116" t="e">
        <f t="shared" si="90"/>
        <v>#DIV/0!</v>
      </c>
      <c r="P454" s="115"/>
      <c r="Q454" s="116" t="e">
        <f t="shared" si="91"/>
        <v>#DIV/0!</v>
      </c>
      <c r="R454" s="115"/>
      <c r="S454" s="100" t="e">
        <f t="shared" si="92"/>
        <v>#DIV/0!</v>
      </c>
    </row>
    <row r="455" spans="1:19" ht="15" x14ac:dyDescent="0.2">
      <c r="A455" s="114" t="s">
        <v>314</v>
      </c>
      <c r="B455" s="100" t="s">
        <v>160</v>
      </c>
      <c r="C455" s="115">
        <v>0</v>
      </c>
      <c r="D455" s="100">
        <f>(C455/12)*10</f>
        <v>0</v>
      </c>
      <c r="E455" s="103">
        <f>'Monitoramento Acumulado Geral'!Q455</f>
        <v>0</v>
      </c>
      <c r="F455" s="100">
        <f>SUM(E446:E455)</f>
        <v>0</v>
      </c>
      <c r="G455" s="102" t="str">
        <f t="shared" si="89"/>
        <v>Farol Amarelo</v>
      </c>
      <c r="H455" s="116">
        <f t="shared" si="87"/>
        <v>0</v>
      </c>
      <c r="I455" s="100">
        <f t="shared" si="88"/>
        <v>10</v>
      </c>
      <c r="J455" s="119">
        <v>0</v>
      </c>
      <c r="K455" s="118">
        <f>'Monitoramento Acumulado Geral'!P455</f>
        <v>0</v>
      </c>
      <c r="L455" s="100">
        <f>$L446+L454</f>
        <v>0</v>
      </c>
      <c r="M455" s="100">
        <f t="shared" si="94"/>
        <v>0</v>
      </c>
      <c r="N455" s="115"/>
      <c r="O455" s="116" t="e">
        <f t="shared" si="90"/>
        <v>#DIV/0!</v>
      </c>
      <c r="P455" s="115"/>
      <c r="Q455" s="116" t="e">
        <f t="shared" si="91"/>
        <v>#DIV/0!</v>
      </c>
      <c r="R455" s="115"/>
      <c r="S455" s="100" t="e">
        <f t="shared" si="92"/>
        <v>#DIV/0!</v>
      </c>
    </row>
    <row r="456" spans="1:19" ht="15" x14ac:dyDescent="0.2">
      <c r="A456" s="114" t="s">
        <v>314</v>
      </c>
      <c r="B456" s="100" t="s">
        <v>161</v>
      </c>
      <c r="C456" s="115">
        <v>0</v>
      </c>
      <c r="D456" s="100">
        <f>(C456/12)*11</f>
        <v>0</v>
      </c>
      <c r="E456" s="103">
        <f>'Monitoramento Acumulado Geral'!Q456</f>
        <v>0</v>
      </c>
      <c r="F456" s="100">
        <f>SUM(E446:E456)</f>
        <v>0</v>
      </c>
      <c r="G456" s="102" t="str">
        <f t="shared" si="89"/>
        <v>Farol Amarelo</v>
      </c>
      <c r="H456" s="116">
        <f t="shared" si="87"/>
        <v>0</v>
      </c>
      <c r="I456" s="100">
        <f t="shared" si="88"/>
        <v>11</v>
      </c>
      <c r="J456" s="119">
        <v>0</v>
      </c>
      <c r="K456" s="118">
        <f>'Monitoramento Acumulado Geral'!P456</f>
        <v>0</v>
      </c>
      <c r="L456" s="100">
        <f>L446+L455</f>
        <v>0</v>
      </c>
      <c r="M456" s="100">
        <f t="shared" si="94"/>
        <v>0</v>
      </c>
      <c r="N456" s="115"/>
      <c r="O456" s="116" t="e">
        <f t="shared" si="90"/>
        <v>#DIV/0!</v>
      </c>
      <c r="P456" s="115"/>
      <c r="Q456" s="116" t="e">
        <f t="shared" si="91"/>
        <v>#DIV/0!</v>
      </c>
      <c r="R456" s="115"/>
      <c r="S456" s="100" t="e">
        <f t="shared" si="92"/>
        <v>#DIV/0!</v>
      </c>
    </row>
    <row r="457" spans="1:19" ht="15" x14ac:dyDescent="0.2">
      <c r="A457" s="114" t="s">
        <v>314</v>
      </c>
      <c r="B457" s="100" t="s">
        <v>162</v>
      </c>
      <c r="C457" s="115">
        <v>0</v>
      </c>
      <c r="D457" s="100">
        <f>(C457/12)*12</f>
        <v>0</v>
      </c>
      <c r="E457" s="103">
        <f>'Monitoramento Acumulado Geral'!Q457</f>
        <v>0</v>
      </c>
      <c r="F457" s="100">
        <f>SUM(E446:E457)</f>
        <v>0</v>
      </c>
      <c r="G457" s="102" t="str">
        <f t="shared" si="89"/>
        <v>Farol Amarelo</v>
      </c>
      <c r="H457" s="116">
        <f t="shared" si="87"/>
        <v>0</v>
      </c>
      <c r="I457" s="100">
        <f t="shared" si="88"/>
        <v>12</v>
      </c>
      <c r="J457" s="119">
        <v>0</v>
      </c>
      <c r="K457" s="118">
        <f>'Monitoramento Acumulado Geral'!P457</f>
        <v>0</v>
      </c>
      <c r="L457" s="100">
        <f>$L446+L456</f>
        <v>0</v>
      </c>
      <c r="M457" s="100">
        <f t="shared" si="94"/>
        <v>0</v>
      </c>
      <c r="N457" s="115"/>
      <c r="O457" s="116" t="e">
        <f t="shared" si="90"/>
        <v>#DIV/0!</v>
      </c>
      <c r="P457" s="115"/>
      <c r="Q457" s="116" t="e">
        <f t="shared" si="91"/>
        <v>#DIV/0!</v>
      </c>
      <c r="R457" s="115"/>
      <c r="S457" s="100" t="e">
        <f t="shared" si="92"/>
        <v>#DIV/0!</v>
      </c>
    </row>
    <row r="458" spans="1:19" ht="15" x14ac:dyDescent="0.2">
      <c r="A458" s="114" t="s">
        <v>315</v>
      </c>
      <c r="B458" s="100" t="s">
        <v>151</v>
      </c>
      <c r="C458" s="115">
        <v>0</v>
      </c>
      <c r="D458" s="100">
        <f>(C458/12)*1</f>
        <v>0</v>
      </c>
      <c r="E458" s="103">
        <f>'Monitoramento Acumulado Geral'!Q458</f>
        <v>0</v>
      </c>
      <c r="F458" s="100">
        <f>E458</f>
        <v>0</v>
      </c>
      <c r="G458" s="102" t="str">
        <f t="shared" si="89"/>
        <v>Farol Amarelo</v>
      </c>
      <c r="H458" s="116">
        <f t="shared" ref="H458:H469" si="95">IF(D458-F458&lt;0,0,D458-F458)</f>
        <v>0</v>
      </c>
      <c r="I458" s="100">
        <f t="shared" ref="I458:I469" si="96">_xlfn.IFS(B458="Janeiro",1,B458="Fevereiro",2,B458="Março",3,B458="Abril",4,B458="Maio",5,B458="Junho",6,B458="Julho",7,B458="Agosto",8,B458="Setembro",9,B458="Outubro",10,B458="Novembro",11,B458="Dezembro",12,TRUE,0)</f>
        <v>1</v>
      </c>
      <c r="J458" s="119">
        <v>0</v>
      </c>
      <c r="K458" s="118">
        <f>'Monitoramento Acumulado Geral'!P458</f>
        <v>0</v>
      </c>
      <c r="L458" s="100">
        <f>J458/12</f>
        <v>0</v>
      </c>
      <c r="M458" s="100">
        <f>K458</f>
        <v>0</v>
      </c>
      <c r="N458" s="115"/>
      <c r="O458" s="116" t="e">
        <f t="shared" si="90"/>
        <v>#DIV/0!</v>
      </c>
      <c r="P458" s="115"/>
      <c r="Q458" s="116" t="e">
        <f t="shared" si="91"/>
        <v>#DIV/0!</v>
      </c>
      <c r="R458" s="115"/>
      <c r="S458" s="100" t="e">
        <f t="shared" si="92"/>
        <v>#DIV/0!</v>
      </c>
    </row>
    <row r="459" spans="1:19" ht="15" x14ac:dyDescent="0.2">
      <c r="A459" s="114" t="s">
        <v>315</v>
      </c>
      <c r="B459" s="100" t="s">
        <v>152</v>
      </c>
      <c r="C459" s="115">
        <v>0</v>
      </c>
      <c r="D459" s="100">
        <f>(C459/12)*2</f>
        <v>0</v>
      </c>
      <c r="E459" s="103">
        <f>'Monitoramento Acumulado Geral'!Q459</f>
        <v>0</v>
      </c>
      <c r="F459" s="100">
        <f>SUM(E458:E459)</f>
        <v>0</v>
      </c>
      <c r="G459" s="102" t="str">
        <f t="shared" ref="G459:G469" si="97">_xlfn.IFS(F459&gt;D459,"Farol Verde",F459&gt;=D459*0.85,"Farol Amarelo",F459&lt;D459*0.85,"Farol Vermelho","Verdadeiro",0)</f>
        <v>Farol Amarelo</v>
      </c>
      <c r="H459" s="116">
        <f t="shared" si="95"/>
        <v>0</v>
      </c>
      <c r="I459" s="100">
        <f t="shared" si="96"/>
        <v>2</v>
      </c>
      <c r="J459" s="119">
        <v>0</v>
      </c>
      <c r="K459" s="118">
        <f>'Monitoramento Acumulado Geral'!P459</f>
        <v>0</v>
      </c>
      <c r="L459" s="100">
        <f>L458+L458</f>
        <v>0</v>
      </c>
      <c r="M459" s="100">
        <f>M458+K459</f>
        <v>0</v>
      </c>
      <c r="N459" s="115"/>
      <c r="O459" s="116" t="e">
        <f t="shared" si="90"/>
        <v>#DIV/0!</v>
      </c>
      <c r="P459" s="115"/>
      <c r="Q459" s="116" t="e">
        <f t="shared" si="91"/>
        <v>#DIV/0!</v>
      </c>
      <c r="R459" s="115"/>
      <c r="S459" s="100" t="e">
        <f t="shared" si="92"/>
        <v>#DIV/0!</v>
      </c>
    </row>
    <row r="460" spans="1:19" ht="15" x14ac:dyDescent="0.2">
      <c r="A460" s="114" t="s">
        <v>315</v>
      </c>
      <c r="B460" s="100" t="s">
        <v>153</v>
      </c>
      <c r="C460" s="115">
        <v>0</v>
      </c>
      <c r="D460" s="100">
        <f>(C460/12)*3</f>
        <v>0</v>
      </c>
      <c r="E460" s="103">
        <f>'Monitoramento Acumulado Geral'!Q460</f>
        <v>0</v>
      </c>
      <c r="F460" s="100">
        <f>SUM(E458:E460)</f>
        <v>0</v>
      </c>
      <c r="G460" s="102" t="str">
        <f t="shared" si="97"/>
        <v>Farol Amarelo</v>
      </c>
      <c r="H460" s="116">
        <f t="shared" si="95"/>
        <v>0</v>
      </c>
      <c r="I460" s="100">
        <f t="shared" si="96"/>
        <v>3</v>
      </c>
      <c r="J460" s="119">
        <v>0</v>
      </c>
      <c r="K460" s="118">
        <f>'Monitoramento Acumulado Geral'!P460</f>
        <v>0</v>
      </c>
      <c r="L460" s="100">
        <f>$L458+L459</f>
        <v>0</v>
      </c>
      <c r="M460" s="100">
        <f t="shared" ref="M460:M469" si="98">M459+K460</f>
        <v>0</v>
      </c>
      <c r="N460" s="115"/>
      <c r="O460" s="116" t="e">
        <f t="shared" si="90"/>
        <v>#DIV/0!</v>
      </c>
      <c r="P460" s="115"/>
      <c r="Q460" s="116" t="e">
        <f t="shared" si="91"/>
        <v>#DIV/0!</v>
      </c>
      <c r="R460" s="115"/>
      <c r="S460" s="100" t="e">
        <f t="shared" si="92"/>
        <v>#DIV/0!</v>
      </c>
    </row>
    <row r="461" spans="1:19" ht="15" x14ac:dyDescent="0.2">
      <c r="A461" s="114" t="s">
        <v>315</v>
      </c>
      <c r="B461" s="100" t="s">
        <v>154</v>
      </c>
      <c r="C461" s="115">
        <v>0</v>
      </c>
      <c r="D461" s="100">
        <f>(C461/12)*4</f>
        <v>0</v>
      </c>
      <c r="E461" s="103">
        <f>'Monitoramento Acumulado Geral'!Q461</f>
        <v>0</v>
      </c>
      <c r="F461" s="100">
        <f>SUM(E458:E461)</f>
        <v>0</v>
      </c>
      <c r="G461" s="102" t="str">
        <f t="shared" si="97"/>
        <v>Farol Amarelo</v>
      </c>
      <c r="H461" s="116">
        <f t="shared" si="95"/>
        <v>0</v>
      </c>
      <c r="I461" s="100">
        <f t="shared" si="96"/>
        <v>4</v>
      </c>
      <c r="J461" s="119">
        <v>0</v>
      </c>
      <c r="K461" s="118">
        <f>'Monitoramento Acumulado Geral'!P461</f>
        <v>0</v>
      </c>
      <c r="L461" s="100">
        <f>$L458+L460</f>
        <v>0</v>
      </c>
      <c r="M461" s="100">
        <f t="shared" si="98"/>
        <v>0</v>
      </c>
      <c r="N461" s="115"/>
      <c r="O461" s="116" t="e">
        <f t="shared" si="90"/>
        <v>#DIV/0!</v>
      </c>
      <c r="P461" s="115"/>
      <c r="Q461" s="116" t="e">
        <f t="shared" si="91"/>
        <v>#DIV/0!</v>
      </c>
      <c r="R461" s="115"/>
      <c r="S461" s="100" t="e">
        <f t="shared" si="92"/>
        <v>#DIV/0!</v>
      </c>
    </row>
    <row r="462" spans="1:19" ht="15" x14ac:dyDescent="0.2">
      <c r="A462" s="114" t="s">
        <v>315</v>
      </c>
      <c r="B462" s="100" t="s">
        <v>155</v>
      </c>
      <c r="C462" s="115">
        <v>0</v>
      </c>
      <c r="D462" s="100">
        <f>(C462/12)*5</f>
        <v>0</v>
      </c>
      <c r="E462" s="103">
        <f>'Monitoramento Acumulado Geral'!Q462</f>
        <v>0</v>
      </c>
      <c r="F462" s="100">
        <f>SUM(E458:E462)</f>
        <v>0</v>
      </c>
      <c r="G462" s="102" t="str">
        <f t="shared" si="97"/>
        <v>Farol Amarelo</v>
      </c>
      <c r="H462" s="116">
        <f t="shared" si="95"/>
        <v>0</v>
      </c>
      <c r="I462" s="100">
        <f t="shared" si="96"/>
        <v>5</v>
      </c>
      <c r="J462" s="119">
        <v>0</v>
      </c>
      <c r="K462" s="118">
        <f>'Monitoramento Acumulado Geral'!P462</f>
        <v>0</v>
      </c>
      <c r="L462" s="100">
        <f>L458+L461</f>
        <v>0</v>
      </c>
      <c r="M462" s="100">
        <f t="shared" si="98"/>
        <v>0</v>
      </c>
      <c r="N462" s="115"/>
      <c r="O462" s="116" t="e">
        <f t="shared" si="90"/>
        <v>#DIV/0!</v>
      </c>
      <c r="P462" s="115"/>
      <c r="Q462" s="116" t="e">
        <f t="shared" si="91"/>
        <v>#DIV/0!</v>
      </c>
      <c r="R462" s="115"/>
      <c r="S462" s="100" t="e">
        <f t="shared" si="92"/>
        <v>#DIV/0!</v>
      </c>
    </row>
    <row r="463" spans="1:19" ht="15" x14ac:dyDescent="0.2">
      <c r="A463" s="114" t="s">
        <v>315</v>
      </c>
      <c r="B463" s="100" t="s">
        <v>156</v>
      </c>
      <c r="C463" s="115">
        <v>0</v>
      </c>
      <c r="D463" s="100">
        <f>(C463/12)*6</f>
        <v>0</v>
      </c>
      <c r="E463" s="103">
        <f>'Monitoramento Acumulado Geral'!Q463</f>
        <v>0</v>
      </c>
      <c r="F463" s="100">
        <f>SUM(E458:E463)</f>
        <v>0</v>
      </c>
      <c r="G463" s="102" t="str">
        <f t="shared" si="97"/>
        <v>Farol Amarelo</v>
      </c>
      <c r="H463" s="116">
        <f t="shared" si="95"/>
        <v>0</v>
      </c>
      <c r="I463" s="100">
        <f t="shared" si="96"/>
        <v>6</v>
      </c>
      <c r="J463" s="119">
        <v>0</v>
      </c>
      <c r="K463" s="118">
        <f>'Monitoramento Acumulado Geral'!P463</f>
        <v>0</v>
      </c>
      <c r="L463" s="100">
        <f>$L458+L462</f>
        <v>0</v>
      </c>
      <c r="M463" s="100">
        <f t="shared" si="98"/>
        <v>0</v>
      </c>
      <c r="N463" s="115"/>
      <c r="O463" s="116" t="e">
        <f t="shared" si="90"/>
        <v>#DIV/0!</v>
      </c>
      <c r="P463" s="115"/>
      <c r="Q463" s="116" t="e">
        <f t="shared" si="91"/>
        <v>#DIV/0!</v>
      </c>
      <c r="R463" s="115"/>
      <c r="S463" s="100" t="e">
        <f t="shared" si="92"/>
        <v>#DIV/0!</v>
      </c>
    </row>
    <row r="464" spans="1:19" ht="15" x14ac:dyDescent="0.2">
      <c r="A464" s="114" t="s">
        <v>315</v>
      </c>
      <c r="B464" s="100" t="s">
        <v>157</v>
      </c>
      <c r="C464" s="115">
        <v>0</v>
      </c>
      <c r="D464" s="100">
        <f>(C464/12)*7</f>
        <v>0</v>
      </c>
      <c r="E464" s="103">
        <f>'Monitoramento Acumulado Geral'!Q464</f>
        <v>0</v>
      </c>
      <c r="F464" s="100">
        <f>SUM(E458:E464)</f>
        <v>0</v>
      </c>
      <c r="G464" s="102" t="str">
        <f t="shared" si="97"/>
        <v>Farol Amarelo</v>
      </c>
      <c r="H464" s="116">
        <f t="shared" si="95"/>
        <v>0</v>
      </c>
      <c r="I464" s="100">
        <f t="shared" si="96"/>
        <v>7</v>
      </c>
      <c r="J464" s="119">
        <v>0</v>
      </c>
      <c r="K464" s="118">
        <f>'Monitoramento Acumulado Geral'!P464</f>
        <v>0</v>
      </c>
      <c r="L464" s="100">
        <f>$L458+L463</f>
        <v>0</v>
      </c>
      <c r="M464" s="100">
        <f t="shared" si="98"/>
        <v>0</v>
      </c>
      <c r="N464" s="115"/>
      <c r="O464" s="116" t="e">
        <f t="shared" si="90"/>
        <v>#DIV/0!</v>
      </c>
      <c r="P464" s="115"/>
      <c r="Q464" s="116" t="e">
        <f t="shared" si="91"/>
        <v>#DIV/0!</v>
      </c>
      <c r="R464" s="115"/>
      <c r="S464" s="100" t="e">
        <f t="shared" si="92"/>
        <v>#DIV/0!</v>
      </c>
    </row>
    <row r="465" spans="1:19" ht="15" x14ac:dyDescent="0.2">
      <c r="A465" s="114" t="s">
        <v>315</v>
      </c>
      <c r="B465" s="100" t="s">
        <v>158</v>
      </c>
      <c r="C465" s="115">
        <v>0</v>
      </c>
      <c r="D465" s="100">
        <f>(C465/12)*8</f>
        <v>0</v>
      </c>
      <c r="E465" s="103">
        <f>'Monitoramento Acumulado Geral'!Q465</f>
        <v>0</v>
      </c>
      <c r="F465" s="100">
        <f>SUM(E458:E465)</f>
        <v>0</v>
      </c>
      <c r="G465" s="102" t="str">
        <f t="shared" si="97"/>
        <v>Farol Amarelo</v>
      </c>
      <c r="H465" s="116">
        <f t="shared" si="95"/>
        <v>0</v>
      </c>
      <c r="I465" s="100">
        <f t="shared" si="96"/>
        <v>8</v>
      </c>
      <c r="J465" s="119">
        <v>0</v>
      </c>
      <c r="K465" s="118">
        <f>'Monitoramento Acumulado Geral'!P465</f>
        <v>0</v>
      </c>
      <c r="L465" s="100">
        <f>L458+L464</f>
        <v>0</v>
      </c>
      <c r="M465" s="100">
        <f t="shared" si="98"/>
        <v>0</v>
      </c>
      <c r="N465" s="115"/>
      <c r="O465" s="116" t="e">
        <f t="shared" si="90"/>
        <v>#DIV/0!</v>
      </c>
      <c r="P465" s="115"/>
      <c r="Q465" s="116" t="e">
        <f t="shared" si="91"/>
        <v>#DIV/0!</v>
      </c>
      <c r="R465" s="115"/>
      <c r="S465" s="100" t="e">
        <f t="shared" si="92"/>
        <v>#DIV/0!</v>
      </c>
    </row>
    <row r="466" spans="1:19" ht="15" x14ac:dyDescent="0.2">
      <c r="A466" s="114" t="s">
        <v>315</v>
      </c>
      <c r="B466" s="100" t="s">
        <v>159</v>
      </c>
      <c r="C466" s="115">
        <v>0</v>
      </c>
      <c r="D466" s="100">
        <f>(C466/12)*9</f>
        <v>0</v>
      </c>
      <c r="E466" s="103">
        <f>'Monitoramento Acumulado Geral'!Q466</f>
        <v>559.17999999999995</v>
      </c>
      <c r="F466" s="100">
        <f>SUM(E458:E466)</f>
        <v>559.17999999999995</v>
      </c>
      <c r="G466" s="102" t="str">
        <f t="shared" si="97"/>
        <v>Farol Verde</v>
      </c>
      <c r="H466" s="116">
        <f t="shared" si="95"/>
        <v>0</v>
      </c>
      <c r="I466" s="100">
        <f t="shared" si="96"/>
        <v>9</v>
      </c>
      <c r="J466" s="119">
        <v>0</v>
      </c>
      <c r="K466" s="118">
        <f>'Monitoramento Acumulado Geral'!P466</f>
        <v>1</v>
      </c>
      <c r="L466" s="100">
        <f>$L458+L465</f>
        <v>0</v>
      </c>
      <c r="M466" s="100">
        <f t="shared" si="98"/>
        <v>1</v>
      </c>
      <c r="N466" s="115"/>
      <c r="O466" s="116" t="e">
        <f t="shared" si="90"/>
        <v>#DIV/0!</v>
      </c>
      <c r="P466" s="115"/>
      <c r="Q466" s="116" t="e">
        <f t="shared" si="91"/>
        <v>#DIV/0!</v>
      </c>
      <c r="R466" s="115"/>
      <c r="S466" s="100" t="e">
        <f t="shared" si="92"/>
        <v>#DIV/0!</v>
      </c>
    </row>
    <row r="467" spans="1:19" ht="15" x14ac:dyDescent="0.2">
      <c r="A467" s="114" t="s">
        <v>315</v>
      </c>
      <c r="B467" s="100" t="s">
        <v>160</v>
      </c>
      <c r="C467" s="115">
        <v>0</v>
      </c>
      <c r="D467" s="100">
        <f>(C467/12)*10</f>
        <v>0</v>
      </c>
      <c r="E467" s="103">
        <f>'Monitoramento Acumulado Geral'!Q467</f>
        <v>0</v>
      </c>
      <c r="F467" s="100">
        <f>SUM(E458:E467)</f>
        <v>559.17999999999995</v>
      </c>
      <c r="G467" s="102" t="str">
        <f t="shared" si="97"/>
        <v>Farol Verde</v>
      </c>
      <c r="H467" s="116">
        <f t="shared" si="95"/>
        <v>0</v>
      </c>
      <c r="I467" s="100">
        <f t="shared" si="96"/>
        <v>10</v>
      </c>
      <c r="J467" s="119">
        <v>0</v>
      </c>
      <c r="K467" s="118">
        <f>'Monitoramento Acumulado Geral'!P467</f>
        <v>0</v>
      </c>
      <c r="L467" s="100">
        <f>$L458+L466</f>
        <v>0</v>
      </c>
      <c r="M467" s="100">
        <f t="shared" si="98"/>
        <v>1</v>
      </c>
      <c r="N467" s="115"/>
      <c r="O467" s="116" t="e">
        <f t="shared" si="90"/>
        <v>#DIV/0!</v>
      </c>
      <c r="P467" s="115"/>
      <c r="Q467" s="116" t="e">
        <f t="shared" si="91"/>
        <v>#DIV/0!</v>
      </c>
      <c r="R467" s="115"/>
      <c r="S467" s="100" t="e">
        <f t="shared" si="92"/>
        <v>#DIV/0!</v>
      </c>
    </row>
    <row r="468" spans="1:19" ht="15" x14ac:dyDescent="0.2">
      <c r="A468" s="114" t="s">
        <v>315</v>
      </c>
      <c r="B468" s="100" t="s">
        <v>161</v>
      </c>
      <c r="C468" s="115">
        <v>0</v>
      </c>
      <c r="D468" s="100">
        <f>(C468/12)*11</f>
        <v>0</v>
      </c>
      <c r="E468" s="103">
        <f>'Monitoramento Acumulado Geral'!Q468</f>
        <v>0</v>
      </c>
      <c r="F468" s="100">
        <f>SUM(E458:E468)</f>
        <v>559.17999999999995</v>
      </c>
      <c r="G468" s="102" t="str">
        <f t="shared" si="97"/>
        <v>Farol Verde</v>
      </c>
      <c r="H468" s="116">
        <f t="shared" si="95"/>
        <v>0</v>
      </c>
      <c r="I468" s="100">
        <f t="shared" si="96"/>
        <v>11</v>
      </c>
      <c r="J468" s="119">
        <v>0</v>
      </c>
      <c r="K468" s="118">
        <f>'Monitoramento Acumulado Geral'!P468</f>
        <v>0</v>
      </c>
      <c r="L468" s="100">
        <f>L458+L467</f>
        <v>0</v>
      </c>
      <c r="M468" s="100">
        <f t="shared" si="98"/>
        <v>1</v>
      </c>
      <c r="N468" s="115"/>
      <c r="O468" s="116" t="e">
        <f t="shared" si="90"/>
        <v>#DIV/0!</v>
      </c>
      <c r="P468" s="115"/>
      <c r="Q468" s="116" t="e">
        <f t="shared" si="91"/>
        <v>#DIV/0!</v>
      </c>
      <c r="R468" s="115"/>
      <c r="S468" s="100" t="e">
        <f t="shared" si="92"/>
        <v>#DIV/0!</v>
      </c>
    </row>
    <row r="469" spans="1:19" ht="15" x14ac:dyDescent="0.2">
      <c r="A469" s="114" t="s">
        <v>315</v>
      </c>
      <c r="B469" s="100" t="s">
        <v>162</v>
      </c>
      <c r="C469" s="115">
        <v>0</v>
      </c>
      <c r="D469" s="100">
        <f>(C469/12)*12</f>
        <v>0</v>
      </c>
      <c r="E469" s="103">
        <f>'Monitoramento Acumulado Geral'!Q469</f>
        <v>0</v>
      </c>
      <c r="F469" s="100">
        <f>SUM(E458:E469)</f>
        <v>559.17999999999995</v>
      </c>
      <c r="G469" s="102" t="str">
        <f t="shared" si="97"/>
        <v>Farol Verde</v>
      </c>
      <c r="H469" s="116">
        <f t="shared" si="95"/>
        <v>0</v>
      </c>
      <c r="I469" s="100">
        <f t="shared" si="96"/>
        <v>12</v>
      </c>
      <c r="J469" s="119">
        <v>0</v>
      </c>
      <c r="K469" s="118">
        <f>'Monitoramento Acumulado Geral'!P469</f>
        <v>0</v>
      </c>
      <c r="L469" s="100">
        <f>$L458+L468</f>
        <v>0</v>
      </c>
      <c r="M469" s="100">
        <f t="shared" si="98"/>
        <v>1</v>
      </c>
      <c r="N469" s="115"/>
      <c r="O469" s="116" t="e">
        <f t="shared" si="90"/>
        <v>#DIV/0!</v>
      </c>
      <c r="P469" s="115"/>
      <c r="Q469" s="116" t="e">
        <f t="shared" si="91"/>
        <v>#DIV/0!</v>
      </c>
      <c r="R469" s="115"/>
      <c r="S469" s="100" t="e">
        <f t="shared" si="92"/>
        <v>#DIV/0!</v>
      </c>
    </row>
    <row r="470" spans="1:19" ht="15" x14ac:dyDescent="0.2">
      <c r="A470" s="114" t="s">
        <v>116</v>
      </c>
      <c r="B470" s="100" t="s">
        <v>151</v>
      </c>
      <c r="C470" s="115">
        <v>17674.88</v>
      </c>
      <c r="D470" s="100">
        <f>(C470/12)*1</f>
        <v>1472.9066666666668</v>
      </c>
      <c r="E470" s="103">
        <f>'Monitoramento Acumulado Geral'!Q470</f>
        <v>10</v>
      </c>
      <c r="F470" s="100">
        <f>E470</f>
        <v>10</v>
      </c>
      <c r="G470" s="102" t="str">
        <f t="shared" si="89"/>
        <v>Farol Vermelho</v>
      </c>
      <c r="H470" s="116">
        <f t="shared" si="87"/>
        <v>1462.9066666666668</v>
      </c>
      <c r="I470" s="100">
        <f t="shared" si="88"/>
        <v>1</v>
      </c>
      <c r="J470" s="119">
        <v>10</v>
      </c>
      <c r="K470" s="118">
        <f>'Monitoramento Acumulado Geral'!P470</f>
        <v>1</v>
      </c>
      <c r="L470" s="100">
        <f>J470/12</f>
        <v>0.83333333333333337</v>
      </c>
      <c r="M470" s="100">
        <f>K470</f>
        <v>1</v>
      </c>
      <c r="N470" s="115">
        <v>0</v>
      </c>
      <c r="O470" s="116" t="e">
        <f t="shared" si="90"/>
        <v>#DIV/0!</v>
      </c>
      <c r="P470" s="115">
        <v>0</v>
      </c>
      <c r="Q470" s="116" t="e">
        <f t="shared" si="91"/>
        <v>#DIV/0!</v>
      </c>
      <c r="R470" s="115">
        <v>0</v>
      </c>
      <c r="S470" s="100" t="e">
        <f t="shared" si="92"/>
        <v>#DIV/0!</v>
      </c>
    </row>
    <row r="471" spans="1:19" ht="15" x14ac:dyDescent="0.2">
      <c r="A471" s="114" t="s">
        <v>116</v>
      </c>
      <c r="B471" s="100" t="s">
        <v>152</v>
      </c>
      <c r="C471" s="115">
        <v>17674.88</v>
      </c>
      <c r="D471" s="100">
        <f>(C471/12)*2</f>
        <v>2945.8133333333335</v>
      </c>
      <c r="E471" s="103">
        <f>'Monitoramento Acumulado Geral'!Q471</f>
        <v>0</v>
      </c>
      <c r="F471" s="100">
        <f>SUM(E470:E471)</f>
        <v>10</v>
      </c>
      <c r="G471" s="102" t="str">
        <f t="shared" si="89"/>
        <v>Farol Vermelho</v>
      </c>
      <c r="H471" s="116">
        <f t="shared" si="87"/>
        <v>2935.8133333333335</v>
      </c>
      <c r="I471" s="100">
        <f t="shared" si="88"/>
        <v>2</v>
      </c>
      <c r="J471" s="119">
        <v>10</v>
      </c>
      <c r="K471" s="118">
        <f>'Monitoramento Acumulado Geral'!P471</f>
        <v>0</v>
      </c>
      <c r="L471" s="100">
        <f>L470+L470</f>
        <v>1.6666666666666667</v>
      </c>
      <c r="M471" s="100">
        <f>M470+K471</f>
        <v>1</v>
      </c>
      <c r="N471" s="115">
        <v>0</v>
      </c>
      <c r="O471" s="116" t="e">
        <f t="shared" si="90"/>
        <v>#DIV/0!</v>
      </c>
      <c r="P471" s="115">
        <v>0</v>
      </c>
      <c r="Q471" s="116" t="e">
        <f t="shared" si="91"/>
        <v>#DIV/0!</v>
      </c>
      <c r="R471" s="115">
        <v>0</v>
      </c>
      <c r="S471" s="100" t="e">
        <f t="shared" si="92"/>
        <v>#DIV/0!</v>
      </c>
    </row>
    <row r="472" spans="1:19" ht="15" x14ac:dyDescent="0.2">
      <c r="A472" s="114" t="s">
        <v>116</v>
      </c>
      <c r="B472" s="100" t="s">
        <v>153</v>
      </c>
      <c r="C472" s="115">
        <v>17674.88</v>
      </c>
      <c r="D472" s="100">
        <f>(C472/12)*3</f>
        <v>4418.72</v>
      </c>
      <c r="E472" s="103">
        <f>'Monitoramento Acumulado Geral'!Q472</f>
        <v>0</v>
      </c>
      <c r="F472" s="100">
        <f>SUM(E470:E472)</f>
        <v>10</v>
      </c>
      <c r="G472" s="102" t="str">
        <f t="shared" si="89"/>
        <v>Farol Vermelho</v>
      </c>
      <c r="H472" s="116">
        <f t="shared" si="87"/>
        <v>4408.72</v>
      </c>
      <c r="I472" s="100">
        <f t="shared" si="88"/>
        <v>3</v>
      </c>
      <c r="J472" s="119">
        <v>10</v>
      </c>
      <c r="K472" s="118">
        <f>'Monitoramento Acumulado Geral'!P472</f>
        <v>0</v>
      </c>
      <c r="L472" s="100">
        <f>$L470+L471</f>
        <v>2.5</v>
      </c>
      <c r="M472" s="100">
        <f t="shared" ref="M472:M481" si="99">M471+K472</f>
        <v>1</v>
      </c>
      <c r="N472" s="115">
        <v>0</v>
      </c>
      <c r="O472" s="116" t="e">
        <f t="shared" si="90"/>
        <v>#DIV/0!</v>
      </c>
      <c r="P472" s="115">
        <v>0</v>
      </c>
      <c r="Q472" s="116" t="e">
        <f t="shared" si="91"/>
        <v>#DIV/0!</v>
      </c>
      <c r="R472" s="115">
        <v>0</v>
      </c>
      <c r="S472" s="100" t="e">
        <f t="shared" si="92"/>
        <v>#DIV/0!</v>
      </c>
    </row>
    <row r="473" spans="1:19" ht="15" x14ac:dyDescent="0.2">
      <c r="A473" s="114" t="s">
        <v>116</v>
      </c>
      <c r="B473" s="100" t="s">
        <v>154</v>
      </c>
      <c r="C473" s="115">
        <v>17674.88</v>
      </c>
      <c r="D473" s="100">
        <f>(C473/12)*4</f>
        <v>5891.626666666667</v>
      </c>
      <c r="E473" s="103">
        <f>'Monitoramento Acumulado Geral'!Q473</f>
        <v>0</v>
      </c>
      <c r="F473" s="100">
        <f>SUM(E470:E473)</f>
        <v>10</v>
      </c>
      <c r="G473" s="102" t="str">
        <f t="shared" si="89"/>
        <v>Farol Vermelho</v>
      </c>
      <c r="H473" s="116">
        <f t="shared" si="87"/>
        <v>5881.626666666667</v>
      </c>
      <c r="I473" s="100">
        <f t="shared" si="88"/>
        <v>4</v>
      </c>
      <c r="J473" s="119">
        <v>10</v>
      </c>
      <c r="K473" s="118">
        <f>'Monitoramento Acumulado Geral'!P473</f>
        <v>0</v>
      </c>
      <c r="L473" s="100">
        <f>$L470+L472</f>
        <v>3.3333333333333335</v>
      </c>
      <c r="M473" s="100">
        <f t="shared" si="99"/>
        <v>1</v>
      </c>
      <c r="N473" s="115">
        <v>0</v>
      </c>
      <c r="O473" s="116" t="e">
        <f t="shared" si="90"/>
        <v>#DIV/0!</v>
      </c>
      <c r="P473" s="115">
        <v>0</v>
      </c>
      <c r="Q473" s="116" t="e">
        <f t="shared" si="91"/>
        <v>#DIV/0!</v>
      </c>
      <c r="R473" s="115">
        <v>0</v>
      </c>
      <c r="S473" s="100" t="e">
        <f t="shared" si="92"/>
        <v>#DIV/0!</v>
      </c>
    </row>
    <row r="474" spans="1:19" ht="15" x14ac:dyDescent="0.2">
      <c r="A474" s="114" t="s">
        <v>116</v>
      </c>
      <c r="B474" s="100" t="s">
        <v>155</v>
      </c>
      <c r="C474" s="115">
        <v>17674.88</v>
      </c>
      <c r="D474" s="100">
        <f>(C474/12)*5</f>
        <v>7364.5333333333338</v>
      </c>
      <c r="E474" s="103">
        <f>'Monitoramento Acumulado Geral'!Q474</f>
        <v>144</v>
      </c>
      <c r="F474" s="100">
        <f>SUM(E470:E474)</f>
        <v>154</v>
      </c>
      <c r="G474" s="102" t="str">
        <f t="shared" si="89"/>
        <v>Farol Vermelho</v>
      </c>
      <c r="H474" s="116">
        <f t="shared" si="87"/>
        <v>7210.5333333333338</v>
      </c>
      <c r="I474" s="100">
        <f t="shared" si="88"/>
        <v>5</v>
      </c>
      <c r="J474" s="119">
        <v>10</v>
      </c>
      <c r="K474" s="118">
        <f>'Monitoramento Acumulado Geral'!P474</f>
        <v>1</v>
      </c>
      <c r="L474" s="100">
        <f>L470+L473</f>
        <v>4.166666666666667</v>
      </c>
      <c r="M474" s="100">
        <f t="shared" si="99"/>
        <v>2</v>
      </c>
      <c r="N474" s="115">
        <v>0</v>
      </c>
      <c r="O474" s="116" t="e">
        <f t="shared" si="90"/>
        <v>#DIV/0!</v>
      </c>
      <c r="P474" s="115">
        <v>0</v>
      </c>
      <c r="Q474" s="116" t="e">
        <f t="shared" si="91"/>
        <v>#DIV/0!</v>
      </c>
      <c r="R474" s="115">
        <v>0</v>
      </c>
      <c r="S474" s="100" t="e">
        <f t="shared" si="92"/>
        <v>#DIV/0!</v>
      </c>
    </row>
    <row r="475" spans="1:19" ht="15" x14ac:dyDescent="0.2">
      <c r="A475" s="114" t="s">
        <v>116</v>
      </c>
      <c r="B475" s="100" t="s">
        <v>156</v>
      </c>
      <c r="C475" s="115">
        <v>17674.88</v>
      </c>
      <c r="D475" s="100">
        <f>(C475/12)*6</f>
        <v>8837.44</v>
      </c>
      <c r="E475" s="103">
        <f>'Monitoramento Acumulado Geral'!Q475</f>
        <v>60</v>
      </c>
      <c r="F475" s="100">
        <f>SUM(E470:E475)</f>
        <v>214</v>
      </c>
      <c r="G475" s="102" t="str">
        <f t="shared" si="89"/>
        <v>Farol Vermelho</v>
      </c>
      <c r="H475" s="116">
        <f t="shared" si="87"/>
        <v>8623.44</v>
      </c>
      <c r="I475" s="100">
        <f t="shared" si="88"/>
        <v>6</v>
      </c>
      <c r="J475" s="119">
        <v>10</v>
      </c>
      <c r="K475" s="118">
        <f>'Monitoramento Acumulado Geral'!P475</f>
        <v>1</v>
      </c>
      <c r="L475" s="100">
        <f>$L470+L474</f>
        <v>5</v>
      </c>
      <c r="M475" s="100">
        <f t="shared" si="99"/>
        <v>3</v>
      </c>
      <c r="N475" s="115">
        <v>0</v>
      </c>
      <c r="O475" s="116" t="e">
        <f t="shared" si="90"/>
        <v>#DIV/0!</v>
      </c>
      <c r="P475" s="115">
        <v>0</v>
      </c>
      <c r="Q475" s="116" t="e">
        <f t="shared" si="91"/>
        <v>#DIV/0!</v>
      </c>
      <c r="R475" s="115">
        <v>0</v>
      </c>
      <c r="S475" s="100" t="e">
        <f t="shared" si="92"/>
        <v>#DIV/0!</v>
      </c>
    </row>
    <row r="476" spans="1:19" ht="15" x14ac:dyDescent="0.2">
      <c r="A476" s="114" t="s">
        <v>116</v>
      </c>
      <c r="B476" s="100" t="s">
        <v>157</v>
      </c>
      <c r="C476" s="115">
        <v>17674.88</v>
      </c>
      <c r="D476" s="100">
        <f>(C476/12)*7</f>
        <v>10310.346666666668</v>
      </c>
      <c r="E476" s="103">
        <f>'Monitoramento Acumulado Geral'!Q476</f>
        <v>0</v>
      </c>
      <c r="F476" s="100">
        <f>SUM(E470:E476)</f>
        <v>214</v>
      </c>
      <c r="G476" s="102" t="str">
        <f t="shared" si="89"/>
        <v>Farol Vermelho</v>
      </c>
      <c r="H476" s="116">
        <f t="shared" si="87"/>
        <v>10096.346666666668</v>
      </c>
      <c r="I476" s="100">
        <f t="shared" si="88"/>
        <v>7</v>
      </c>
      <c r="J476" s="119">
        <v>10</v>
      </c>
      <c r="K476" s="118">
        <f>'Monitoramento Acumulado Geral'!P476</f>
        <v>0</v>
      </c>
      <c r="L476" s="100">
        <f>$L470+L475</f>
        <v>5.833333333333333</v>
      </c>
      <c r="M476" s="100">
        <f t="shared" si="99"/>
        <v>3</v>
      </c>
      <c r="N476" s="115"/>
      <c r="O476" s="116" t="e">
        <f t="shared" si="90"/>
        <v>#DIV/0!</v>
      </c>
      <c r="P476" s="115"/>
      <c r="Q476" s="116" t="e">
        <f t="shared" si="91"/>
        <v>#DIV/0!</v>
      </c>
      <c r="R476" s="115"/>
      <c r="S476" s="100" t="e">
        <f t="shared" si="92"/>
        <v>#DIV/0!</v>
      </c>
    </row>
    <row r="477" spans="1:19" ht="15" x14ac:dyDescent="0.2">
      <c r="A477" s="114" t="s">
        <v>116</v>
      </c>
      <c r="B477" s="100" t="s">
        <v>158</v>
      </c>
      <c r="C477" s="115">
        <v>17674.88</v>
      </c>
      <c r="D477" s="100">
        <f>(C477/12)*8</f>
        <v>11783.253333333334</v>
      </c>
      <c r="E477" s="103">
        <f>'Monitoramento Acumulado Geral'!Q477</f>
        <v>0</v>
      </c>
      <c r="F477" s="100">
        <f>SUM(E470:E477)</f>
        <v>214</v>
      </c>
      <c r="G477" s="102" t="str">
        <f t="shared" si="89"/>
        <v>Farol Vermelho</v>
      </c>
      <c r="H477" s="116">
        <f t="shared" si="87"/>
        <v>11569.253333333334</v>
      </c>
      <c r="I477" s="100">
        <f t="shared" si="88"/>
        <v>8</v>
      </c>
      <c r="J477" s="119">
        <v>10</v>
      </c>
      <c r="K477" s="118">
        <f>'Monitoramento Acumulado Geral'!P477</f>
        <v>0</v>
      </c>
      <c r="L477" s="100">
        <f>L470+L476</f>
        <v>6.6666666666666661</v>
      </c>
      <c r="M477" s="100">
        <f t="shared" si="99"/>
        <v>3</v>
      </c>
      <c r="N477" s="115"/>
      <c r="O477" s="116" t="e">
        <f t="shared" si="90"/>
        <v>#DIV/0!</v>
      </c>
      <c r="P477" s="115"/>
      <c r="Q477" s="116" t="e">
        <f t="shared" si="91"/>
        <v>#DIV/0!</v>
      </c>
      <c r="R477" s="115"/>
      <c r="S477" s="100" t="e">
        <f t="shared" si="92"/>
        <v>#DIV/0!</v>
      </c>
    </row>
    <row r="478" spans="1:19" ht="15" x14ac:dyDescent="0.2">
      <c r="A478" s="114" t="s">
        <v>116</v>
      </c>
      <c r="B478" s="100" t="s">
        <v>159</v>
      </c>
      <c r="C478" s="115">
        <v>17674.88</v>
      </c>
      <c r="D478" s="100">
        <f>(C478/12)*9</f>
        <v>13256.16</v>
      </c>
      <c r="E478" s="103">
        <f>'Monitoramento Acumulado Geral'!Q478</f>
        <v>0</v>
      </c>
      <c r="F478" s="100">
        <f>SUM(E470:E478)</f>
        <v>214</v>
      </c>
      <c r="G478" s="102" t="str">
        <f t="shared" si="89"/>
        <v>Farol Vermelho</v>
      </c>
      <c r="H478" s="116">
        <f t="shared" si="87"/>
        <v>13042.16</v>
      </c>
      <c r="I478" s="100">
        <f t="shared" si="88"/>
        <v>9</v>
      </c>
      <c r="J478" s="119">
        <v>10</v>
      </c>
      <c r="K478" s="118">
        <f>'Monitoramento Acumulado Geral'!P478</f>
        <v>0</v>
      </c>
      <c r="L478" s="100">
        <f>$L470+L477</f>
        <v>7.4999999999999991</v>
      </c>
      <c r="M478" s="100">
        <f t="shared" si="99"/>
        <v>3</v>
      </c>
      <c r="N478" s="115"/>
      <c r="O478" s="116" t="e">
        <f t="shared" si="90"/>
        <v>#DIV/0!</v>
      </c>
      <c r="P478" s="115"/>
      <c r="Q478" s="116" t="e">
        <f t="shared" si="91"/>
        <v>#DIV/0!</v>
      </c>
      <c r="R478" s="115"/>
      <c r="S478" s="100" t="e">
        <f t="shared" si="92"/>
        <v>#DIV/0!</v>
      </c>
    </row>
    <row r="479" spans="1:19" ht="15" x14ac:dyDescent="0.2">
      <c r="A479" s="114" t="s">
        <v>116</v>
      </c>
      <c r="B479" s="100" t="s">
        <v>160</v>
      </c>
      <c r="C479" s="115">
        <v>17674.88</v>
      </c>
      <c r="D479" s="100">
        <f>(C479/12)*10</f>
        <v>14729.066666666668</v>
      </c>
      <c r="E479" s="103">
        <f>'Monitoramento Acumulado Geral'!Q479</f>
        <v>0</v>
      </c>
      <c r="F479" s="100">
        <f>SUM(E470:E479)</f>
        <v>214</v>
      </c>
      <c r="G479" s="102" t="str">
        <f t="shared" si="89"/>
        <v>Farol Vermelho</v>
      </c>
      <c r="H479" s="116">
        <f t="shared" si="87"/>
        <v>14515.066666666668</v>
      </c>
      <c r="I479" s="100">
        <f t="shared" si="88"/>
        <v>10</v>
      </c>
      <c r="J479" s="119">
        <v>10</v>
      </c>
      <c r="K479" s="118">
        <f>'Monitoramento Acumulado Geral'!P479</f>
        <v>0</v>
      </c>
      <c r="L479" s="100">
        <f>$L470+L478</f>
        <v>8.3333333333333321</v>
      </c>
      <c r="M479" s="100">
        <f t="shared" si="99"/>
        <v>3</v>
      </c>
      <c r="N479" s="115"/>
      <c r="O479" s="116" t="e">
        <f t="shared" si="90"/>
        <v>#DIV/0!</v>
      </c>
      <c r="P479" s="115"/>
      <c r="Q479" s="116" t="e">
        <f t="shared" si="91"/>
        <v>#DIV/0!</v>
      </c>
      <c r="R479" s="115"/>
      <c r="S479" s="100" t="e">
        <f t="shared" si="92"/>
        <v>#DIV/0!</v>
      </c>
    </row>
    <row r="480" spans="1:19" ht="15" x14ac:dyDescent="0.2">
      <c r="A480" s="114" t="s">
        <v>116</v>
      </c>
      <c r="B480" s="100" t="s">
        <v>161</v>
      </c>
      <c r="C480" s="115">
        <v>17674.88</v>
      </c>
      <c r="D480" s="100">
        <f>(C480/12)*11</f>
        <v>16201.973333333335</v>
      </c>
      <c r="E480" s="103">
        <f>'Monitoramento Acumulado Geral'!Q480</f>
        <v>0</v>
      </c>
      <c r="F480" s="100">
        <f>SUM(E470:E480)</f>
        <v>214</v>
      </c>
      <c r="G480" s="102" t="str">
        <f t="shared" si="89"/>
        <v>Farol Vermelho</v>
      </c>
      <c r="H480" s="116">
        <f t="shared" si="87"/>
        <v>15987.973333333335</v>
      </c>
      <c r="I480" s="100">
        <f t="shared" si="88"/>
        <v>11</v>
      </c>
      <c r="J480" s="119">
        <v>10</v>
      </c>
      <c r="K480" s="118">
        <f>'Monitoramento Acumulado Geral'!P480</f>
        <v>0</v>
      </c>
      <c r="L480" s="100">
        <f>L470+L479</f>
        <v>9.1666666666666661</v>
      </c>
      <c r="M480" s="100">
        <f t="shared" si="99"/>
        <v>3</v>
      </c>
      <c r="N480" s="115"/>
      <c r="O480" s="116" t="e">
        <f t="shared" si="90"/>
        <v>#DIV/0!</v>
      </c>
      <c r="P480" s="115"/>
      <c r="Q480" s="116" t="e">
        <f t="shared" si="91"/>
        <v>#DIV/0!</v>
      </c>
      <c r="R480" s="115"/>
      <c r="S480" s="100" t="e">
        <f t="shared" si="92"/>
        <v>#DIV/0!</v>
      </c>
    </row>
    <row r="481" spans="1:19" ht="15" x14ac:dyDescent="0.2">
      <c r="A481" s="114" t="s">
        <v>116</v>
      </c>
      <c r="B481" s="100" t="s">
        <v>162</v>
      </c>
      <c r="C481" s="115">
        <v>17674.88</v>
      </c>
      <c r="D481" s="100">
        <f>(C481/12)*12</f>
        <v>17674.88</v>
      </c>
      <c r="E481" s="103">
        <f>'Monitoramento Acumulado Geral'!Q481</f>
        <v>0</v>
      </c>
      <c r="F481" s="100">
        <f>SUM(E470:E481)</f>
        <v>214</v>
      </c>
      <c r="G481" s="102" t="str">
        <f t="shared" si="89"/>
        <v>Farol Vermelho</v>
      </c>
      <c r="H481" s="116">
        <f t="shared" si="87"/>
        <v>17460.88</v>
      </c>
      <c r="I481" s="100">
        <f t="shared" si="88"/>
        <v>12</v>
      </c>
      <c r="J481" s="119">
        <v>10</v>
      </c>
      <c r="K481" s="118">
        <f>'Monitoramento Acumulado Geral'!P481</f>
        <v>0</v>
      </c>
      <c r="L481" s="100">
        <f>$L470+L480</f>
        <v>10</v>
      </c>
      <c r="M481" s="100">
        <f t="shared" si="99"/>
        <v>3</v>
      </c>
      <c r="N481" s="115"/>
      <c r="O481" s="116" t="e">
        <f t="shared" si="90"/>
        <v>#DIV/0!</v>
      </c>
      <c r="P481" s="115"/>
      <c r="Q481" s="116" t="e">
        <f t="shared" si="91"/>
        <v>#DIV/0!</v>
      </c>
      <c r="R481" s="115"/>
      <c r="S481" s="100" t="e">
        <f t="shared" si="92"/>
        <v>#DIV/0!</v>
      </c>
    </row>
    <row r="482" spans="1:19" ht="15" x14ac:dyDescent="0.2">
      <c r="A482" s="114" t="s">
        <v>86</v>
      </c>
      <c r="B482" s="100" t="s">
        <v>151</v>
      </c>
      <c r="C482" s="115">
        <v>1000</v>
      </c>
      <c r="D482" s="100">
        <f>(C482/12)*1</f>
        <v>83.333333333333329</v>
      </c>
      <c r="E482" s="103">
        <f>'Monitoramento Acumulado Geral'!Q482</f>
        <v>0</v>
      </c>
      <c r="F482" s="100">
        <f>E482</f>
        <v>0</v>
      </c>
      <c r="G482" s="102" t="str">
        <f t="shared" si="89"/>
        <v>Farol Vermelho</v>
      </c>
      <c r="H482" s="116">
        <f t="shared" si="87"/>
        <v>83.333333333333329</v>
      </c>
      <c r="I482" s="100">
        <f t="shared" si="88"/>
        <v>1</v>
      </c>
      <c r="J482" s="119">
        <v>5</v>
      </c>
      <c r="K482" s="118">
        <f>'Monitoramento Acumulado Geral'!P482</f>
        <v>0</v>
      </c>
      <c r="L482" s="100">
        <f>J482/12</f>
        <v>0.41666666666666669</v>
      </c>
      <c r="M482" s="100">
        <f>K482</f>
        <v>0</v>
      </c>
      <c r="N482" s="115">
        <v>0</v>
      </c>
      <c r="O482" s="116" t="e">
        <f t="shared" si="90"/>
        <v>#DIV/0!</v>
      </c>
      <c r="P482" s="115">
        <v>0</v>
      </c>
      <c r="Q482" s="116" t="e">
        <f t="shared" si="91"/>
        <v>#DIV/0!</v>
      </c>
      <c r="R482" s="115">
        <v>0</v>
      </c>
      <c r="S482" s="100" t="e">
        <f t="shared" si="92"/>
        <v>#DIV/0!</v>
      </c>
    </row>
    <row r="483" spans="1:19" ht="15" x14ac:dyDescent="0.2">
      <c r="A483" s="114" t="s">
        <v>86</v>
      </c>
      <c r="B483" s="100" t="s">
        <v>152</v>
      </c>
      <c r="C483" s="115">
        <v>1000</v>
      </c>
      <c r="D483" s="100">
        <f>(C483/12)*2</f>
        <v>166.66666666666666</v>
      </c>
      <c r="E483" s="103">
        <f>'Monitoramento Acumulado Geral'!Q483</f>
        <v>0</v>
      </c>
      <c r="F483" s="100">
        <f>SUM(E482:E483)</f>
        <v>0</v>
      </c>
      <c r="G483" s="102" t="str">
        <f t="shared" si="89"/>
        <v>Farol Vermelho</v>
      </c>
      <c r="H483" s="116">
        <f t="shared" si="87"/>
        <v>166.66666666666666</v>
      </c>
      <c r="I483" s="100">
        <f t="shared" si="88"/>
        <v>2</v>
      </c>
      <c r="J483" s="119">
        <v>5</v>
      </c>
      <c r="K483" s="118">
        <f>'Monitoramento Acumulado Geral'!P483</f>
        <v>0</v>
      </c>
      <c r="L483" s="100">
        <f>L482+L482</f>
        <v>0.83333333333333337</v>
      </c>
      <c r="M483" s="100">
        <f>M482+K483</f>
        <v>0</v>
      </c>
      <c r="N483" s="115">
        <v>0</v>
      </c>
      <c r="O483" s="116" t="e">
        <f t="shared" si="90"/>
        <v>#DIV/0!</v>
      </c>
      <c r="P483" s="115">
        <v>0</v>
      </c>
      <c r="Q483" s="116" t="e">
        <f t="shared" si="91"/>
        <v>#DIV/0!</v>
      </c>
      <c r="R483" s="115">
        <v>0</v>
      </c>
      <c r="S483" s="100" t="e">
        <f t="shared" si="92"/>
        <v>#DIV/0!</v>
      </c>
    </row>
    <row r="484" spans="1:19" ht="15" x14ac:dyDescent="0.2">
      <c r="A484" s="114" t="s">
        <v>86</v>
      </c>
      <c r="B484" s="100" t="s">
        <v>153</v>
      </c>
      <c r="C484" s="115">
        <v>1000</v>
      </c>
      <c r="D484" s="100">
        <f>(C484/12)*3</f>
        <v>250</v>
      </c>
      <c r="E484" s="103">
        <f>'Monitoramento Acumulado Geral'!Q484</f>
        <v>0</v>
      </c>
      <c r="F484" s="100">
        <f>SUM(E482:E484)</f>
        <v>0</v>
      </c>
      <c r="G484" s="102" t="str">
        <f t="shared" si="89"/>
        <v>Farol Vermelho</v>
      </c>
      <c r="H484" s="116">
        <f t="shared" si="87"/>
        <v>250</v>
      </c>
      <c r="I484" s="100">
        <f t="shared" si="88"/>
        <v>3</v>
      </c>
      <c r="J484" s="119">
        <v>5</v>
      </c>
      <c r="K484" s="118">
        <f>'Monitoramento Acumulado Geral'!P484</f>
        <v>0</v>
      </c>
      <c r="L484" s="100">
        <f>$L482+L483</f>
        <v>1.25</v>
      </c>
      <c r="M484" s="100">
        <f t="shared" ref="M484:M493" si="100">M483+K484</f>
        <v>0</v>
      </c>
      <c r="N484" s="115">
        <v>0</v>
      </c>
      <c r="O484" s="116" t="e">
        <f t="shared" si="90"/>
        <v>#DIV/0!</v>
      </c>
      <c r="P484" s="115">
        <v>0</v>
      </c>
      <c r="Q484" s="116" t="e">
        <f t="shared" si="91"/>
        <v>#DIV/0!</v>
      </c>
      <c r="R484" s="115">
        <v>0</v>
      </c>
      <c r="S484" s="100" t="e">
        <f t="shared" si="92"/>
        <v>#DIV/0!</v>
      </c>
    </row>
    <row r="485" spans="1:19" ht="15" x14ac:dyDescent="0.2">
      <c r="A485" s="114" t="s">
        <v>86</v>
      </c>
      <c r="B485" s="100" t="s">
        <v>154</v>
      </c>
      <c r="C485" s="115">
        <v>1000</v>
      </c>
      <c r="D485" s="100">
        <f>(C485/12)*4</f>
        <v>333.33333333333331</v>
      </c>
      <c r="E485" s="103">
        <f>'Monitoramento Acumulado Geral'!Q485</f>
        <v>0</v>
      </c>
      <c r="F485" s="100">
        <f>SUM(E482:E485)</f>
        <v>0</v>
      </c>
      <c r="G485" s="102" t="str">
        <f t="shared" si="89"/>
        <v>Farol Vermelho</v>
      </c>
      <c r="H485" s="116">
        <f t="shared" si="87"/>
        <v>333.33333333333331</v>
      </c>
      <c r="I485" s="100">
        <f t="shared" si="88"/>
        <v>4</v>
      </c>
      <c r="J485" s="119">
        <v>5</v>
      </c>
      <c r="K485" s="118">
        <f>'Monitoramento Acumulado Geral'!P485</f>
        <v>0</v>
      </c>
      <c r="L485" s="100">
        <f>$L482+L484</f>
        <v>1.6666666666666667</v>
      </c>
      <c r="M485" s="100">
        <f t="shared" si="100"/>
        <v>0</v>
      </c>
      <c r="N485" s="115">
        <v>0</v>
      </c>
      <c r="O485" s="116" t="e">
        <f t="shared" si="90"/>
        <v>#DIV/0!</v>
      </c>
      <c r="P485" s="115">
        <v>0</v>
      </c>
      <c r="Q485" s="116" t="e">
        <f t="shared" si="91"/>
        <v>#DIV/0!</v>
      </c>
      <c r="R485" s="115">
        <v>0</v>
      </c>
      <c r="S485" s="100" t="e">
        <f t="shared" si="92"/>
        <v>#DIV/0!</v>
      </c>
    </row>
    <row r="486" spans="1:19" ht="15" x14ac:dyDescent="0.2">
      <c r="A486" s="114" t="s">
        <v>86</v>
      </c>
      <c r="B486" s="100" t="s">
        <v>155</v>
      </c>
      <c r="C486" s="115">
        <v>1000</v>
      </c>
      <c r="D486" s="100">
        <f>(C486/12)*5</f>
        <v>416.66666666666663</v>
      </c>
      <c r="E486" s="103">
        <f>'Monitoramento Acumulado Geral'!Q486</f>
        <v>0</v>
      </c>
      <c r="F486" s="100">
        <f>SUM(E482:E486)</f>
        <v>0</v>
      </c>
      <c r="G486" s="102" t="str">
        <f t="shared" si="89"/>
        <v>Farol Vermelho</v>
      </c>
      <c r="H486" s="116">
        <f t="shared" si="87"/>
        <v>416.66666666666663</v>
      </c>
      <c r="I486" s="100">
        <f t="shared" si="88"/>
        <v>5</v>
      </c>
      <c r="J486" s="119">
        <v>5</v>
      </c>
      <c r="K486" s="118">
        <f>'Monitoramento Acumulado Geral'!P486</f>
        <v>0</v>
      </c>
      <c r="L486" s="100">
        <f>L482+L485</f>
        <v>2.0833333333333335</v>
      </c>
      <c r="M486" s="100">
        <f t="shared" si="100"/>
        <v>0</v>
      </c>
      <c r="N486" s="115">
        <v>0</v>
      </c>
      <c r="O486" s="116" t="e">
        <f t="shared" si="90"/>
        <v>#DIV/0!</v>
      </c>
      <c r="P486" s="115">
        <v>0</v>
      </c>
      <c r="Q486" s="116" t="e">
        <f t="shared" si="91"/>
        <v>#DIV/0!</v>
      </c>
      <c r="R486" s="115">
        <v>0</v>
      </c>
      <c r="S486" s="100" t="e">
        <f t="shared" si="92"/>
        <v>#DIV/0!</v>
      </c>
    </row>
    <row r="487" spans="1:19" ht="15" x14ac:dyDescent="0.2">
      <c r="A487" s="114" t="s">
        <v>86</v>
      </c>
      <c r="B487" s="100" t="s">
        <v>156</v>
      </c>
      <c r="C487" s="115">
        <v>1000</v>
      </c>
      <c r="D487" s="100">
        <f>(C487/12)*6</f>
        <v>500</v>
      </c>
      <c r="E487" s="103">
        <f>'Monitoramento Acumulado Geral'!Q487</f>
        <v>0</v>
      </c>
      <c r="F487" s="100">
        <f>SUM(E482:E487)</f>
        <v>0</v>
      </c>
      <c r="G487" s="102" t="str">
        <f t="shared" si="89"/>
        <v>Farol Vermelho</v>
      </c>
      <c r="H487" s="116">
        <f t="shared" si="87"/>
        <v>500</v>
      </c>
      <c r="I487" s="100">
        <f t="shared" si="88"/>
        <v>6</v>
      </c>
      <c r="J487" s="119">
        <v>5</v>
      </c>
      <c r="K487" s="118">
        <f>'Monitoramento Acumulado Geral'!P487</f>
        <v>0</v>
      </c>
      <c r="L487" s="100">
        <f>$L482+L486</f>
        <v>2.5</v>
      </c>
      <c r="M487" s="100">
        <f t="shared" si="100"/>
        <v>0</v>
      </c>
      <c r="N487" s="115">
        <v>2</v>
      </c>
      <c r="O487" s="116">
        <f t="shared" si="90"/>
        <v>1</v>
      </c>
      <c r="P487" s="115">
        <v>2</v>
      </c>
      <c r="Q487" s="116">
        <f t="shared" si="91"/>
        <v>0</v>
      </c>
      <c r="R487" s="115">
        <v>0</v>
      </c>
      <c r="S487" s="100">
        <f t="shared" si="92"/>
        <v>0</v>
      </c>
    </row>
    <row r="488" spans="1:19" ht="15" x14ac:dyDescent="0.2">
      <c r="A488" s="114" t="s">
        <v>86</v>
      </c>
      <c r="B488" s="100" t="s">
        <v>157</v>
      </c>
      <c r="C488" s="115">
        <v>1000</v>
      </c>
      <c r="D488" s="100">
        <f>(C488/12)*7</f>
        <v>583.33333333333326</v>
      </c>
      <c r="E488" s="103">
        <f>'Monitoramento Acumulado Geral'!Q488</f>
        <v>0</v>
      </c>
      <c r="F488" s="100">
        <f>SUM(E482:E488)</f>
        <v>0</v>
      </c>
      <c r="G488" s="102" t="str">
        <f t="shared" si="89"/>
        <v>Farol Vermelho</v>
      </c>
      <c r="H488" s="116">
        <f t="shared" si="87"/>
        <v>583.33333333333326</v>
      </c>
      <c r="I488" s="100">
        <f t="shared" si="88"/>
        <v>7</v>
      </c>
      <c r="J488" s="119">
        <v>5</v>
      </c>
      <c r="K488" s="118">
        <f>'Monitoramento Acumulado Geral'!P488</f>
        <v>0</v>
      </c>
      <c r="L488" s="100">
        <f>$L482+L487</f>
        <v>2.9166666666666665</v>
      </c>
      <c r="M488" s="100">
        <f t="shared" si="100"/>
        <v>0</v>
      </c>
      <c r="N488" s="115"/>
      <c r="O488" s="116" t="e">
        <f t="shared" si="90"/>
        <v>#DIV/0!</v>
      </c>
      <c r="P488" s="115"/>
      <c r="Q488" s="116" t="e">
        <f t="shared" si="91"/>
        <v>#DIV/0!</v>
      </c>
      <c r="R488" s="115"/>
      <c r="S488" s="100" t="e">
        <f t="shared" si="92"/>
        <v>#DIV/0!</v>
      </c>
    </row>
    <row r="489" spans="1:19" ht="15" x14ac:dyDescent="0.2">
      <c r="A489" s="114" t="s">
        <v>86</v>
      </c>
      <c r="B489" s="100" t="s">
        <v>158</v>
      </c>
      <c r="C489" s="115">
        <v>1000</v>
      </c>
      <c r="D489" s="100">
        <f>(C489/12)*8</f>
        <v>666.66666666666663</v>
      </c>
      <c r="E489" s="103">
        <f>'Monitoramento Acumulado Geral'!Q489</f>
        <v>111</v>
      </c>
      <c r="F489" s="100">
        <f>SUM(E482:E489)</f>
        <v>111</v>
      </c>
      <c r="G489" s="102" t="str">
        <f t="shared" si="89"/>
        <v>Farol Vermelho</v>
      </c>
      <c r="H489" s="116">
        <f t="shared" si="87"/>
        <v>555.66666666666663</v>
      </c>
      <c r="I489" s="100">
        <f t="shared" si="88"/>
        <v>8</v>
      </c>
      <c r="J489" s="119">
        <v>5</v>
      </c>
      <c r="K489" s="118">
        <f>'Monitoramento Acumulado Geral'!P489</f>
        <v>2</v>
      </c>
      <c r="L489" s="100">
        <f>L482+L488</f>
        <v>3.333333333333333</v>
      </c>
      <c r="M489" s="100">
        <f t="shared" si="100"/>
        <v>2</v>
      </c>
      <c r="N489" s="115"/>
      <c r="O489" s="116" t="e">
        <f t="shared" si="90"/>
        <v>#DIV/0!</v>
      </c>
      <c r="P489" s="115"/>
      <c r="Q489" s="116" t="e">
        <f t="shared" si="91"/>
        <v>#DIV/0!</v>
      </c>
      <c r="R489" s="115"/>
      <c r="S489" s="100" t="e">
        <f t="shared" si="92"/>
        <v>#DIV/0!</v>
      </c>
    </row>
    <row r="490" spans="1:19" ht="15" x14ac:dyDescent="0.2">
      <c r="A490" s="114" t="s">
        <v>86</v>
      </c>
      <c r="B490" s="100" t="s">
        <v>159</v>
      </c>
      <c r="C490" s="115">
        <v>1000</v>
      </c>
      <c r="D490" s="100">
        <f>(C490/12)*9</f>
        <v>750</v>
      </c>
      <c r="E490" s="103">
        <f>'Monitoramento Acumulado Geral'!Q490</f>
        <v>2294</v>
      </c>
      <c r="F490" s="100">
        <f>SUM(E482:E490)</f>
        <v>2405</v>
      </c>
      <c r="G490" s="102" t="str">
        <f t="shared" si="89"/>
        <v>Farol Verde</v>
      </c>
      <c r="H490" s="116">
        <f t="shared" si="87"/>
        <v>0</v>
      </c>
      <c r="I490" s="100">
        <f t="shared" si="88"/>
        <v>9</v>
      </c>
      <c r="J490" s="119">
        <v>5</v>
      </c>
      <c r="K490" s="118">
        <f>'Monitoramento Acumulado Geral'!P490</f>
        <v>3</v>
      </c>
      <c r="L490" s="100">
        <f>$L482+L489</f>
        <v>3.7499999999999996</v>
      </c>
      <c r="M490" s="100">
        <f t="shared" si="100"/>
        <v>5</v>
      </c>
      <c r="N490" s="115"/>
      <c r="O490" s="116" t="e">
        <f t="shared" si="90"/>
        <v>#DIV/0!</v>
      </c>
      <c r="P490" s="115"/>
      <c r="Q490" s="116" t="e">
        <f t="shared" si="91"/>
        <v>#DIV/0!</v>
      </c>
      <c r="R490" s="115"/>
      <c r="S490" s="100" t="e">
        <f t="shared" si="92"/>
        <v>#DIV/0!</v>
      </c>
    </row>
    <row r="491" spans="1:19" ht="15" x14ac:dyDescent="0.2">
      <c r="A491" s="114" t="s">
        <v>86</v>
      </c>
      <c r="B491" s="100" t="s">
        <v>160</v>
      </c>
      <c r="C491" s="115">
        <v>1000</v>
      </c>
      <c r="D491" s="100">
        <f>(C491/12)*10</f>
        <v>833.33333333333326</v>
      </c>
      <c r="E491" s="103">
        <f>'Monitoramento Acumulado Geral'!Q491</f>
        <v>0</v>
      </c>
      <c r="F491" s="100">
        <f>SUM(E482:E491)</f>
        <v>2405</v>
      </c>
      <c r="G491" s="102" t="str">
        <f t="shared" si="89"/>
        <v>Farol Verde</v>
      </c>
      <c r="H491" s="116">
        <f t="shared" si="87"/>
        <v>0</v>
      </c>
      <c r="I491" s="100">
        <f t="shared" si="88"/>
        <v>10</v>
      </c>
      <c r="J491" s="119">
        <v>5</v>
      </c>
      <c r="K491" s="118">
        <f>'Monitoramento Acumulado Geral'!P491</f>
        <v>0</v>
      </c>
      <c r="L491" s="100">
        <f>$L482+L490</f>
        <v>4.1666666666666661</v>
      </c>
      <c r="M491" s="100">
        <f t="shared" si="100"/>
        <v>5</v>
      </c>
      <c r="N491" s="115"/>
      <c r="O491" s="116" t="e">
        <f t="shared" si="90"/>
        <v>#DIV/0!</v>
      </c>
      <c r="P491" s="115"/>
      <c r="Q491" s="116" t="e">
        <f t="shared" si="91"/>
        <v>#DIV/0!</v>
      </c>
      <c r="R491" s="115"/>
      <c r="S491" s="100" t="e">
        <f t="shared" si="92"/>
        <v>#DIV/0!</v>
      </c>
    </row>
    <row r="492" spans="1:19" ht="15" x14ac:dyDescent="0.2">
      <c r="A492" s="114" t="s">
        <v>86</v>
      </c>
      <c r="B492" s="100" t="s">
        <v>161</v>
      </c>
      <c r="C492" s="115">
        <v>1000</v>
      </c>
      <c r="D492" s="100">
        <f>(C492/12)*11</f>
        <v>916.66666666666663</v>
      </c>
      <c r="E492" s="103">
        <f>'Monitoramento Acumulado Geral'!Q492</f>
        <v>0</v>
      </c>
      <c r="F492" s="100">
        <f>SUM(E482:E492)</f>
        <v>2405</v>
      </c>
      <c r="G492" s="102" t="str">
        <f t="shared" si="89"/>
        <v>Farol Verde</v>
      </c>
      <c r="H492" s="116">
        <f t="shared" si="87"/>
        <v>0</v>
      </c>
      <c r="I492" s="100">
        <f t="shared" si="88"/>
        <v>11</v>
      </c>
      <c r="J492" s="119">
        <v>5</v>
      </c>
      <c r="K492" s="118">
        <f>'Monitoramento Acumulado Geral'!P492</f>
        <v>0</v>
      </c>
      <c r="L492" s="100">
        <f>L482+L491</f>
        <v>4.583333333333333</v>
      </c>
      <c r="M492" s="100">
        <f t="shared" si="100"/>
        <v>5</v>
      </c>
      <c r="N492" s="115"/>
      <c r="O492" s="116" t="e">
        <f t="shared" si="90"/>
        <v>#DIV/0!</v>
      </c>
      <c r="P492" s="115"/>
      <c r="Q492" s="116" t="e">
        <f t="shared" si="91"/>
        <v>#DIV/0!</v>
      </c>
      <c r="R492" s="115"/>
      <c r="S492" s="100" t="e">
        <f t="shared" si="92"/>
        <v>#DIV/0!</v>
      </c>
    </row>
    <row r="493" spans="1:19" ht="15" x14ac:dyDescent="0.2">
      <c r="A493" s="114" t="s">
        <v>86</v>
      </c>
      <c r="B493" s="100" t="s">
        <v>162</v>
      </c>
      <c r="C493" s="115">
        <v>1000</v>
      </c>
      <c r="D493" s="100">
        <f>(C493/12)*12</f>
        <v>1000</v>
      </c>
      <c r="E493" s="103">
        <f>'Monitoramento Acumulado Geral'!Q493</f>
        <v>0</v>
      </c>
      <c r="F493" s="100">
        <f>SUM(E482:E493)</f>
        <v>2405</v>
      </c>
      <c r="G493" s="102" t="str">
        <f t="shared" si="89"/>
        <v>Farol Verde</v>
      </c>
      <c r="H493" s="116">
        <f t="shared" si="87"/>
        <v>0</v>
      </c>
      <c r="I493" s="100">
        <f t="shared" si="88"/>
        <v>12</v>
      </c>
      <c r="J493" s="119">
        <v>5</v>
      </c>
      <c r="K493" s="118">
        <f>'Monitoramento Acumulado Geral'!P493</f>
        <v>0</v>
      </c>
      <c r="L493" s="100">
        <f>$L482+L492</f>
        <v>5</v>
      </c>
      <c r="M493" s="100">
        <f t="shared" si="100"/>
        <v>5</v>
      </c>
      <c r="N493" s="115"/>
      <c r="O493" s="116" t="e">
        <f t="shared" si="90"/>
        <v>#DIV/0!</v>
      </c>
      <c r="P493" s="115"/>
      <c r="Q493" s="116" t="e">
        <f t="shared" si="91"/>
        <v>#DIV/0!</v>
      </c>
      <c r="R493" s="115"/>
      <c r="S493" s="100" t="e">
        <f t="shared" si="92"/>
        <v>#DIV/0!</v>
      </c>
    </row>
    <row r="494" spans="1:19" ht="15" x14ac:dyDescent="0.2">
      <c r="A494" s="114" t="s">
        <v>102</v>
      </c>
      <c r="B494" s="100" t="s">
        <v>151</v>
      </c>
      <c r="C494" s="115">
        <v>8325</v>
      </c>
      <c r="D494" s="100">
        <f>(C494/12)*1</f>
        <v>693.75</v>
      </c>
      <c r="E494" s="103">
        <f>'Monitoramento Acumulado Geral'!Q494</f>
        <v>0</v>
      </c>
      <c r="F494" s="100">
        <f>E494</f>
        <v>0</v>
      </c>
      <c r="G494" s="102" t="str">
        <f t="shared" si="89"/>
        <v>Farol Vermelho</v>
      </c>
      <c r="H494" s="116">
        <f t="shared" si="87"/>
        <v>693.75</v>
      </c>
      <c r="I494" s="100">
        <f t="shared" si="88"/>
        <v>1</v>
      </c>
      <c r="J494" s="119">
        <v>12</v>
      </c>
      <c r="K494" s="118">
        <f>'Monitoramento Acumulado Geral'!P494</f>
        <v>0</v>
      </c>
      <c r="L494" s="100">
        <f>J494/12</f>
        <v>1</v>
      </c>
      <c r="M494" s="100">
        <f>K494</f>
        <v>0</v>
      </c>
      <c r="N494" s="115">
        <v>0</v>
      </c>
      <c r="O494" s="116" t="e">
        <f t="shared" si="90"/>
        <v>#DIV/0!</v>
      </c>
      <c r="P494" s="115">
        <v>0</v>
      </c>
      <c r="Q494" s="116" t="e">
        <f t="shared" si="91"/>
        <v>#DIV/0!</v>
      </c>
      <c r="R494" s="115">
        <v>0</v>
      </c>
      <c r="S494" s="100" t="e">
        <f t="shared" si="92"/>
        <v>#DIV/0!</v>
      </c>
    </row>
    <row r="495" spans="1:19" ht="15" x14ac:dyDescent="0.2">
      <c r="A495" s="114" t="s">
        <v>102</v>
      </c>
      <c r="B495" s="100" t="s">
        <v>152</v>
      </c>
      <c r="C495" s="115">
        <v>8325</v>
      </c>
      <c r="D495" s="100">
        <f>(C495/12)*2</f>
        <v>1387.5</v>
      </c>
      <c r="E495" s="103">
        <f>'Monitoramento Acumulado Geral'!Q495</f>
        <v>0</v>
      </c>
      <c r="F495" s="100">
        <f>SUM(E494:E495)</f>
        <v>0</v>
      </c>
      <c r="G495" s="102" t="str">
        <f t="shared" si="89"/>
        <v>Farol Vermelho</v>
      </c>
      <c r="H495" s="116">
        <f t="shared" si="87"/>
        <v>1387.5</v>
      </c>
      <c r="I495" s="100">
        <f t="shared" si="88"/>
        <v>2</v>
      </c>
      <c r="J495" s="119">
        <v>12</v>
      </c>
      <c r="K495" s="118">
        <f>'Monitoramento Acumulado Geral'!P495</f>
        <v>0</v>
      </c>
      <c r="L495" s="100">
        <f>L494+L494</f>
        <v>2</v>
      </c>
      <c r="M495" s="100">
        <f>M494+K495</f>
        <v>0</v>
      </c>
      <c r="N495" s="115">
        <v>0</v>
      </c>
      <c r="O495" s="116" t="e">
        <f t="shared" si="90"/>
        <v>#DIV/0!</v>
      </c>
      <c r="P495" s="115">
        <v>0</v>
      </c>
      <c r="Q495" s="116" t="e">
        <f t="shared" si="91"/>
        <v>#DIV/0!</v>
      </c>
      <c r="R495" s="115">
        <v>0</v>
      </c>
      <c r="S495" s="100" t="e">
        <f t="shared" si="92"/>
        <v>#DIV/0!</v>
      </c>
    </row>
    <row r="496" spans="1:19" ht="15" x14ac:dyDescent="0.2">
      <c r="A496" s="114" t="s">
        <v>102</v>
      </c>
      <c r="B496" s="100" t="s">
        <v>153</v>
      </c>
      <c r="C496" s="115">
        <v>8325</v>
      </c>
      <c r="D496" s="100">
        <f>(C496/12)*3</f>
        <v>2081.25</v>
      </c>
      <c r="E496" s="103">
        <f>'Monitoramento Acumulado Geral'!Q496</f>
        <v>0</v>
      </c>
      <c r="F496" s="100">
        <f>SUM(E494:E496)</f>
        <v>0</v>
      </c>
      <c r="G496" s="102" t="str">
        <f t="shared" si="89"/>
        <v>Farol Vermelho</v>
      </c>
      <c r="H496" s="116">
        <f t="shared" si="87"/>
        <v>2081.25</v>
      </c>
      <c r="I496" s="100">
        <f t="shared" si="88"/>
        <v>3</v>
      </c>
      <c r="J496" s="119">
        <v>12</v>
      </c>
      <c r="K496" s="118">
        <f>'Monitoramento Acumulado Geral'!P496</f>
        <v>0</v>
      </c>
      <c r="L496" s="100">
        <f>$L494+L495</f>
        <v>3</v>
      </c>
      <c r="M496" s="100">
        <f t="shared" ref="M496:M505" si="101">M495+K496</f>
        <v>0</v>
      </c>
      <c r="N496" s="115">
        <v>0</v>
      </c>
      <c r="O496" s="116" t="e">
        <f t="shared" si="90"/>
        <v>#DIV/0!</v>
      </c>
      <c r="P496" s="115">
        <v>0</v>
      </c>
      <c r="Q496" s="116" t="e">
        <f t="shared" si="91"/>
        <v>#DIV/0!</v>
      </c>
      <c r="R496" s="115">
        <v>0</v>
      </c>
      <c r="S496" s="100" t="e">
        <f t="shared" si="92"/>
        <v>#DIV/0!</v>
      </c>
    </row>
    <row r="497" spans="1:19" ht="15" x14ac:dyDescent="0.2">
      <c r="A497" s="114" t="s">
        <v>102</v>
      </c>
      <c r="B497" s="100" t="s">
        <v>154</v>
      </c>
      <c r="C497" s="115">
        <v>8325</v>
      </c>
      <c r="D497" s="100">
        <f>(C497/12)*4</f>
        <v>2775</v>
      </c>
      <c r="E497" s="103">
        <f>'Monitoramento Acumulado Geral'!Q497</f>
        <v>0</v>
      </c>
      <c r="F497" s="100">
        <f>SUM(E494:E497)</f>
        <v>0</v>
      </c>
      <c r="G497" s="102" t="str">
        <f t="shared" si="89"/>
        <v>Farol Vermelho</v>
      </c>
      <c r="H497" s="116">
        <f t="shared" si="87"/>
        <v>2775</v>
      </c>
      <c r="I497" s="100">
        <f t="shared" si="88"/>
        <v>4</v>
      </c>
      <c r="J497" s="119">
        <v>12</v>
      </c>
      <c r="K497" s="118">
        <f>'Monitoramento Acumulado Geral'!P497</f>
        <v>0</v>
      </c>
      <c r="L497" s="100">
        <f>$L494+L496</f>
        <v>4</v>
      </c>
      <c r="M497" s="100">
        <f t="shared" si="101"/>
        <v>0</v>
      </c>
      <c r="N497" s="115">
        <v>0</v>
      </c>
      <c r="O497" s="116" t="e">
        <f t="shared" si="90"/>
        <v>#DIV/0!</v>
      </c>
      <c r="P497" s="115">
        <v>0</v>
      </c>
      <c r="Q497" s="116" t="e">
        <f t="shared" si="91"/>
        <v>#DIV/0!</v>
      </c>
      <c r="R497" s="115">
        <v>0</v>
      </c>
      <c r="S497" s="100" t="e">
        <f t="shared" si="92"/>
        <v>#DIV/0!</v>
      </c>
    </row>
    <row r="498" spans="1:19" ht="15" x14ac:dyDescent="0.2">
      <c r="A498" s="114" t="s">
        <v>102</v>
      </c>
      <c r="B498" s="100" t="s">
        <v>155</v>
      </c>
      <c r="C498" s="115">
        <v>8325</v>
      </c>
      <c r="D498" s="100">
        <f>(C498/12)*5</f>
        <v>3468.75</v>
      </c>
      <c r="E498" s="103">
        <f>'Monitoramento Acumulado Geral'!Q498</f>
        <v>0</v>
      </c>
      <c r="F498" s="100">
        <f>SUM(E494:E498)</f>
        <v>0</v>
      </c>
      <c r="G498" s="102" t="str">
        <f t="shared" si="89"/>
        <v>Farol Vermelho</v>
      </c>
      <c r="H498" s="116">
        <f t="shared" si="87"/>
        <v>3468.75</v>
      </c>
      <c r="I498" s="100">
        <f t="shared" si="88"/>
        <v>5</v>
      </c>
      <c r="J498" s="119">
        <v>12</v>
      </c>
      <c r="K498" s="118">
        <f>'Monitoramento Acumulado Geral'!P498</f>
        <v>0</v>
      </c>
      <c r="L498" s="100">
        <f>L494+L497</f>
        <v>5</v>
      </c>
      <c r="M498" s="100">
        <f t="shared" si="101"/>
        <v>0</v>
      </c>
      <c r="N498" s="115">
        <v>3</v>
      </c>
      <c r="O498" s="116">
        <f t="shared" si="90"/>
        <v>1</v>
      </c>
      <c r="P498" s="115">
        <v>3</v>
      </c>
      <c r="Q498" s="116">
        <f t="shared" si="91"/>
        <v>0</v>
      </c>
      <c r="R498" s="115">
        <v>0</v>
      </c>
      <c r="S498" s="100">
        <f t="shared" si="92"/>
        <v>0</v>
      </c>
    </row>
    <row r="499" spans="1:19" ht="15" x14ac:dyDescent="0.2">
      <c r="A499" s="114" t="s">
        <v>102</v>
      </c>
      <c r="B499" s="100" t="s">
        <v>156</v>
      </c>
      <c r="C499" s="115">
        <v>8325</v>
      </c>
      <c r="D499" s="100">
        <f>(C499/12)*6</f>
        <v>4162.5</v>
      </c>
      <c r="E499" s="103">
        <f>'Monitoramento Acumulado Geral'!Q499</f>
        <v>0</v>
      </c>
      <c r="F499" s="100">
        <f>SUM(E494:E499)</f>
        <v>0</v>
      </c>
      <c r="G499" s="102" t="str">
        <f t="shared" si="89"/>
        <v>Farol Vermelho</v>
      </c>
      <c r="H499" s="116">
        <f t="shared" si="87"/>
        <v>4162.5</v>
      </c>
      <c r="I499" s="100">
        <f t="shared" si="88"/>
        <v>6</v>
      </c>
      <c r="J499" s="119">
        <v>12</v>
      </c>
      <c r="K499" s="118">
        <f>'Monitoramento Acumulado Geral'!P499</f>
        <v>0</v>
      </c>
      <c r="L499" s="100">
        <f>$L494+L498</f>
        <v>6</v>
      </c>
      <c r="M499" s="100">
        <f t="shared" si="101"/>
        <v>0</v>
      </c>
      <c r="N499" s="115">
        <v>2</v>
      </c>
      <c r="O499" s="116">
        <f t="shared" si="90"/>
        <v>0.5</v>
      </c>
      <c r="P499" s="115">
        <v>1</v>
      </c>
      <c r="Q499" s="116">
        <f t="shared" si="91"/>
        <v>0</v>
      </c>
      <c r="R499" s="115">
        <v>0</v>
      </c>
      <c r="S499" s="100">
        <f t="shared" si="92"/>
        <v>0</v>
      </c>
    </row>
    <row r="500" spans="1:19" ht="15" x14ac:dyDescent="0.2">
      <c r="A500" s="114" t="s">
        <v>102</v>
      </c>
      <c r="B500" s="100" t="s">
        <v>157</v>
      </c>
      <c r="C500" s="115">
        <v>8325</v>
      </c>
      <c r="D500" s="100">
        <f>(C500/12)*7</f>
        <v>4856.25</v>
      </c>
      <c r="E500" s="103">
        <f>'Monitoramento Acumulado Geral'!Q500</f>
        <v>0</v>
      </c>
      <c r="F500" s="100">
        <f>SUM(E494:E500)</f>
        <v>0</v>
      </c>
      <c r="G500" s="102" t="str">
        <f t="shared" si="89"/>
        <v>Farol Vermelho</v>
      </c>
      <c r="H500" s="116">
        <f t="shared" si="87"/>
        <v>4856.25</v>
      </c>
      <c r="I500" s="100">
        <f t="shared" si="88"/>
        <v>7</v>
      </c>
      <c r="J500" s="119">
        <v>12</v>
      </c>
      <c r="K500" s="118">
        <f>'Monitoramento Acumulado Geral'!P500</f>
        <v>0</v>
      </c>
      <c r="L500" s="100">
        <f>$L494+L499</f>
        <v>7</v>
      </c>
      <c r="M500" s="100">
        <f t="shared" si="101"/>
        <v>0</v>
      </c>
      <c r="N500" s="115"/>
      <c r="O500" s="116" t="e">
        <f t="shared" si="90"/>
        <v>#DIV/0!</v>
      </c>
      <c r="P500" s="115"/>
      <c r="Q500" s="116" t="e">
        <f t="shared" si="91"/>
        <v>#DIV/0!</v>
      </c>
      <c r="R500" s="115"/>
      <c r="S500" s="100" t="e">
        <f t="shared" si="92"/>
        <v>#DIV/0!</v>
      </c>
    </row>
    <row r="501" spans="1:19" ht="15" x14ac:dyDescent="0.2">
      <c r="A501" s="114" t="s">
        <v>102</v>
      </c>
      <c r="B501" s="100" t="s">
        <v>158</v>
      </c>
      <c r="C501" s="115">
        <v>8325</v>
      </c>
      <c r="D501" s="100">
        <f>(C501/12)*8</f>
        <v>5550</v>
      </c>
      <c r="E501" s="103">
        <f>'Monitoramento Acumulado Geral'!Q501</f>
        <v>1764</v>
      </c>
      <c r="F501" s="100">
        <f>SUM(E494:E501)</f>
        <v>1764</v>
      </c>
      <c r="G501" s="102" t="str">
        <f t="shared" si="89"/>
        <v>Farol Vermelho</v>
      </c>
      <c r="H501" s="116">
        <f t="shared" si="87"/>
        <v>3786</v>
      </c>
      <c r="I501" s="100">
        <f t="shared" si="88"/>
        <v>8</v>
      </c>
      <c r="J501" s="119">
        <v>12</v>
      </c>
      <c r="K501" s="118">
        <f>'Monitoramento Acumulado Geral'!P501</f>
        <v>16</v>
      </c>
      <c r="L501" s="100">
        <f>L494+L500</f>
        <v>8</v>
      </c>
      <c r="M501" s="100">
        <f t="shared" si="101"/>
        <v>16</v>
      </c>
      <c r="N501" s="115"/>
      <c r="O501" s="116" t="e">
        <f t="shared" si="90"/>
        <v>#DIV/0!</v>
      </c>
      <c r="P501" s="115"/>
      <c r="Q501" s="116" t="e">
        <f t="shared" si="91"/>
        <v>#DIV/0!</v>
      </c>
      <c r="R501" s="115"/>
      <c r="S501" s="100" t="e">
        <f t="shared" si="92"/>
        <v>#DIV/0!</v>
      </c>
    </row>
    <row r="502" spans="1:19" ht="15" x14ac:dyDescent="0.2">
      <c r="A502" s="114" t="s">
        <v>102</v>
      </c>
      <c r="B502" s="100" t="s">
        <v>159</v>
      </c>
      <c r="C502" s="115">
        <v>8325</v>
      </c>
      <c r="D502" s="100">
        <f>(C502/12)*9</f>
        <v>6243.75</v>
      </c>
      <c r="E502" s="103">
        <f>'Monitoramento Acumulado Geral'!Q502</f>
        <v>957.5</v>
      </c>
      <c r="F502" s="100">
        <f>SUM(E494:E502)</f>
        <v>2721.5</v>
      </c>
      <c r="G502" s="102" t="str">
        <f t="shared" si="89"/>
        <v>Farol Vermelho</v>
      </c>
      <c r="H502" s="116">
        <f t="shared" si="87"/>
        <v>3522.25</v>
      </c>
      <c r="I502" s="100">
        <f t="shared" si="88"/>
        <v>9</v>
      </c>
      <c r="J502" s="119">
        <v>12</v>
      </c>
      <c r="K502" s="118">
        <f>'Monitoramento Acumulado Geral'!P502</f>
        <v>14</v>
      </c>
      <c r="L502" s="100">
        <f>$L494+L501</f>
        <v>9</v>
      </c>
      <c r="M502" s="100">
        <f t="shared" si="101"/>
        <v>30</v>
      </c>
      <c r="N502" s="115"/>
      <c r="O502" s="116" t="e">
        <f t="shared" si="90"/>
        <v>#DIV/0!</v>
      </c>
      <c r="P502" s="115"/>
      <c r="Q502" s="116" t="e">
        <f t="shared" si="91"/>
        <v>#DIV/0!</v>
      </c>
      <c r="R502" s="115"/>
      <c r="S502" s="100" t="e">
        <f t="shared" si="92"/>
        <v>#DIV/0!</v>
      </c>
    </row>
    <row r="503" spans="1:19" ht="15" x14ac:dyDescent="0.2">
      <c r="A503" s="114" t="s">
        <v>102</v>
      </c>
      <c r="B503" s="100" t="s">
        <v>160</v>
      </c>
      <c r="C503" s="115">
        <v>8325</v>
      </c>
      <c r="D503" s="100">
        <f>(C503/12)*10</f>
        <v>6937.5</v>
      </c>
      <c r="E503" s="103">
        <f>'Monitoramento Acumulado Geral'!Q503</f>
        <v>0</v>
      </c>
      <c r="F503" s="100">
        <f>SUM(E494:E503)</f>
        <v>2721.5</v>
      </c>
      <c r="G503" s="102" t="str">
        <f t="shared" si="89"/>
        <v>Farol Vermelho</v>
      </c>
      <c r="H503" s="116">
        <f t="shared" si="87"/>
        <v>4216</v>
      </c>
      <c r="I503" s="100">
        <f t="shared" si="88"/>
        <v>10</v>
      </c>
      <c r="J503" s="119">
        <v>12</v>
      </c>
      <c r="K503" s="118">
        <f>'Monitoramento Acumulado Geral'!P503</f>
        <v>0</v>
      </c>
      <c r="L503" s="100">
        <f>$L494+L502</f>
        <v>10</v>
      </c>
      <c r="M503" s="100">
        <f t="shared" si="101"/>
        <v>30</v>
      </c>
      <c r="N503" s="115"/>
      <c r="O503" s="116" t="e">
        <f t="shared" si="90"/>
        <v>#DIV/0!</v>
      </c>
      <c r="P503" s="115"/>
      <c r="Q503" s="116" t="e">
        <f t="shared" si="91"/>
        <v>#DIV/0!</v>
      </c>
      <c r="R503" s="115"/>
      <c r="S503" s="100" t="e">
        <f t="shared" si="92"/>
        <v>#DIV/0!</v>
      </c>
    </row>
    <row r="504" spans="1:19" ht="15" x14ac:dyDescent="0.2">
      <c r="A504" s="114" t="s">
        <v>102</v>
      </c>
      <c r="B504" s="100" t="s">
        <v>161</v>
      </c>
      <c r="C504" s="115">
        <v>8325</v>
      </c>
      <c r="D504" s="100">
        <f>(C504/12)*11</f>
        <v>7631.25</v>
      </c>
      <c r="E504" s="103">
        <f>'Monitoramento Acumulado Geral'!Q504</f>
        <v>0</v>
      </c>
      <c r="F504" s="100">
        <f>SUM(E494:E504)</f>
        <v>2721.5</v>
      </c>
      <c r="G504" s="102" t="str">
        <f t="shared" si="89"/>
        <v>Farol Vermelho</v>
      </c>
      <c r="H504" s="116">
        <f t="shared" si="87"/>
        <v>4909.75</v>
      </c>
      <c r="I504" s="100">
        <f t="shared" si="88"/>
        <v>11</v>
      </c>
      <c r="J504" s="119">
        <v>12</v>
      </c>
      <c r="K504" s="118">
        <f>'Monitoramento Acumulado Geral'!P504</f>
        <v>0</v>
      </c>
      <c r="L504" s="100">
        <f>L494+L503</f>
        <v>11</v>
      </c>
      <c r="M504" s="100">
        <f t="shared" si="101"/>
        <v>30</v>
      </c>
      <c r="N504" s="115"/>
      <c r="O504" s="116" t="e">
        <f t="shared" si="90"/>
        <v>#DIV/0!</v>
      </c>
      <c r="P504" s="115"/>
      <c r="Q504" s="116" t="e">
        <f t="shared" si="91"/>
        <v>#DIV/0!</v>
      </c>
      <c r="R504" s="115"/>
      <c r="S504" s="100" t="e">
        <f t="shared" si="92"/>
        <v>#DIV/0!</v>
      </c>
    </row>
    <row r="505" spans="1:19" ht="15" x14ac:dyDescent="0.2">
      <c r="A505" s="114" t="s">
        <v>102</v>
      </c>
      <c r="B505" s="100" t="s">
        <v>162</v>
      </c>
      <c r="C505" s="115">
        <v>8325</v>
      </c>
      <c r="D505" s="100">
        <f>(C505/12)*12</f>
        <v>8325</v>
      </c>
      <c r="E505" s="103">
        <f>'Monitoramento Acumulado Geral'!Q505</f>
        <v>0</v>
      </c>
      <c r="F505" s="100">
        <f>SUM(E494:E505)</f>
        <v>2721.5</v>
      </c>
      <c r="G505" s="102" t="str">
        <f t="shared" si="89"/>
        <v>Farol Vermelho</v>
      </c>
      <c r="H505" s="116">
        <f t="shared" si="87"/>
        <v>5603.5</v>
      </c>
      <c r="I505" s="100">
        <f t="shared" si="88"/>
        <v>12</v>
      </c>
      <c r="J505" s="119">
        <v>12</v>
      </c>
      <c r="K505" s="118">
        <f>'Monitoramento Acumulado Geral'!P505</f>
        <v>0</v>
      </c>
      <c r="L505" s="100">
        <f>$L494+L504</f>
        <v>12</v>
      </c>
      <c r="M505" s="100">
        <f t="shared" si="101"/>
        <v>30</v>
      </c>
      <c r="N505" s="115"/>
      <c r="O505" s="116" t="e">
        <f t="shared" si="90"/>
        <v>#DIV/0!</v>
      </c>
      <c r="P505" s="115"/>
      <c r="Q505" s="116" t="e">
        <f t="shared" si="91"/>
        <v>#DIV/0!</v>
      </c>
      <c r="R505" s="115"/>
      <c r="S505" s="100" t="e">
        <f t="shared" si="92"/>
        <v>#DIV/0!</v>
      </c>
    </row>
    <row r="506" spans="1:19" ht="15" x14ac:dyDescent="0.2">
      <c r="A506" s="114" t="s">
        <v>106</v>
      </c>
      <c r="B506" s="100" t="s">
        <v>151</v>
      </c>
      <c r="C506" s="115">
        <v>127560</v>
      </c>
      <c r="D506" s="100">
        <f>(C506/12)*1</f>
        <v>10630</v>
      </c>
      <c r="E506" s="103">
        <f>'Monitoramento Acumulado Geral'!Q506</f>
        <v>10515</v>
      </c>
      <c r="F506" s="100">
        <f>E506</f>
        <v>10515</v>
      </c>
      <c r="G506" s="102" t="str">
        <f t="shared" si="89"/>
        <v>Farol Amarelo</v>
      </c>
      <c r="H506" s="116">
        <f t="shared" si="87"/>
        <v>115</v>
      </c>
      <c r="I506" s="100">
        <f t="shared" si="88"/>
        <v>1</v>
      </c>
      <c r="J506" s="119">
        <v>25</v>
      </c>
      <c r="K506" s="118">
        <f>'Monitoramento Acumulado Geral'!P506</f>
        <v>3</v>
      </c>
      <c r="L506" s="100">
        <f>J506/12</f>
        <v>2.0833333333333335</v>
      </c>
      <c r="M506" s="100">
        <f>K506</f>
        <v>3</v>
      </c>
      <c r="N506" s="115">
        <v>0</v>
      </c>
      <c r="O506" s="116" t="e">
        <f t="shared" si="90"/>
        <v>#DIV/0!</v>
      </c>
      <c r="P506" s="115">
        <v>0</v>
      </c>
      <c r="Q506" s="116" t="e">
        <f t="shared" si="91"/>
        <v>#DIV/0!</v>
      </c>
      <c r="R506" s="115">
        <v>0</v>
      </c>
      <c r="S506" s="100" t="e">
        <f t="shared" si="92"/>
        <v>#DIV/0!</v>
      </c>
    </row>
    <row r="507" spans="1:19" ht="15" x14ac:dyDescent="0.2">
      <c r="A507" s="114" t="s">
        <v>106</v>
      </c>
      <c r="B507" s="100" t="s">
        <v>152</v>
      </c>
      <c r="C507" s="115">
        <v>127560</v>
      </c>
      <c r="D507" s="100">
        <f>(C507/12)*2</f>
        <v>21260</v>
      </c>
      <c r="E507" s="103">
        <f>'Monitoramento Acumulado Geral'!Q507</f>
        <v>0</v>
      </c>
      <c r="F507" s="100">
        <f>SUM(E506:E507)</f>
        <v>10515</v>
      </c>
      <c r="G507" s="102" t="str">
        <f t="shared" si="89"/>
        <v>Farol Vermelho</v>
      </c>
      <c r="H507" s="116">
        <f t="shared" si="87"/>
        <v>10745</v>
      </c>
      <c r="I507" s="100">
        <f t="shared" si="88"/>
        <v>2</v>
      </c>
      <c r="J507" s="119">
        <v>25</v>
      </c>
      <c r="K507" s="118">
        <f>'Monitoramento Acumulado Geral'!P507</f>
        <v>0</v>
      </c>
      <c r="L507" s="100">
        <f>L506+L506</f>
        <v>4.166666666666667</v>
      </c>
      <c r="M507" s="100">
        <f>M506+K507</f>
        <v>3</v>
      </c>
      <c r="N507" s="115">
        <v>0</v>
      </c>
      <c r="O507" s="116" t="e">
        <f t="shared" si="90"/>
        <v>#DIV/0!</v>
      </c>
      <c r="P507" s="115">
        <v>0</v>
      </c>
      <c r="Q507" s="116" t="e">
        <f t="shared" si="91"/>
        <v>#DIV/0!</v>
      </c>
      <c r="R507" s="115">
        <v>0</v>
      </c>
      <c r="S507" s="100" t="e">
        <f t="shared" si="92"/>
        <v>#DIV/0!</v>
      </c>
    </row>
    <row r="508" spans="1:19" ht="15" x14ac:dyDescent="0.2">
      <c r="A508" s="114" t="s">
        <v>106</v>
      </c>
      <c r="B508" s="100" t="s">
        <v>153</v>
      </c>
      <c r="C508" s="115">
        <v>127560</v>
      </c>
      <c r="D508" s="100">
        <f>(C508/12)*3</f>
        <v>31890</v>
      </c>
      <c r="E508" s="103">
        <f>'Monitoramento Acumulado Geral'!Q508</f>
        <v>5810</v>
      </c>
      <c r="F508" s="100">
        <f>SUM(E506:E508)</f>
        <v>16325</v>
      </c>
      <c r="G508" s="102" t="str">
        <f t="shared" si="89"/>
        <v>Farol Vermelho</v>
      </c>
      <c r="H508" s="116">
        <f t="shared" si="87"/>
        <v>15565</v>
      </c>
      <c r="I508" s="100">
        <f t="shared" si="88"/>
        <v>3</v>
      </c>
      <c r="J508" s="119">
        <v>25</v>
      </c>
      <c r="K508" s="118">
        <f>'Monitoramento Acumulado Geral'!P508</f>
        <v>1</v>
      </c>
      <c r="L508" s="100">
        <f>$L506+L507</f>
        <v>6.25</v>
      </c>
      <c r="M508" s="100">
        <f t="shared" ref="M508:M517" si="102">M507+K508</f>
        <v>4</v>
      </c>
      <c r="N508" s="115">
        <v>0</v>
      </c>
      <c r="O508" s="116" t="e">
        <f t="shared" si="90"/>
        <v>#DIV/0!</v>
      </c>
      <c r="P508" s="115">
        <v>0</v>
      </c>
      <c r="Q508" s="116" t="e">
        <f t="shared" si="91"/>
        <v>#DIV/0!</v>
      </c>
      <c r="R508" s="115">
        <v>0</v>
      </c>
      <c r="S508" s="100" t="e">
        <f t="shared" si="92"/>
        <v>#DIV/0!</v>
      </c>
    </row>
    <row r="509" spans="1:19" ht="15" x14ac:dyDescent="0.2">
      <c r="A509" s="114" t="s">
        <v>106</v>
      </c>
      <c r="B509" s="100" t="s">
        <v>154</v>
      </c>
      <c r="C509" s="115">
        <v>127560</v>
      </c>
      <c r="D509" s="100">
        <f>(C509/12)*4</f>
        <v>42520</v>
      </c>
      <c r="E509" s="103">
        <f>'Monitoramento Acumulado Geral'!Q509</f>
        <v>5400</v>
      </c>
      <c r="F509" s="100">
        <f>SUM(E506:E509)</f>
        <v>21725</v>
      </c>
      <c r="G509" s="102" t="str">
        <f t="shared" si="89"/>
        <v>Farol Vermelho</v>
      </c>
      <c r="H509" s="116">
        <f t="shared" si="87"/>
        <v>20795</v>
      </c>
      <c r="I509" s="100">
        <f t="shared" si="88"/>
        <v>4</v>
      </c>
      <c r="J509" s="119">
        <v>25</v>
      </c>
      <c r="K509" s="118">
        <f>'Monitoramento Acumulado Geral'!P509</f>
        <v>1</v>
      </c>
      <c r="L509" s="100">
        <f>$L506+L508</f>
        <v>8.3333333333333339</v>
      </c>
      <c r="M509" s="100">
        <f t="shared" si="102"/>
        <v>5</v>
      </c>
      <c r="N509" s="115">
        <v>0</v>
      </c>
      <c r="O509" s="116" t="e">
        <f t="shared" si="90"/>
        <v>#DIV/0!</v>
      </c>
      <c r="P509" s="115">
        <v>0</v>
      </c>
      <c r="Q509" s="116" t="e">
        <f t="shared" si="91"/>
        <v>#DIV/0!</v>
      </c>
      <c r="R509" s="115">
        <v>0</v>
      </c>
      <c r="S509" s="100" t="e">
        <f t="shared" si="92"/>
        <v>#DIV/0!</v>
      </c>
    </row>
    <row r="510" spans="1:19" ht="15" x14ac:dyDescent="0.2">
      <c r="A510" s="114" t="s">
        <v>106</v>
      </c>
      <c r="B510" s="100" t="s">
        <v>155</v>
      </c>
      <c r="C510" s="115">
        <v>127560</v>
      </c>
      <c r="D510" s="100">
        <f>(C510/12)*5</f>
        <v>53150</v>
      </c>
      <c r="E510" s="103">
        <f>'Monitoramento Acumulado Geral'!Q510</f>
        <v>0</v>
      </c>
      <c r="F510" s="100">
        <f>SUM(E506:E510)</f>
        <v>21725</v>
      </c>
      <c r="G510" s="102" t="str">
        <f t="shared" si="89"/>
        <v>Farol Vermelho</v>
      </c>
      <c r="H510" s="116">
        <f t="shared" si="87"/>
        <v>31425</v>
      </c>
      <c r="I510" s="100">
        <f t="shared" si="88"/>
        <v>5</v>
      </c>
      <c r="J510" s="119">
        <v>25</v>
      </c>
      <c r="K510" s="118">
        <f>'Monitoramento Acumulado Geral'!P510</f>
        <v>0</v>
      </c>
      <c r="L510" s="100">
        <f>L506+L509</f>
        <v>10.416666666666668</v>
      </c>
      <c r="M510" s="100">
        <f t="shared" si="102"/>
        <v>5</v>
      </c>
      <c r="N510" s="115">
        <v>2</v>
      </c>
      <c r="O510" s="116">
        <f t="shared" si="90"/>
        <v>1</v>
      </c>
      <c r="P510" s="115">
        <v>2</v>
      </c>
      <c r="Q510" s="116">
        <f t="shared" si="91"/>
        <v>0</v>
      </c>
      <c r="R510" s="115">
        <v>0</v>
      </c>
      <c r="S510" s="100">
        <f t="shared" si="92"/>
        <v>0</v>
      </c>
    </row>
    <row r="511" spans="1:19" ht="15" x14ac:dyDescent="0.2">
      <c r="A511" s="114" t="s">
        <v>106</v>
      </c>
      <c r="B511" s="100" t="s">
        <v>156</v>
      </c>
      <c r="C511" s="115">
        <v>127560</v>
      </c>
      <c r="D511" s="100">
        <f>(C511/12)*6</f>
        <v>63780</v>
      </c>
      <c r="E511" s="103">
        <f>'Monitoramento Acumulado Geral'!Q511</f>
        <v>3600</v>
      </c>
      <c r="F511" s="100">
        <f>SUM(E506:E511)</f>
        <v>25325</v>
      </c>
      <c r="G511" s="102" t="str">
        <f t="shared" si="89"/>
        <v>Farol Vermelho</v>
      </c>
      <c r="H511" s="116">
        <f t="shared" si="87"/>
        <v>38455</v>
      </c>
      <c r="I511" s="100">
        <f t="shared" si="88"/>
        <v>6</v>
      </c>
      <c r="J511" s="119">
        <v>25</v>
      </c>
      <c r="K511" s="118">
        <f>'Monitoramento Acumulado Geral'!P511</f>
        <v>1</v>
      </c>
      <c r="L511" s="100">
        <f>$L506+L510</f>
        <v>12.500000000000002</v>
      </c>
      <c r="M511" s="100">
        <f t="shared" si="102"/>
        <v>6</v>
      </c>
      <c r="N511" s="115">
        <v>13</v>
      </c>
      <c r="O511" s="116">
        <f t="shared" si="90"/>
        <v>0.38461538461538464</v>
      </c>
      <c r="P511" s="115">
        <v>5</v>
      </c>
      <c r="Q511" s="116">
        <f t="shared" si="91"/>
        <v>0</v>
      </c>
      <c r="R511" s="115">
        <v>0</v>
      </c>
      <c r="S511" s="100">
        <f t="shared" si="92"/>
        <v>0</v>
      </c>
    </row>
    <row r="512" spans="1:19" ht="15" x14ac:dyDescent="0.2">
      <c r="A512" s="114" t="s">
        <v>106</v>
      </c>
      <c r="B512" s="100" t="s">
        <v>157</v>
      </c>
      <c r="C512" s="115">
        <v>127560</v>
      </c>
      <c r="D512" s="100">
        <f>(C512/12)*7</f>
        <v>74410</v>
      </c>
      <c r="E512" s="103">
        <f>'Monitoramento Acumulado Geral'!Q512</f>
        <v>8544</v>
      </c>
      <c r="F512" s="100">
        <f>SUM(E506:E512)</f>
        <v>33869</v>
      </c>
      <c r="G512" s="102" t="str">
        <f t="shared" si="89"/>
        <v>Farol Vermelho</v>
      </c>
      <c r="H512" s="116">
        <f t="shared" si="87"/>
        <v>40541</v>
      </c>
      <c r="I512" s="100">
        <f t="shared" si="88"/>
        <v>7</v>
      </c>
      <c r="J512" s="119">
        <v>25</v>
      </c>
      <c r="K512" s="118">
        <f>'Monitoramento Acumulado Geral'!P512</f>
        <v>2</v>
      </c>
      <c r="L512" s="100">
        <f>$L506+L511</f>
        <v>14.583333333333336</v>
      </c>
      <c r="M512" s="100">
        <f t="shared" si="102"/>
        <v>8</v>
      </c>
      <c r="N512" s="115"/>
      <c r="O512" s="116" t="e">
        <f t="shared" si="90"/>
        <v>#DIV/0!</v>
      </c>
      <c r="P512" s="115"/>
      <c r="Q512" s="116" t="e">
        <f t="shared" si="91"/>
        <v>#DIV/0!</v>
      </c>
      <c r="R512" s="115"/>
      <c r="S512" s="100" t="e">
        <f t="shared" si="92"/>
        <v>#DIV/0!</v>
      </c>
    </row>
    <row r="513" spans="1:19" ht="15" x14ac:dyDescent="0.2">
      <c r="A513" s="114" t="s">
        <v>106</v>
      </c>
      <c r="B513" s="100" t="s">
        <v>158</v>
      </c>
      <c r="C513" s="115">
        <v>127560</v>
      </c>
      <c r="D513" s="100">
        <f>(C513/12)*8</f>
        <v>85040</v>
      </c>
      <c r="E513" s="103">
        <f>'Monitoramento Acumulado Geral'!Q513</f>
        <v>9320</v>
      </c>
      <c r="F513" s="100">
        <f>SUM(E506:E513)</f>
        <v>43189</v>
      </c>
      <c r="G513" s="102" t="str">
        <f t="shared" si="89"/>
        <v>Farol Vermelho</v>
      </c>
      <c r="H513" s="116">
        <f t="shared" si="87"/>
        <v>41851</v>
      </c>
      <c r="I513" s="100">
        <f t="shared" si="88"/>
        <v>8</v>
      </c>
      <c r="J513" s="119">
        <v>25</v>
      </c>
      <c r="K513" s="118">
        <f>'Monitoramento Acumulado Geral'!P513</f>
        <v>3</v>
      </c>
      <c r="L513" s="100">
        <f>L506+L512</f>
        <v>16.666666666666668</v>
      </c>
      <c r="M513" s="100">
        <f t="shared" si="102"/>
        <v>11</v>
      </c>
      <c r="N513" s="115"/>
      <c r="O513" s="116" t="e">
        <f t="shared" si="90"/>
        <v>#DIV/0!</v>
      </c>
      <c r="P513" s="115"/>
      <c r="Q513" s="116" t="e">
        <f t="shared" si="91"/>
        <v>#DIV/0!</v>
      </c>
      <c r="R513" s="115"/>
      <c r="S513" s="100" t="e">
        <f t="shared" si="92"/>
        <v>#DIV/0!</v>
      </c>
    </row>
    <row r="514" spans="1:19" ht="15" x14ac:dyDescent="0.2">
      <c r="A514" s="114" t="s">
        <v>106</v>
      </c>
      <c r="B514" s="100" t="s">
        <v>159</v>
      </c>
      <c r="C514" s="115">
        <v>127560</v>
      </c>
      <c r="D514" s="100">
        <f>(C514/12)*9</f>
        <v>95670</v>
      </c>
      <c r="E514" s="103">
        <f>'Monitoramento Acumulado Geral'!Q514</f>
        <v>6750</v>
      </c>
      <c r="F514" s="100">
        <f>SUM(E506:E514)</f>
        <v>49939</v>
      </c>
      <c r="G514" s="102" t="str">
        <f t="shared" si="89"/>
        <v>Farol Vermelho</v>
      </c>
      <c r="H514" s="116">
        <f t="shared" si="87"/>
        <v>45731</v>
      </c>
      <c r="I514" s="100">
        <f t="shared" si="88"/>
        <v>9</v>
      </c>
      <c r="J514" s="119">
        <v>25</v>
      </c>
      <c r="K514" s="118">
        <f>'Monitoramento Acumulado Geral'!P514</f>
        <v>2</v>
      </c>
      <c r="L514" s="100">
        <f>$L506+L513</f>
        <v>18.75</v>
      </c>
      <c r="M514" s="100">
        <f t="shared" si="102"/>
        <v>13</v>
      </c>
      <c r="N514" s="115"/>
      <c r="O514" s="116" t="e">
        <f t="shared" si="90"/>
        <v>#DIV/0!</v>
      </c>
      <c r="P514" s="115"/>
      <c r="Q514" s="116" t="e">
        <f t="shared" si="91"/>
        <v>#DIV/0!</v>
      </c>
      <c r="R514" s="115"/>
      <c r="S514" s="100" t="e">
        <f t="shared" si="92"/>
        <v>#DIV/0!</v>
      </c>
    </row>
    <row r="515" spans="1:19" ht="15" x14ac:dyDescent="0.2">
      <c r="A515" s="114" t="s">
        <v>106</v>
      </c>
      <c r="B515" s="100" t="s">
        <v>160</v>
      </c>
      <c r="C515" s="115">
        <v>127560</v>
      </c>
      <c r="D515" s="100">
        <f>(C515/12)*10</f>
        <v>106300</v>
      </c>
      <c r="E515" s="103">
        <f>'Monitoramento Acumulado Geral'!Q515</f>
        <v>0</v>
      </c>
      <c r="F515" s="100">
        <f>SUM(E506:E515)</f>
        <v>49939</v>
      </c>
      <c r="G515" s="102" t="str">
        <f t="shared" si="89"/>
        <v>Farol Vermelho</v>
      </c>
      <c r="H515" s="116">
        <f t="shared" si="87"/>
        <v>56361</v>
      </c>
      <c r="I515" s="100">
        <f t="shared" si="88"/>
        <v>10</v>
      </c>
      <c r="J515" s="119">
        <v>25</v>
      </c>
      <c r="K515" s="118">
        <f>'Monitoramento Acumulado Geral'!P515</f>
        <v>0</v>
      </c>
      <c r="L515" s="100">
        <f>$L506+L514</f>
        <v>20.833333333333332</v>
      </c>
      <c r="M515" s="100">
        <f t="shared" si="102"/>
        <v>13</v>
      </c>
      <c r="N515" s="115"/>
      <c r="O515" s="116" t="e">
        <f t="shared" si="90"/>
        <v>#DIV/0!</v>
      </c>
      <c r="P515" s="115"/>
      <c r="Q515" s="116" t="e">
        <f t="shared" si="91"/>
        <v>#DIV/0!</v>
      </c>
      <c r="R515" s="115"/>
      <c r="S515" s="100" t="e">
        <f t="shared" si="92"/>
        <v>#DIV/0!</v>
      </c>
    </row>
    <row r="516" spans="1:19" ht="15" x14ac:dyDescent="0.2">
      <c r="A516" s="114" t="s">
        <v>106</v>
      </c>
      <c r="B516" s="100" t="s">
        <v>161</v>
      </c>
      <c r="C516" s="115">
        <v>127560</v>
      </c>
      <c r="D516" s="100">
        <f>(C516/12)*11</f>
        <v>116930</v>
      </c>
      <c r="E516" s="103">
        <f>'Monitoramento Acumulado Geral'!Q516</f>
        <v>0</v>
      </c>
      <c r="F516" s="100">
        <f>SUM(E506:E516)</f>
        <v>49939</v>
      </c>
      <c r="G516" s="102" t="str">
        <f t="shared" si="89"/>
        <v>Farol Vermelho</v>
      </c>
      <c r="H516" s="116">
        <f t="shared" si="87"/>
        <v>66991</v>
      </c>
      <c r="I516" s="100">
        <f t="shared" si="88"/>
        <v>11</v>
      </c>
      <c r="J516" s="119">
        <v>25</v>
      </c>
      <c r="K516" s="118">
        <f>'Monitoramento Acumulado Geral'!P516</f>
        <v>0</v>
      </c>
      <c r="L516" s="100">
        <f>L506+L515</f>
        <v>22.916666666666664</v>
      </c>
      <c r="M516" s="100">
        <f t="shared" si="102"/>
        <v>13</v>
      </c>
      <c r="N516" s="115"/>
      <c r="O516" s="116" t="e">
        <f t="shared" si="90"/>
        <v>#DIV/0!</v>
      </c>
      <c r="P516" s="115"/>
      <c r="Q516" s="116" t="e">
        <f t="shared" si="91"/>
        <v>#DIV/0!</v>
      </c>
      <c r="R516" s="115"/>
      <c r="S516" s="100" t="e">
        <f t="shared" si="92"/>
        <v>#DIV/0!</v>
      </c>
    </row>
    <row r="517" spans="1:19" ht="15" x14ac:dyDescent="0.2">
      <c r="A517" s="114" t="s">
        <v>106</v>
      </c>
      <c r="B517" s="100" t="s">
        <v>162</v>
      </c>
      <c r="C517" s="115">
        <v>127560</v>
      </c>
      <c r="D517" s="100">
        <f>(C517/12)*12</f>
        <v>127560</v>
      </c>
      <c r="E517" s="103">
        <f>'Monitoramento Acumulado Geral'!Q517</f>
        <v>0</v>
      </c>
      <c r="F517" s="100">
        <f>SUM(E506:E517)</f>
        <v>49939</v>
      </c>
      <c r="G517" s="102" t="str">
        <f t="shared" si="89"/>
        <v>Farol Vermelho</v>
      </c>
      <c r="H517" s="116">
        <f t="shared" si="87"/>
        <v>77621</v>
      </c>
      <c r="I517" s="100">
        <f t="shared" si="88"/>
        <v>12</v>
      </c>
      <c r="J517" s="119">
        <v>25</v>
      </c>
      <c r="K517" s="118">
        <f>'Monitoramento Acumulado Geral'!P517</f>
        <v>0</v>
      </c>
      <c r="L517" s="100">
        <f>$L506+L516</f>
        <v>24.999999999999996</v>
      </c>
      <c r="M517" s="100">
        <f t="shared" si="102"/>
        <v>13</v>
      </c>
      <c r="N517" s="115"/>
      <c r="O517" s="116" t="e">
        <f t="shared" si="90"/>
        <v>#DIV/0!</v>
      </c>
      <c r="P517" s="115"/>
      <c r="Q517" s="116" t="e">
        <f t="shared" si="91"/>
        <v>#DIV/0!</v>
      </c>
      <c r="R517" s="115"/>
      <c r="S517" s="100" t="e">
        <f t="shared" si="92"/>
        <v>#DIV/0!</v>
      </c>
    </row>
    <row r="518" spans="1:19" ht="15" x14ac:dyDescent="0.2">
      <c r="A518" s="114" t="s">
        <v>31</v>
      </c>
      <c r="B518" s="100" t="s">
        <v>151</v>
      </c>
      <c r="C518" s="115">
        <v>7025</v>
      </c>
      <c r="D518" s="100">
        <f>(C518/12)*1</f>
        <v>585.41666666666663</v>
      </c>
      <c r="E518" s="103">
        <f>'Monitoramento Acumulado Geral'!Q518</f>
        <v>0</v>
      </c>
      <c r="F518" s="100">
        <f>E518</f>
        <v>0</v>
      </c>
      <c r="G518" s="102" t="str">
        <f t="shared" si="89"/>
        <v>Farol Vermelho</v>
      </c>
      <c r="H518" s="116">
        <f t="shared" si="87"/>
        <v>585.41666666666663</v>
      </c>
      <c r="I518" s="100">
        <f t="shared" si="88"/>
        <v>1</v>
      </c>
      <c r="J518" s="119">
        <v>6</v>
      </c>
      <c r="K518" s="118">
        <f>'Monitoramento Acumulado Geral'!P518</f>
        <v>0</v>
      </c>
      <c r="L518" s="100">
        <f>J518/12</f>
        <v>0.5</v>
      </c>
      <c r="M518" s="100">
        <f>K518</f>
        <v>0</v>
      </c>
      <c r="N518" s="115">
        <v>0</v>
      </c>
      <c r="O518" s="116" t="e">
        <f t="shared" si="90"/>
        <v>#DIV/0!</v>
      </c>
      <c r="P518" s="115">
        <v>0</v>
      </c>
      <c r="Q518" s="116" t="e">
        <f t="shared" si="91"/>
        <v>#DIV/0!</v>
      </c>
      <c r="R518" s="115">
        <v>0</v>
      </c>
      <c r="S518" s="100" t="e">
        <f t="shared" si="92"/>
        <v>#DIV/0!</v>
      </c>
    </row>
    <row r="519" spans="1:19" ht="15" x14ac:dyDescent="0.2">
      <c r="A519" s="114" t="s">
        <v>31</v>
      </c>
      <c r="B519" s="100" t="s">
        <v>152</v>
      </c>
      <c r="C519" s="115">
        <v>7025</v>
      </c>
      <c r="D519" s="100">
        <f>(C519/12)*2</f>
        <v>1170.8333333333333</v>
      </c>
      <c r="E519" s="103">
        <f>'Monitoramento Acumulado Geral'!Q519</f>
        <v>0</v>
      </c>
      <c r="F519" s="100">
        <f>SUM(E518:E519)</f>
        <v>0</v>
      </c>
      <c r="G519" s="102" t="str">
        <f t="shared" si="89"/>
        <v>Farol Vermelho</v>
      </c>
      <c r="H519" s="116">
        <f t="shared" si="87"/>
        <v>1170.8333333333333</v>
      </c>
      <c r="I519" s="100">
        <f t="shared" si="88"/>
        <v>2</v>
      </c>
      <c r="J519" s="119">
        <v>6</v>
      </c>
      <c r="K519" s="118">
        <f>'Monitoramento Acumulado Geral'!P519</f>
        <v>0</v>
      </c>
      <c r="L519" s="100">
        <f>L518+L518</f>
        <v>1</v>
      </c>
      <c r="M519" s="100">
        <f>M518+K519</f>
        <v>0</v>
      </c>
      <c r="N519" s="115">
        <v>0</v>
      </c>
      <c r="O519" s="116" t="e">
        <f t="shared" si="90"/>
        <v>#DIV/0!</v>
      </c>
      <c r="P519" s="115">
        <v>0</v>
      </c>
      <c r="Q519" s="116" t="e">
        <f t="shared" si="91"/>
        <v>#DIV/0!</v>
      </c>
      <c r="R519" s="115">
        <v>0</v>
      </c>
      <c r="S519" s="100" t="e">
        <f t="shared" si="92"/>
        <v>#DIV/0!</v>
      </c>
    </row>
    <row r="520" spans="1:19" ht="15" x14ac:dyDescent="0.2">
      <c r="A520" s="114" t="s">
        <v>31</v>
      </c>
      <c r="B520" s="100" t="s">
        <v>153</v>
      </c>
      <c r="C520" s="115">
        <v>7025</v>
      </c>
      <c r="D520" s="100">
        <f>(C520/12)*3</f>
        <v>1756.25</v>
      </c>
      <c r="E520" s="103">
        <f>'Monitoramento Acumulado Geral'!Q520</f>
        <v>0</v>
      </c>
      <c r="F520" s="100">
        <f>SUM(E518:E520)</f>
        <v>0</v>
      </c>
      <c r="G520" s="102" t="str">
        <f t="shared" si="89"/>
        <v>Farol Vermelho</v>
      </c>
      <c r="H520" s="116">
        <f t="shared" si="87"/>
        <v>1756.25</v>
      </c>
      <c r="I520" s="100">
        <f t="shared" si="88"/>
        <v>3</v>
      </c>
      <c r="J520" s="119">
        <v>6</v>
      </c>
      <c r="K520" s="118">
        <f>'Monitoramento Acumulado Geral'!P520</f>
        <v>0</v>
      </c>
      <c r="L520" s="100">
        <f>$L518+L519</f>
        <v>1.5</v>
      </c>
      <c r="M520" s="100">
        <f t="shared" ref="M520:M529" si="103">M519+K520</f>
        <v>0</v>
      </c>
      <c r="N520" s="115">
        <v>0</v>
      </c>
      <c r="O520" s="116" t="e">
        <f t="shared" si="90"/>
        <v>#DIV/0!</v>
      </c>
      <c r="P520" s="115">
        <v>0</v>
      </c>
      <c r="Q520" s="116" t="e">
        <f t="shared" si="91"/>
        <v>#DIV/0!</v>
      </c>
      <c r="R520" s="115">
        <v>0</v>
      </c>
      <c r="S520" s="100" t="e">
        <f t="shared" si="92"/>
        <v>#DIV/0!</v>
      </c>
    </row>
    <row r="521" spans="1:19" ht="15" x14ac:dyDescent="0.2">
      <c r="A521" s="114" t="s">
        <v>31</v>
      </c>
      <c r="B521" s="100" t="s">
        <v>154</v>
      </c>
      <c r="C521" s="115">
        <v>7025</v>
      </c>
      <c r="D521" s="100">
        <f>(C521/12)*4</f>
        <v>2341.6666666666665</v>
      </c>
      <c r="E521" s="103">
        <f>'Monitoramento Acumulado Geral'!Q521</f>
        <v>0</v>
      </c>
      <c r="F521" s="100">
        <f>SUM(E518:E521)</f>
        <v>0</v>
      </c>
      <c r="G521" s="102" t="str">
        <f t="shared" si="89"/>
        <v>Farol Vermelho</v>
      </c>
      <c r="H521" s="116">
        <f t="shared" si="87"/>
        <v>2341.6666666666665</v>
      </c>
      <c r="I521" s="100">
        <f t="shared" si="88"/>
        <v>4</v>
      </c>
      <c r="J521" s="119">
        <v>6</v>
      </c>
      <c r="K521" s="118">
        <f>'Monitoramento Acumulado Geral'!P521</f>
        <v>0</v>
      </c>
      <c r="L521" s="100">
        <f>$L518+L520</f>
        <v>2</v>
      </c>
      <c r="M521" s="100">
        <f t="shared" si="103"/>
        <v>0</v>
      </c>
      <c r="N521" s="115">
        <v>0</v>
      </c>
      <c r="O521" s="116" t="e">
        <f t="shared" si="90"/>
        <v>#DIV/0!</v>
      </c>
      <c r="P521" s="115">
        <v>0</v>
      </c>
      <c r="Q521" s="116" t="e">
        <f t="shared" si="91"/>
        <v>#DIV/0!</v>
      </c>
      <c r="R521" s="115">
        <v>0</v>
      </c>
      <c r="S521" s="100" t="e">
        <f t="shared" si="92"/>
        <v>#DIV/0!</v>
      </c>
    </row>
    <row r="522" spans="1:19" ht="15" x14ac:dyDescent="0.2">
      <c r="A522" s="114" t="s">
        <v>31</v>
      </c>
      <c r="B522" s="100" t="s">
        <v>155</v>
      </c>
      <c r="C522" s="115">
        <v>7025</v>
      </c>
      <c r="D522" s="100">
        <f>(C522/12)*5</f>
        <v>2927.083333333333</v>
      </c>
      <c r="E522" s="103">
        <f>'Monitoramento Acumulado Geral'!Q522</f>
        <v>0</v>
      </c>
      <c r="F522" s="100">
        <f>SUM(E518:E522)</f>
        <v>0</v>
      </c>
      <c r="G522" s="102" t="str">
        <f t="shared" si="89"/>
        <v>Farol Vermelho</v>
      </c>
      <c r="H522" s="116">
        <f t="shared" ref="H522:H585" si="104">IF(D522-F522&lt;0,0,D522-F522)</f>
        <v>2927.083333333333</v>
      </c>
      <c r="I522" s="100">
        <f t="shared" ref="I522:I585" si="105">_xlfn.IFS(B522="Janeiro",1,B522="Fevereiro",2,B522="Março",3,B522="Abril",4,B522="Maio",5,B522="Junho",6,B522="Julho",7,B522="Agosto",8,B522="Setembro",9,B522="Outubro",10,B522="Novembro",11,B522="Dezembro",12,TRUE,0)</f>
        <v>5</v>
      </c>
      <c r="J522" s="119">
        <v>6</v>
      </c>
      <c r="K522" s="118">
        <f>'Monitoramento Acumulado Geral'!P522</f>
        <v>0</v>
      </c>
      <c r="L522" s="100">
        <f>L518+L521</f>
        <v>2.5</v>
      </c>
      <c r="M522" s="100">
        <f t="shared" si="103"/>
        <v>0</v>
      </c>
      <c r="N522" s="115">
        <v>0</v>
      </c>
      <c r="O522" s="116" t="e">
        <f t="shared" si="90"/>
        <v>#DIV/0!</v>
      </c>
      <c r="P522" s="115">
        <v>0</v>
      </c>
      <c r="Q522" s="116" t="e">
        <f t="shared" si="91"/>
        <v>#DIV/0!</v>
      </c>
      <c r="R522" s="115">
        <v>0</v>
      </c>
      <c r="S522" s="100" t="e">
        <f t="shared" si="92"/>
        <v>#DIV/0!</v>
      </c>
    </row>
    <row r="523" spans="1:19" ht="15" x14ac:dyDescent="0.2">
      <c r="A523" s="114" t="s">
        <v>31</v>
      </c>
      <c r="B523" s="100" t="s">
        <v>156</v>
      </c>
      <c r="C523" s="115">
        <v>7025</v>
      </c>
      <c r="D523" s="100">
        <f>(C523/12)*6</f>
        <v>3512.5</v>
      </c>
      <c r="E523" s="103">
        <f>'Monitoramento Acumulado Geral'!Q523</f>
        <v>977.4</v>
      </c>
      <c r="F523" s="100">
        <f>SUM(E518:E523)</f>
        <v>977.4</v>
      </c>
      <c r="G523" s="102" t="str">
        <f t="shared" ref="G523:G586" si="106">_xlfn.IFS(F523&gt;D523,"Farol Verde",F523&gt;=D523*0.85,"Farol Amarelo",F523&lt;D523*0.85,"Farol Vermelho","Verdadeiro",0)</f>
        <v>Farol Vermelho</v>
      </c>
      <c r="H523" s="116">
        <f t="shared" si="104"/>
        <v>2535.1</v>
      </c>
      <c r="I523" s="100">
        <f t="shared" si="105"/>
        <v>6</v>
      </c>
      <c r="J523" s="119">
        <v>6</v>
      </c>
      <c r="K523" s="118">
        <f>'Monitoramento Acumulado Geral'!P523</f>
        <v>1</v>
      </c>
      <c r="L523" s="100">
        <f>$L518+L522</f>
        <v>3</v>
      </c>
      <c r="M523" s="100">
        <f t="shared" si="103"/>
        <v>1</v>
      </c>
      <c r="N523" s="115">
        <v>4</v>
      </c>
      <c r="O523" s="116">
        <f t="shared" ref="O523:O586" si="107">P523/N523</f>
        <v>1</v>
      </c>
      <c r="P523" s="115">
        <v>4</v>
      </c>
      <c r="Q523" s="116">
        <f t="shared" ref="Q523:Q586" si="108">R523/P523</f>
        <v>0.25</v>
      </c>
      <c r="R523" s="115">
        <v>1</v>
      </c>
      <c r="S523" s="100">
        <f t="shared" ref="S523:S586" si="109">R523/N523</f>
        <v>0.25</v>
      </c>
    </row>
    <row r="524" spans="1:19" ht="15" x14ac:dyDescent="0.2">
      <c r="A524" s="114" t="s">
        <v>31</v>
      </c>
      <c r="B524" s="100" t="s">
        <v>157</v>
      </c>
      <c r="C524" s="115">
        <v>7025</v>
      </c>
      <c r="D524" s="100">
        <f>(C524/12)*7</f>
        <v>4097.9166666666661</v>
      </c>
      <c r="E524" s="103">
        <f>'Monitoramento Acumulado Geral'!Q524</f>
        <v>488.7</v>
      </c>
      <c r="F524" s="100">
        <f>SUM(E518:E524)</f>
        <v>1466.1</v>
      </c>
      <c r="G524" s="102" t="str">
        <f t="shared" si="106"/>
        <v>Farol Vermelho</v>
      </c>
      <c r="H524" s="116">
        <f t="shared" si="104"/>
        <v>2631.8166666666662</v>
      </c>
      <c r="I524" s="100">
        <f t="shared" si="105"/>
        <v>7</v>
      </c>
      <c r="J524" s="119">
        <v>6</v>
      </c>
      <c r="K524" s="118">
        <f>'Monitoramento Acumulado Geral'!P524</f>
        <v>1</v>
      </c>
      <c r="L524" s="100">
        <f>$L518+L523</f>
        <v>3.5</v>
      </c>
      <c r="M524" s="100">
        <f t="shared" si="103"/>
        <v>2</v>
      </c>
      <c r="N524" s="115"/>
      <c r="O524" s="116" t="e">
        <f t="shared" si="107"/>
        <v>#DIV/0!</v>
      </c>
      <c r="P524" s="115"/>
      <c r="Q524" s="116" t="e">
        <f t="shared" si="108"/>
        <v>#DIV/0!</v>
      </c>
      <c r="R524" s="115"/>
      <c r="S524" s="100" t="e">
        <f t="shared" si="109"/>
        <v>#DIV/0!</v>
      </c>
    </row>
    <row r="525" spans="1:19" ht="15" x14ac:dyDescent="0.2">
      <c r="A525" s="114" t="s">
        <v>31</v>
      </c>
      <c r="B525" s="100" t="s">
        <v>158</v>
      </c>
      <c r="C525" s="115">
        <v>7025</v>
      </c>
      <c r="D525" s="100">
        <f>(C525/12)*8</f>
        <v>4683.333333333333</v>
      </c>
      <c r="E525" s="103">
        <f>'Monitoramento Acumulado Geral'!Q525</f>
        <v>2684.5</v>
      </c>
      <c r="F525" s="100">
        <f>SUM(E518:E525)</f>
        <v>4150.6000000000004</v>
      </c>
      <c r="G525" s="102" t="str">
        <f t="shared" si="106"/>
        <v>Farol Amarelo</v>
      </c>
      <c r="H525" s="116">
        <f t="shared" si="104"/>
        <v>532.73333333333267</v>
      </c>
      <c r="I525" s="100">
        <f t="shared" si="105"/>
        <v>8</v>
      </c>
      <c r="J525" s="119">
        <v>6</v>
      </c>
      <c r="K525" s="118">
        <f>'Monitoramento Acumulado Geral'!P525</f>
        <v>4</v>
      </c>
      <c r="L525" s="100">
        <f>L518+L524</f>
        <v>4</v>
      </c>
      <c r="M525" s="100">
        <f t="shared" si="103"/>
        <v>6</v>
      </c>
      <c r="N525" s="115"/>
      <c r="O525" s="116" t="e">
        <f t="shared" si="107"/>
        <v>#DIV/0!</v>
      </c>
      <c r="P525" s="115"/>
      <c r="Q525" s="116" t="e">
        <f t="shared" si="108"/>
        <v>#DIV/0!</v>
      </c>
      <c r="R525" s="115"/>
      <c r="S525" s="100" t="e">
        <f t="shared" si="109"/>
        <v>#DIV/0!</v>
      </c>
    </row>
    <row r="526" spans="1:19" ht="15" x14ac:dyDescent="0.2">
      <c r="A526" s="114" t="s">
        <v>31</v>
      </c>
      <c r="B526" s="100" t="s">
        <v>159</v>
      </c>
      <c r="C526" s="115">
        <v>7025</v>
      </c>
      <c r="D526" s="100">
        <f>(C526/12)*9</f>
        <v>5268.75</v>
      </c>
      <c r="E526" s="103">
        <f>'Monitoramento Acumulado Geral'!Q526</f>
        <v>0</v>
      </c>
      <c r="F526" s="100">
        <f>SUM(E518:E526)</f>
        <v>4150.6000000000004</v>
      </c>
      <c r="G526" s="102" t="str">
        <f t="shared" si="106"/>
        <v>Farol Vermelho</v>
      </c>
      <c r="H526" s="116">
        <f t="shared" si="104"/>
        <v>1118.1499999999996</v>
      </c>
      <c r="I526" s="100">
        <f t="shared" si="105"/>
        <v>9</v>
      </c>
      <c r="J526" s="119">
        <v>6</v>
      </c>
      <c r="K526" s="118">
        <f>'Monitoramento Acumulado Geral'!P526</f>
        <v>0</v>
      </c>
      <c r="L526" s="100">
        <f>$L518+L525</f>
        <v>4.5</v>
      </c>
      <c r="M526" s="100">
        <f t="shared" si="103"/>
        <v>6</v>
      </c>
      <c r="N526" s="115"/>
      <c r="O526" s="116" t="e">
        <f t="shared" si="107"/>
        <v>#DIV/0!</v>
      </c>
      <c r="P526" s="115"/>
      <c r="Q526" s="116" t="e">
        <f t="shared" si="108"/>
        <v>#DIV/0!</v>
      </c>
      <c r="R526" s="115"/>
      <c r="S526" s="100" t="e">
        <f t="shared" si="109"/>
        <v>#DIV/0!</v>
      </c>
    </row>
    <row r="527" spans="1:19" ht="15" x14ac:dyDescent="0.2">
      <c r="A527" s="114" t="s">
        <v>31</v>
      </c>
      <c r="B527" s="100" t="s">
        <v>160</v>
      </c>
      <c r="C527" s="115">
        <v>7025</v>
      </c>
      <c r="D527" s="100">
        <f>(C527/12)*10</f>
        <v>5854.1666666666661</v>
      </c>
      <c r="E527" s="103">
        <f>'Monitoramento Acumulado Geral'!Q527</f>
        <v>0</v>
      </c>
      <c r="F527" s="100">
        <f>SUM(E518:E527)</f>
        <v>4150.6000000000004</v>
      </c>
      <c r="G527" s="102" t="str">
        <f t="shared" si="106"/>
        <v>Farol Vermelho</v>
      </c>
      <c r="H527" s="116">
        <f t="shared" si="104"/>
        <v>1703.5666666666657</v>
      </c>
      <c r="I527" s="100">
        <f t="shared" si="105"/>
        <v>10</v>
      </c>
      <c r="J527" s="119">
        <v>6</v>
      </c>
      <c r="K527" s="118">
        <f>'Monitoramento Acumulado Geral'!P527</f>
        <v>0</v>
      </c>
      <c r="L527" s="100">
        <f>$L518+L526</f>
        <v>5</v>
      </c>
      <c r="M527" s="100">
        <f t="shared" si="103"/>
        <v>6</v>
      </c>
      <c r="N527" s="115"/>
      <c r="O527" s="116" t="e">
        <f t="shared" si="107"/>
        <v>#DIV/0!</v>
      </c>
      <c r="P527" s="115"/>
      <c r="Q527" s="116" t="e">
        <f t="shared" si="108"/>
        <v>#DIV/0!</v>
      </c>
      <c r="R527" s="115"/>
      <c r="S527" s="100" t="e">
        <f t="shared" si="109"/>
        <v>#DIV/0!</v>
      </c>
    </row>
    <row r="528" spans="1:19" ht="15" x14ac:dyDescent="0.2">
      <c r="A528" s="114" t="s">
        <v>31</v>
      </c>
      <c r="B528" s="100" t="s">
        <v>161</v>
      </c>
      <c r="C528" s="115">
        <v>7025</v>
      </c>
      <c r="D528" s="100">
        <f>(C528/12)*11</f>
        <v>6439.583333333333</v>
      </c>
      <c r="E528" s="103">
        <f>'Monitoramento Acumulado Geral'!Q528</f>
        <v>0</v>
      </c>
      <c r="F528" s="100">
        <f>SUM(E518:E528)</f>
        <v>4150.6000000000004</v>
      </c>
      <c r="G528" s="102" t="str">
        <f t="shared" si="106"/>
        <v>Farol Vermelho</v>
      </c>
      <c r="H528" s="116">
        <f t="shared" si="104"/>
        <v>2288.9833333333327</v>
      </c>
      <c r="I528" s="100">
        <f t="shared" si="105"/>
        <v>11</v>
      </c>
      <c r="J528" s="119">
        <v>6</v>
      </c>
      <c r="K528" s="118">
        <f>'Monitoramento Acumulado Geral'!P528</f>
        <v>0</v>
      </c>
      <c r="L528" s="100">
        <f>L518+L527</f>
        <v>5.5</v>
      </c>
      <c r="M528" s="100">
        <f t="shared" si="103"/>
        <v>6</v>
      </c>
      <c r="N528" s="115"/>
      <c r="O528" s="116" t="e">
        <f t="shared" si="107"/>
        <v>#DIV/0!</v>
      </c>
      <c r="P528" s="115"/>
      <c r="Q528" s="116" t="e">
        <f t="shared" si="108"/>
        <v>#DIV/0!</v>
      </c>
      <c r="R528" s="115"/>
      <c r="S528" s="100" t="e">
        <f t="shared" si="109"/>
        <v>#DIV/0!</v>
      </c>
    </row>
    <row r="529" spans="1:19" ht="15" x14ac:dyDescent="0.2">
      <c r="A529" s="114" t="s">
        <v>31</v>
      </c>
      <c r="B529" s="100" t="s">
        <v>162</v>
      </c>
      <c r="C529" s="115">
        <v>7025</v>
      </c>
      <c r="D529" s="100">
        <f>(C529/12)*12</f>
        <v>7025</v>
      </c>
      <c r="E529" s="103">
        <f>'Monitoramento Acumulado Geral'!Q529</f>
        <v>0</v>
      </c>
      <c r="F529" s="100">
        <f>SUM(E518:E529)</f>
        <v>4150.6000000000004</v>
      </c>
      <c r="G529" s="102" t="str">
        <f t="shared" si="106"/>
        <v>Farol Vermelho</v>
      </c>
      <c r="H529" s="116">
        <f t="shared" si="104"/>
        <v>2874.3999999999996</v>
      </c>
      <c r="I529" s="100">
        <f t="shared" si="105"/>
        <v>12</v>
      </c>
      <c r="J529" s="119">
        <v>6</v>
      </c>
      <c r="K529" s="118">
        <f>'Monitoramento Acumulado Geral'!P529</f>
        <v>0</v>
      </c>
      <c r="L529" s="100">
        <f>$L518+L528</f>
        <v>6</v>
      </c>
      <c r="M529" s="100">
        <f t="shared" si="103"/>
        <v>6</v>
      </c>
      <c r="N529" s="115"/>
      <c r="O529" s="116" t="e">
        <f t="shared" si="107"/>
        <v>#DIV/0!</v>
      </c>
      <c r="P529" s="115"/>
      <c r="Q529" s="116" t="e">
        <f t="shared" si="108"/>
        <v>#DIV/0!</v>
      </c>
      <c r="R529" s="115"/>
      <c r="S529" s="100" t="e">
        <f t="shared" si="109"/>
        <v>#DIV/0!</v>
      </c>
    </row>
    <row r="530" spans="1:19" ht="15" x14ac:dyDescent="0.2">
      <c r="A530" s="114" t="s">
        <v>143</v>
      </c>
      <c r="B530" s="100" t="s">
        <v>151</v>
      </c>
      <c r="C530" s="115">
        <v>60000</v>
      </c>
      <c r="D530" s="100">
        <f>(C530/12)*1</f>
        <v>5000</v>
      </c>
      <c r="E530" s="103">
        <f>'Monitoramento Acumulado Geral'!Q530</f>
        <v>1800</v>
      </c>
      <c r="F530" s="100">
        <f>E530</f>
        <v>1800</v>
      </c>
      <c r="G530" s="102" t="str">
        <f t="shared" si="106"/>
        <v>Farol Vermelho</v>
      </c>
      <c r="H530" s="116">
        <f t="shared" si="104"/>
        <v>3200</v>
      </c>
      <c r="I530" s="100">
        <f t="shared" si="105"/>
        <v>1</v>
      </c>
      <c r="J530" s="119">
        <v>13</v>
      </c>
      <c r="K530" s="118">
        <f>'Monitoramento Acumulado Geral'!P530</f>
        <v>1</v>
      </c>
      <c r="L530" s="100">
        <f>J530/12</f>
        <v>1.0833333333333333</v>
      </c>
      <c r="M530" s="100">
        <f>K530</f>
        <v>1</v>
      </c>
      <c r="N530" s="115">
        <v>0</v>
      </c>
      <c r="O530" s="116" t="e">
        <f t="shared" si="107"/>
        <v>#DIV/0!</v>
      </c>
      <c r="P530" s="115">
        <v>0</v>
      </c>
      <c r="Q530" s="116" t="e">
        <f t="shared" si="108"/>
        <v>#DIV/0!</v>
      </c>
      <c r="R530" s="115">
        <v>0</v>
      </c>
      <c r="S530" s="100" t="e">
        <f t="shared" si="109"/>
        <v>#DIV/0!</v>
      </c>
    </row>
    <row r="531" spans="1:19" ht="15" x14ac:dyDescent="0.2">
      <c r="A531" s="114" t="s">
        <v>143</v>
      </c>
      <c r="B531" s="100" t="s">
        <v>152</v>
      </c>
      <c r="C531" s="115">
        <v>60000</v>
      </c>
      <c r="D531" s="100">
        <f>(C531/12)*2</f>
        <v>10000</v>
      </c>
      <c r="E531" s="103">
        <f>'Monitoramento Acumulado Geral'!Q531</f>
        <v>8300</v>
      </c>
      <c r="F531" s="100">
        <f>SUM(E530:E531)</f>
        <v>10100</v>
      </c>
      <c r="G531" s="102" t="str">
        <f t="shared" si="106"/>
        <v>Farol Verde</v>
      </c>
      <c r="H531" s="116">
        <f t="shared" si="104"/>
        <v>0</v>
      </c>
      <c r="I531" s="100">
        <f t="shared" si="105"/>
        <v>2</v>
      </c>
      <c r="J531" s="119">
        <v>13</v>
      </c>
      <c r="K531" s="118">
        <f>'Monitoramento Acumulado Geral'!P531</f>
        <v>3</v>
      </c>
      <c r="L531" s="100">
        <f>L530+L530</f>
        <v>2.1666666666666665</v>
      </c>
      <c r="M531" s="100">
        <f>M530+K531</f>
        <v>4</v>
      </c>
      <c r="N531" s="115">
        <v>0</v>
      </c>
      <c r="O531" s="116" t="e">
        <f t="shared" si="107"/>
        <v>#DIV/0!</v>
      </c>
      <c r="P531" s="115">
        <v>0</v>
      </c>
      <c r="Q531" s="116" t="e">
        <f t="shared" si="108"/>
        <v>#DIV/0!</v>
      </c>
      <c r="R531" s="115">
        <v>0</v>
      </c>
      <c r="S531" s="100" t="e">
        <f t="shared" si="109"/>
        <v>#DIV/0!</v>
      </c>
    </row>
    <row r="532" spans="1:19" ht="15" x14ac:dyDescent="0.2">
      <c r="A532" s="114" t="s">
        <v>143</v>
      </c>
      <c r="B532" s="100" t="s">
        <v>153</v>
      </c>
      <c r="C532" s="115">
        <v>60000</v>
      </c>
      <c r="D532" s="100">
        <f>(C532/12)*3</f>
        <v>15000</v>
      </c>
      <c r="E532" s="103">
        <f>'Monitoramento Acumulado Geral'!Q532</f>
        <v>6750</v>
      </c>
      <c r="F532" s="100">
        <f>SUM(E530:E532)</f>
        <v>16850</v>
      </c>
      <c r="G532" s="102" t="str">
        <f t="shared" si="106"/>
        <v>Farol Verde</v>
      </c>
      <c r="H532" s="116">
        <f t="shared" si="104"/>
        <v>0</v>
      </c>
      <c r="I532" s="100">
        <f t="shared" si="105"/>
        <v>3</v>
      </c>
      <c r="J532" s="119">
        <v>13</v>
      </c>
      <c r="K532" s="118">
        <f>'Monitoramento Acumulado Geral'!P532</f>
        <v>2</v>
      </c>
      <c r="L532" s="100">
        <f>$L530+L531</f>
        <v>3.25</v>
      </c>
      <c r="M532" s="100">
        <f t="shared" ref="M532:M541" si="110">M531+K532</f>
        <v>6</v>
      </c>
      <c r="N532" s="115">
        <v>0</v>
      </c>
      <c r="O532" s="116" t="e">
        <f t="shared" si="107"/>
        <v>#DIV/0!</v>
      </c>
      <c r="P532" s="115">
        <v>0</v>
      </c>
      <c r="Q532" s="116" t="e">
        <f t="shared" si="108"/>
        <v>#DIV/0!</v>
      </c>
      <c r="R532" s="115">
        <v>0</v>
      </c>
      <c r="S532" s="100" t="e">
        <f t="shared" si="109"/>
        <v>#DIV/0!</v>
      </c>
    </row>
    <row r="533" spans="1:19" ht="15" x14ac:dyDescent="0.2">
      <c r="A533" s="114" t="s">
        <v>143</v>
      </c>
      <c r="B533" s="100" t="s">
        <v>154</v>
      </c>
      <c r="C533" s="115">
        <v>60000</v>
      </c>
      <c r="D533" s="100">
        <f>(C533/12)*4</f>
        <v>20000</v>
      </c>
      <c r="E533" s="103">
        <f>'Monitoramento Acumulado Geral'!Q533</f>
        <v>2150</v>
      </c>
      <c r="F533" s="100">
        <f>SUM(E530:E533)</f>
        <v>19000</v>
      </c>
      <c r="G533" s="102" t="str">
        <f t="shared" si="106"/>
        <v>Farol Amarelo</v>
      </c>
      <c r="H533" s="116">
        <f t="shared" si="104"/>
        <v>1000</v>
      </c>
      <c r="I533" s="100">
        <f t="shared" si="105"/>
        <v>4</v>
      </c>
      <c r="J533" s="119">
        <v>13</v>
      </c>
      <c r="K533" s="118">
        <f>'Monitoramento Acumulado Geral'!P533</f>
        <v>1</v>
      </c>
      <c r="L533" s="100">
        <f>$L530+L532</f>
        <v>4.333333333333333</v>
      </c>
      <c r="M533" s="100">
        <f t="shared" si="110"/>
        <v>7</v>
      </c>
      <c r="N533" s="115">
        <v>0</v>
      </c>
      <c r="O533" s="116" t="e">
        <f t="shared" si="107"/>
        <v>#DIV/0!</v>
      </c>
      <c r="P533" s="115">
        <v>0</v>
      </c>
      <c r="Q533" s="116" t="e">
        <f t="shared" si="108"/>
        <v>#DIV/0!</v>
      </c>
      <c r="R533" s="115">
        <v>0</v>
      </c>
      <c r="S533" s="100" t="e">
        <f t="shared" si="109"/>
        <v>#DIV/0!</v>
      </c>
    </row>
    <row r="534" spans="1:19" ht="15" x14ac:dyDescent="0.2">
      <c r="A534" s="114" t="s">
        <v>143</v>
      </c>
      <c r="B534" s="100" t="s">
        <v>155</v>
      </c>
      <c r="C534" s="115">
        <v>60000</v>
      </c>
      <c r="D534" s="100">
        <f>(C534/12)*5</f>
        <v>25000</v>
      </c>
      <c r="E534" s="103">
        <f>'Monitoramento Acumulado Geral'!Q534</f>
        <v>7400</v>
      </c>
      <c r="F534" s="100">
        <f>SUM(E530:E534)</f>
        <v>26400</v>
      </c>
      <c r="G534" s="102" t="str">
        <f t="shared" si="106"/>
        <v>Farol Verde</v>
      </c>
      <c r="H534" s="116">
        <f t="shared" si="104"/>
        <v>0</v>
      </c>
      <c r="I534" s="100">
        <f t="shared" si="105"/>
        <v>5</v>
      </c>
      <c r="J534" s="119">
        <v>13</v>
      </c>
      <c r="K534" s="118">
        <f>'Monitoramento Acumulado Geral'!P534</f>
        <v>1</v>
      </c>
      <c r="L534" s="100">
        <f>L530+L533</f>
        <v>5.4166666666666661</v>
      </c>
      <c r="M534" s="100">
        <f t="shared" si="110"/>
        <v>8</v>
      </c>
      <c r="N534" s="115">
        <v>7</v>
      </c>
      <c r="O534" s="116">
        <f t="shared" si="107"/>
        <v>0.42857142857142855</v>
      </c>
      <c r="P534" s="115">
        <v>3</v>
      </c>
      <c r="Q534" s="116">
        <f t="shared" si="108"/>
        <v>0.33333333333333331</v>
      </c>
      <c r="R534" s="115">
        <v>1</v>
      </c>
      <c r="S534" s="100">
        <f t="shared" si="109"/>
        <v>0.14285714285714285</v>
      </c>
    </row>
    <row r="535" spans="1:19" ht="15" x14ac:dyDescent="0.2">
      <c r="A535" s="114" t="s">
        <v>143</v>
      </c>
      <c r="B535" s="100" t="s">
        <v>156</v>
      </c>
      <c r="C535" s="115">
        <v>60000</v>
      </c>
      <c r="D535" s="100">
        <f>(C535/12)*6</f>
        <v>30000</v>
      </c>
      <c r="E535" s="103">
        <f>'Monitoramento Acumulado Geral'!Q535</f>
        <v>3570</v>
      </c>
      <c r="F535" s="100">
        <f>SUM(E530:E535)</f>
        <v>29970</v>
      </c>
      <c r="G535" s="102" t="str">
        <f t="shared" si="106"/>
        <v>Farol Amarelo</v>
      </c>
      <c r="H535" s="116">
        <f t="shared" si="104"/>
        <v>30</v>
      </c>
      <c r="I535" s="100">
        <f t="shared" si="105"/>
        <v>6</v>
      </c>
      <c r="J535" s="119">
        <v>13</v>
      </c>
      <c r="K535" s="118">
        <f>'Monitoramento Acumulado Geral'!P535</f>
        <v>2</v>
      </c>
      <c r="L535" s="100">
        <f>$L530+L534</f>
        <v>6.4999999999999991</v>
      </c>
      <c r="M535" s="100">
        <f t="shared" si="110"/>
        <v>10</v>
      </c>
      <c r="N535" s="115">
        <v>14</v>
      </c>
      <c r="O535" s="116">
        <f t="shared" si="107"/>
        <v>0.14285714285714285</v>
      </c>
      <c r="P535" s="115">
        <v>2</v>
      </c>
      <c r="Q535" s="116">
        <f t="shared" si="108"/>
        <v>1</v>
      </c>
      <c r="R535" s="115">
        <v>2</v>
      </c>
      <c r="S535" s="100">
        <f t="shared" si="109"/>
        <v>0.14285714285714285</v>
      </c>
    </row>
    <row r="536" spans="1:19" ht="15" x14ac:dyDescent="0.2">
      <c r="A536" s="114" t="s">
        <v>143</v>
      </c>
      <c r="B536" s="100" t="s">
        <v>157</v>
      </c>
      <c r="C536" s="115">
        <v>60000</v>
      </c>
      <c r="D536" s="100">
        <f>(C536/12)*7</f>
        <v>35000</v>
      </c>
      <c r="E536" s="103">
        <f>'Monitoramento Acumulado Geral'!Q536</f>
        <v>12980</v>
      </c>
      <c r="F536" s="100">
        <f>SUM(E530:E536)</f>
        <v>42950</v>
      </c>
      <c r="G536" s="102" t="str">
        <f t="shared" si="106"/>
        <v>Farol Verde</v>
      </c>
      <c r="H536" s="116">
        <f t="shared" si="104"/>
        <v>0</v>
      </c>
      <c r="I536" s="100">
        <f t="shared" si="105"/>
        <v>7</v>
      </c>
      <c r="J536" s="119">
        <v>13</v>
      </c>
      <c r="K536" s="118">
        <f>'Monitoramento Acumulado Geral'!P536</f>
        <v>3</v>
      </c>
      <c r="L536" s="100">
        <f>$L530+L535</f>
        <v>7.5833333333333321</v>
      </c>
      <c r="M536" s="100">
        <f t="shared" si="110"/>
        <v>13</v>
      </c>
      <c r="N536" s="115"/>
      <c r="O536" s="116" t="e">
        <f t="shared" si="107"/>
        <v>#DIV/0!</v>
      </c>
      <c r="P536" s="115"/>
      <c r="Q536" s="116" t="e">
        <f t="shared" si="108"/>
        <v>#DIV/0!</v>
      </c>
      <c r="R536" s="115"/>
      <c r="S536" s="100" t="e">
        <f t="shared" si="109"/>
        <v>#DIV/0!</v>
      </c>
    </row>
    <row r="537" spans="1:19" ht="15" x14ac:dyDescent="0.2">
      <c r="A537" s="114" t="s">
        <v>143</v>
      </c>
      <c r="B537" s="100" t="s">
        <v>158</v>
      </c>
      <c r="C537" s="115">
        <v>60000</v>
      </c>
      <c r="D537" s="100">
        <f>(C537/12)*8</f>
        <v>40000</v>
      </c>
      <c r="E537" s="103">
        <f>'Monitoramento Acumulado Geral'!Q537</f>
        <v>200</v>
      </c>
      <c r="F537" s="100">
        <f>SUM(E530:E537)</f>
        <v>43150</v>
      </c>
      <c r="G537" s="102" t="str">
        <f t="shared" si="106"/>
        <v>Farol Verde</v>
      </c>
      <c r="H537" s="116">
        <f t="shared" si="104"/>
        <v>0</v>
      </c>
      <c r="I537" s="100">
        <f t="shared" si="105"/>
        <v>8</v>
      </c>
      <c r="J537" s="119">
        <v>13</v>
      </c>
      <c r="K537" s="118">
        <f>'Monitoramento Acumulado Geral'!P537</f>
        <v>1</v>
      </c>
      <c r="L537" s="100">
        <f>L530+L536</f>
        <v>8.6666666666666661</v>
      </c>
      <c r="M537" s="100">
        <f t="shared" si="110"/>
        <v>14</v>
      </c>
      <c r="N537" s="115"/>
      <c r="O537" s="116" t="e">
        <f t="shared" si="107"/>
        <v>#DIV/0!</v>
      </c>
      <c r="P537" s="115"/>
      <c r="Q537" s="116" t="e">
        <f t="shared" si="108"/>
        <v>#DIV/0!</v>
      </c>
      <c r="R537" s="115"/>
      <c r="S537" s="100" t="e">
        <f t="shared" si="109"/>
        <v>#DIV/0!</v>
      </c>
    </row>
    <row r="538" spans="1:19" ht="15" x14ac:dyDescent="0.2">
      <c r="A538" s="114" t="s">
        <v>143</v>
      </c>
      <c r="B538" s="100" t="s">
        <v>159</v>
      </c>
      <c r="C538" s="115">
        <v>60000</v>
      </c>
      <c r="D538" s="100">
        <f>(C538/12)*9</f>
        <v>45000</v>
      </c>
      <c r="E538" s="103">
        <f>'Monitoramento Acumulado Geral'!Q538</f>
        <v>13650</v>
      </c>
      <c r="F538" s="100">
        <f>SUM(E530:E538)</f>
        <v>56800</v>
      </c>
      <c r="G538" s="102" t="str">
        <f t="shared" si="106"/>
        <v>Farol Verde</v>
      </c>
      <c r="H538" s="116">
        <f t="shared" si="104"/>
        <v>0</v>
      </c>
      <c r="I538" s="100">
        <f t="shared" si="105"/>
        <v>9</v>
      </c>
      <c r="J538" s="119">
        <v>13</v>
      </c>
      <c r="K538" s="118">
        <f>'Monitoramento Acumulado Geral'!P538</f>
        <v>3</v>
      </c>
      <c r="L538" s="100">
        <f>$L530+L537</f>
        <v>9.75</v>
      </c>
      <c r="M538" s="100">
        <f t="shared" si="110"/>
        <v>17</v>
      </c>
      <c r="N538" s="115"/>
      <c r="O538" s="116" t="e">
        <f t="shared" si="107"/>
        <v>#DIV/0!</v>
      </c>
      <c r="P538" s="115"/>
      <c r="Q538" s="116" t="e">
        <f t="shared" si="108"/>
        <v>#DIV/0!</v>
      </c>
      <c r="R538" s="115"/>
      <c r="S538" s="100" t="e">
        <f t="shared" si="109"/>
        <v>#DIV/0!</v>
      </c>
    </row>
    <row r="539" spans="1:19" ht="15" x14ac:dyDescent="0.2">
      <c r="A539" s="114" t="s">
        <v>143</v>
      </c>
      <c r="B539" s="100" t="s">
        <v>160</v>
      </c>
      <c r="C539" s="115">
        <v>60000</v>
      </c>
      <c r="D539" s="100">
        <f>(C539/12)*10</f>
        <v>50000</v>
      </c>
      <c r="E539" s="103">
        <f>'Monitoramento Acumulado Geral'!Q539</f>
        <v>0</v>
      </c>
      <c r="F539" s="100">
        <f>SUM(E530:E539)</f>
        <v>56800</v>
      </c>
      <c r="G539" s="102" t="str">
        <f t="shared" si="106"/>
        <v>Farol Verde</v>
      </c>
      <c r="H539" s="116">
        <f t="shared" si="104"/>
        <v>0</v>
      </c>
      <c r="I539" s="100">
        <f t="shared" si="105"/>
        <v>10</v>
      </c>
      <c r="J539" s="119">
        <v>13</v>
      </c>
      <c r="K539" s="118">
        <f>'Monitoramento Acumulado Geral'!P539</f>
        <v>0</v>
      </c>
      <c r="L539" s="100">
        <f>$L530+L538</f>
        <v>10.833333333333334</v>
      </c>
      <c r="M539" s="100">
        <f t="shared" si="110"/>
        <v>17</v>
      </c>
      <c r="N539" s="115"/>
      <c r="O539" s="116" t="e">
        <f t="shared" si="107"/>
        <v>#DIV/0!</v>
      </c>
      <c r="P539" s="115"/>
      <c r="Q539" s="116" t="e">
        <f t="shared" si="108"/>
        <v>#DIV/0!</v>
      </c>
      <c r="R539" s="115"/>
      <c r="S539" s="100" t="e">
        <f t="shared" si="109"/>
        <v>#DIV/0!</v>
      </c>
    </row>
    <row r="540" spans="1:19" ht="15" x14ac:dyDescent="0.2">
      <c r="A540" s="114" t="s">
        <v>143</v>
      </c>
      <c r="B540" s="100" t="s">
        <v>161</v>
      </c>
      <c r="C540" s="115">
        <v>60000</v>
      </c>
      <c r="D540" s="100">
        <f>(C540/12)*11</f>
        <v>55000</v>
      </c>
      <c r="E540" s="103">
        <f>'Monitoramento Acumulado Geral'!Q540</f>
        <v>0</v>
      </c>
      <c r="F540" s="100">
        <f>SUM(E530:E540)</f>
        <v>56800</v>
      </c>
      <c r="G540" s="102" t="str">
        <f t="shared" si="106"/>
        <v>Farol Verde</v>
      </c>
      <c r="H540" s="116">
        <f t="shared" si="104"/>
        <v>0</v>
      </c>
      <c r="I540" s="100">
        <f t="shared" si="105"/>
        <v>11</v>
      </c>
      <c r="J540" s="119">
        <v>13</v>
      </c>
      <c r="K540" s="118">
        <f>'Monitoramento Acumulado Geral'!P540</f>
        <v>0</v>
      </c>
      <c r="L540" s="100">
        <f>L530+L539</f>
        <v>11.916666666666668</v>
      </c>
      <c r="M540" s="100">
        <f t="shared" si="110"/>
        <v>17</v>
      </c>
      <c r="N540" s="115"/>
      <c r="O540" s="116" t="e">
        <f t="shared" si="107"/>
        <v>#DIV/0!</v>
      </c>
      <c r="P540" s="115"/>
      <c r="Q540" s="116" t="e">
        <f t="shared" si="108"/>
        <v>#DIV/0!</v>
      </c>
      <c r="R540" s="115"/>
      <c r="S540" s="100" t="e">
        <f t="shared" si="109"/>
        <v>#DIV/0!</v>
      </c>
    </row>
    <row r="541" spans="1:19" ht="15" x14ac:dyDescent="0.2">
      <c r="A541" s="114" t="s">
        <v>143</v>
      </c>
      <c r="B541" s="100" t="s">
        <v>162</v>
      </c>
      <c r="C541" s="115">
        <v>60000</v>
      </c>
      <c r="D541" s="100">
        <f>(C541/12)*12</f>
        <v>60000</v>
      </c>
      <c r="E541" s="103">
        <f>'Monitoramento Acumulado Geral'!Q541</f>
        <v>0</v>
      </c>
      <c r="F541" s="100">
        <f>SUM(E530:E541)</f>
        <v>56800</v>
      </c>
      <c r="G541" s="102" t="str">
        <f t="shared" si="106"/>
        <v>Farol Amarelo</v>
      </c>
      <c r="H541" s="116">
        <f t="shared" si="104"/>
        <v>3200</v>
      </c>
      <c r="I541" s="100">
        <f t="shared" si="105"/>
        <v>12</v>
      </c>
      <c r="J541" s="119">
        <v>13</v>
      </c>
      <c r="K541" s="118">
        <f>'Monitoramento Acumulado Geral'!P541</f>
        <v>0</v>
      </c>
      <c r="L541" s="100">
        <f>$L530+L540</f>
        <v>13.000000000000002</v>
      </c>
      <c r="M541" s="100">
        <f t="shared" si="110"/>
        <v>17</v>
      </c>
      <c r="N541" s="115"/>
      <c r="O541" s="116" t="e">
        <f t="shared" si="107"/>
        <v>#DIV/0!</v>
      </c>
      <c r="P541" s="115"/>
      <c r="Q541" s="116" t="e">
        <f t="shared" si="108"/>
        <v>#DIV/0!</v>
      </c>
      <c r="R541" s="115"/>
      <c r="S541" s="100" t="e">
        <f t="shared" si="109"/>
        <v>#DIV/0!</v>
      </c>
    </row>
    <row r="542" spans="1:19" ht="15" x14ac:dyDescent="0.2">
      <c r="A542" s="114" t="s">
        <v>70</v>
      </c>
      <c r="B542" s="100" t="s">
        <v>151</v>
      </c>
      <c r="C542" s="115">
        <v>6000</v>
      </c>
      <c r="D542" s="100">
        <f>(C542/12)*1</f>
        <v>500</v>
      </c>
      <c r="E542" s="103">
        <f>'Monitoramento Acumulado Geral'!Q542</f>
        <v>1400</v>
      </c>
      <c r="F542" s="100">
        <f>E542</f>
        <v>1400</v>
      </c>
      <c r="G542" s="102" t="str">
        <f t="shared" si="106"/>
        <v>Farol Verde</v>
      </c>
      <c r="H542" s="116">
        <f t="shared" si="104"/>
        <v>0</v>
      </c>
      <c r="I542" s="100">
        <f t="shared" si="105"/>
        <v>1</v>
      </c>
      <c r="J542" s="119">
        <v>6</v>
      </c>
      <c r="K542" s="118">
        <f>'Monitoramento Acumulado Geral'!P542</f>
        <v>1</v>
      </c>
      <c r="L542" s="100">
        <f>J542/12</f>
        <v>0.5</v>
      </c>
      <c r="M542" s="100">
        <f>K542</f>
        <v>1</v>
      </c>
      <c r="N542" s="115">
        <v>0</v>
      </c>
      <c r="O542" s="116" t="e">
        <f t="shared" si="107"/>
        <v>#DIV/0!</v>
      </c>
      <c r="P542" s="115">
        <v>0</v>
      </c>
      <c r="Q542" s="116" t="e">
        <f t="shared" si="108"/>
        <v>#DIV/0!</v>
      </c>
      <c r="R542" s="115">
        <v>0</v>
      </c>
      <c r="S542" s="100" t="e">
        <f t="shared" si="109"/>
        <v>#DIV/0!</v>
      </c>
    </row>
    <row r="543" spans="1:19" ht="15" x14ac:dyDescent="0.2">
      <c r="A543" s="114" t="s">
        <v>70</v>
      </c>
      <c r="B543" s="100" t="s">
        <v>152</v>
      </c>
      <c r="C543" s="115">
        <v>6000</v>
      </c>
      <c r="D543" s="100">
        <f>(C543/12)*2</f>
        <v>1000</v>
      </c>
      <c r="E543" s="103">
        <f>'Monitoramento Acumulado Geral'!Q543</f>
        <v>0</v>
      </c>
      <c r="F543" s="100">
        <f>SUM(E542:E543)</f>
        <v>1400</v>
      </c>
      <c r="G543" s="102" t="str">
        <f t="shared" si="106"/>
        <v>Farol Verde</v>
      </c>
      <c r="H543" s="116">
        <f t="shared" si="104"/>
        <v>0</v>
      </c>
      <c r="I543" s="100">
        <f t="shared" si="105"/>
        <v>2</v>
      </c>
      <c r="J543" s="119">
        <v>6</v>
      </c>
      <c r="K543" s="118">
        <f>'Monitoramento Acumulado Geral'!P543</f>
        <v>0</v>
      </c>
      <c r="L543" s="100">
        <f>L542+L542</f>
        <v>1</v>
      </c>
      <c r="M543" s="100">
        <f>M542+K543</f>
        <v>1</v>
      </c>
      <c r="N543" s="115">
        <v>0</v>
      </c>
      <c r="O543" s="116" t="e">
        <f t="shared" si="107"/>
        <v>#DIV/0!</v>
      </c>
      <c r="P543" s="115">
        <v>0</v>
      </c>
      <c r="Q543" s="116" t="e">
        <f t="shared" si="108"/>
        <v>#DIV/0!</v>
      </c>
      <c r="R543" s="115">
        <v>0</v>
      </c>
      <c r="S543" s="100" t="e">
        <f t="shared" si="109"/>
        <v>#DIV/0!</v>
      </c>
    </row>
    <row r="544" spans="1:19" ht="15" x14ac:dyDescent="0.2">
      <c r="A544" s="114" t="s">
        <v>70</v>
      </c>
      <c r="B544" s="100" t="s">
        <v>153</v>
      </c>
      <c r="C544" s="115">
        <v>6000</v>
      </c>
      <c r="D544" s="100">
        <f>(C544/12)*3</f>
        <v>1500</v>
      </c>
      <c r="E544" s="103">
        <f>'Monitoramento Acumulado Geral'!Q544</f>
        <v>0</v>
      </c>
      <c r="F544" s="100">
        <f>SUM(E542:E544)</f>
        <v>1400</v>
      </c>
      <c r="G544" s="102" t="str">
        <f t="shared" si="106"/>
        <v>Farol Amarelo</v>
      </c>
      <c r="H544" s="116">
        <f t="shared" si="104"/>
        <v>100</v>
      </c>
      <c r="I544" s="100">
        <f t="shared" si="105"/>
        <v>3</v>
      </c>
      <c r="J544" s="119">
        <v>6</v>
      </c>
      <c r="K544" s="118">
        <f>'Monitoramento Acumulado Geral'!P544</f>
        <v>0</v>
      </c>
      <c r="L544" s="100">
        <f>$L542+L543</f>
        <v>1.5</v>
      </c>
      <c r="M544" s="100">
        <f t="shared" ref="M544:M553" si="111">M543+K544</f>
        <v>1</v>
      </c>
      <c r="N544" s="115">
        <v>0</v>
      </c>
      <c r="O544" s="116" t="e">
        <f t="shared" si="107"/>
        <v>#DIV/0!</v>
      </c>
      <c r="P544" s="115">
        <v>0</v>
      </c>
      <c r="Q544" s="116" t="e">
        <f t="shared" si="108"/>
        <v>#DIV/0!</v>
      </c>
      <c r="R544" s="115">
        <v>0</v>
      </c>
      <c r="S544" s="100" t="e">
        <f t="shared" si="109"/>
        <v>#DIV/0!</v>
      </c>
    </row>
    <row r="545" spans="1:19" ht="15" x14ac:dyDescent="0.2">
      <c r="A545" s="114" t="s">
        <v>70</v>
      </c>
      <c r="B545" s="100" t="s">
        <v>154</v>
      </c>
      <c r="C545" s="115">
        <v>6000</v>
      </c>
      <c r="D545" s="100">
        <f>(C545/12)*4</f>
        <v>2000</v>
      </c>
      <c r="E545" s="103">
        <f>'Monitoramento Acumulado Geral'!Q545</f>
        <v>0</v>
      </c>
      <c r="F545" s="100">
        <f>SUM(E542:E545)</f>
        <v>1400</v>
      </c>
      <c r="G545" s="102" t="str">
        <f t="shared" si="106"/>
        <v>Farol Vermelho</v>
      </c>
      <c r="H545" s="116">
        <f t="shared" si="104"/>
        <v>600</v>
      </c>
      <c r="I545" s="100">
        <f t="shared" si="105"/>
        <v>4</v>
      </c>
      <c r="J545" s="119">
        <v>6</v>
      </c>
      <c r="K545" s="118">
        <f>'Monitoramento Acumulado Geral'!P545</f>
        <v>0</v>
      </c>
      <c r="L545" s="100">
        <f>$L542+L544</f>
        <v>2</v>
      </c>
      <c r="M545" s="100">
        <f t="shared" si="111"/>
        <v>1</v>
      </c>
      <c r="N545" s="115">
        <v>0</v>
      </c>
      <c r="O545" s="116" t="e">
        <f t="shared" si="107"/>
        <v>#DIV/0!</v>
      </c>
      <c r="P545" s="115">
        <v>0</v>
      </c>
      <c r="Q545" s="116" t="e">
        <f t="shared" si="108"/>
        <v>#DIV/0!</v>
      </c>
      <c r="R545" s="115">
        <v>0</v>
      </c>
      <c r="S545" s="100" t="e">
        <f t="shared" si="109"/>
        <v>#DIV/0!</v>
      </c>
    </row>
    <row r="546" spans="1:19" ht="15" x14ac:dyDescent="0.2">
      <c r="A546" s="114" t="s">
        <v>70</v>
      </c>
      <c r="B546" s="100" t="s">
        <v>155</v>
      </c>
      <c r="C546" s="115">
        <v>6000</v>
      </c>
      <c r="D546" s="100">
        <f>(C546/12)*5</f>
        <v>2500</v>
      </c>
      <c r="E546" s="103">
        <f>'Monitoramento Acumulado Geral'!Q546</f>
        <v>4300</v>
      </c>
      <c r="F546" s="100">
        <f>SUM(E542:E546)</f>
        <v>5700</v>
      </c>
      <c r="G546" s="102" t="str">
        <f t="shared" si="106"/>
        <v>Farol Verde</v>
      </c>
      <c r="H546" s="116">
        <f t="shared" si="104"/>
        <v>0</v>
      </c>
      <c r="I546" s="100">
        <f t="shared" si="105"/>
        <v>5</v>
      </c>
      <c r="J546" s="119">
        <v>6</v>
      </c>
      <c r="K546" s="118">
        <f>'Monitoramento Acumulado Geral'!P546</f>
        <v>2</v>
      </c>
      <c r="L546" s="100">
        <f>L542+L545</f>
        <v>2.5</v>
      </c>
      <c r="M546" s="100">
        <f t="shared" si="111"/>
        <v>3</v>
      </c>
      <c r="N546" s="115">
        <v>10</v>
      </c>
      <c r="O546" s="116">
        <f t="shared" si="107"/>
        <v>0.5</v>
      </c>
      <c r="P546" s="115">
        <v>5</v>
      </c>
      <c r="Q546" s="116">
        <f t="shared" si="108"/>
        <v>0.4</v>
      </c>
      <c r="R546" s="115">
        <v>2</v>
      </c>
      <c r="S546" s="100">
        <f t="shared" si="109"/>
        <v>0.2</v>
      </c>
    </row>
    <row r="547" spans="1:19" ht="15" x14ac:dyDescent="0.2">
      <c r="A547" s="114" t="s">
        <v>70</v>
      </c>
      <c r="B547" s="100" t="s">
        <v>156</v>
      </c>
      <c r="C547" s="115">
        <v>6000</v>
      </c>
      <c r="D547" s="100">
        <f>(C547/12)*6</f>
        <v>3000</v>
      </c>
      <c r="E547" s="103">
        <f>'Monitoramento Acumulado Geral'!Q547</f>
        <v>0</v>
      </c>
      <c r="F547" s="100">
        <f>SUM(E542:E547)</f>
        <v>5700</v>
      </c>
      <c r="G547" s="102" t="str">
        <f t="shared" si="106"/>
        <v>Farol Verde</v>
      </c>
      <c r="H547" s="116">
        <f t="shared" si="104"/>
        <v>0</v>
      </c>
      <c r="I547" s="100">
        <f t="shared" si="105"/>
        <v>6</v>
      </c>
      <c r="J547" s="119">
        <v>6</v>
      </c>
      <c r="K547" s="118">
        <f>'Monitoramento Acumulado Geral'!P547</f>
        <v>0</v>
      </c>
      <c r="L547" s="100">
        <f>$L542+L546</f>
        <v>3</v>
      </c>
      <c r="M547" s="100">
        <f t="shared" si="111"/>
        <v>3</v>
      </c>
      <c r="N547" s="115">
        <v>5</v>
      </c>
      <c r="O547" s="116">
        <f t="shared" si="107"/>
        <v>1</v>
      </c>
      <c r="P547" s="115">
        <v>5</v>
      </c>
      <c r="Q547" s="116">
        <f t="shared" si="108"/>
        <v>0.2</v>
      </c>
      <c r="R547" s="115">
        <v>1</v>
      </c>
      <c r="S547" s="100">
        <f t="shared" si="109"/>
        <v>0.2</v>
      </c>
    </row>
    <row r="548" spans="1:19" ht="15" x14ac:dyDescent="0.2">
      <c r="A548" s="114" t="s">
        <v>70</v>
      </c>
      <c r="B548" s="100" t="s">
        <v>157</v>
      </c>
      <c r="C548" s="115">
        <v>6000</v>
      </c>
      <c r="D548" s="100">
        <f>(C548/12)*7</f>
        <v>3500</v>
      </c>
      <c r="E548" s="103">
        <f>'Monitoramento Acumulado Geral'!Q548</f>
        <v>1500</v>
      </c>
      <c r="F548" s="100">
        <f>SUM(E542:E548)</f>
        <v>7200</v>
      </c>
      <c r="G548" s="102" t="str">
        <f t="shared" si="106"/>
        <v>Farol Verde</v>
      </c>
      <c r="H548" s="116">
        <f t="shared" si="104"/>
        <v>0</v>
      </c>
      <c r="I548" s="100">
        <f t="shared" si="105"/>
        <v>7</v>
      </c>
      <c r="J548" s="119">
        <v>6</v>
      </c>
      <c r="K548" s="118">
        <f>'Monitoramento Acumulado Geral'!P548</f>
        <v>1</v>
      </c>
      <c r="L548" s="100">
        <f>$L542+L547</f>
        <v>3.5</v>
      </c>
      <c r="M548" s="100">
        <f t="shared" si="111"/>
        <v>4</v>
      </c>
      <c r="N548" s="115"/>
      <c r="O548" s="116" t="e">
        <f t="shared" si="107"/>
        <v>#DIV/0!</v>
      </c>
      <c r="P548" s="115"/>
      <c r="Q548" s="116" t="e">
        <f t="shared" si="108"/>
        <v>#DIV/0!</v>
      </c>
      <c r="R548" s="115"/>
      <c r="S548" s="100" t="e">
        <f t="shared" si="109"/>
        <v>#DIV/0!</v>
      </c>
    </row>
    <row r="549" spans="1:19" ht="15" x14ac:dyDescent="0.2">
      <c r="A549" s="114" t="s">
        <v>70</v>
      </c>
      <c r="B549" s="100" t="s">
        <v>158</v>
      </c>
      <c r="C549" s="115">
        <v>6000</v>
      </c>
      <c r="D549" s="100">
        <f>(C549/12)*8</f>
        <v>4000</v>
      </c>
      <c r="E549" s="103">
        <f>'Monitoramento Acumulado Geral'!Q549</f>
        <v>0</v>
      </c>
      <c r="F549" s="100">
        <f>SUM(E542:E549)</f>
        <v>7200</v>
      </c>
      <c r="G549" s="102" t="str">
        <f t="shared" si="106"/>
        <v>Farol Verde</v>
      </c>
      <c r="H549" s="116">
        <f t="shared" si="104"/>
        <v>0</v>
      </c>
      <c r="I549" s="100">
        <f t="shared" si="105"/>
        <v>8</v>
      </c>
      <c r="J549" s="119">
        <v>6</v>
      </c>
      <c r="K549" s="118">
        <f>'Monitoramento Acumulado Geral'!P549</f>
        <v>0</v>
      </c>
      <c r="L549" s="100">
        <f>L542+L548</f>
        <v>4</v>
      </c>
      <c r="M549" s="100">
        <f t="shared" si="111"/>
        <v>4</v>
      </c>
      <c r="N549" s="115"/>
      <c r="O549" s="116" t="e">
        <f t="shared" si="107"/>
        <v>#DIV/0!</v>
      </c>
      <c r="P549" s="115"/>
      <c r="Q549" s="116" t="e">
        <f t="shared" si="108"/>
        <v>#DIV/0!</v>
      </c>
      <c r="R549" s="115"/>
      <c r="S549" s="100" t="e">
        <f t="shared" si="109"/>
        <v>#DIV/0!</v>
      </c>
    </row>
    <row r="550" spans="1:19" ht="15" x14ac:dyDescent="0.2">
      <c r="A550" s="114" t="s">
        <v>70</v>
      </c>
      <c r="B550" s="100" t="s">
        <v>159</v>
      </c>
      <c r="C550" s="115">
        <v>6000</v>
      </c>
      <c r="D550" s="100">
        <f>(C550/12)*9</f>
        <v>4500</v>
      </c>
      <c r="E550" s="103">
        <f>'Monitoramento Acumulado Geral'!Q550</f>
        <v>0</v>
      </c>
      <c r="F550" s="100">
        <f>SUM(E542:E550)</f>
        <v>7200</v>
      </c>
      <c r="G550" s="102" t="str">
        <f t="shared" si="106"/>
        <v>Farol Verde</v>
      </c>
      <c r="H550" s="116">
        <f t="shared" si="104"/>
        <v>0</v>
      </c>
      <c r="I550" s="100">
        <f t="shared" si="105"/>
        <v>9</v>
      </c>
      <c r="J550" s="119">
        <v>6</v>
      </c>
      <c r="K550" s="118">
        <f>'Monitoramento Acumulado Geral'!P550</f>
        <v>0</v>
      </c>
      <c r="L550" s="100">
        <f>$L542+L549</f>
        <v>4.5</v>
      </c>
      <c r="M550" s="100">
        <f t="shared" si="111"/>
        <v>4</v>
      </c>
      <c r="N550" s="115"/>
      <c r="O550" s="116" t="e">
        <f t="shared" si="107"/>
        <v>#DIV/0!</v>
      </c>
      <c r="P550" s="115"/>
      <c r="Q550" s="116" t="e">
        <f t="shared" si="108"/>
        <v>#DIV/0!</v>
      </c>
      <c r="R550" s="115"/>
      <c r="S550" s="100" t="e">
        <f t="shared" si="109"/>
        <v>#DIV/0!</v>
      </c>
    </row>
    <row r="551" spans="1:19" ht="15" x14ac:dyDescent="0.2">
      <c r="A551" s="114" t="s">
        <v>70</v>
      </c>
      <c r="B551" s="100" t="s">
        <v>160</v>
      </c>
      <c r="C551" s="115">
        <v>6000</v>
      </c>
      <c r="D551" s="100">
        <f>(C551/12)*10</f>
        <v>5000</v>
      </c>
      <c r="E551" s="103">
        <f>'Monitoramento Acumulado Geral'!Q551</f>
        <v>0</v>
      </c>
      <c r="F551" s="100">
        <f>SUM(E542:E551)</f>
        <v>7200</v>
      </c>
      <c r="G551" s="102" t="str">
        <f t="shared" si="106"/>
        <v>Farol Verde</v>
      </c>
      <c r="H551" s="116">
        <f t="shared" si="104"/>
        <v>0</v>
      </c>
      <c r="I551" s="100">
        <f t="shared" si="105"/>
        <v>10</v>
      </c>
      <c r="J551" s="119">
        <v>6</v>
      </c>
      <c r="K551" s="118">
        <f>'Monitoramento Acumulado Geral'!P551</f>
        <v>0</v>
      </c>
      <c r="L551" s="100">
        <f>$L542+L550</f>
        <v>5</v>
      </c>
      <c r="M551" s="100">
        <f t="shared" si="111"/>
        <v>4</v>
      </c>
      <c r="N551" s="115"/>
      <c r="O551" s="116" t="e">
        <f t="shared" si="107"/>
        <v>#DIV/0!</v>
      </c>
      <c r="P551" s="115"/>
      <c r="Q551" s="116" t="e">
        <f t="shared" si="108"/>
        <v>#DIV/0!</v>
      </c>
      <c r="R551" s="115"/>
      <c r="S551" s="100" t="e">
        <f t="shared" si="109"/>
        <v>#DIV/0!</v>
      </c>
    </row>
    <row r="552" spans="1:19" ht="15" x14ac:dyDescent="0.2">
      <c r="A552" s="114" t="s">
        <v>70</v>
      </c>
      <c r="B552" s="100" t="s">
        <v>161</v>
      </c>
      <c r="C552" s="115">
        <v>6000</v>
      </c>
      <c r="D552" s="100">
        <f>(C552/12)*11</f>
        <v>5500</v>
      </c>
      <c r="E552" s="103">
        <f>'Monitoramento Acumulado Geral'!Q552</f>
        <v>0</v>
      </c>
      <c r="F552" s="100">
        <f>SUM(E542:E552)</f>
        <v>7200</v>
      </c>
      <c r="G552" s="102" t="str">
        <f t="shared" si="106"/>
        <v>Farol Verde</v>
      </c>
      <c r="H552" s="116">
        <f t="shared" si="104"/>
        <v>0</v>
      </c>
      <c r="I552" s="100">
        <f t="shared" si="105"/>
        <v>11</v>
      </c>
      <c r="J552" s="119">
        <v>6</v>
      </c>
      <c r="K552" s="118">
        <f>'Monitoramento Acumulado Geral'!P552</f>
        <v>0</v>
      </c>
      <c r="L552" s="100">
        <f>L542+L551</f>
        <v>5.5</v>
      </c>
      <c r="M552" s="100">
        <f t="shared" si="111"/>
        <v>4</v>
      </c>
      <c r="N552" s="115"/>
      <c r="O552" s="116" t="e">
        <f t="shared" si="107"/>
        <v>#DIV/0!</v>
      </c>
      <c r="P552" s="115"/>
      <c r="Q552" s="116" t="e">
        <f t="shared" si="108"/>
        <v>#DIV/0!</v>
      </c>
      <c r="R552" s="115"/>
      <c r="S552" s="100" t="e">
        <f t="shared" si="109"/>
        <v>#DIV/0!</v>
      </c>
    </row>
    <row r="553" spans="1:19" ht="15" x14ac:dyDescent="0.2">
      <c r="A553" s="114" t="s">
        <v>70</v>
      </c>
      <c r="B553" s="100" t="s">
        <v>162</v>
      </c>
      <c r="C553" s="115">
        <v>6000</v>
      </c>
      <c r="D553" s="100">
        <f>(C553/12)*12</f>
        <v>6000</v>
      </c>
      <c r="E553" s="103">
        <f>'Monitoramento Acumulado Geral'!Q553</f>
        <v>0</v>
      </c>
      <c r="F553" s="100">
        <f>SUM(E542:E553)</f>
        <v>7200</v>
      </c>
      <c r="G553" s="102" t="str">
        <f t="shared" si="106"/>
        <v>Farol Verde</v>
      </c>
      <c r="H553" s="116">
        <f t="shared" si="104"/>
        <v>0</v>
      </c>
      <c r="I553" s="100">
        <f t="shared" si="105"/>
        <v>12</v>
      </c>
      <c r="J553" s="119">
        <v>6</v>
      </c>
      <c r="K553" s="118">
        <f>'Monitoramento Acumulado Geral'!P553</f>
        <v>0</v>
      </c>
      <c r="L553" s="100">
        <f>$L542+L552</f>
        <v>6</v>
      </c>
      <c r="M553" s="100">
        <f t="shared" si="111"/>
        <v>4</v>
      </c>
      <c r="N553" s="115"/>
      <c r="O553" s="116" t="e">
        <f t="shared" si="107"/>
        <v>#DIV/0!</v>
      </c>
      <c r="P553" s="115"/>
      <c r="Q553" s="116" t="e">
        <f t="shared" si="108"/>
        <v>#DIV/0!</v>
      </c>
      <c r="R553" s="115"/>
      <c r="S553" s="100" t="e">
        <f t="shared" si="109"/>
        <v>#DIV/0!</v>
      </c>
    </row>
    <row r="554" spans="1:19" ht="15" x14ac:dyDescent="0.2">
      <c r="A554" s="114" t="s">
        <v>80</v>
      </c>
      <c r="B554" s="100" t="s">
        <v>151</v>
      </c>
      <c r="C554" s="115">
        <v>6510</v>
      </c>
      <c r="D554" s="100">
        <f>(C554/12)*1</f>
        <v>542.5</v>
      </c>
      <c r="E554" s="103">
        <f>'Monitoramento Acumulado Geral'!Q554</f>
        <v>0</v>
      </c>
      <c r="F554" s="100">
        <f>E554</f>
        <v>0</v>
      </c>
      <c r="G554" s="102" t="str">
        <f t="shared" si="106"/>
        <v>Farol Vermelho</v>
      </c>
      <c r="H554" s="116">
        <f t="shared" si="104"/>
        <v>542.5</v>
      </c>
      <c r="I554" s="100">
        <f t="shared" si="105"/>
        <v>1</v>
      </c>
      <c r="J554" s="119">
        <v>2</v>
      </c>
      <c r="K554" s="118">
        <f>'Monitoramento Acumulado Geral'!P554</f>
        <v>0</v>
      </c>
      <c r="L554" s="100">
        <f>J554/12</f>
        <v>0.16666666666666666</v>
      </c>
      <c r="M554" s="100">
        <f>K554</f>
        <v>0</v>
      </c>
      <c r="N554" s="115">
        <v>0</v>
      </c>
      <c r="O554" s="116" t="e">
        <f t="shared" si="107"/>
        <v>#DIV/0!</v>
      </c>
      <c r="P554" s="115">
        <v>0</v>
      </c>
      <c r="Q554" s="116" t="e">
        <f t="shared" si="108"/>
        <v>#DIV/0!</v>
      </c>
      <c r="R554" s="115">
        <v>0</v>
      </c>
      <c r="S554" s="100" t="e">
        <f t="shared" si="109"/>
        <v>#DIV/0!</v>
      </c>
    </row>
    <row r="555" spans="1:19" ht="15" x14ac:dyDescent="0.2">
      <c r="A555" s="114" t="s">
        <v>80</v>
      </c>
      <c r="B555" s="100" t="s">
        <v>152</v>
      </c>
      <c r="C555" s="115">
        <v>6510</v>
      </c>
      <c r="D555" s="100">
        <f>(C555/12)*2</f>
        <v>1085</v>
      </c>
      <c r="E555" s="103">
        <f>'Monitoramento Acumulado Geral'!Q555</f>
        <v>0</v>
      </c>
      <c r="F555" s="100">
        <f>SUM(E554:E555)</f>
        <v>0</v>
      </c>
      <c r="G555" s="102" t="str">
        <f t="shared" si="106"/>
        <v>Farol Vermelho</v>
      </c>
      <c r="H555" s="116">
        <f t="shared" si="104"/>
        <v>1085</v>
      </c>
      <c r="I555" s="100">
        <f t="shared" si="105"/>
        <v>2</v>
      </c>
      <c r="J555" s="119">
        <v>2</v>
      </c>
      <c r="K555" s="118">
        <f>'Monitoramento Acumulado Geral'!P555</f>
        <v>0</v>
      </c>
      <c r="L555" s="100">
        <f>L554+L554</f>
        <v>0.33333333333333331</v>
      </c>
      <c r="M555" s="100">
        <f>M554+K555</f>
        <v>0</v>
      </c>
      <c r="N555" s="115">
        <v>0</v>
      </c>
      <c r="O555" s="116" t="e">
        <f t="shared" si="107"/>
        <v>#DIV/0!</v>
      </c>
      <c r="P555" s="115">
        <v>0</v>
      </c>
      <c r="Q555" s="116" t="e">
        <f t="shared" si="108"/>
        <v>#DIV/0!</v>
      </c>
      <c r="R555" s="115">
        <v>0</v>
      </c>
      <c r="S555" s="100" t="e">
        <f t="shared" si="109"/>
        <v>#DIV/0!</v>
      </c>
    </row>
    <row r="556" spans="1:19" ht="15" x14ac:dyDescent="0.2">
      <c r="A556" s="114" t="s">
        <v>80</v>
      </c>
      <c r="B556" s="100" t="s">
        <v>153</v>
      </c>
      <c r="C556" s="115">
        <v>6510</v>
      </c>
      <c r="D556" s="100">
        <f>(C556/12)*3</f>
        <v>1627.5</v>
      </c>
      <c r="E556" s="103">
        <f>'Monitoramento Acumulado Geral'!Q556</f>
        <v>0</v>
      </c>
      <c r="F556" s="100">
        <f>SUM(E554:E556)</f>
        <v>0</v>
      </c>
      <c r="G556" s="102" t="str">
        <f t="shared" si="106"/>
        <v>Farol Vermelho</v>
      </c>
      <c r="H556" s="116">
        <f t="shared" si="104"/>
        <v>1627.5</v>
      </c>
      <c r="I556" s="100">
        <f t="shared" si="105"/>
        <v>3</v>
      </c>
      <c r="J556" s="119">
        <v>2</v>
      </c>
      <c r="K556" s="118">
        <f>'Monitoramento Acumulado Geral'!P556</f>
        <v>0</v>
      </c>
      <c r="L556" s="100">
        <f>$L554+L555</f>
        <v>0.5</v>
      </c>
      <c r="M556" s="100">
        <f t="shared" ref="M556:M565" si="112">M555+K556</f>
        <v>0</v>
      </c>
      <c r="N556" s="115">
        <v>0</v>
      </c>
      <c r="O556" s="116" t="e">
        <f t="shared" si="107"/>
        <v>#DIV/0!</v>
      </c>
      <c r="P556" s="115">
        <v>0</v>
      </c>
      <c r="Q556" s="116" t="e">
        <f t="shared" si="108"/>
        <v>#DIV/0!</v>
      </c>
      <c r="R556" s="115">
        <v>0</v>
      </c>
      <c r="S556" s="100" t="e">
        <f t="shared" si="109"/>
        <v>#DIV/0!</v>
      </c>
    </row>
    <row r="557" spans="1:19" ht="15" x14ac:dyDescent="0.2">
      <c r="A557" s="114" t="s">
        <v>80</v>
      </c>
      <c r="B557" s="100" t="s">
        <v>154</v>
      </c>
      <c r="C557" s="115">
        <v>6510</v>
      </c>
      <c r="D557" s="100">
        <f>(C557/12)*4</f>
        <v>2170</v>
      </c>
      <c r="E557" s="103">
        <f>'Monitoramento Acumulado Geral'!Q557</f>
        <v>0</v>
      </c>
      <c r="F557" s="100">
        <f>SUM(E554:E557)</f>
        <v>0</v>
      </c>
      <c r="G557" s="102" t="str">
        <f t="shared" si="106"/>
        <v>Farol Vermelho</v>
      </c>
      <c r="H557" s="116">
        <f t="shared" si="104"/>
        <v>2170</v>
      </c>
      <c r="I557" s="100">
        <f t="shared" si="105"/>
        <v>4</v>
      </c>
      <c r="J557" s="119">
        <v>2</v>
      </c>
      <c r="K557" s="118">
        <f>'Monitoramento Acumulado Geral'!P557</f>
        <v>0</v>
      </c>
      <c r="L557" s="100">
        <f>$L554+L556</f>
        <v>0.66666666666666663</v>
      </c>
      <c r="M557" s="100">
        <f t="shared" si="112"/>
        <v>0</v>
      </c>
      <c r="N557" s="115">
        <v>0</v>
      </c>
      <c r="O557" s="116" t="e">
        <f t="shared" si="107"/>
        <v>#DIV/0!</v>
      </c>
      <c r="P557" s="115">
        <v>0</v>
      </c>
      <c r="Q557" s="116" t="e">
        <f t="shared" si="108"/>
        <v>#DIV/0!</v>
      </c>
      <c r="R557" s="115">
        <v>0</v>
      </c>
      <c r="S557" s="100" t="e">
        <f t="shared" si="109"/>
        <v>#DIV/0!</v>
      </c>
    </row>
    <row r="558" spans="1:19" ht="15" x14ac:dyDescent="0.2">
      <c r="A558" s="114" t="s">
        <v>80</v>
      </c>
      <c r="B558" s="100" t="s">
        <v>155</v>
      </c>
      <c r="C558" s="115">
        <v>6510</v>
      </c>
      <c r="D558" s="100">
        <f>(C558/12)*5</f>
        <v>2712.5</v>
      </c>
      <c r="E558" s="103">
        <f>'Monitoramento Acumulado Geral'!Q558</f>
        <v>0</v>
      </c>
      <c r="F558" s="100">
        <f>SUM(E554:E558)</f>
        <v>0</v>
      </c>
      <c r="G558" s="102" t="str">
        <f t="shared" si="106"/>
        <v>Farol Vermelho</v>
      </c>
      <c r="H558" s="116">
        <f t="shared" si="104"/>
        <v>2712.5</v>
      </c>
      <c r="I558" s="100">
        <f t="shared" si="105"/>
        <v>5</v>
      </c>
      <c r="J558" s="119">
        <v>2</v>
      </c>
      <c r="K558" s="118">
        <f>'Monitoramento Acumulado Geral'!P558</f>
        <v>0</v>
      </c>
      <c r="L558" s="100">
        <f>L554+L557</f>
        <v>0.83333333333333326</v>
      </c>
      <c r="M558" s="100">
        <f t="shared" si="112"/>
        <v>0</v>
      </c>
      <c r="N558" s="115">
        <v>10</v>
      </c>
      <c r="O558" s="116">
        <f t="shared" si="107"/>
        <v>0.3</v>
      </c>
      <c r="P558" s="115">
        <v>3</v>
      </c>
      <c r="Q558" s="116">
        <f t="shared" si="108"/>
        <v>0</v>
      </c>
      <c r="R558" s="115">
        <v>0</v>
      </c>
      <c r="S558" s="100">
        <f t="shared" si="109"/>
        <v>0</v>
      </c>
    </row>
    <row r="559" spans="1:19" ht="15" x14ac:dyDescent="0.2">
      <c r="A559" s="114" t="s">
        <v>80</v>
      </c>
      <c r="B559" s="100" t="s">
        <v>156</v>
      </c>
      <c r="C559" s="115">
        <v>6510</v>
      </c>
      <c r="D559" s="100">
        <f>(C559/12)*6</f>
        <v>3255</v>
      </c>
      <c r="E559" s="103">
        <f>'Monitoramento Acumulado Geral'!Q559</f>
        <v>0</v>
      </c>
      <c r="F559" s="100">
        <f>SUM(E554:E559)</f>
        <v>0</v>
      </c>
      <c r="G559" s="102" t="str">
        <f t="shared" si="106"/>
        <v>Farol Vermelho</v>
      </c>
      <c r="H559" s="116">
        <f t="shared" si="104"/>
        <v>3255</v>
      </c>
      <c r="I559" s="100">
        <f t="shared" si="105"/>
        <v>6</v>
      </c>
      <c r="J559" s="119">
        <v>2</v>
      </c>
      <c r="K559" s="118">
        <f>'Monitoramento Acumulado Geral'!P559</f>
        <v>0</v>
      </c>
      <c r="L559" s="100">
        <f>$L554+L558</f>
        <v>0.99999999999999989</v>
      </c>
      <c r="M559" s="100">
        <f t="shared" si="112"/>
        <v>0</v>
      </c>
      <c r="N559" s="115">
        <v>5</v>
      </c>
      <c r="O559" s="116">
        <f t="shared" si="107"/>
        <v>0.4</v>
      </c>
      <c r="P559" s="115">
        <v>2</v>
      </c>
      <c r="Q559" s="116">
        <f t="shared" si="108"/>
        <v>0.5</v>
      </c>
      <c r="R559" s="115">
        <v>1</v>
      </c>
      <c r="S559" s="100">
        <f t="shared" si="109"/>
        <v>0.2</v>
      </c>
    </row>
    <row r="560" spans="1:19" ht="15" x14ac:dyDescent="0.2">
      <c r="A560" s="114" t="s">
        <v>80</v>
      </c>
      <c r="B560" s="100" t="s">
        <v>157</v>
      </c>
      <c r="C560" s="115">
        <v>6510</v>
      </c>
      <c r="D560" s="100">
        <f>(C560/12)*7</f>
        <v>3797.5</v>
      </c>
      <c r="E560" s="103">
        <f>'Monitoramento Acumulado Geral'!Q560</f>
        <v>860</v>
      </c>
      <c r="F560" s="100">
        <f>SUM(E554:E560)</f>
        <v>860</v>
      </c>
      <c r="G560" s="102" t="str">
        <f t="shared" si="106"/>
        <v>Farol Vermelho</v>
      </c>
      <c r="H560" s="116">
        <f t="shared" si="104"/>
        <v>2937.5</v>
      </c>
      <c r="I560" s="100">
        <f t="shared" si="105"/>
        <v>7</v>
      </c>
      <c r="J560" s="119">
        <v>2</v>
      </c>
      <c r="K560" s="118">
        <f>'Monitoramento Acumulado Geral'!P560</f>
        <v>2</v>
      </c>
      <c r="L560" s="100">
        <f>$L554+L559</f>
        <v>1.1666666666666665</v>
      </c>
      <c r="M560" s="100">
        <f t="shared" si="112"/>
        <v>2</v>
      </c>
      <c r="N560" s="115"/>
      <c r="O560" s="116" t="e">
        <f t="shared" si="107"/>
        <v>#DIV/0!</v>
      </c>
      <c r="P560" s="115"/>
      <c r="Q560" s="116" t="e">
        <f t="shared" si="108"/>
        <v>#DIV/0!</v>
      </c>
      <c r="R560" s="115"/>
      <c r="S560" s="100" t="e">
        <f t="shared" si="109"/>
        <v>#DIV/0!</v>
      </c>
    </row>
    <row r="561" spans="1:19" ht="15" x14ac:dyDescent="0.2">
      <c r="A561" s="114" t="s">
        <v>80</v>
      </c>
      <c r="B561" s="100" t="s">
        <v>158</v>
      </c>
      <c r="C561" s="115">
        <v>6510</v>
      </c>
      <c r="D561" s="100">
        <f>(C561/12)*8</f>
        <v>4340</v>
      </c>
      <c r="E561" s="103">
        <f>'Monitoramento Acumulado Geral'!Q561</f>
        <v>0</v>
      </c>
      <c r="F561" s="100">
        <f>SUM(E554:E561)</f>
        <v>860</v>
      </c>
      <c r="G561" s="102" t="str">
        <f t="shared" si="106"/>
        <v>Farol Vermelho</v>
      </c>
      <c r="H561" s="116">
        <f t="shared" si="104"/>
        <v>3480</v>
      </c>
      <c r="I561" s="100">
        <f t="shared" si="105"/>
        <v>8</v>
      </c>
      <c r="J561" s="119">
        <v>2</v>
      </c>
      <c r="K561" s="118">
        <f>'Monitoramento Acumulado Geral'!P561</f>
        <v>0</v>
      </c>
      <c r="L561" s="100">
        <f>L554+L560</f>
        <v>1.3333333333333333</v>
      </c>
      <c r="M561" s="100">
        <f t="shared" si="112"/>
        <v>2</v>
      </c>
      <c r="N561" s="115"/>
      <c r="O561" s="116" t="e">
        <f t="shared" si="107"/>
        <v>#DIV/0!</v>
      </c>
      <c r="P561" s="115"/>
      <c r="Q561" s="116" t="e">
        <f t="shared" si="108"/>
        <v>#DIV/0!</v>
      </c>
      <c r="R561" s="115"/>
      <c r="S561" s="100" t="e">
        <f t="shared" si="109"/>
        <v>#DIV/0!</v>
      </c>
    </row>
    <row r="562" spans="1:19" ht="15" x14ac:dyDescent="0.2">
      <c r="A562" s="114" t="s">
        <v>80</v>
      </c>
      <c r="B562" s="100" t="s">
        <v>159</v>
      </c>
      <c r="C562" s="115">
        <v>6510</v>
      </c>
      <c r="D562" s="100">
        <f>(C562/12)*9</f>
        <v>4882.5</v>
      </c>
      <c r="E562" s="103">
        <f>'Monitoramento Acumulado Geral'!Q562</f>
        <v>4560</v>
      </c>
      <c r="F562" s="100">
        <f>SUM(E554:E562)</f>
        <v>5420</v>
      </c>
      <c r="G562" s="102" t="str">
        <f t="shared" si="106"/>
        <v>Farol Verde</v>
      </c>
      <c r="H562" s="116">
        <f t="shared" si="104"/>
        <v>0</v>
      </c>
      <c r="I562" s="100">
        <f t="shared" si="105"/>
        <v>9</v>
      </c>
      <c r="J562" s="119">
        <v>2</v>
      </c>
      <c r="K562" s="118">
        <f>'Monitoramento Acumulado Geral'!P562</f>
        <v>4</v>
      </c>
      <c r="L562" s="100">
        <f>$L554+L561</f>
        <v>1.5</v>
      </c>
      <c r="M562" s="100">
        <f t="shared" si="112"/>
        <v>6</v>
      </c>
      <c r="N562" s="115"/>
      <c r="O562" s="116" t="e">
        <f t="shared" si="107"/>
        <v>#DIV/0!</v>
      </c>
      <c r="P562" s="115"/>
      <c r="Q562" s="116" t="e">
        <f t="shared" si="108"/>
        <v>#DIV/0!</v>
      </c>
      <c r="R562" s="115"/>
      <c r="S562" s="100" t="e">
        <f t="shared" si="109"/>
        <v>#DIV/0!</v>
      </c>
    </row>
    <row r="563" spans="1:19" ht="15" x14ac:dyDescent="0.2">
      <c r="A563" s="114" t="s">
        <v>80</v>
      </c>
      <c r="B563" s="100" t="s">
        <v>160</v>
      </c>
      <c r="C563" s="115">
        <v>6510</v>
      </c>
      <c r="D563" s="100">
        <f>(C563/12)*10</f>
        <v>5425</v>
      </c>
      <c r="E563" s="103">
        <f>'Monitoramento Acumulado Geral'!Q563</f>
        <v>0</v>
      </c>
      <c r="F563" s="100">
        <f>SUM(E554:E563)</f>
        <v>5420</v>
      </c>
      <c r="G563" s="102" t="str">
        <f t="shared" si="106"/>
        <v>Farol Amarelo</v>
      </c>
      <c r="H563" s="116">
        <f t="shared" si="104"/>
        <v>5</v>
      </c>
      <c r="I563" s="100">
        <f t="shared" si="105"/>
        <v>10</v>
      </c>
      <c r="J563" s="119">
        <v>2</v>
      </c>
      <c r="K563" s="118">
        <f>'Monitoramento Acumulado Geral'!P563</f>
        <v>0</v>
      </c>
      <c r="L563" s="100">
        <f>$L554+L562</f>
        <v>1.6666666666666667</v>
      </c>
      <c r="M563" s="100">
        <f t="shared" si="112"/>
        <v>6</v>
      </c>
      <c r="N563" s="115"/>
      <c r="O563" s="116" t="e">
        <f t="shared" si="107"/>
        <v>#DIV/0!</v>
      </c>
      <c r="P563" s="115"/>
      <c r="Q563" s="116" t="e">
        <f t="shared" si="108"/>
        <v>#DIV/0!</v>
      </c>
      <c r="R563" s="115"/>
      <c r="S563" s="100" t="e">
        <f t="shared" si="109"/>
        <v>#DIV/0!</v>
      </c>
    </row>
    <row r="564" spans="1:19" ht="15" x14ac:dyDescent="0.2">
      <c r="A564" s="114" t="s">
        <v>80</v>
      </c>
      <c r="B564" s="100" t="s">
        <v>161</v>
      </c>
      <c r="C564" s="115">
        <v>6510</v>
      </c>
      <c r="D564" s="100">
        <f>(C564/12)*11</f>
        <v>5967.5</v>
      </c>
      <c r="E564" s="103">
        <f>'Monitoramento Acumulado Geral'!Q564</f>
        <v>0</v>
      </c>
      <c r="F564" s="100">
        <f>SUM(E554:E564)</f>
        <v>5420</v>
      </c>
      <c r="G564" s="102" t="str">
        <f t="shared" si="106"/>
        <v>Farol Amarelo</v>
      </c>
      <c r="H564" s="116">
        <f t="shared" si="104"/>
        <v>547.5</v>
      </c>
      <c r="I564" s="100">
        <f t="shared" si="105"/>
        <v>11</v>
      </c>
      <c r="J564" s="119">
        <v>2</v>
      </c>
      <c r="K564" s="118">
        <f>'Monitoramento Acumulado Geral'!P564</f>
        <v>0</v>
      </c>
      <c r="L564" s="100">
        <f>L554+L563</f>
        <v>1.8333333333333335</v>
      </c>
      <c r="M564" s="100">
        <f t="shared" si="112"/>
        <v>6</v>
      </c>
      <c r="N564" s="115"/>
      <c r="O564" s="116" t="e">
        <f t="shared" si="107"/>
        <v>#DIV/0!</v>
      </c>
      <c r="P564" s="115"/>
      <c r="Q564" s="116" t="e">
        <f t="shared" si="108"/>
        <v>#DIV/0!</v>
      </c>
      <c r="R564" s="115"/>
      <c r="S564" s="100" t="e">
        <f t="shared" si="109"/>
        <v>#DIV/0!</v>
      </c>
    </row>
    <row r="565" spans="1:19" ht="15" x14ac:dyDescent="0.2">
      <c r="A565" s="114" t="s">
        <v>80</v>
      </c>
      <c r="B565" s="100" t="s">
        <v>162</v>
      </c>
      <c r="C565" s="115">
        <v>6510</v>
      </c>
      <c r="D565" s="100">
        <f>(C565/12)*12</f>
        <v>6510</v>
      </c>
      <c r="E565" s="103">
        <f>'Monitoramento Acumulado Geral'!Q565</f>
        <v>0</v>
      </c>
      <c r="F565" s="100">
        <f>SUM(E554:E565)</f>
        <v>5420</v>
      </c>
      <c r="G565" s="102" t="str">
        <f t="shared" si="106"/>
        <v>Farol Vermelho</v>
      </c>
      <c r="H565" s="116">
        <f t="shared" si="104"/>
        <v>1090</v>
      </c>
      <c r="I565" s="100">
        <f t="shared" si="105"/>
        <v>12</v>
      </c>
      <c r="J565" s="119">
        <v>2</v>
      </c>
      <c r="K565" s="118">
        <f>'Monitoramento Acumulado Geral'!P565</f>
        <v>0</v>
      </c>
      <c r="L565" s="100">
        <f>$L554+L564</f>
        <v>2</v>
      </c>
      <c r="M565" s="100">
        <f t="shared" si="112"/>
        <v>6</v>
      </c>
      <c r="N565" s="115"/>
      <c r="O565" s="116" t="e">
        <f t="shared" si="107"/>
        <v>#DIV/0!</v>
      </c>
      <c r="P565" s="115"/>
      <c r="Q565" s="116" t="e">
        <f t="shared" si="108"/>
        <v>#DIV/0!</v>
      </c>
      <c r="R565" s="115"/>
      <c r="S565" s="100" t="e">
        <f t="shared" si="109"/>
        <v>#DIV/0!</v>
      </c>
    </row>
    <row r="566" spans="1:19" ht="15" x14ac:dyDescent="0.2">
      <c r="A566" s="114" t="s">
        <v>77</v>
      </c>
      <c r="B566" s="100" t="s">
        <v>151</v>
      </c>
      <c r="C566" s="115">
        <v>5400</v>
      </c>
      <c r="D566" s="100">
        <f>(C566/12)*1</f>
        <v>450</v>
      </c>
      <c r="E566" s="103">
        <f>'Monitoramento Acumulado Geral'!Q566</f>
        <v>400</v>
      </c>
      <c r="F566" s="100">
        <f>E566</f>
        <v>400</v>
      </c>
      <c r="G566" s="102" t="str">
        <f t="shared" si="106"/>
        <v>Farol Amarelo</v>
      </c>
      <c r="H566" s="116">
        <f t="shared" si="104"/>
        <v>50</v>
      </c>
      <c r="I566" s="100">
        <f t="shared" si="105"/>
        <v>1</v>
      </c>
      <c r="J566" s="119">
        <v>8</v>
      </c>
      <c r="K566" s="118">
        <f>'Monitoramento Acumulado Geral'!P566</f>
        <v>1</v>
      </c>
      <c r="L566" s="100">
        <f>J566/12</f>
        <v>0.66666666666666663</v>
      </c>
      <c r="M566" s="100">
        <f>K566</f>
        <v>1</v>
      </c>
      <c r="N566" s="115">
        <v>0</v>
      </c>
      <c r="O566" s="116" t="e">
        <f t="shared" si="107"/>
        <v>#DIV/0!</v>
      </c>
      <c r="P566" s="115">
        <v>0</v>
      </c>
      <c r="Q566" s="116" t="e">
        <f t="shared" si="108"/>
        <v>#DIV/0!</v>
      </c>
      <c r="R566" s="115">
        <v>0</v>
      </c>
      <c r="S566" s="100" t="e">
        <f t="shared" si="109"/>
        <v>#DIV/0!</v>
      </c>
    </row>
    <row r="567" spans="1:19" ht="15" x14ac:dyDescent="0.2">
      <c r="A567" s="114" t="s">
        <v>77</v>
      </c>
      <c r="B567" s="100" t="s">
        <v>152</v>
      </c>
      <c r="C567" s="115">
        <v>5400</v>
      </c>
      <c r="D567" s="100">
        <f>(C567/12)*2</f>
        <v>900</v>
      </c>
      <c r="E567" s="103">
        <f>'Monitoramento Acumulado Geral'!Q567</f>
        <v>0</v>
      </c>
      <c r="F567" s="100">
        <f>SUM(E566:E567)</f>
        <v>400</v>
      </c>
      <c r="G567" s="102" t="str">
        <f t="shared" si="106"/>
        <v>Farol Vermelho</v>
      </c>
      <c r="H567" s="116">
        <f t="shared" si="104"/>
        <v>500</v>
      </c>
      <c r="I567" s="100">
        <f t="shared" si="105"/>
        <v>2</v>
      </c>
      <c r="J567" s="119">
        <v>8</v>
      </c>
      <c r="K567" s="118">
        <f>'Monitoramento Acumulado Geral'!P567</f>
        <v>0</v>
      </c>
      <c r="L567" s="100">
        <f>L566+L566</f>
        <v>1.3333333333333333</v>
      </c>
      <c r="M567" s="100">
        <f>M566+K567</f>
        <v>1</v>
      </c>
      <c r="N567" s="115">
        <v>0</v>
      </c>
      <c r="O567" s="116" t="e">
        <f t="shared" si="107"/>
        <v>#DIV/0!</v>
      </c>
      <c r="P567" s="115">
        <v>0</v>
      </c>
      <c r="Q567" s="116" t="e">
        <f t="shared" si="108"/>
        <v>#DIV/0!</v>
      </c>
      <c r="R567" s="115">
        <v>0</v>
      </c>
      <c r="S567" s="100" t="e">
        <f t="shared" si="109"/>
        <v>#DIV/0!</v>
      </c>
    </row>
    <row r="568" spans="1:19" ht="15" x14ac:dyDescent="0.2">
      <c r="A568" s="114" t="s">
        <v>77</v>
      </c>
      <c r="B568" s="100" t="s">
        <v>153</v>
      </c>
      <c r="C568" s="115">
        <v>5400</v>
      </c>
      <c r="D568" s="100">
        <f>(C568/12)*3</f>
        <v>1350</v>
      </c>
      <c r="E568" s="103">
        <f>'Monitoramento Acumulado Geral'!Q568</f>
        <v>0</v>
      </c>
      <c r="F568" s="100">
        <f>SUM(E566:E568)</f>
        <v>400</v>
      </c>
      <c r="G568" s="102" t="str">
        <f t="shared" si="106"/>
        <v>Farol Vermelho</v>
      </c>
      <c r="H568" s="116">
        <f t="shared" si="104"/>
        <v>950</v>
      </c>
      <c r="I568" s="100">
        <f t="shared" si="105"/>
        <v>3</v>
      </c>
      <c r="J568" s="119">
        <v>8</v>
      </c>
      <c r="K568" s="118">
        <f>'Monitoramento Acumulado Geral'!P568</f>
        <v>0</v>
      </c>
      <c r="L568" s="100">
        <f>$L566+L567</f>
        <v>2</v>
      </c>
      <c r="M568" s="100">
        <f t="shared" ref="M568:M577" si="113">M567+K568</f>
        <v>1</v>
      </c>
      <c r="N568" s="115">
        <v>0</v>
      </c>
      <c r="O568" s="116" t="e">
        <f t="shared" si="107"/>
        <v>#DIV/0!</v>
      </c>
      <c r="P568" s="115">
        <v>0</v>
      </c>
      <c r="Q568" s="116" t="e">
        <f t="shared" si="108"/>
        <v>#DIV/0!</v>
      </c>
      <c r="R568" s="115">
        <v>0</v>
      </c>
      <c r="S568" s="100" t="e">
        <f t="shared" si="109"/>
        <v>#DIV/0!</v>
      </c>
    </row>
    <row r="569" spans="1:19" ht="15" x14ac:dyDescent="0.2">
      <c r="A569" s="114" t="s">
        <v>77</v>
      </c>
      <c r="B569" s="100" t="s">
        <v>154</v>
      </c>
      <c r="C569" s="115">
        <v>5400</v>
      </c>
      <c r="D569" s="100">
        <f>(C569/12)*4</f>
        <v>1800</v>
      </c>
      <c r="E569" s="103">
        <f>'Monitoramento Acumulado Geral'!Q569</f>
        <v>200</v>
      </c>
      <c r="F569" s="100">
        <f>SUM(E566:E569)</f>
        <v>600</v>
      </c>
      <c r="G569" s="102" t="str">
        <f t="shared" si="106"/>
        <v>Farol Vermelho</v>
      </c>
      <c r="H569" s="116">
        <f t="shared" si="104"/>
        <v>1200</v>
      </c>
      <c r="I569" s="100">
        <f t="shared" si="105"/>
        <v>4</v>
      </c>
      <c r="J569" s="119">
        <v>8</v>
      </c>
      <c r="K569" s="118">
        <f>'Monitoramento Acumulado Geral'!P569</f>
        <v>1</v>
      </c>
      <c r="L569" s="100">
        <f>$L566+L568</f>
        <v>2.6666666666666665</v>
      </c>
      <c r="M569" s="100">
        <f t="shared" si="113"/>
        <v>2</v>
      </c>
      <c r="N569" s="115">
        <v>0</v>
      </c>
      <c r="O569" s="116" t="e">
        <f t="shared" si="107"/>
        <v>#DIV/0!</v>
      </c>
      <c r="P569" s="115">
        <v>0</v>
      </c>
      <c r="Q569" s="116" t="e">
        <f t="shared" si="108"/>
        <v>#DIV/0!</v>
      </c>
      <c r="R569" s="115">
        <v>0</v>
      </c>
      <c r="S569" s="100" t="e">
        <f t="shared" si="109"/>
        <v>#DIV/0!</v>
      </c>
    </row>
    <row r="570" spans="1:19" ht="15" x14ac:dyDescent="0.2">
      <c r="A570" s="114" t="s">
        <v>77</v>
      </c>
      <c r="B570" s="100" t="s">
        <v>155</v>
      </c>
      <c r="C570" s="115">
        <v>5400</v>
      </c>
      <c r="D570" s="100">
        <f>(C570/12)*5</f>
        <v>2250</v>
      </c>
      <c r="E570" s="103">
        <f>'Monitoramento Acumulado Geral'!Q570</f>
        <v>0</v>
      </c>
      <c r="F570" s="100">
        <f>SUM(E566:E570)</f>
        <v>600</v>
      </c>
      <c r="G570" s="102" t="str">
        <f t="shared" si="106"/>
        <v>Farol Vermelho</v>
      </c>
      <c r="H570" s="116">
        <f t="shared" si="104"/>
        <v>1650</v>
      </c>
      <c r="I570" s="100">
        <f t="shared" si="105"/>
        <v>5</v>
      </c>
      <c r="J570" s="119">
        <v>8</v>
      </c>
      <c r="K570" s="118">
        <f>'Monitoramento Acumulado Geral'!P570</f>
        <v>0</v>
      </c>
      <c r="L570" s="100">
        <f>L566+L569</f>
        <v>3.333333333333333</v>
      </c>
      <c r="M570" s="100">
        <f t="shared" si="113"/>
        <v>2</v>
      </c>
      <c r="N570" s="115">
        <v>4</v>
      </c>
      <c r="O570" s="116">
        <f t="shared" si="107"/>
        <v>0.5</v>
      </c>
      <c r="P570" s="115">
        <v>2</v>
      </c>
      <c r="Q570" s="116">
        <f t="shared" si="108"/>
        <v>0</v>
      </c>
      <c r="R570" s="115">
        <v>0</v>
      </c>
      <c r="S570" s="100">
        <f t="shared" si="109"/>
        <v>0</v>
      </c>
    </row>
    <row r="571" spans="1:19" ht="15" x14ac:dyDescent="0.2">
      <c r="A571" s="114" t="s">
        <v>77</v>
      </c>
      <c r="B571" s="100" t="s">
        <v>156</v>
      </c>
      <c r="C571" s="115">
        <v>5400</v>
      </c>
      <c r="D571" s="100">
        <f>(C571/12)*6</f>
        <v>2700</v>
      </c>
      <c r="E571" s="103">
        <f>'Monitoramento Acumulado Geral'!Q571</f>
        <v>0</v>
      </c>
      <c r="F571" s="100">
        <f>SUM(E566:E571)</f>
        <v>600</v>
      </c>
      <c r="G571" s="102" t="str">
        <f t="shared" si="106"/>
        <v>Farol Vermelho</v>
      </c>
      <c r="H571" s="116">
        <f t="shared" si="104"/>
        <v>2100</v>
      </c>
      <c r="I571" s="100">
        <f t="shared" si="105"/>
        <v>6</v>
      </c>
      <c r="J571" s="119">
        <v>8</v>
      </c>
      <c r="K571" s="118">
        <f>'Monitoramento Acumulado Geral'!P571</f>
        <v>0</v>
      </c>
      <c r="L571" s="100">
        <f>$L566+L570</f>
        <v>3.9999999999999996</v>
      </c>
      <c r="M571" s="100">
        <f t="shared" si="113"/>
        <v>2</v>
      </c>
      <c r="N571" s="115"/>
      <c r="O571" s="116" t="e">
        <f t="shared" si="107"/>
        <v>#DIV/0!</v>
      </c>
      <c r="P571" s="115"/>
      <c r="Q571" s="116" t="e">
        <f t="shared" si="108"/>
        <v>#DIV/0!</v>
      </c>
      <c r="R571" s="115"/>
      <c r="S571" s="100" t="e">
        <f t="shared" si="109"/>
        <v>#DIV/0!</v>
      </c>
    </row>
    <row r="572" spans="1:19" ht="15" x14ac:dyDescent="0.2">
      <c r="A572" s="114" t="s">
        <v>77</v>
      </c>
      <c r="B572" s="100" t="s">
        <v>157</v>
      </c>
      <c r="C572" s="115">
        <v>5400</v>
      </c>
      <c r="D572" s="100">
        <f>(C572/12)*7</f>
        <v>3150</v>
      </c>
      <c r="E572" s="103">
        <f>'Monitoramento Acumulado Geral'!Q572</f>
        <v>0</v>
      </c>
      <c r="F572" s="100">
        <f>SUM(E566:E572)</f>
        <v>600</v>
      </c>
      <c r="G572" s="102" t="str">
        <f t="shared" si="106"/>
        <v>Farol Vermelho</v>
      </c>
      <c r="H572" s="116">
        <f t="shared" si="104"/>
        <v>2550</v>
      </c>
      <c r="I572" s="100">
        <f t="shared" si="105"/>
        <v>7</v>
      </c>
      <c r="J572" s="119">
        <v>8</v>
      </c>
      <c r="K572" s="118">
        <f>'Monitoramento Acumulado Geral'!P572</f>
        <v>0</v>
      </c>
      <c r="L572" s="100">
        <f>$L566+L571</f>
        <v>4.6666666666666661</v>
      </c>
      <c r="M572" s="100">
        <f t="shared" si="113"/>
        <v>2</v>
      </c>
      <c r="N572" s="115"/>
      <c r="O572" s="116" t="e">
        <f t="shared" si="107"/>
        <v>#DIV/0!</v>
      </c>
      <c r="P572" s="115"/>
      <c r="Q572" s="116" t="e">
        <f t="shared" si="108"/>
        <v>#DIV/0!</v>
      </c>
      <c r="R572" s="115"/>
      <c r="S572" s="100" t="e">
        <f t="shared" si="109"/>
        <v>#DIV/0!</v>
      </c>
    </row>
    <row r="573" spans="1:19" ht="15" x14ac:dyDescent="0.2">
      <c r="A573" s="114" t="s">
        <v>77</v>
      </c>
      <c r="B573" s="100" t="s">
        <v>158</v>
      </c>
      <c r="C573" s="115">
        <v>5400</v>
      </c>
      <c r="D573" s="100">
        <f>(C573/12)*8</f>
        <v>3600</v>
      </c>
      <c r="E573" s="103">
        <f>'Monitoramento Acumulado Geral'!Q573</f>
        <v>0</v>
      </c>
      <c r="F573" s="100">
        <f>SUM(E566:E573)</f>
        <v>600</v>
      </c>
      <c r="G573" s="102" t="str">
        <f t="shared" si="106"/>
        <v>Farol Vermelho</v>
      </c>
      <c r="H573" s="116">
        <f t="shared" si="104"/>
        <v>3000</v>
      </c>
      <c r="I573" s="100">
        <f t="shared" si="105"/>
        <v>8</v>
      </c>
      <c r="J573" s="119">
        <v>8</v>
      </c>
      <c r="K573" s="118">
        <f>'Monitoramento Acumulado Geral'!P573</f>
        <v>0</v>
      </c>
      <c r="L573" s="100">
        <f>L566+L572</f>
        <v>5.333333333333333</v>
      </c>
      <c r="M573" s="100">
        <f t="shared" si="113"/>
        <v>2</v>
      </c>
      <c r="N573" s="115"/>
      <c r="O573" s="116" t="e">
        <f t="shared" si="107"/>
        <v>#DIV/0!</v>
      </c>
      <c r="P573" s="115"/>
      <c r="Q573" s="116" t="e">
        <f t="shared" si="108"/>
        <v>#DIV/0!</v>
      </c>
      <c r="R573" s="115"/>
      <c r="S573" s="100" t="e">
        <f t="shared" si="109"/>
        <v>#DIV/0!</v>
      </c>
    </row>
    <row r="574" spans="1:19" ht="15" x14ac:dyDescent="0.2">
      <c r="A574" s="114" t="s">
        <v>77</v>
      </c>
      <c r="B574" s="100" t="s">
        <v>159</v>
      </c>
      <c r="C574" s="115">
        <v>5400</v>
      </c>
      <c r="D574" s="100">
        <f>(C574/12)*9</f>
        <v>4050</v>
      </c>
      <c r="E574" s="103">
        <f>'Monitoramento Acumulado Geral'!Q574</f>
        <v>0</v>
      </c>
      <c r="F574" s="100">
        <f>SUM(E566:E574)</f>
        <v>600</v>
      </c>
      <c r="G574" s="102" t="str">
        <f t="shared" si="106"/>
        <v>Farol Vermelho</v>
      </c>
      <c r="H574" s="116">
        <f t="shared" si="104"/>
        <v>3450</v>
      </c>
      <c r="I574" s="100">
        <f t="shared" si="105"/>
        <v>9</v>
      </c>
      <c r="J574" s="119">
        <v>8</v>
      </c>
      <c r="K574" s="118">
        <f>'Monitoramento Acumulado Geral'!P574</f>
        <v>0</v>
      </c>
      <c r="L574" s="100">
        <f>$L566+L573</f>
        <v>6</v>
      </c>
      <c r="M574" s="100">
        <f t="shared" si="113"/>
        <v>2</v>
      </c>
      <c r="N574" s="115"/>
      <c r="O574" s="116" t="e">
        <f t="shared" si="107"/>
        <v>#DIV/0!</v>
      </c>
      <c r="P574" s="115"/>
      <c r="Q574" s="116" t="e">
        <f t="shared" si="108"/>
        <v>#DIV/0!</v>
      </c>
      <c r="R574" s="115"/>
      <c r="S574" s="100" t="e">
        <f t="shared" si="109"/>
        <v>#DIV/0!</v>
      </c>
    </row>
    <row r="575" spans="1:19" ht="15" x14ac:dyDescent="0.2">
      <c r="A575" s="114" t="s">
        <v>77</v>
      </c>
      <c r="B575" s="100" t="s">
        <v>160</v>
      </c>
      <c r="C575" s="115">
        <v>5400</v>
      </c>
      <c r="D575" s="100">
        <f>(C575/12)*10</f>
        <v>4500</v>
      </c>
      <c r="E575" s="103">
        <f>'Monitoramento Acumulado Geral'!Q575</f>
        <v>0</v>
      </c>
      <c r="F575" s="100">
        <f>SUM(E566:E575)</f>
        <v>600</v>
      </c>
      <c r="G575" s="102" t="str">
        <f t="shared" si="106"/>
        <v>Farol Vermelho</v>
      </c>
      <c r="H575" s="116">
        <f t="shared" si="104"/>
        <v>3900</v>
      </c>
      <c r="I575" s="100">
        <f t="shared" si="105"/>
        <v>10</v>
      </c>
      <c r="J575" s="119">
        <v>8</v>
      </c>
      <c r="K575" s="118">
        <f>'Monitoramento Acumulado Geral'!P575</f>
        <v>0</v>
      </c>
      <c r="L575" s="100">
        <f>$L566+L574</f>
        <v>6.666666666666667</v>
      </c>
      <c r="M575" s="100">
        <f t="shared" si="113"/>
        <v>2</v>
      </c>
      <c r="N575" s="115"/>
      <c r="O575" s="116" t="e">
        <f t="shared" si="107"/>
        <v>#DIV/0!</v>
      </c>
      <c r="P575" s="115"/>
      <c r="Q575" s="116" t="e">
        <f t="shared" si="108"/>
        <v>#DIV/0!</v>
      </c>
      <c r="R575" s="115"/>
      <c r="S575" s="100" t="e">
        <f t="shared" si="109"/>
        <v>#DIV/0!</v>
      </c>
    </row>
    <row r="576" spans="1:19" ht="15" x14ac:dyDescent="0.2">
      <c r="A576" s="114" t="s">
        <v>77</v>
      </c>
      <c r="B576" s="100" t="s">
        <v>161</v>
      </c>
      <c r="C576" s="115">
        <v>5400</v>
      </c>
      <c r="D576" s="100">
        <f>(C576/12)*11</f>
        <v>4950</v>
      </c>
      <c r="E576" s="103">
        <f>'Monitoramento Acumulado Geral'!Q576</f>
        <v>0</v>
      </c>
      <c r="F576" s="100">
        <f>SUM(E566:E576)</f>
        <v>600</v>
      </c>
      <c r="G576" s="102" t="str">
        <f t="shared" si="106"/>
        <v>Farol Vermelho</v>
      </c>
      <c r="H576" s="116">
        <f t="shared" si="104"/>
        <v>4350</v>
      </c>
      <c r="I576" s="100">
        <f t="shared" si="105"/>
        <v>11</v>
      </c>
      <c r="J576" s="119">
        <v>8</v>
      </c>
      <c r="K576" s="118">
        <f>'Monitoramento Acumulado Geral'!P576</f>
        <v>0</v>
      </c>
      <c r="L576" s="100">
        <f>L566+L575</f>
        <v>7.3333333333333339</v>
      </c>
      <c r="M576" s="100">
        <f t="shared" si="113"/>
        <v>2</v>
      </c>
      <c r="N576" s="115"/>
      <c r="O576" s="116" t="e">
        <f t="shared" si="107"/>
        <v>#DIV/0!</v>
      </c>
      <c r="P576" s="115"/>
      <c r="Q576" s="116" t="e">
        <f t="shared" si="108"/>
        <v>#DIV/0!</v>
      </c>
      <c r="R576" s="115"/>
      <c r="S576" s="100" t="e">
        <f t="shared" si="109"/>
        <v>#DIV/0!</v>
      </c>
    </row>
    <row r="577" spans="1:19" ht="15" x14ac:dyDescent="0.2">
      <c r="A577" s="114" t="s">
        <v>77</v>
      </c>
      <c r="B577" s="100" t="s">
        <v>162</v>
      </c>
      <c r="C577" s="115">
        <v>5400</v>
      </c>
      <c r="D577" s="100">
        <f>(C577/12)*12</f>
        <v>5400</v>
      </c>
      <c r="E577" s="103">
        <f>'Monitoramento Acumulado Geral'!Q577</f>
        <v>0</v>
      </c>
      <c r="F577" s="100">
        <f>SUM(E566:E577)</f>
        <v>600</v>
      </c>
      <c r="G577" s="102" t="str">
        <f t="shared" si="106"/>
        <v>Farol Vermelho</v>
      </c>
      <c r="H577" s="116">
        <f t="shared" si="104"/>
        <v>4800</v>
      </c>
      <c r="I577" s="100">
        <f t="shared" si="105"/>
        <v>12</v>
      </c>
      <c r="J577" s="119">
        <v>8</v>
      </c>
      <c r="K577" s="118">
        <f>'Monitoramento Acumulado Geral'!P577</f>
        <v>0</v>
      </c>
      <c r="L577" s="100">
        <f>$L566+L576</f>
        <v>8</v>
      </c>
      <c r="M577" s="100">
        <f t="shared" si="113"/>
        <v>2</v>
      </c>
      <c r="N577" s="115"/>
      <c r="O577" s="116" t="e">
        <f t="shared" si="107"/>
        <v>#DIV/0!</v>
      </c>
      <c r="P577" s="115"/>
      <c r="Q577" s="116" t="e">
        <f t="shared" si="108"/>
        <v>#DIV/0!</v>
      </c>
      <c r="R577" s="115"/>
      <c r="S577" s="100" t="e">
        <f t="shared" si="109"/>
        <v>#DIV/0!</v>
      </c>
    </row>
    <row r="578" spans="1:19" ht="15" x14ac:dyDescent="0.2">
      <c r="A578" s="114" t="s">
        <v>52</v>
      </c>
      <c r="B578" s="100" t="s">
        <v>151</v>
      </c>
      <c r="C578" s="115">
        <v>6600</v>
      </c>
      <c r="D578" s="100">
        <f>(C578/12)*1</f>
        <v>550</v>
      </c>
      <c r="E578" s="103">
        <f>'Monitoramento Acumulado Geral'!Q578</f>
        <v>0</v>
      </c>
      <c r="F578" s="100">
        <f>E578</f>
        <v>0</v>
      </c>
      <c r="G578" s="102" t="str">
        <f t="shared" si="106"/>
        <v>Farol Vermelho</v>
      </c>
      <c r="H578" s="116">
        <f t="shared" si="104"/>
        <v>550</v>
      </c>
      <c r="I578" s="100">
        <f t="shared" si="105"/>
        <v>1</v>
      </c>
      <c r="J578" s="119">
        <v>8</v>
      </c>
      <c r="K578" s="118">
        <f>'Monitoramento Acumulado Geral'!P578</f>
        <v>0</v>
      </c>
      <c r="L578" s="100">
        <f>J578/12</f>
        <v>0.66666666666666663</v>
      </c>
      <c r="M578" s="100">
        <f>K578</f>
        <v>0</v>
      </c>
      <c r="N578" s="115">
        <v>0</v>
      </c>
      <c r="O578" s="116" t="e">
        <f t="shared" si="107"/>
        <v>#DIV/0!</v>
      </c>
      <c r="P578" s="115">
        <v>0</v>
      </c>
      <c r="Q578" s="116" t="e">
        <f t="shared" si="108"/>
        <v>#DIV/0!</v>
      </c>
      <c r="R578" s="115">
        <v>0</v>
      </c>
      <c r="S578" s="100" t="e">
        <f t="shared" si="109"/>
        <v>#DIV/0!</v>
      </c>
    </row>
    <row r="579" spans="1:19" ht="15" x14ac:dyDescent="0.2">
      <c r="A579" s="114" t="s">
        <v>52</v>
      </c>
      <c r="B579" s="100" t="s">
        <v>152</v>
      </c>
      <c r="C579" s="115">
        <v>6600</v>
      </c>
      <c r="D579" s="100">
        <f>(C579/12)*2</f>
        <v>1100</v>
      </c>
      <c r="E579" s="103">
        <f>'Monitoramento Acumulado Geral'!Q579</f>
        <v>0</v>
      </c>
      <c r="F579" s="100">
        <f>SUM(E578:E579)</f>
        <v>0</v>
      </c>
      <c r="G579" s="102" t="str">
        <f t="shared" si="106"/>
        <v>Farol Vermelho</v>
      </c>
      <c r="H579" s="116">
        <f t="shared" si="104"/>
        <v>1100</v>
      </c>
      <c r="I579" s="100">
        <f t="shared" si="105"/>
        <v>2</v>
      </c>
      <c r="J579" s="119">
        <v>8</v>
      </c>
      <c r="K579" s="118">
        <f>'Monitoramento Acumulado Geral'!P579</f>
        <v>0</v>
      </c>
      <c r="L579" s="100">
        <f>L578+L578</f>
        <v>1.3333333333333333</v>
      </c>
      <c r="M579" s="100">
        <f>M578+K579</f>
        <v>0</v>
      </c>
      <c r="N579" s="115">
        <v>0</v>
      </c>
      <c r="O579" s="116" t="e">
        <f t="shared" si="107"/>
        <v>#DIV/0!</v>
      </c>
      <c r="P579" s="115">
        <v>0</v>
      </c>
      <c r="Q579" s="116" t="e">
        <f t="shared" si="108"/>
        <v>#DIV/0!</v>
      </c>
      <c r="R579" s="115">
        <v>0</v>
      </c>
      <c r="S579" s="100" t="e">
        <f t="shared" si="109"/>
        <v>#DIV/0!</v>
      </c>
    </row>
    <row r="580" spans="1:19" ht="15" x14ac:dyDescent="0.2">
      <c r="A580" s="114" t="s">
        <v>52</v>
      </c>
      <c r="B580" s="100" t="s">
        <v>153</v>
      </c>
      <c r="C580" s="115">
        <v>6600</v>
      </c>
      <c r="D580" s="100">
        <f>(C580/12)*3</f>
        <v>1650</v>
      </c>
      <c r="E580" s="103">
        <f>'Monitoramento Acumulado Geral'!Q580</f>
        <v>4300</v>
      </c>
      <c r="F580" s="100">
        <f>SUM(E578:E580)</f>
        <v>4300</v>
      </c>
      <c r="G580" s="102" t="str">
        <f t="shared" si="106"/>
        <v>Farol Verde</v>
      </c>
      <c r="H580" s="116">
        <f t="shared" si="104"/>
        <v>0</v>
      </c>
      <c r="I580" s="100">
        <f t="shared" si="105"/>
        <v>3</v>
      </c>
      <c r="J580" s="119">
        <v>8</v>
      </c>
      <c r="K580" s="118">
        <f>'Monitoramento Acumulado Geral'!P580</f>
        <v>2</v>
      </c>
      <c r="L580" s="100">
        <f>$L578+L579</f>
        <v>2</v>
      </c>
      <c r="M580" s="100">
        <f t="shared" ref="M580:M589" si="114">M579+K580</f>
        <v>2</v>
      </c>
      <c r="N580" s="115">
        <v>0</v>
      </c>
      <c r="O580" s="116" t="e">
        <f t="shared" si="107"/>
        <v>#DIV/0!</v>
      </c>
      <c r="P580" s="115">
        <v>0</v>
      </c>
      <c r="Q580" s="116" t="e">
        <f t="shared" si="108"/>
        <v>#DIV/0!</v>
      </c>
      <c r="R580" s="115">
        <v>0</v>
      </c>
      <c r="S580" s="100" t="e">
        <f t="shared" si="109"/>
        <v>#DIV/0!</v>
      </c>
    </row>
    <row r="581" spans="1:19" ht="15" x14ac:dyDescent="0.2">
      <c r="A581" s="114" t="s">
        <v>52</v>
      </c>
      <c r="B581" s="100" t="s">
        <v>154</v>
      </c>
      <c r="C581" s="115">
        <v>6600</v>
      </c>
      <c r="D581" s="100">
        <f>(C581/12)*4</f>
        <v>2200</v>
      </c>
      <c r="E581" s="103">
        <f>'Monitoramento Acumulado Geral'!Q581</f>
        <v>0</v>
      </c>
      <c r="F581" s="100">
        <f>SUM(E578:E581)</f>
        <v>4300</v>
      </c>
      <c r="G581" s="102" t="str">
        <f t="shared" si="106"/>
        <v>Farol Verde</v>
      </c>
      <c r="H581" s="116">
        <f t="shared" si="104"/>
        <v>0</v>
      </c>
      <c r="I581" s="100">
        <f t="shared" si="105"/>
        <v>4</v>
      </c>
      <c r="J581" s="119">
        <v>8</v>
      </c>
      <c r="K581" s="118">
        <f>'Monitoramento Acumulado Geral'!P581</f>
        <v>0</v>
      </c>
      <c r="L581" s="100">
        <f>$L578+L580</f>
        <v>2.6666666666666665</v>
      </c>
      <c r="M581" s="100">
        <f t="shared" si="114"/>
        <v>2</v>
      </c>
      <c r="N581" s="115">
        <v>0</v>
      </c>
      <c r="O581" s="116" t="e">
        <f t="shared" si="107"/>
        <v>#DIV/0!</v>
      </c>
      <c r="P581" s="115">
        <v>0</v>
      </c>
      <c r="Q581" s="116" t="e">
        <f t="shared" si="108"/>
        <v>#DIV/0!</v>
      </c>
      <c r="R581" s="115">
        <v>0</v>
      </c>
      <c r="S581" s="100" t="e">
        <f t="shared" si="109"/>
        <v>#DIV/0!</v>
      </c>
    </row>
    <row r="582" spans="1:19" ht="15" x14ac:dyDescent="0.2">
      <c r="A582" s="114" t="s">
        <v>52</v>
      </c>
      <c r="B582" s="100" t="s">
        <v>155</v>
      </c>
      <c r="C582" s="115">
        <v>6600</v>
      </c>
      <c r="D582" s="100">
        <f>(C582/12)*5</f>
        <v>2750</v>
      </c>
      <c r="E582" s="103">
        <f>'Monitoramento Acumulado Geral'!Q582</f>
        <v>0</v>
      </c>
      <c r="F582" s="100">
        <f>SUM(E578:E582)</f>
        <v>4300</v>
      </c>
      <c r="G582" s="102" t="str">
        <f t="shared" si="106"/>
        <v>Farol Verde</v>
      </c>
      <c r="H582" s="116">
        <f t="shared" si="104"/>
        <v>0</v>
      </c>
      <c r="I582" s="100">
        <f t="shared" si="105"/>
        <v>5</v>
      </c>
      <c r="J582" s="119">
        <v>8</v>
      </c>
      <c r="K582" s="118">
        <f>'Monitoramento Acumulado Geral'!P582</f>
        <v>0</v>
      </c>
      <c r="L582" s="100">
        <f>L578+L581</f>
        <v>3.333333333333333</v>
      </c>
      <c r="M582" s="100">
        <f t="shared" si="114"/>
        <v>2</v>
      </c>
      <c r="N582" s="115">
        <v>0</v>
      </c>
      <c r="O582" s="116" t="e">
        <f t="shared" si="107"/>
        <v>#DIV/0!</v>
      </c>
      <c r="P582" s="115">
        <v>0</v>
      </c>
      <c r="Q582" s="116" t="e">
        <f t="shared" si="108"/>
        <v>#DIV/0!</v>
      </c>
      <c r="R582" s="115">
        <v>0</v>
      </c>
      <c r="S582" s="100" t="e">
        <f t="shared" si="109"/>
        <v>#DIV/0!</v>
      </c>
    </row>
    <row r="583" spans="1:19" ht="15" x14ac:dyDescent="0.2">
      <c r="A583" s="114" t="s">
        <v>52</v>
      </c>
      <c r="B583" s="100" t="s">
        <v>156</v>
      </c>
      <c r="C583" s="115">
        <v>6600</v>
      </c>
      <c r="D583" s="100">
        <f>(C583/12)*6</f>
        <v>3300</v>
      </c>
      <c r="E583" s="103">
        <f>'Monitoramento Acumulado Geral'!Q583</f>
        <v>0</v>
      </c>
      <c r="F583" s="100">
        <f>SUM(E578:E583)</f>
        <v>4300</v>
      </c>
      <c r="G583" s="102" t="str">
        <f t="shared" si="106"/>
        <v>Farol Verde</v>
      </c>
      <c r="H583" s="116">
        <f t="shared" si="104"/>
        <v>0</v>
      </c>
      <c r="I583" s="100">
        <f t="shared" si="105"/>
        <v>6</v>
      </c>
      <c r="J583" s="119">
        <v>8</v>
      </c>
      <c r="K583" s="118">
        <f>'Monitoramento Acumulado Geral'!P583</f>
        <v>0</v>
      </c>
      <c r="L583" s="100">
        <f>$L578+L582</f>
        <v>3.9999999999999996</v>
      </c>
      <c r="M583" s="100">
        <f t="shared" si="114"/>
        <v>2</v>
      </c>
      <c r="N583" s="115"/>
      <c r="O583" s="116" t="e">
        <f t="shared" si="107"/>
        <v>#DIV/0!</v>
      </c>
      <c r="P583" s="115"/>
      <c r="Q583" s="116" t="e">
        <f t="shared" si="108"/>
        <v>#DIV/0!</v>
      </c>
      <c r="R583" s="115"/>
      <c r="S583" s="100" t="e">
        <f t="shared" si="109"/>
        <v>#DIV/0!</v>
      </c>
    </row>
    <row r="584" spans="1:19" ht="15" x14ac:dyDescent="0.2">
      <c r="A584" s="114" t="s">
        <v>52</v>
      </c>
      <c r="B584" s="100" t="s">
        <v>157</v>
      </c>
      <c r="C584" s="115">
        <v>6600</v>
      </c>
      <c r="D584" s="100">
        <f>(C584/12)*7</f>
        <v>3850</v>
      </c>
      <c r="E584" s="103">
        <f>'Monitoramento Acumulado Geral'!Q584</f>
        <v>0</v>
      </c>
      <c r="F584" s="100">
        <f>SUM(E578:E584)</f>
        <v>4300</v>
      </c>
      <c r="G584" s="102" t="str">
        <f t="shared" si="106"/>
        <v>Farol Verde</v>
      </c>
      <c r="H584" s="116">
        <f t="shared" si="104"/>
        <v>0</v>
      </c>
      <c r="I584" s="100">
        <f t="shared" si="105"/>
        <v>7</v>
      </c>
      <c r="J584" s="119">
        <v>8</v>
      </c>
      <c r="K584" s="118">
        <f>'Monitoramento Acumulado Geral'!P584</f>
        <v>0</v>
      </c>
      <c r="L584" s="100">
        <f>$L578+L583</f>
        <v>4.6666666666666661</v>
      </c>
      <c r="M584" s="100">
        <f t="shared" si="114"/>
        <v>2</v>
      </c>
      <c r="N584" s="115"/>
      <c r="O584" s="116" t="e">
        <f t="shared" si="107"/>
        <v>#DIV/0!</v>
      </c>
      <c r="P584" s="115"/>
      <c r="Q584" s="116" t="e">
        <f t="shared" si="108"/>
        <v>#DIV/0!</v>
      </c>
      <c r="R584" s="115"/>
      <c r="S584" s="100" t="e">
        <f t="shared" si="109"/>
        <v>#DIV/0!</v>
      </c>
    </row>
    <row r="585" spans="1:19" ht="15" x14ac:dyDescent="0.2">
      <c r="A585" s="114" t="s">
        <v>52</v>
      </c>
      <c r="B585" s="100" t="s">
        <v>158</v>
      </c>
      <c r="C585" s="115">
        <v>6600</v>
      </c>
      <c r="D585" s="100">
        <f>(C585/12)*8</f>
        <v>4400</v>
      </c>
      <c r="E585" s="103">
        <f>'Monitoramento Acumulado Geral'!Q585</f>
        <v>0</v>
      </c>
      <c r="F585" s="100">
        <f>SUM(E578:E585)</f>
        <v>4300</v>
      </c>
      <c r="G585" s="102" t="str">
        <f t="shared" si="106"/>
        <v>Farol Amarelo</v>
      </c>
      <c r="H585" s="116">
        <f t="shared" si="104"/>
        <v>100</v>
      </c>
      <c r="I585" s="100">
        <f t="shared" si="105"/>
        <v>8</v>
      </c>
      <c r="J585" s="119">
        <v>8</v>
      </c>
      <c r="K585" s="118">
        <f>'Monitoramento Acumulado Geral'!P585</f>
        <v>0</v>
      </c>
      <c r="L585" s="100">
        <f>L578+L584</f>
        <v>5.333333333333333</v>
      </c>
      <c r="M585" s="100">
        <f t="shared" si="114"/>
        <v>2</v>
      </c>
      <c r="N585" s="115"/>
      <c r="O585" s="116" t="e">
        <f t="shared" si="107"/>
        <v>#DIV/0!</v>
      </c>
      <c r="P585" s="115"/>
      <c r="Q585" s="116" t="e">
        <f t="shared" si="108"/>
        <v>#DIV/0!</v>
      </c>
      <c r="R585" s="115"/>
      <c r="S585" s="100" t="e">
        <f t="shared" si="109"/>
        <v>#DIV/0!</v>
      </c>
    </row>
    <row r="586" spans="1:19" ht="15" x14ac:dyDescent="0.2">
      <c r="A586" s="114" t="s">
        <v>52</v>
      </c>
      <c r="B586" s="100" t="s">
        <v>159</v>
      </c>
      <c r="C586" s="115">
        <v>6600</v>
      </c>
      <c r="D586" s="100">
        <f>(C586/12)*9</f>
        <v>4950</v>
      </c>
      <c r="E586" s="103">
        <f>'Monitoramento Acumulado Geral'!Q586</f>
        <v>0</v>
      </c>
      <c r="F586" s="100">
        <f>SUM(E578:E586)</f>
        <v>4300</v>
      </c>
      <c r="G586" s="102" t="str">
        <f t="shared" si="106"/>
        <v>Farol Amarelo</v>
      </c>
      <c r="H586" s="116">
        <f t="shared" ref="H586:H661" si="115">IF(D586-F586&lt;0,0,D586-F586)</f>
        <v>650</v>
      </c>
      <c r="I586" s="100">
        <f t="shared" ref="I586:I661" si="116">_xlfn.IFS(B586="Janeiro",1,B586="Fevereiro",2,B586="Março",3,B586="Abril",4,B586="Maio",5,B586="Junho",6,B586="Julho",7,B586="Agosto",8,B586="Setembro",9,B586="Outubro",10,B586="Novembro",11,B586="Dezembro",12,TRUE,0)</f>
        <v>9</v>
      </c>
      <c r="J586" s="119">
        <v>8</v>
      </c>
      <c r="K586" s="118">
        <f>'Monitoramento Acumulado Geral'!P586</f>
        <v>0</v>
      </c>
      <c r="L586" s="100">
        <f>$L578+L585</f>
        <v>6</v>
      </c>
      <c r="M586" s="100">
        <f t="shared" si="114"/>
        <v>2</v>
      </c>
      <c r="N586" s="115"/>
      <c r="O586" s="116" t="e">
        <f t="shared" si="107"/>
        <v>#DIV/0!</v>
      </c>
      <c r="P586" s="115"/>
      <c r="Q586" s="116" t="e">
        <f t="shared" si="108"/>
        <v>#DIV/0!</v>
      </c>
      <c r="R586" s="115"/>
      <c r="S586" s="100" t="e">
        <f t="shared" si="109"/>
        <v>#DIV/0!</v>
      </c>
    </row>
    <row r="587" spans="1:19" ht="15" x14ac:dyDescent="0.2">
      <c r="A587" s="114" t="s">
        <v>52</v>
      </c>
      <c r="B587" s="100" t="s">
        <v>160</v>
      </c>
      <c r="C587" s="115">
        <v>6600</v>
      </c>
      <c r="D587" s="100">
        <f>(C587/12)*10</f>
        <v>5500</v>
      </c>
      <c r="E587" s="103">
        <f>'Monitoramento Acumulado Geral'!Q587</f>
        <v>0</v>
      </c>
      <c r="F587" s="100">
        <f>SUM(E578:E587)</f>
        <v>4300</v>
      </c>
      <c r="G587" s="102" t="str">
        <f t="shared" ref="G587:G662" si="117">_xlfn.IFS(F587&gt;D587,"Farol Verde",F587&gt;=D587*0.85,"Farol Amarelo",F587&lt;D587*0.85,"Farol Vermelho","Verdadeiro",0)</f>
        <v>Farol Vermelho</v>
      </c>
      <c r="H587" s="116">
        <f t="shared" si="115"/>
        <v>1200</v>
      </c>
      <c r="I587" s="100">
        <f t="shared" si="116"/>
        <v>10</v>
      </c>
      <c r="J587" s="119">
        <v>8</v>
      </c>
      <c r="K587" s="118">
        <f>'Monitoramento Acumulado Geral'!P587</f>
        <v>0</v>
      </c>
      <c r="L587" s="100">
        <f>$L578+L586</f>
        <v>6.666666666666667</v>
      </c>
      <c r="M587" s="100">
        <f t="shared" si="114"/>
        <v>2</v>
      </c>
      <c r="N587" s="115"/>
      <c r="O587" s="116" t="e">
        <f t="shared" ref="O587:O662" si="118">P587/N587</f>
        <v>#DIV/0!</v>
      </c>
      <c r="P587" s="115"/>
      <c r="Q587" s="116" t="e">
        <f t="shared" ref="Q587:Q662" si="119">R587/P587</f>
        <v>#DIV/0!</v>
      </c>
      <c r="R587" s="115"/>
      <c r="S587" s="100" t="e">
        <f t="shared" ref="S587:S662" si="120">R587/N587</f>
        <v>#DIV/0!</v>
      </c>
    </row>
    <row r="588" spans="1:19" ht="15" x14ac:dyDescent="0.2">
      <c r="A588" s="114" t="s">
        <v>52</v>
      </c>
      <c r="B588" s="100" t="s">
        <v>161</v>
      </c>
      <c r="C588" s="115">
        <v>6600</v>
      </c>
      <c r="D588" s="100">
        <f>(C588/12)*11</f>
        <v>6050</v>
      </c>
      <c r="E588" s="103">
        <f>'Monitoramento Acumulado Geral'!Q588</f>
        <v>0</v>
      </c>
      <c r="F588" s="100">
        <f>SUM(E578:E588)</f>
        <v>4300</v>
      </c>
      <c r="G588" s="102" t="str">
        <f t="shared" si="117"/>
        <v>Farol Vermelho</v>
      </c>
      <c r="H588" s="116">
        <f t="shared" si="115"/>
        <v>1750</v>
      </c>
      <c r="I588" s="100">
        <f t="shared" si="116"/>
        <v>11</v>
      </c>
      <c r="J588" s="119">
        <v>8</v>
      </c>
      <c r="K588" s="118">
        <f>'Monitoramento Acumulado Geral'!P588</f>
        <v>0</v>
      </c>
      <c r="L588" s="100">
        <f>L578+L587</f>
        <v>7.3333333333333339</v>
      </c>
      <c r="M588" s="100">
        <f t="shared" si="114"/>
        <v>2</v>
      </c>
      <c r="N588" s="115"/>
      <c r="O588" s="116" t="e">
        <f t="shared" si="118"/>
        <v>#DIV/0!</v>
      </c>
      <c r="P588" s="115"/>
      <c r="Q588" s="116" t="e">
        <f t="shared" si="119"/>
        <v>#DIV/0!</v>
      </c>
      <c r="R588" s="115"/>
      <c r="S588" s="100" t="e">
        <f t="shared" si="120"/>
        <v>#DIV/0!</v>
      </c>
    </row>
    <row r="589" spans="1:19" ht="15" x14ac:dyDescent="0.2">
      <c r="A589" s="114" t="s">
        <v>52</v>
      </c>
      <c r="B589" s="100" t="s">
        <v>162</v>
      </c>
      <c r="C589" s="115">
        <v>6600</v>
      </c>
      <c r="D589" s="100">
        <f>(C589/12)*12</f>
        <v>6600</v>
      </c>
      <c r="E589" s="103">
        <f>'Monitoramento Acumulado Geral'!Q589</f>
        <v>0</v>
      </c>
      <c r="F589" s="100">
        <f>SUM(E578:E589)</f>
        <v>4300</v>
      </c>
      <c r="G589" s="102" t="str">
        <f t="shared" si="117"/>
        <v>Farol Vermelho</v>
      </c>
      <c r="H589" s="116">
        <f t="shared" si="115"/>
        <v>2300</v>
      </c>
      <c r="I589" s="100">
        <f t="shared" si="116"/>
        <v>12</v>
      </c>
      <c r="J589" s="119">
        <v>8</v>
      </c>
      <c r="K589" s="118">
        <f>'Monitoramento Acumulado Geral'!P589</f>
        <v>0</v>
      </c>
      <c r="L589" s="100">
        <f>$L578+L588</f>
        <v>8</v>
      </c>
      <c r="M589" s="100">
        <f t="shared" si="114"/>
        <v>2</v>
      </c>
      <c r="N589" s="115"/>
      <c r="O589" s="116" t="e">
        <f t="shared" si="118"/>
        <v>#DIV/0!</v>
      </c>
      <c r="P589" s="115"/>
      <c r="Q589" s="116" t="e">
        <f t="shared" si="119"/>
        <v>#DIV/0!</v>
      </c>
      <c r="R589" s="115"/>
      <c r="S589" s="100" t="e">
        <f t="shared" si="120"/>
        <v>#DIV/0!</v>
      </c>
    </row>
    <row r="590" spans="1:19" ht="15" x14ac:dyDescent="0.2">
      <c r="A590" s="114" t="s">
        <v>105</v>
      </c>
      <c r="B590" s="100" t="s">
        <v>151</v>
      </c>
      <c r="C590" s="115">
        <v>12330</v>
      </c>
      <c r="D590" s="100">
        <f>(C590/12)*1</f>
        <v>1027.5</v>
      </c>
      <c r="E590" s="103">
        <f>'Monitoramento Acumulado Geral'!Q590</f>
        <v>0</v>
      </c>
      <c r="F590" s="100">
        <f>E590</f>
        <v>0</v>
      </c>
      <c r="G590" s="102" t="str">
        <f t="shared" si="117"/>
        <v>Farol Vermelho</v>
      </c>
      <c r="H590" s="116">
        <f t="shared" si="115"/>
        <v>1027.5</v>
      </c>
      <c r="I590" s="100">
        <f t="shared" si="116"/>
        <v>1</v>
      </c>
      <c r="J590" s="119">
        <v>10</v>
      </c>
      <c r="K590" s="118">
        <f>'Monitoramento Acumulado Geral'!P590</f>
        <v>0</v>
      </c>
      <c r="L590" s="100">
        <f>J590/12</f>
        <v>0.83333333333333337</v>
      </c>
      <c r="M590" s="100">
        <f>K590</f>
        <v>0</v>
      </c>
      <c r="N590" s="115">
        <v>0</v>
      </c>
      <c r="O590" s="116" t="e">
        <f t="shared" si="118"/>
        <v>#DIV/0!</v>
      </c>
      <c r="P590" s="115">
        <v>0</v>
      </c>
      <c r="Q590" s="116" t="e">
        <f t="shared" si="119"/>
        <v>#DIV/0!</v>
      </c>
      <c r="R590" s="115">
        <v>0</v>
      </c>
      <c r="S590" s="100" t="e">
        <f t="shared" si="120"/>
        <v>#DIV/0!</v>
      </c>
    </row>
    <row r="591" spans="1:19" ht="15" x14ac:dyDescent="0.2">
      <c r="A591" s="114" t="s">
        <v>105</v>
      </c>
      <c r="B591" s="100" t="s">
        <v>152</v>
      </c>
      <c r="C591" s="115">
        <v>12330</v>
      </c>
      <c r="D591" s="100">
        <f>(C591/12)*2</f>
        <v>2055</v>
      </c>
      <c r="E591" s="103">
        <f>'Monitoramento Acumulado Geral'!Q591</f>
        <v>0</v>
      </c>
      <c r="F591" s="100">
        <f>SUM(E590:E591)</f>
        <v>0</v>
      </c>
      <c r="G591" s="102" t="str">
        <f t="shared" si="117"/>
        <v>Farol Vermelho</v>
      </c>
      <c r="H591" s="116">
        <f t="shared" si="115"/>
        <v>2055</v>
      </c>
      <c r="I591" s="100">
        <f t="shared" si="116"/>
        <v>2</v>
      </c>
      <c r="J591" s="119">
        <v>10</v>
      </c>
      <c r="K591" s="118">
        <f>'Monitoramento Acumulado Geral'!P591</f>
        <v>0</v>
      </c>
      <c r="L591" s="100">
        <f>L590+L590</f>
        <v>1.6666666666666667</v>
      </c>
      <c r="M591" s="100">
        <f>M590+K591</f>
        <v>0</v>
      </c>
      <c r="N591" s="115">
        <v>0</v>
      </c>
      <c r="O591" s="116" t="e">
        <f t="shared" si="118"/>
        <v>#DIV/0!</v>
      </c>
      <c r="P591" s="115">
        <v>0</v>
      </c>
      <c r="Q591" s="116" t="e">
        <f t="shared" si="119"/>
        <v>#DIV/0!</v>
      </c>
      <c r="R591" s="115">
        <v>0</v>
      </c>
      <c r="S591" s="100" t="e">
        <f t="shared" si="120"/>
        <v>#DIV/0!</v>
      </c>
    </row>
    <row r="592" spans="1:19" ht="15" x14ac:dyDescent="0.2">
      <c r="A592" s="114" t="s">
        <v>105</v>
      </c>
      <c r="B592" s="100" t="s">
        <v>153</v>
      </c>
      <c r="C592" s="115">
        <v>12330</v>
      </c>
      <c r="D592" s="100">
        <f>(C592/12)*3</f>
        <v>3082.5</v>
      </c>
      <c r="E592" s="103">
        <f>'Monitoramento Acumulado Geral'!Q592</f>
        <v>0</v>
      </c>
      <c r="F592" s="100">
        <f>SUM(E590:E592)</f>
        <v>0</v>
      </c>
      <c r="G592" s="102" t="str">
        <f t="shared" si="117"/>
        <v>Farol Vermelho</v>
      </c>
      <c r="H592" s="116">
        <f t="shared" si="115"/>
        <v>3082.5</v>
      </c>
      <c r="I592" s="100">
        <f t="shared" si="116"/>
        <v>3</v>
      </c>
      <c r="J592" s="119">
        <v>10</v>
      </c>
      <c r="K592" s="118">
        <f>'Monitoramento Acumulado Geral'!P592</f>
        <v>0</v>
      </c>
      <c r="L592" s="100">
        <f>$L590+L591</f>
        <v>2.5</v>
      </c>
      <c r="M592" s="100">
        <f t="shared" ref="M592:M601" si="121">M591+K592</f>
        <v>0</v>
      </c>
      <c r="N592" s="115">
        <v>0</v>
      </c>
      <c r="O592" s="116" t="e">
        <f t="shared" si="118"/>
        <v>#DIV/0!</v>
      </c>
      <c r="P592" s="115">
        <v>0</v>
      </c>
      <c r="Q592" s="116" t="e">
        <f t="shared" si="119"/>
        <v>#DIV/0!</v>
      </c>
      <c r="R592" s="115">
        <v>0</v>
      </c>
      <c r="S592" s="100" t="e">
        <f t="shared" si="120"/>
        <v>#DIV/0!</v>
      </c>
    </row>
    <row r="593" spans="1:19" ht="15" x14ac:dyDescent="0.2">
      <c r="A593" s="114" t="s">
        <v>105</v>
      </c>
      <c r="B593" s="100" t="s">
        <v>154</v>
      </c>
      <c r="C593" s="115">
        <v>12330</v>
      </c>
      <c r="D593" s="100">
        <f>(C593/12)*4</f>
        <v>4110</v>
      </c>
      <c r="E593" s="103">
        <f>'Monitoramento Acumulado Geral'!Q593</f>
        <v>0</v>
      </c>
      <c r="F593" s="100">
        <f>SUM(E590:E593)</f>
        <v>0</v>
      </c>
      <c r="G593" s="102" t="str">
        <f t="shared" si="117"/>
        <v>Farol Vermelho</v>
      </c>
      <c r="H593" s="116">
        <f t="shared" si="115"/>
        <v>4110</v>
      </c>
      <c r="I593" s="100">
        <f t="shared" si="116"/>
        <v>4</v>
      </c>
      <c r="J593" s="119">
        <v>10</v>
      </c>
      <c r="K593" s="118">
        <f>'Monitoramento Acumulado Geral'!P593</f>
        <v>0</v>
      </c>
      <c r="L593" s="100">
        <f>$L590+L592</f>
        <v>3.3333333333333335</v>
      </c>
      <c r="M593" s="100">
        <f t="shared" si="121"/>
        <v>0</v>
      </c>
      <c r="N593" s="115">
        <v>0</v>
      </c>
      <c r="O593" s="116" t="e">
        <f t="shared" si="118"/>
        <v>#DIV/0!</v>
      </c>
      <c r="P593" s="115">
        <v>0</v>
      </c>
      <c r="Q593" s="116" t="e">
        <f t="shared" si="119"/>
        <v>#DIV/0!</v>
      </c>
      <c r="R593" s="115">
        <v>0</v>
      </c>
      <c r="S593" s="100" t="e">
        <f t="shared" si="120"/>
        <v>#DIV/0!</v>
      </c>
    </row>
    <row r="594" spans="1:19" ht="15" x14ac:dyDescent="0.2">
      <c r="A594" s="114" t="s">
        <v>105</v>
      </c>
      <c r="B594" s="100" t="s">
        <v>155</v>
      </c>
      <c r="C594" s="115">
        <v>12330</v>
      </c>
      <c r="D594" s="100">
        <f>(C594/12)*5</f>
        <v>5137.5</v>
      </c>
      <c r="E594" s="103">
        <f>'Monitoramento Acumulado Geral'!Q594</f>
        <v>0</v>
      </c>
      <c r="F594" s="100">
        <f>SUM(E590:E594)</f>
        <v>0</v>
      </c>
      <c r="G594" s="102" t="str">
        <f t="shared" si="117"/>
        <v>Farol Vermelho</v>
      </c>
      <c r="H594" s="116">
        <f t="shared" si="115"/>
        <v>5137.5</v>
      </c>
      <c r="I594" s="100">
        <f t="shared" si="116"/>
        <v>5</v>
      </c>
      <c r="J594" s="119">
        <v>10</v>
      </c>
      <c r="K594" s="118">
        <f>'Monitoramento Acumulado Geral'!P594</f>
        <v>0</v>
      </c>
      <c r="L594" s="100">
        <f>L590+L593</f>
        <v>4.166666666666667</v>
      </c>
      <c r="M594" s="100">
        <f t="shared" si="121"/>
        <v>0</v>
      </c>
      <c r="N594" s="115">
        <v>0</v>
      </c>
      <c r="O594" s="116" t="e">
        <f t="shared" si="118"/>
        <v>#DIV/0!</v>
      </c>
      <c r="P594" s="115">
        <v>0</v>
      </c>
      <c r="Q594" s="116" t="e">
        <f t="shared" si="119"/>
        <v>#DIV/0!</v>
      </c>
      <c r="R594" s="115">
        <v>0</v>
      </c>
      <c r="S594" s="100" t="e">
        <f t="shared" si="120"/>
        <v>#DIV/0!</v>
      </c>
    </row>
    <row r="595" spans="1:19" ht="15" x14ac:dyDescent="0.2">
      <c r="A595" s="114" t="s">
        <v>105</v>
      </c>
      <c r="B595" s="100" t="s">
        <v>156</v>
      </c>
      <c r="C595" s="115">
        <v>12330</v>
      </c>
      <c r="D595" s="100">
        <f>(C595/12)*6</f>
        <v>6165</v>
      </c>
      <c r="E595" s="103">
        <f>'Monitoramento Acumulado Geral'!Q595</f>
        <v>0</v>
      </c>
      <c r="F595" s="100">
        <f>SUM(E590:E595)</f>
        <v>0</v>
      </c>
      <c r="G595" s="102" t="str">
        <f t="shared" si="117"/>
        <v>Farol Vermelho</v>
      </c>
      <c r="H595" s="116">
        <f t="shared" si="115"/>
        <v>6165</v>
      </c>
      <c r="I595" s="100">
        <f t="shared" si="116"/>
        <v>6</v>
      </c>
      <c r="J595" s="119">
        <v>10</v>
      </c>
      <c r="K595" s="118">
        <f>'Monitoramento Acumulado Geral'!P595</f>
        <v>0</v>
      </c>
      <c r="L595" s="100">
        <f>$L590+L594</f>
        <v>5</v>
      </c>
      <c r="M595" s="100">
        <f t="shared" si="121"/>
        <v>0</v>
      </c>
      <c r="N595" s="115"/>
      <c r="O595" s="116" t="e">
        <f t="shared" si="118"/>
        <v>#DIV/0!</v>
      </c>
      <c r="P595" s="115"/>
      <c r="Q595" s="116" t="e">
        <f t="shared" si="119"/>
        <v>#DIV/0!</v>
      </c>
      <c r="R595" s="115"/>
      <c r="S595" s="100" t="e">
        <f t="shared" si="120"/>
        <v>#DIV/0!</v>
      </c>
    </row>
    <row r="596" spans="1:19" ht="15" x14ac:dyDescent="0.2">
      <c r="A596" s="114" t="s">
        <v>105</v>
      </c>
      <c r="B596" s="100" t="s">
        <v>157</v>
      </c>
      <c r="C596" s="115">
        <v>12330</v>
      </c>
      <c r="D596" s="100">
        <f>(C596/12)*7</f>
        <v>7192.5</v>
      </c>
      <c r="E596" s="103">
        <f>'Monitoramento Acumulado Geral'!Q596</f>
        <v>800</v>
      </c>
      <c r="F596" s="100">
        <f>SUM(E590:E596)</f>
        <v>800</v>
      </c>
      <c r="G596" s="102" t="str">
        <f t="shared" si="117"/>
        <v>Farol Vermelho</v>
      </c>
      <c r="H596" s="116">
        <f t="shared" si="115"/>
        <v>6392.5</v>
      </c>
      <c r="I596" s="100">
        <f t="shared" si="116"/>
        <v>7</v>
      </c>
      <c r="J596" s="119">
        <v>10</v>
      </c>
      <c r="K596" s="118">
        <f>'Monitoramento Acumulado Geral'!P596</f>
        <v>2</v>
      </c>
      <c r="L596" s="100">
        <f>$L590+L595</f>
        <v>5.833333333333333</v>
      </c>
      <c r="M596" s="100">
        <f t="shared" si="121"/>
        <v>2</v>
      </c>
      <c r="N596" s="115"/>
      <c r="O596" s="116" t="e">
        <f t="shared" si="118"/>
        <v>#DIV/0!</v>
      </c>
      <c r="P596" s="115"/>
      <c r="Q596" s="116" t="e">
        <f t="shared" si="119"/>
        <v>#DIV/0!</v>
      </c>
      <c r="R596" s="115"/>
      <c r="S596" s="100" t="e">
        <f t="shared" si="120"/>
        <v>#DIV/0!</v>
      </c>
    </row>
    <row r="597" spans="1:19" ht="15" x14ac:dyDescent="0.2">
      <c r="A597" s="114" t="s">
        <v>105</v>
      </c>
      <c r="B597" s="100" t="s">
        <v>158</v>
      </c>
      <c r="C597" s="115">
        <v>12330</v>
      </c>
      <c r="D597" s="100">
        <f>(C597/12)*8</f>
        <v>8220</v>
      </c>
      <c r="E597" s="103">
        <f>'Monitoramento Acumulado Geral'!Q597</f>
        <v>250</v>
      </c>
      <c r="F597" s="100">
        <f>SUM(E590:E597)</f>
        <v>1050</v>
      </c>
      <c r="G597" s="102" t="str">
        <f t="shared" si="117"/>
        <v>Farol Vermelho</v>
      </c>
      <c r="H597" s="116">
        <f t="shared" si="115"/>
        <v>7170</v>
      </c>
      <c r="I597" s="100">
        <f t="shared" si="116"/>
        <v>8</v>
      </c>
      <c r="J597" s="119">
        <v>10</v>
      </c>
      <c r="K597" s="118">
        <f>'Monitoramento Acumulado Geral'!P597</f>
        <v>1</v>
      </c>
      <c r="L597" s="100">
        <f>L590+L596</f>
        <v>6.6666666666666661</v>
      </c>
      <c r="M597" s="100">
        <f t="shared" si="121"/>
        <v>3</v>
      </c>
      <c r="N597" s="115"/>
      <c r="O597" s="116" t="e">
        <f t="shared" si="118"/>
        <v>#DIV/0!</v>
      </c>
      <c r="P597" s="115"/>
      <c r="Q597" s="116" t="e">
        <f t="shared" si="119"/>
        <v>#DIV/0!</v>
      </c>
      <c r="R597" s="115"/>
      <c r="S597" s="100" t="e">
        <f t="shared" si="120"/>
        <v>#DIV/0!</v>
      </c>
    </row>
    <row r="598" spans="1:19" ht="15" x14ac:dyDescent="0.2">
      <c r="A598" s="114" t="s">
        <v>105</v>
      </c>
      <c r="B598" s="100" t="s">
        <v>159</v>
      </c>
      <c r="C598" s="115">
        <v>12330</v>
      </c>
      <c r="D598" s="100">
        <f>(C598/12)*9</f>
        <v>9247.5</v>
      </c>
      <c r="E598" s="103">
        <f>'Monitoramento Acumulado Geral'!Q598</f>
        <v>0</v>
      </c>
      <c r="F598" s="100">
        <f>SUM(E590:E598)</f>
        <v>1050</v>
      </c>
      <c r="G598" s="102" t="str">
        <f t="shared" si="117"/>
        <v>Farol Vermelho</v>
      </c>
      <c r="H598" s="116">
        <f t="shared" si="115"/>
        <v>8197.5</v>
      </c>
      <c r="I598" s="100">
        <f t="shared" si="116"/>
        <v>9</v>
      </c>
      <c r="J598" s="119">
        <v>10</v>
      </c>
      <c r="K598" s="118">
        <f>'Monitoramento Acumulado Geral'!P598</f>
        <v>0</v>
      </c>
      <c r="L598" s="100">
        <f>$L590+L597</f>
        <v>7.4999999999999991</v>
      </c>
      <c r="M598" s="100">
        <f t="shared" si="121"/>
        <v>3</v>
      </c>
      <c r="N598" s="115"/>
      <c r="O598" s="116" t="e">
        <f t="shared" si="118"/>
        <v>#DIV/0!</v>
      </c>
      <c r="P598" s="115"/>
      <c r="Q598" s="116" t="e">
        <f t="shared" si="119"/>
        <v>#DIV/0!</v>
      </c>
      <c r="R598" s="115"/>
      <c r="S598" s="100" t="e">
        <f t="shared" si="120"/>
        <v>#DIV/0!</v>
      </c>
    </row>
    <row r="599" spans="1:19" ht="15" x14ac:dyDescent="0.2">
      <c r="A599" s="114" t="s">
        <v>105</v>
      </c>
      <c r="B599" s="100" t="s">
        <v>160</v>
      </c>
      <c r="C599" s="115">
        <v>12330</v>
      </c>
      <c r="D599" s="100">
        <f>(C599/12)*10</f>
        <v>10275</v>
      </c>
      <c r="E599" s="103">
        <f>'Monitoramento Acumulado Geral'!Q599</f>
        <v>0</v>
      </c>
      <c r="F599" s="100">
        <f>SUM(E590:E599)</f>
        <v>1050</v>
      </c>
      <c r="G599" s="102" t="str">
        <f t="shared" si="117"/>
        <v>Farol Vermelho</v>
      </c>
      <c r="H599" s="116">
        <f t="shared" si="115"/>
        <v>9225</v>
      </c>
      <c r="I599" s="100">
        <f t="shared" si="116"/>
        <v>10</v>
      </c>
      <c r="J599" s="119">
        <v>10</v>
      </c>
      <c r="K599" s="118">
        <f>'Monitoramento Acumulado Geral'!P599</f>
        <v>0</v>
      </c>
      <c r="L599" s="100">
        <f>$L590+L598</f>
        <v>8.3333333333333321</v>
      </c>
      <c r="M599" s="100">
        <f t="shared" si="121"/>
        <v>3</v>
      </c>
      <c r="N599" s="115"/>
      <c r="O599" s="116" t="e">
        <f t="shared" si="118"/>
        <v>#DIV/0!</v>
      </c>
      <c r="P599" s="115"/>
      <c r="Q599" s="116" t="e">
        <f t="shared" si="119"/>
        <v>#DIV/0!</v>
      </c>
      <c r="R599" s="115"/>
      <c r="S599" s="100" t="e">
        <f t="shared" si="120"/>
        <v>#DIV/0!</v>
      </c>
    </row>
    <row r="600" spans="1:19" ht="15" x14ac:dyDescent="0.2">
      <c r="A600" s="114" t="s">
        <v>105</v>
      </c>
      <c r="B600" s="100" t="s">
        <v>161</v>
      </c>
      <c r="C600" s="115">
        <v>12330</v>
      </c>
      <c r="D600" s="100">
        <f>(C600/12)*11</f>
        <v>11302.5</v>
      </c>
      <c r="E600" s="103">
        <f>'Monitoramento Acumulado Geral'!Q600</f>
        <v>0</v>
      </c>
      <c r="F600" s="100">
        <f>SUM(E590:E600)</f>
        <v>1050</v>
      </c>
      <c r="G600" s="102" t="str">
        <f t="shared" si="117"/>
        <v>Farol Vermelho</v>
      </c>
      <c r="H600" s="116">
        <f t="shared" si="115"/>
        <v>10252.5</v>
      </c>
      <c r="I600" s="100">
        <f t="shared" si="116"/>
        <v>11</v>
      </c>
      <c r="J600" s="119">
        <v>10</v>
      </c>
      <c r="K600" s="118">
        <f>'Monitoramento Acumulado Geral'!P600</f>
        <v>0</v>
      </c>
      <c r="L600" s="100">
        <f>L590+L599</f>
        <v>9.1666666666666661</v>
      </c>
      <c r="M600" s="100">
        <f t="shared" si="121"/>
        <v>3</v>
      </c>
      <c r="N600" s="115"/>
      <c r="O600" s="116" t="e">
        <f t="shared" si="118"/>
        <v>#DIV/0!</v>
      </c>
      <c r="P600" s="115"/>
      <c r="Q600" s="116" t="e">
        <f t="shared" si="119"/>
        <v>#DIV/0!</v>
      </c>
      <c r="R600" s="115"/>
      <c r="S600" s="100" t="e">
        <f t="shared" si="120"/>
        <v>#DIV/0!</v>
      </c>
    </row>
    <row r="601" spans="1:19" ht="15" x14ac:dyDescent="0.2">
      <c r="A601" s="114" t="s">
        <v>105</v>
      </c>
      <c r="B601" s="100" t="s">
        <v>162</v>
      </c>
      <c r="C601" s="115">
        <v>12330</v>
      </c>
      <c r="D601" s="100">
        <f>(C601/12)*12</f>
        <v>12330</v>
      </c>
      <c r="E601" s="103">
        <f>'Monitoramento Acumulado Geral'!Q601</f>
        <v>0</v>
      </c>
      <c r="F601" s="100">
        <f>SUM(E590:E601)</f>
        <v>1050</v>
      </c>
      <c r="G601" s="102" t="str">
        <f t="shared" si="117"/>
        <v>Farol Vermelho</v>
      </c>
      <c r="H601" s="116">
        <f t="shared" si="115"/>
        <v>11280</v>
      </c>
      <c r="I601" s="100">
        <f t="shared" si="116"/>
        <v>12</v>
      </c>
      <c r="J601" s="119">
        <v>10</v>
      </c>
      <c r="K601" s="118">
        <f>'Monitoramento Acumulado Geral'!P601</f>
        <v>0</v>
      </c>
      <c r="L601" s="100">
        <f>$L590+L600</f>
        <v>10</v>
      </c>
      <c r="M601" s="100">
        <f t="shared" si="121"/>
        <v>3</v>
      </c>
      <c r="N601" s="115"/>
      <c r="O601" s="116" t="e">
        <f t="shared" si="118"/>
        <v>#DIV/0!</v>
      </c>
      <c r="P601" s="115"/>
      <c r="Q601" s="116" t="e">
        <f t="shared" si="119"/>
        <v>#DIV/0!</v>
      </c>
      <c r="R601" s="115"/>
      <c r="S601" s="100" t="e">
        <f t="shared" si="120"/>
        <v>#DIV/0!</v>
      </c>
    </row>
    <row r="602" spans="1:19" ht="15" x14ac:dyDescent="0.2">
      <c r="A602" s="114" t="s">
        <v>98</v>
      </c>
      <c r="B602" s="100" t="s">
        <v>151</v>
      </c>
      <c r="C602" s="115">
        <v>270000</v>
      </c>
      <c r="D602" s="100">
        <f>(C602/12)*1</f>
        <v>22500</v>
      </c>
      <c r="E602" s="103">
        <f>'Monitoramento Acumulado Geral'!Q602</f>
        <v>37403.699999999997</v>
      </c>
      <c r="F602" s="100">
        <f>E602</f>
        <v>37403.699999999997</v>
      </c>
      <c r="G602" s="102" t="str">
        <f t="shared" si="117"/>
        <v>Farol Verde</v>
      </c>
      <c r="H602" s="116">
        <f t="shared" si="115"/>
        <v>0</v>
      </c>
      <c r="I602" s="100">
        <f t="shared" si="116"/>
        <v>1</v>
      </c>
      <c r="J602" s="119">
        <v>34</v>
      </c>
      <c r="K602" s="118">
        <f>'Monitoramento Acumulado Geral'!P602</f>
        <v>6</v>
      </c>
      <c r="L602" s="100">
        <f>J602/12</f>
        <v>2.8333333333333335</v>
      </c>
      <c r="M602" s="100">
        <f>K602</f>
        <v>6</v>
      </c>
      <c r="N602" s="115">
        <v>0</v>
      </c>
      <c r="O602" s="116" t="e">
        <f t="shared" si="118"/>
        <v>#DIV/0!</v>
      </c>
      <c r="P602" s="115">
        <v>0</v>
      </c>
      <c r="Q602" s="116" t="e">
        <f t="shared" si="119"/>
        <v>#DIV/0!</v>
      </c>
      <c r="R602" s="115">
        <v>0</v>
      </c>
      <c r="S602" s="100" t="e">
        <f t="shared" si="120"/>
        <v>#DIV/0!</v>
      </c>
    </row>
    <row r="603" spans="1:19" ht="15" x14ac:dyDescent="0.2">
      <c r="A603" s="114" t="s">
        <v>98</v>
      </c>
      <c r="B603" s="100" t="s">
        <v>152</v>
      </c>
      <c r="C603" s="115">
        <v>270000</v>
      </c>
      <c r="D603" s="100">
        <f>(C603/12)*2</f>
        <v>45000</v>
      </c>
      <c r="E603" s="103">
        <f>'Monitoramento Acumulado Geral'!Q603</f>
        <v>23492.28</v>
      </c>
      <c r="F603" s="100">
        <f>SUM(E602:E603)</f>
        <v>60895.979999999996</v>
      </c>
      <c r="G603" s="102" t="str">
        <f t="shared" si="117"/>
        <v>Farol Verde</v>
      </c>
      <c r="H603" s="116">
        <f t="shared" si="115"/>
        <v>0</v>
      </c>
      <c r="I603" s="100">
        <f t="shared" si="116"/>
        <v>2</v>
      </c>
      <c r="J603" s="119">
        <v>34</v>
      </c>
      <c r="K603" s="118">
        <f>'Monitoramento Acumulado Geral'!P603</f>
        <v>3</v>
      </c>
      <c r="L603" s="100">
        <f>L602+L602</f>
        <v>5.666666666666667</v>
      </c>
      <c r="M603" s="100">
        <f>M602+K603</f>
        <v>9</v>
      </c>
      <c r="N603" s="115">
        <v>0</v>
      </c>
      <c r="O603" s="116" t="e">
        <f t="shared" si="118"/>
        <v>#DIV/0!</v>
      </c>
      <c r="P603" s="115">
        <v>0</v>
      </c>
      <c r="Q603" s="116" t="e">
        <f t="shared" si="119"/>
        <v>#DIV/0!</v>
      </c>
      <c r="R603" s="115">
        <v>0</v>
      </c>
      <c r="S603" s="100" t="e">
        <f t="shared" si="120"/>
        <v>#DIV/0!</v>
      </c>
    </row>
    <row r="604" spans="1:19" ht="15" x14ac:dyDescent="0.2">
      <c r="A604" s="114" t="s">
        <v>98</v>
      </c>
      <c r="B604" s="100" t="s">
        <v>153</v>
      </c>
      <c r="C604" s="115">
        <v>270000</v>
      </c>
      <c r="D604" s="100">
        <f>(C604/12)*3</f>
        <v>67500</v>
      </c>
      <c r="E604" s="103">
        <f>'Monitoramento Acumulado Geral'!Q604</f>
        <v>20720.93</v>
      </c>
      <c r="F604" s="100">
        <f>SUM(E602:E604)</f>
        <v>81616.91</v>
      </c>
      <c r="G604" s="102" t="str">
        <f t="shared" si="117"/>
        <v>Farol Verde</v>
      </c>
      <c r="H604" s="116">
        <f t="shared" si="115"/>
        <v>0</v>
      </c>
      <c r="I604" s="100">
        <f t="shared" si="116"/>
        <v>3</v>
      </c>
      <c r="J604" s="119">
        <v>34</v>
      </c>
      <c r="K604" s="118">
        <f>'Monitoramento Acumulado Geral'!P604</f>
        <v>3</v>
      </c>
      <c r="L604" s="100">
        <f>$L602+L603</f>
        <v>8.5</v>
      </c>
      <c r="M604" s="100">
        <f t="shared" ref="M604:M613" si="122">M603+K604</f>
        <v>12</v>
      </c>
      <c r="N604" s="115">
        <v>0</v>
      </c>
      <c r="O604" s="116" t="e">
        <f t="shared" si="118"/>
        <v>#DIV/0!</v>
      </c>
      <c r="P604" s="115">
        <v>0</v>
      </c>
      <c r="Q604" s="116" t="e">
        <f t="shared" si="119"/>
        <v>#DIV/0!</v>
      </c>
      <c r="R604" s="115">
        <v>0</v>
      </c>
      <c r="S604" s="100" t="e">
        <f t="shared" si="120"/>
        <v>#DIV/0!</v>
      </c>
    </row>
    <row r="605" spans="1:19" ht="15" x14ac:dyDescent="0.2">
      <c r="A605" s="114" t="s">
        <v>98</v>
      </c>
      <c r="B605" s="100" t="s">
        <v>154</v>
      </c>
      <c r="C605" s="115">
        <v>270000</v>
      </c>
      <c r="D605" s="100">
        <f>(C605/12)*4</f>
        <v>90000</v>
      </c>
      <c r="E605" s="103">
        <f>'Monitoramento Acumulado Geral'!Q605</f>
        <v>210</v>
      </c>
      <c r="F605" s="100">
        <f>SUM(E602:E605)</f>
        <v>81826.91</v>
      </c>
      <c r="G605" s="102" t="str">
        <f t="shared" si="117"/>
        <v>Farol Amarelo</v>
      </c>
      <c r="H605" s="116">
        <f t="shared" si="115"/>
        <v>8173.0899999999965</v>
      </c>
      <c r="I605" s="100">
        <f t="shared" si="116"/>
        <v>4</v>
      </c>
      <c r="J605" s="119">
        <v>34</v>
      </c>
      <c r="K605" s="118">
        <f>'Monitoramento Acumulado Geral'!P605</f>
        <v>1</v>
      </c>
      <c r="L605" s="100">
        <f>$L602+L604</f>
        <v>11.333333333333334</v>
      </c>
      <c r="M605" s="100">
        <f t="shared" si="122"/>
        <v>13</v>
      </c>
      <c r="N605" s="115">
        <v>0</v>
      </c>
      <c r="O605" s="116" t="e">
        <f t="shared" si="118"/>
        <v>#DIV/0!</v>
      </c>
      <c r="P605" s="115">
        <v>0</v>
      </c>
      <c r="Q605" s="116" t="e">
        <f t="shared" si="119"/>
        <v>#DIV/0!</v>
      </c>
      <c r="R605" s="115">
        <v>0</v>
      </c>
      <c r="S605" s="100" t="e">
        <f t="shared" si="120"/>
        <v>#DIV/0!</v>
      </c>
    </row>
    <row r="606" spans="1:19" ht="15" x14ac:dyDescent="0.2">
      <c r="A606" s="114" t="s">
        <v>98</v>
      </c>
      <c r="B606" s="100" t="s">
        <v>155</v>
      </c>
      <c r="C606" s="115">
        <v>270000</v>
      </c>
      <c r="D606" s="100">
        <f>(C606/12)*5</f>
        <v>112500</v>
      </c>
      <c r="E606" s="103">
        <f>'Monitoramento Acumulado Geral'!Q606</f>
        <v>47429.14</v>
      </c>
      <c r="F606" s="100">
        <f>SUM(E602:E606)</f>
        <v>129256.05</v>
      </c>
      <c r="G606" s="102" t="str">
        <f t="shared" si="117"/>
        <v>Farol Verde</v>
      </c>
      <c r="H606" s="116">
        <f t="shared" si="115"/>
        <v>0</v>
      </c>
      <c r="I606" s="100">
        <f t="shared" si="116"/>
        <v>5</v>
      </c>
      <c r="J606" s="119">
        <v>34</v>
      </c>
      <c r="K606" s="118">
        <f>'Monitoramento Acumulado Geral'!P606</f>
        <v>7</v>
      </c>
      <c r="L606" s="100">
        <f>L602+L605</f>
        <v>14.166666666666668</v>
      </c>
      <c r="M606" s="100">
        <f t="shared" si="122"/>
        <v>20</v>
      </c>
      <c r="N606" s="115">
        <v>4</v>
      </c>
      <c r="O606" s="116">
        <f t="shared" si="118"/>
        <v>1</v>
      </c>
      <c r="P606" s="115">
        <v>4</v>
      </c>
      <c r="Q606" s="116">
        <f t="shared" si="119"/>
        <v>0.5</v>
      </c>
      <c r="R606" s="115">
        <v>2</v>
      </c>
      <c r="S606" s="100">
        <f t="shared" si="120"/>
        <v>0.5</v>
      </c>
    </row>
    <row r="607" spans="1:19" ht="15" x14ac:dyDescent="0.2">
      <c r="A607" s="114" t="s">
        <v>98</v>
      </c>
      <c r="B607" s="100" t="s">
        <v>156</v>
      </c>
      <c r="C607" s="115">
        <v>270000</v>
      </c>
      <c r="D607" s="100">
        <f>(C607/12)*6</f>
        <v>135000</v>
      </c>
      <c r="E607" s="103">
        <f>'Monitoramento Acumulado Geral'!Q607</f>
        <v>32150.959999999999</v>
      </c>
      <c r="F607" s="100">
        <f>SUM(E602:E607)</f>
        <v>161407.01</v>
      </c>
      <c r="G607" s="102" t="str">
        <f t="shared" si="117"/>
        <v>Farol Verde</v>
      </c>
      <c r="H607" s="116">
        <f t="shared" si="115"/>
        <v>0</v>
      </c>
      <c r="I607" s="100">
        <f t="shared" si="116"/>
        <v>6</v>
      </c>
      <c r="J607" s="119">
        <v>34</v>
      </c>
      <c r="K607" s="118">
        <f>'Monitoramento Acumulado Geral'!P607</f>
        <v>6</v>
      </c>
      <c r="L607" s="100">
        <f>$L602+L606</f>
        <v>17</v>
      </c>
      <c r="M607" s="100">
        <f t="shared" si="122"/>
        <v>26</v>
      </c>
      <c r="N607" s="115">
        <v>12</v>
      </c>
      <c r="O607" s="116">
        <f t="shared" si="118"/>
        <v>0.75</v>
      </c>
      <c r="P607" s="115">
        <v>9</v>
      </c>
      <c r="Q607" s="116">
        <f t="shared" si="119"/>
        <v>0.44444444444444442</v>
      </c>
      <c r="R607" s="115">
        <v>4</v>
      </c>
      <c r="S607" s="100">
        <f t="shared" si="120"/>
        <v>0.33333333333333331</v>
      </c>
    </row>
    <row r="608" spans="1:19" ht="15" x14ac:dyDescent="0.2">
      <c r="A608" s="114" t="s">
        <v>98</v>
      </c>
      <c r="B608" s="100" t="s">
        <v>157</v>
      </c>
      <c r="C608" s="115">
        <v>270000</v>
      </c>
      <c r="D608" s="100">
        <f>(C608/12)*7</f>
        <v>157500</v>
      </c>
      <c r="E608" s="103">
        <f>'Monitoramento Acumulado Geral'!Q608</f>
        <v>40897.53</v>
      </c>
      <c r="F608" s="100">
        <f>SUM(E602:E608)</f>
        <v>202304.54</v>
      </c>
      <c r="G608" s="102" t="str">
        <f t="shared" si="117"/>
        <v>Farol Verde</v>
      </c>
      <c r="H608" s="116">
        <f t="shared" si="115"/>
        <v>0</v>
      </c>
      <c r="I608" s="100">
        <f t="shared" si="116"/>
        <v>7</v>
      </c>
      <c r="J608" s="119">
        <v>34</v>
      </c>
      <c r="K608" s="118">
        <f>'Monitoramento Acumulado Geral'!P608</f>
        <v>12</v>
      </c>
      <c r="L608" s="100">
        <f>$L602+L607</f>
        <v>19.833333333333332</v>
      </c>
      <c r="M608" s="100">
        <f t="shared" si="122"/>
        <v>38</v>
      </c>
      <c r="N608" s="115"/>
      <c r="O608" s="116" t="e">
        <f t="shared" si="118"/>
        <v>#DIV/0!</v>
      </c>
      <c r="P608" s="115"/>
      <c r="Q608" s="116" t="e">
        <f t="shared" si="119"/>
        <v>#DIV/0!</v>
      </c>
      <c r="R608" s="115"/>
      <c r="S608" s="100" t="e">
        <f t="shared" si="120"/>
        <v>#DIV/0!</v>
      </c>
    </row>
    <row r="609" spans="1:19" ht="15" x14ac:dyDescent="0.2">
      <c r="A609" s="114" t="s">
        <v>98</v>
      </c>
      <c r="B609" s="100" t="s">
        <v>158</v>
      </c>
      <c r="C609" s="115">
        <v>270000</v>
      </c>
      <c r="D609" s="100">
        <f>(C609/12)*8</f>
        <v>180000</v>
      </c>
      <c r="E609" s="103">
        <f>'Monitoramento Acumulado Geral'!Q609</f>
        <v>0</v>
      </c>
      <c r="F609" s="100">
        <f>SUM(E602:E609)</f>
        <v>202304.54</v>
      </c>
      <c r="G609" s="102" t="str">
        <f t="shared" si="117"/>
        <v>Farol Verde</v>
      </c>
      <c r="H609" s="116">
        <f t="shared" si="115"/>
        <v>0</v>
      </c>
      <c r="I609" s="100">
        <f t="shared" si="116"/>
        <v>8</v>
      </c>
      <c r="J609" s="119">
        <v>34</v>
      </c>
      <c r="K609" s="118">
        <f>'Monitoramento Acumulado Geral'!P609</f>
        <v>0</v>
      </c>
      <c r="L609" s="100">
        <f>L602+L608</f>
        <v>22.666666666666664</v>
      </c>
      <c r="M609" s="100">
        <f t="shared" si="122"/>
        <v>38</v>
      </c>
      <c r="N609" s="115"/>
      <c r="O609" s="116" t="e">
        <f t="shared" si="118"/>
        <v>#DIV/0!</v>
      </c>
      <c r="P609" s="115"/>
      <c r="Q609" s="116" t="e">
        <f t="shared" si="119"/>
        <v>#DIV/0!</v>
      </c>
      <c r="R609" s="115"/>
      <c r="S609" s="100" t="e">
        <f t="shared" si="120"/>
        <v>#DIV/0!</v>
      </c>
    </row>
    <row r="610" spans="1:19" ht="15" x14ac:dyDescent="0.2">
      <c r="A610" s="114" t="s">
        <v>98</v>
      </c>
      <c r="B610" s="100" t="s">
        <v>159</v>
      </c>
      <c r="C610" s="115">
        <v>270000</v>
      </c>
      <c r="D610" s="100">
        <f>(C610/12)*9</f>
        <v>202500</v>
      </c>
      <c r="E610" s="103">
        <f>'Monitoramento Acumulado Geral'!Q610</f>
        <v>20460</v>
      </c>
      <c r="F610" s="100">
        <f>SUM(E602:E610)</f>
        <v>222764.54</v>
      </c>
      <c r="G610" s="102" t="str">
        <f t="shared" si="117"/>
        <v>Farol Verde</v>
      </c>
      <c r="H610" s="116">
        <f t="shared" si="115"/>
        <v>0</v>
      </c>
      <c r="I610" s="100">
        <f t="shared" si="116"/>
        <v>9</v>
      </c>
      <c r="J610" s="119">
        <v>34</v>
      </c>
      <c r="K610" s="118">
        <f>'Monitoramento Acumulado Geral'!P610</f>
        <v>4</v>
      </c>
      <c r="L610" s="100">
        <f>$L602+L609</f>
        <v>25.499999999999996</v>
      </c>
      <c r="M610" s="100">
        <f t="shared" si="122"/>
        <v>42</v>
      </c>
      <c r="N610" s="115"/>
      <c r="O610" s="116" t="e">
        <f t="shared" si="118"/>
        <v>#DIV/0!</v>
      </c>
      <c r="P610" s="115"/>
      <c r="Q610" s="116" t="e">
        <f t="shared" si="119"/>
        <v>#DIV/0!</v>
      </c>
      <c r="R610" s="115"/>
      <c r="S610" s="100" t="e">
        <f t="shared" si="120"/>
        <v>#DIV/0!</v>
      </c>
    </row>
    <row r="611" spans="1:19" ht="15" x14ac:dyDescent="0.2">
      <c r="A611" s="114" t="s">
        <v>98</v>
      </c>
      <c r="B611" s="100" t="s">
        <v>160</v>
      </c>
      <c r="C611" s="115">
        <v>270000</v>
      </c>
      <c r="D611" s="100">
        <f>(C611/12)*10</f>
        <v>225000</v>
      </c>
      <c r="E611" s="103">
        <f>'Monitoramento Acumulado Geral'!Q611</f>
        <v>0</v>
      </c>
      <c r="F611" s="100">
        <f>SUM(E602:E611)</f>
        <v>222764.54</v>
      </c>
      <c r="G611" s="102" t="str">
        <f t="shared" si="117"/>
        <v>Farol Amarelo</v>
      </c>
      <c r="H611" s="116">
        <f t="shared" si="115"/>
        <v>2235.4599999999919</v>
      </c>
      <c r="I611" s="100">
        <f t="shared" si="116"/>
        <v>10</v>
      </c>
      <c r="J611" s="119">
        <v>34</v>
      </c>
      <c r="K611" s="118">
        <f>'Monitoramento Acumulado Geral'!P611</f>
        <v>0</v>
      </c>
      <c r="L611" s="100">
        <f>$L602+L610</f>
        <v>28.333333333333329</v>
      </c>
      <c r="M611" s="100">
        <f t="shared" si="122"/>
        <v>42</v>
      </c>
      <c r="N611" s="115"/>
      <c r="O611" s="116" t="e">
        <f t="shared" si="118"/>
        <v>#DIV/0!</v>
      </c>
      <c r="P611" s="115"/>
      <c r="Q611" s="116" t="e">
        <f t="shared" si="119"/>
        <v>#DIV/0!</v>
      </c>
      <c r="R611" s="115"/>
      <c r="S611" s="100" t="e">
        <f t="shared" si="120"/>
        <v>#DIV/0!</v>
      </c>
    </row>
    <row r="612" spans="1:19" ht="15" x14ac:dyDescent="0.2">
      <c r="A612" s="114" t="s">
        <v>98</v>
      </c>
      <c r="B612" s="100" t="s">
        <v>161</v>
      </c>
      <c r="C612" s="115">
        <v>270000</v>
      </c>
      <c r="D612" s="100">
        <f>(C612/12)*11</f>
        <v>247500</v>
      </c>
      <c r="E612" s="103">
        <f>'Monitoramento Acumulado Geral'!Q612</f>
        <v>0</v>
      </c>
      <c r="F612" s="100">
        <f>SUM(E602:E612)</f>
        <v>222764.54</v>
      </c>
      <c r="G612" s="102" t="str">
        <f t="shared" si="117"/>
        <v>Farol Amarelo</v>
      </c>
      <c r="H612" s="116">
        <f t="shared" si="115"/>
        <v>24735.459999999992</v>
      </c>
      <c r="I612" s="100">
        <f t="shared" si="116"/>
        <v>11</v>
      </c>
      <c r="J612" s="119">
        <v>34</v>
      </c>
      <c r="K612" s="118">
        <f>'Monitoramento Acumulado Geral'!P612</f>
        <v>0</v>
      </c>
      <c r="L612" s="100">
        <f>L602+L611</f>
        <v>31.166666666666661</v>
      </c>
      <c r="M612" s="100">
        <f t="shared" si="122"/>
        <v>42</v>
      </c>
      <c r="N612" s="115"/>
      <c r="O612" s="116" t="e">
        <f t="shared" si="118"/>
        <v>#DIV/0!</v>
      </c>
      <c r="P612" s="115"/>
      <c r="Q612" s="116" t="e">
        <f t="shared" si="119"/>
        <v>#DIV/0!</v>
      </c>
      <c r="R612" s="115"/>
      <c r="S612" s="100" t="e">
        <f t="shared" si="120"/>
        <v>#DIV/0!</v>
      </c>
    </row>
    <row r="613" spans="1:19" ht="15" x14ac:dyDescent="0.2">
      <c r="A613" s="114" t="s">
        <v>98</v>
      </c>
      <c r="B613" s="100" t="s">
        <v>162</v>
      </c>
      <c r="C613" s="115">
        <v>270000</v>
      </c>
      <c r="D613" s="100">
        <f>(C613/12)*12</f>
        <v>270000</v>
      </c>
      <c r="E613" s="103">
        <f>'Monitoramento Acumulado Geral'!Q613</f>
        <v>0</v>
      </c>
      <c r="F613" s="100">
        <f>SUM(E602:E613)</f>
        <v>222764.54</v>
      </c>
      <c r="G613" s="102" t="str">
        <f t="shared" si="117"/>
        <v>Farol Vermelho</v>
      </c>
      <c r="H613" s="116">
        <f t="shared" si="115"/>
        <v>47235.459999999992</v>
      </c>
      <c r="I613" s="100">
        <f t="shared" si="116"/>
        <v>12</v>
      </c>
      <c r="J613" s="119">
        <v>34</v>
      </c>
      <c r="K613" s="118">
        <f>'Monitoramento Acumulado Geral'!P613</f>
        <v>0</v>
      </c>
      <c r="L613" s="100">
        <f>$L602+L612</f>
        <v>33.999999999999993</v>
      </c>
      <c r="M613" s="100">
        <f t="shared" si="122"/>
        <v>42</v>
      </c>
      <c r="N613" s="115"/>
      <c r="O613" s="116" t="e">
        <f t="shared" si="118"/>
        <v>#DIV/0!</v>
      </c>
      <c r="P613" s="115"/>
      <c r="Q613" s="116" t="e">
        <f t="shared" si="119"/>
        <v>#DIV/0!</v>
      </c>
      <c r="R613" s="115"/>
      <c r="S613" s="100" t="e">
        <f t="shared" si="120"/>
        <v>#DIV/0!</v>
      </c>
    </row>
    <row r="614" spans="1:19" ht="15" x14ac:dyDescent="0.2">
      <c r="A614" s="114" t="s">
        <v>109</v>
      </c>
      <c r="B614" s="100" t="s">
        <v>151</v>
      </c>
      <c r="C614" s="115">
        <v>6600</v>
      </c>
      <c r="D614" s="100">
        <f>(C614/12)*1</f>
        <v>550</v>
      </c>
      <c r="E614" s="103">
        <f>'Monitoramento Acumulado Geral'!Q614</f>
        <v>0</v>
      </c>
      <c r="F614" s="100">
        <f>E614</f>
        <v>0</v>
      </c>
      <c r="G614" s="102" t="str">
        <f t="shared" si="117"/>
        <v>Farol Vermelho</v>
      </c>
      <c r="H614" s="116">
        <f t="shared" si="115"/>
        <v>550</v>
      </c>
      <c r="I614" s="100">
        <f t="shared" si="116"/>
        <v>1</v>
      </c>
      <c r="J614" s="119">
        <v>2</v>
      </c>
      <c r="K614" s="118">
        <f>'Monitoramento Acumulado Geral'!P614</f>
        <v>0</v>
      </c>
      <c r="L614" s="100">
        <f>J614/12</f>
        <v>0.16666666666666666</v>
      </c>
      <c r="M614" s="100">
        <f>K614</f>
        <v>0</v>
      </c>
      <c r="N614" s="115">
        <v>0</v>
      </c>
      <c r="O614" s="116" t="e">
        <f t="shared" si="118"/>
        <v>#DIV/0!</v>
      </c>
      <c r="P614" s="115">
        <v>0</v>
      </c>
      <c r="Q614" s="116" t="e">
        <f t="shared" si="119"/>
        <v>#DIV/0!</v>
      </c>
      <c r="R614" s="115">
        <v>0</v>
      </c>
      <c r="S614" s="100" t="e">
        <f t="shared" si="120"/>
        <v>#DIV/0!</v>
      </c>
    </row>
    <row r="615" spans="1:19" ht="15" x14ac:dyDescent="0.2">
      <c r="A615" s="114" t="s">
        <v>109</v>
      </c>
      <c r="B615" s="100" t="s">
        <v>152</v>
      </c>
      <c r="C615" s="115">
        <v>6600</v>
      </c>
      <c r="D615" s="100">
        <f>(C615/12)*2</f>
        <v>1100</v>
      </c>
      <c r="E615" s="103">
        <f>'Monitoramento Acumulado Geral'!Q615</f>
        <v>0</v>
      </c>
      <c r="F615" s="100">
        <f>SUM(E614:E615)</f>
        <v>0</v>
      </c>
      <c r="G615" s="102" t="str">
        <f t="shared" si="117"/>
        <v>Farol Vermelho</v>
      </c>
      <c r="H615" s="116">
        <f t="shared" si="115"/>
        <v>1100</v>
      </c>
      <c r="I615" s="100">
        <f t="shared" si="116"/>
        <v>2</v>
      </c>
      <c r="J615" s="119">
        <v>2</v>
      </c>
      <c r="K615" s="118">
        <f>'Monitoramento Acumulado Geral'!P615</f>
        <v>0</v>
      </c>
      <c r="L615" s="100">
        <f>L614+L614</f>
        <v>0.33333333333333331</v>
      </c>
      <c r="M615" s="100">
        <f>M614+K615</f>
        <v>0</v>
      </c>
      <c r="N615" s="115">
        <v>0</v>
      </c>
      <c r="O615" s="116" t="e">
        <f t="shared" si="118"/>
        <v>#DIV/0!</v>
      </c>
      <c r="P615" s="115">
        <v>0</v>
      </c>
      <c r="Q615" s="116" t="e">
        <f t="shared" si="119"/>
        <v>#DIV/0!</v>
      </c>
      <c r="R615" s="115">
        <v>0</v>
      </c>
      <c r="S615" s="100" t="e">
        <f t="shared" si="120"/>
        <v>#DIV/0!</v>
      </c>
    </row>
    <row r="616" spans="1:19" ht="15" x14ac:dyDescent="0.2">
      <c r="A616" s="114" t="s">
        <v>109</v>
      </c>
      <c r="B616" s="100" t="s">
        <v>153</v>
      </c>
      <c r="C616" s="115">
        <v>6600</v>
      </c>
      <c r="D616" s="100">
        <f>(C616/12)*3</f>
        <v>1650</v>
      </c>
      <c r="E616" s="103">
        <f>'Monitoramento Acumulado Geral'!Q616</f>
        <v>0</v>
      </c>
      <c r="F616" s="100">
        <f>SUM(E614:E616)</f>
        <v>0</v>
      </c>
      <c r="G616" s="102" t="str">
        <f t="shared" si="117"/>
        <v>Farol Vermelho</v>
      </c>
      <c r="H616" s="116">
        <f t="shared" si="115"/>
        <v>1650</v>
      </c>
      <c r="I616" s="100">
        <f t="shared" si="116"/>
        <v>3</v>
      </c>
      <c r="J616" s="119">
        <v>2</v>
      </c>
      <c r="K616" s="118">
        <f>'Monitoramento Acumulado Geral'!P616</f>
        <v>0</v>
      </c>
      <c r="L616" s="100">
        <f>$L614+L615</f>
        <v>0.5</v>
      </c>
      <c r="M616" s="100">
        <f t="shared" ref="M616:M625" si="123">M615+K616</f>
        <v>0</v>
      </c>
      <c r="N616" s="115">
        <v>0</v>
      </c>
      <c r="O616" s="116" t="e">
        <f t="shared" si="118"/>
        <v>#DIV/0!</v>
      </c>
      <c r="P616" s="115">
        <v>0</v>
      </c>
      <c r="Q616" s="116" t="e">
        <f t="shared" si="119"/>
        <v>#DIV/0!</v>
      </c>
      <c r="R616" s="115">
        <v>0</v>
      </c>
      <c r="S616" s="100" t="e">
        <f t="shared" si="120"/>
        <v>#DIV/0!</v>
      </c>
    </row>
    <row r="617" spans="1:19" ht="15" x14ac:dyDescent="0.2">
      <c r="A617" s="114" t="s">
        <v>109</v>
      </c>
      <c r="B617" s="100" t="s">
        <v>154</v>
      </c>
      <c r="C617" s="115">
        <v>6600</v>
      </c>
      <c r="D617" s="100">
        <f>(C617/12)*4</f>
        <v>2200</v>
      </c>
      <c r="E617" s="103">
        <f>'Monitoramento Acumulado Geral'!Q617</f>
        <v>0</v>
      </c>
      <c r="F617" s="100">
        <f>SUM(E614:E617)</f>
        <v>0</v>
      </c>
      <c r="G617" s="102" t="str">
        <f t="shared" si="117"/>
        <v>Farol Vermelho</v>
      </c>
      <c r="H617" s="116">
        <f t="shared" si="115"/>
        <v>2200</v>
      </c>
      <c r="I617" s="100">
        <f t="shared" si="116"/>
        <v>4</v>
      </c>
      <c r="J617" s="119">
        <v>2</v>
      </c>
      <c r="K617" s="118">
        <f>'Monitoramento Acumulado Geral'!P617</f>
        <v>0</v>
      </c>
      <c r="L617" s="100">
        <f>$L614+L616</f>
        <v>0.66666666666666663</v>
      </c>
      <c r="M617" s="100">
        <f t="shared" si="123"/>
        <v>0</v>
      </c>
      <c r="N617" s="115">
        <v>0</v>
      </c>
      <c r="O617" s="116" t="e">
        <f t="shared" si="118"/>
        <v>#DIV/0!</v>
      </c>
      <c r="P617" s="115">
        <v>0</v>
      </c>
      <c r="Q617" s="116" t="e">
        <f t="shared" si="119"/>
        <v>#DIV/0!</v>
      </c>
      <c r="R617" s="115">
        <v>0</v>
      </c>
      <c r="S617" s="100" t="e">
        <f t="shared" si="120"/>
        <v>#DIV/0!</v>
      </c>
    </row>
    <row r="618" spans="1:19" ht="15" x14ac:dyDescent="0.2">
      <c r="A618" s="114" t="s">
        <v>109</v>
      </c>
      <c r="B618" s="100" t="s">
        <v>155</v>
      </c>
      <c r="C618" s="115">
        <v>6600</v>
      </c>
      <c r="D618" s="100">
        <f>(C618/12)*5</f>
        <v>2750</v>
      </c>
      <c r="E618" s="103">
        <f>'Monitoramento Acumulado Geral'!Q618</f>
        <v>0</v>
      </c>
      <c r="F618" s="100">
        <f>SUM(E614:E618)</f>
        <v>0</v>
      </c>
      <c r="G618" s="102" t="str">
        <f t="shared" si="117"/>
        <v>Farol Vermelho</v>
      </c>
      <c r="H618" s="116">
        <f t="shared" si="115"/>
        <v>2750</v>
      </c>
      <c r="I618" s="100">
        <f t="shared" si="116"/>
        <v>5</v>
      </c>
      <c r="J618" s="119">
        <v>2</v>
      </c>
      <c r="K618" s="118">
        <f>'Monitoramento Acumulado Geral'!P618</f>
        <v>0</v>
      </c>
      <c r="L618" s="100">
        <f>L614+L617</f>
        <v>0.83333333333333326</v>
      </c>
      <c r="M618" s="100">
        <f t="shared" si="123"/>
        <v>0</v>
      </c>
      <c r="N618" s="115">
        <v>0</v>
      </c>
      <c r="O618" s="116" t="e">
        <f t="shared" si="118"/>
        <v>#DIV/0!</v>
      </c>
      <c r="P618" s="115">
        <v>0</v>
      </c>
      <c r="Q618" s="116" t="e">
        <f t="shared" si="119"/>
        <v>#DIV/0!</v>
      </c>
      <c r="R618" s="115">
        <v>0</v>
      </c>
      <c r="S618" s="100" t="e">
        <f t="shared" si="120"/>
        <v>#DIV/0!</v>
      </c>
    </row>
    <row r="619" spans="1:19" ht="15" x14ac:dyDescent="0.2">
      <c r="A619" s="114" t="s">
        <v>109</v>
      </c>
      <c r="B619" s="100" t="s">
        <v>156</v>
      </c>
      <c r="C619" s="115">
        <v>6600</v>
      </c>
      <c r="D619" s="100">
        <f>(C619/12)*6</f>
        <v>3300</v>
      </c>
      <c r="E619" s="103">
        <f>'Monitoramento Acumulado Geral'!Q619</f>
        <v>0</v>
      </c>
      <c r="F619" s="100">
        <f>SUM(E614:E619)</f>
        <v>0</v>
      </c>
      <c r="G619" s="102" t="str">
        <f t="shared" si="117"/>
        <v>Farol Vermelho</v>
      </c>
      <c r="H619" s="116">
        <f t="shared" si="115"/>
        <v>3300</v>
      </c>
      <c r="I619" s="100">
        <f t="shared" si="116"/>
        <v>6</v>
      </c>
      <c r="J619" s="119">
        <v>2</v>
      </c>
      <c r="K619" s="118">
        <f>'Monitoramento Acumulado Geral'!P619</f>
        <v>0</v>
      </c>
      <c r="L619" s="100">
        <f>$L614+L618</f>
        <v>0.99999999999999989</v>
      </c>
      <c r="M619" s="100">
        <f t="shared" si="123"/>
        <v>0</v>
      </c>
      <c r="N619" s="115">
        <v>0</v>
      </c>
      <c r="O619" s="116" t="e">
        <f t="shared" si="118"/>
        <v>#DIV/0!</v>
      </c>
      <c r="P619" s="115">
        <v>0</v>
      </c>
      <c r="Q619" s="116" t="e">
        <f t="shared" si="119"/>
        <v>#DIV/0!</v>
      </c>
      <c r="R619" s="115">
        <v>0</v>
      </c>
      <c r="S619" s="100" t="e">
        <f t="shared" si="120"/>
        <v>#DIV/0!</v>
      </c>
    </row>
    <row r="620" spans="1:19" ht="15" x14ac:dyDescent="0.2">
      <c r="A620" s="114" t="s">
        <v>109</v>
      </c>
      <c r="B620" s="100" t="s">
        <v>157</v>
      </c>
      <c r="C620" s="115">
        <v>6600</v>
      </c>
      <c r="D620" s="100">
        <f>(C620/12)*7</f>
        <v>3850</v>
      </c>
      <c r="E620" s="103">
        <f>'Monitoramento Acumulado Geral'!Q620</f>
        <v>0</v>
      </c>
      <c r="F620" s="100">
        <f>SUM(E614:E620)</f>
        <v>0</v>
      </c>
      <c r="G620" s="102" t="str">
        <f t="shared" si="117"/>
        <v>Farol Vermelho</v>
      </c>
      <c r="H620" s="116">
        <f t="shared" si="115"/>
        <v>3850</v>
      </c>
      <c r="I620" s="100">
        <f t="shared" si="116"/>
        <v>7</v>
      </c>
      <c r="J620" s="119">
        <v>2</v>
      </c>
      <c r="K620" s="118">
        <f>'Monitoramento Acumulado Geral'!P620</f>
        <v>0</v>
      </c>
      <c r="L620" s="100">
        <f>$L614+L619</f>
        <v>1.1666666666666665</v>
      </c>
      <c r="M620" s="100">
        <f t="shared" si="123"/>
        <v>0</v>
      </c>
      <c r="N620" s="115"/>
      <c r="O620" s="116" t="e">
        <f t="shared" si="118"/>
        <v>#DIV/0!</v>
      </c>
      <c r="P620" s="115"/>
      <c r="Q620" s="116" t="e">
        <f t="shared" si="119"/>
        <v>#DIV/0!</v>
      </c>
      <c r="R620" s="115"/>
      <c r="S620" s="100" t="e">
        <f t="shared" si="120"/>
        <v>#DIV/0!</v>
      </c>
    </row>
    <row r="621" spans="1:19" ht="15" x14ac:dyDescent="0.2">
      <c r="A621" s="114" t="s">
        <v>109</v>
      </c>
      <c r="B621" s="100" t="s">
        <v>158</v>
      </c>
      <c r="C621" s="115">
        <v>6600</v>
      </c>
      <c r="D621" s="100">
        <f>(C621/12)*8</f>
        <v>4400</v>
      </c>
      <c r="E621" s="103">
        <f>'Monitoramento Acumulado Geral'!Q621</f>
        <v>153</v>
      </c>
      <c r="F621" s="100">
        <f>SUM(E614:E621)</f>
        <v>153</v>
      </c>
      <c r="G621" s="102" t="str">
        <f t="shared" si="117"/>
        <v>Farol Vermelho</v>
      </c>
      <c r="H621" s="116">
        <f t="shared" si="115"/>
        <v>4247</v>
      </c>
      <c r="I621" s="100">
        <f t="shared" si="116"/>
        <v>8</v>
      </c>
      <c r="J621" s="119">
        <v>2</v>
      </c>
      <c r="K621" s="118">
        <f>'Monitoramento Acumulado Geral'!P621</f>
        <v>1</v>
      </c>
      <c r="L621" s="100">
        <f>L614+L620</f>
        <v>1.3333333333333333</v>
      </c>
      <c r="M621" s="100">
        <f t="shared" si="123"/>
        <v>1</v>
      </c>
      <c r="N621" s="115"/>
      <c r="O621" s="116" t="e">
        <f t="shared" si="118"/>
        <v>#DIV/0!</v>
      </c>
      <c r="P621" s="115"/>
      <c r="Q621" s="116" t="e">
        <f t="shared" si="119"/>
        <v>#DIV/0!</v>
      </c>
      <c r="R621" s="115"/>
      <c r="S621" s="100" t="e">
        <f t="shared" si="120"/>
        <v>#DIV/0!</v>
      </c>
    </row>
    <row r="622" spans="1:19" ht="15" x14ac:dyDescent="0.2">
      <c r="A622" s="114" t="s">
        <v>109</v>
      </c>
      <c r="B622" s="100" t="s">
        <v>159</v>
      </c>
      <c r="C622" s="115">
        <v>6600</v>
      </c>
      <c r="D622" s="100">
        <f>(C622/12)*9</f>
        <v>4950</v>
      </c>
      <c r="E622" s="103">
        <f>'Monitoramento Acumulado Geral'!Q622</f>
        <v>0</v>
      </c>
      <c r="F622" s="100">
        <f>SUM(E614:E622)</f>
        <v>153</v>
      </c>
      <c r="G622" s="102" t="str">
        <f t="shared" si="117"/>
        <v>Farol Vermelho</v>
      </c>
      <c r="H622" s="116">
        <f t="shared" si="115"/>
        <v>4797</v>
      </c>
      <c r="I622" s="100">
        <f t="shared" si="116"/>
        <v>9</v>
      </c>
      <c r="J622" s="119">
        <v>2</v>
      </c>
      <c r="K622" s="118">
        <f>'Monitoramento Acumulado Geral'!P622</f>
        <v>0</v>
      </c>
      <c r="L622" s="100">
        <f>$L614+L621</f>
        <v>1.5</v>
      </c>
      <c r="M622" s="100">
        <f t="shared" si="123"/>
        <v>1</v>
      </c>
      <c r="N622" s="115"/>
      <c r="O622" s="116" t="e">
        <f t="shared" si="118"/>
        <v>#DIV/0!</v>
      </c>
      <c r="P622" s="115"/>
      <c r="Q622" s="116" t="e">
        <f t="shared" si="119"/>
        <v>#DIV/0!</v>
      </c>
      <c r="R622" s="115"/>
      <c r="S622" s="100" t="e">
        <f t="shared" si="120"/>
        <v>#DIV/0!</v>
      </c>
    </row>
    <row r="623" spans="1:19" ht="15" x14ac:dyDescent="0.2">
      <c r="A623" s="114" t="s">
        <v>109</v>
      </c>
      <c r="B623" s="100" t="s">
        <v>160</v>
      </c>
      <c r="C623" s="115">
        <v>6600</v>
      </c>
      <c r="D623" s="100">
        <f>(C623/12)*10</f>
        <v>5500</v>
      </c>
      <c r="E623" s="103">
        <f>'Monitoramento Acumulado Geral'!Q623</f>
        <v>0</v>
      </c>
      <c r="F623" s="100">
        <f>SUM(E614:E623)</f>
        <v>153</v>
      </c>
      <c r="G623" s="102" t="str">
        <f t="shared" si="117"/>
        <v>Farol Vermelho</v>
      </c>
      <c r="H623" s="116">
        <f t="shared" si="115"/>
        <v>5347</v>
      </c>
      <c r="I623" s="100">
        <f t="shared" si="116"/>
        <v>10</v>
      </c>
      <c r="J623" s="119">
        <v>2</v>
      </c>
      <c r="K623" s="118">
        <f>'Monitoramento Acumulado Geral'!P623</f>
        <v>0</v>
      </c>
      <c r="L623" s="100">
        <f>$L614+L622</f>
        <v>1.6666666666666667</v>
      </c>
      <c r="M623" s="100">
        <f t="shared" si="123"/>
        <v>1</v>
      </c>
      <c r="N623" s="115"/>
      <c r="O623" s="116" t="e">
        <f t="shared" si="118"/>
        <v>#DIV/0!</v>
      </c>
      <c r="P623" s="115"/>
      <c r="Q623" s="116" t="e">
        <f t="shared" si="119"/>
        <v>#DIV/0!</v>
      </c>
      <c r="R623" s="115"/>
      <c r="S623" s="100" t="e">
        <f t="shared" si="120"/>
        <v>#DIV/0!</v>
      </c>
    </row>
    <row r="624" spans="1:19" ht="15" x14ac:dyDescent="0.2">
      <c r="A624" s="114" t="s">
        <v>109</v>
      </c>
      <c r="B624" s="100" t="s">
        <v>161</v>
      </c>
      <c r="C624" s="115">
        <v>6600</v>
      </c>
      <c r="D624" s="100">
        <f>(C624/12)*11</f>
        <v>6050</v>
      </c>
      <c r="E624" s="103">
        <f>'Monitoramento Acumulado Geral'!Q624</f>
        <v>0</v>
      </c>
      <c r="F624" s="100">
        <f>SUM(E614:E624)</f>
        <v>153</v>
      </c>
      <c r="G624" s="102" t="str">
        <f t="shared" si="117"/>
        <v>Farol Vermelho</v>
      </c>
      <c r="H624" s="116">
        <f t="shared" si="115"/>
        <v>5897</v>
      </c>
      <c r="I624" s="100">
        <f t="shared" si="116"/>
        <v>11</v>
      </c>
      <c r="J624" s="119">
        <v>2</v>
      </c>
      <c r="K624" s="118">
        <f>'Monitoramento Acumulado Geral'!P624</f>
        <v>0</v>
      </c>
      <c r="L624" s="100">
        <f>L614+L623</f>
        <v>1.8333333333333335</v>
      </c>
      <c r="M624" s="100">
        <f t="shared" si="123"/>
        <v>1</v>
      </c>
      <c r="N624" s="115"/>
      <c r="O624" s="116" t="e">
        <f t="shared" si="118"/>
        <v>#DIV/0!</v>
      </c>
      <c r="P624" s="115"/>
      <c r="Q624" s="116" t="e">
        <f t="shared" si="119"/>
        <v>#DIV/0!</v>
      </c>
      <c r="R624" s="115"/>
      <c r="S624" s="100" t="e">
        <f t="shared" si="120"/>
        <v>#DIV/0!</v>
      </c>
    </row>
    <row r="625" spans="1:19" ht="15" x14ac:dyDescent="0.2">
      <c r="A625" s="114" t="s">
        <v>109</v>
      </c>
      <c r="B625" s="100" t="s">
        <v>162</v>
      </c>
      <c r="C625" s="115">
        <v>6600</v>
      </c>
      <c r="D625" s="100">
        <f>(C625/12)*12</f>
        <v>6600</v>
      </c>
      <c r="E625" s="103">
        <f>'Monitoramento Acumulado Geral'!Q625</f>
        <v>0</v>
      </c>
      <c r="F625" s="100">
        <f>SUM(E614:E625)</f>
        <v>153</v>
      </c>
      <c r="G625" s="102" t="str">
        <f t="shared" si="117"/>
        <v>Farol Vermelho</v>
      </c>
      <c r="H625" s="116">
        <f t="shared" si="115"/>
        <v>6447</v>
      </c>
      <c r="I625" s="100">
        <f t="shared" si="116"/>
        <v>12</v>
      </c>
      <c r="J625" s="120">
        <v>2</v>
      </c>
      <c r="K625" s="118">
        <f>'Monitoramento Acumulado Geral'!P625</f>
        <v>0</v>
      </c>
      <c r="L625" s="100">
        <f>$L614+L624</f>
        <v>2</v>
      </c>
      <c r="M625" s="100">
        <f t="shared" si="123"/>
        <v>1</v>
      </c>
      <c r="N625" s="115"/>
      <c r="O625" s="116" t="e">
        <f t="shared" si="118"/>
        <v>#DIV/0!</v>
      </c>
      <c r="P625" s="115"/>
      <c r="Q625" s="116" t="e">
        <f t="shared" si="119"/>
        <v>#DIV/0!</v>
      </c>
      <c r="R625" s="115"/>
      <c r="S625" s="100" t="e">
        <f t="shared" si="120"/>
        <v>#DIV/0!</v>
      </c>
    </row>
    <row r="626" spans="1:19" ht="15" x14ac:dyDescent="0.2">
      <c r="A626" s="114" t="s">
        <v>111</v>
      </c>
      <c r="B626" s="100" t="s">
        <v>151</v>
      </c>
      <c r="C626" s="115">
        <v>0</v>
      </c>
      <c r="D626" s="100">
        <f>(C626/12)*1</f>
        <v>0</v>
      </c>
      <c r="E626" s="103">
        <f>'Monitoramento Acumulado Geral'!Q626</f>
        <v>0</v>
      </c>
      <c r="F626" s="100">
        <f>E626</f>
        <v>0</v>
      </c>
      <c r="G626" s="102" t="str">
        <f t="shared" si="117"/>
        <v>Farol Amarelo</v>
      </c>
      <c r="H626" s="116">
        <f t="shared" ref="H626:H637" si="124">IF(D626-F626&lt;0,0,D626-F626)</f>
        <v>0</v>
      </c>
      <c r="I626" s="100">
        <f t="shared" ref="I626:I637" si="125">_xlfn.IFS(B626="Janeiro",1,B626="Fevereiro",2,B626="Março",3,B626="Abril",4,B626="Maio",5,B626="Junho",6,B626="Julho",7,B626="Agosto",8,B626="Setembro",9,B626="Outubro",10,B626="Novembro",11,B626="Dezembro",12,TRUE,0)</f>
        <v>1</v>
      </c>
      <c r="J626" s="120">
        <v>0</v>
      </c>
      <c r="K626" s="118">
        <f>'Monitoramento Acumulado Geral'!P626</f>
        <v>0</v>
      </c>
      <c r="L626" s="100">
        <f>J626/12</f>
        <v>0</v>
      </c>
      <c r="M626" s="100">
        <f>K626</f>
        <v>0</v>
      </c>
      <c r="N626" s="115">
        <v>0</v>
      </c>
      <c r="O626" s="116" t="e">
        <f t="shared" si="118"/>
        <v>#DIV/0!</v>
      </c>
      <c r="P626" s="115">
        <v>0</v>
      </c>
      <c r="Q626" s="116" t="e">
        <f t="shared" si="119"/>
        <v>#DIV/0!</v>
      </c>
      <c r="R626" s="115">
        <v>0</v>
      </c>
      <c r="S626" s="100" t="e">
        <f t="shared" si="120"/>
        <v>#DIV/0!</v>
      </c>
    </row>
    <row r="627" spans="1:19" ht="15" x14ac:dyDescent="0.2">
      <c r="A627" s="114" t="s">
        <v>111</v>
      </c>
      <c r="B627" s="100" t="s">
        <v>152</v>
      </c>
      <c r="C627" s="115">
        <v>0</v>
      </c>
      <c r="D627" s="100">
        <f>(C627/12)*2</f>
        <v>0</v>
      </c>
      <c r="E627" s="103">
        <f>'Monitoramento Acumulado Geral'!Q627</f>
        <v>0</v>
      </c>
      <c r="F627" s="100">
        <f>SUM(E626:E627)</f>
        <v>0</v>
      </c>
      <c r="G627" s="102" t="str">
        <f t="shared" si="117"/>
        <v>Farol Amarelo</v>
      </c>
      <c r="H627" s="116">
        <f t="shared" si="124"/>
        <v>0</v>
      </c>
      <c r="I627" s="100">
        <f t="shared" si="125"/>
        <v>2</v>
      </c>
      <c r="J627" s="120">
        <v>0</v>
      </c>
      <c r="K627" s="118">
        <f>'Monitoramento Acumulado Geral'!P627</f>
        <v>0</v>
      </c>
      <c r="L627" s="100">
        <f>L626+L626</f>
        <v>0</v>
      </c>
      <c r="M627" s="100">
        <f>M626+K627</f>
        <v>0</v>
      </c>
      <c r="N627" s="115">
        <v>0</v>
      </c>
      <c r="O627" s="116" t="e">
        <f t="shared" si="118"/>
        <v>#DIV/0!</v>
      </c>
      <c r="P627" s="115">
        <v>0</v>
      </c>
      <c r="Q627" s="116" t="e">
        <f t="shared" si="119"/>
        <v>#DIV/0!</v>
      </c>
      <c r="R627" s="115">
        <v>0</v>
      </c>
      <c r="S627" s="100" t="e">
        <f t="shared" si="120"/>
        <v>#DIV/0!</v>
      </c>
    </row>
    <row r="628" spans="1:19" ht="15" x14ac:dyDescent="0.2">
      <c r="A628" s="114" t="s">
        <v>111</v>
      </c>
      <c r="B628" s="100" t="s">
        <v>153</v>
      </c>
      <c r="C628" s="115">
        <v>0</v>
      </c>
      <c r="D628" s="100">
        <f>(C628/12)*3</f>
        <v>0</v>
      </c>
      <c r="E628" s="103">
        <f>'Monitoramento Acumulado Geral'!Q628</f>
        <v>0</v>
      </c>
      <c r="F628" s="100">
        <f>SUM(E626:E628)</f>
        <v>0</v>
      </c>
      <c r="G628" s="102" t="str">
        <f t="shared" si="117"/>
        <v>Farol Amarelo</v>
      </c>
      <c r="H628" s="116">
        <f t="shared" si="124"/>
        <v>0</v>
      </c>
      <c r="I628" s="100">
        <f t="shared" si="125"/>
        <v>3</v>
      </c>
      <c r="J628" s="120">
        <v>0</v>
      </c>
      <c r="K628" s="118">
        <f>'Monitoramento Acumulado Geral'!P628</f>
        <v>0</v>
      </c>
      <c r="L628" s="100">
        <f>$L626+L627</f>
        <v>0</v>
      </c>
      <c r="M628" s="100">
        <f t="shared" ref="M628:M637" si="126">M627+K628</f>
        <v>0</v>
      </c>
      <c r="N628" s="115">
        <v>0</v>
      </c>
      <c r="O628" s="116" t="e">
        <f t="shared" si="118"/>
        <v>#DIV/0!</v>
      </c>
      <c r="P628" s="115">
        <v>0</v>
      </c>
      <c r="Q628" s="116" t="e">
        <f t="shared" si="119"/>
        <v>#DIV/0!</v>
      </c>
      <c r="R628" s="115">
        <v>0</v>
      </c>
      <c r="S628" s="100" t="e">
        <f t="shared" si="120"/>
        <v>#DIV/0!</v>
      </c>
    </row>
    <row r="629" spans="1:19" ht="15" x14ac:dyDescent="0.2">
      <c r="A629" s="114" t="s">
        <v>111</v>
      </c>
      <c r="B629" s="100" t="s">
        <v>154</v>
      </c>
      <c r="C629" s="115">
        <v>0</v>
      </c>
      <c r="D629" s="100">
        <f>(C629/12)*4</f>
        <v>0</v>
      </c>
      <c r="E629" s="103">
        <f>'Monitoramento Acumulado Geral'!Q629</f>
        <v>0</v>
      </c>
      <c r="F629" s="100">
        <f>SUM(E626:E629)</f>
        <v>0</v>
      </c>
      <c r="G629" s="102" t="str">
        <f t="shared" si="117"/>
        <v>Farol Amarelo</v>
      </c>
      <c r="H629" s="116">
        <f t="shared" si="124"/>
        <v>0</v>
      </c>
      <c r="I629" s="100">
        <f t="shared" si="125"/>
        <v>4</v>
      </c>
      <c r="J629" s="120">
        <v>0</v>
      </c>
      <c r="K629" s="118">
        <f>'Monitoramento Acumulado Geral'!P629</f>
        <v>0</v>
      </c>
      <c r="L629" s="100">
        <f>$L626+L628</f>
        <v>0</v>
      </c>
      <c r="M629" s="100">
        <f t="shared" si="126"/>
        <v>0</v>
      </c>
      <c r="N629" s="115">
        <v>0</v>
      </c>
      <c r="O629" s="116" t="e">
        <f t="shared" si="118"/>
        <v>#DIV/0!</v>
      </c>
      <c r="P629" s="115">
        <v>0</v>
      </c>
      <c r="Q629" s="116" t="e">
        <f t="shared" si="119"/>
        <v>#DIV/0!</v>
      </c>
      <c r="R629" s="115">
        <v>0</v>
      </c>
      <c r="S629" s="100" t="e">
        <f t="shared" si="120"/>
        <v>#DIV/0!</v>
      </c>
    </row>
    <row r="630" spans="1:19" ht="15" x14ac:dyDescent="0.2">
      <c r="A630" s="114" t="s">
        <v>111</v>
      </c>
      <c r="B630" s="100" t="s">
        <v>155</v>
      </c>
      <c r="C630" s="115">
        <v>0</v>
      </c>
      <c r="D630" s="100">
        <f>(C630/12)*5</f>
        <v>0</v>
      </c>
      <c r="E630" s="103">
        <f>'Monitoramento Acumulado Geral'!Q630</f>
        <v>3045</v>
      </c>
      <c r="F630" s="100">
        <f>SUM(E626:E630)</f>
        <v>3045</v>
      </c>
      <c r="G630" s="102" t="str">
        <f t="shared" si="117"/>
        <v>Farol Verde</v>
      </c>
      <c r="H630" s="116">
        <f t="shared" si="124"/>
        <v>0</v>
      </c>
      <c r="I630" s="100">
        <f t="shared" si="125"/>
        <v>5</v>
      </c>
      <c r="J630" s="120">
        <v>0</v>
      </c>
      <c r="K630" s="118">
        <f>'Monitoramento Acumulado Geral'!P630</f>
        <v>2</v>
      </c>
      <c r="L630" s="100">
        <f>L626+L629</f>
        <v>0</v>
      </c>
      <c r="M630" s="100">
        <f t="shared" si="126"/>
        <v>2</v>
      </c>
      <c r="N630" s="115">
        <v>0</v>
      </c>
      <c r="O630" s="116" t="e">
        <f t="shared" si="118"/>
        <v>#DIV/0!</v>
      </c>
      <c r="P630" s="115">
        <v>0</v>
      </c>
      <c r="Q630" s="116" t="e">
        <f t="shared" si="119"/>
        <v>#DIV/0!</v>
      </c>
      <c r="R630" s="115">
        <v>0</v>
      </c>
      <c r="S630" s="100" t="e">
        <f t="shared" si="120"/>
        <v>#DIV/0!</v>
      </c>
    </row>
    <row r="631" spans="1:19" ht="15" x14ac:dyDescent="0.2">
      <c r="A631" s="114" t="s">
        <v>111</v>
      </c>
      <c r="B631" s="100" t="s">
        <v>156</v>
      </c>
      <c r="C631" s="115">
        <v>0</v>
      </c>
      <c r="D631" s="100">
        <f>(C631/12)*6</f>
        <v>0</v>
      </c>
      <c r="E631" s="103">
        <f>'Monitoramento Acumulado Geral'!Q631</f>
        <v>2174.89</v>
      </c>
      <c r="F631" s="100">
        <f>SUM(E626:E631)</f>
        <v>5219.8899999999994</v>
      </c>
      <c r="G631" s="102" t="str">
        <f t="shared" si="117"/>
        <v>Farol Verde</v>
      </c>
      <c r="H631" s="116">
        <f t="shared" si="124"/>
        <v>0</v>
      </c>
      <c r="I631" s="100">
        <f t="shared" si="125"/>
        <v>6</v>
      </c>
      <c r="J631" s="120">
        <v>0</v>
      </c>
      <c r="K631" s="118">
        <f>'Monitoramento Acumulado Geral'!P631</f>
        <v>1</v>
      </c>
      <c r="L631" s="100">
        <f>$L626+L630</f>
        <v>0</v>
      </c>
      <c r="M631" s="100">
        <f t="shared" si="126"/>
        <v>3</v>
      </c>
      <c r="N631" s="115">
        <v>10</v>
      </c>
      <c r="O631" s="116">
        <f t="shared" si="118"/>
        <v>0.3</v>
      </c>
      <c r="P631" s="115">
        <v>3</v>
      </c>
      <c r="Q631" s="116">
        <f t="shared" si="119"/>
        <v>0</v>
      </c>
      <c r="R631" s="115">
        <v>0</v>
      </c>
      <c r="S631" s="100">
        <f t="shared" si="120"/>
        <v>0</v>
      </c>
    </row>
    <row r="632" spans="1:19" ht="15" x14ac:dyDescent="0.2">
      <c r="A632" s="114" t="s">
        <v>111</v>
      </c>
      <c r="B632" s="100" t="s">
        <v>157</v>
      </c>
      <c r="C632" s="115">
        <v>0</v>
      </c>
      <c r="D632" s="100">
        <f>(C632/12)*7</f>
        <v>0</v>
      </c>
      <c r="E632" s="103">
        <f>'Monitoramento Acumulado Geral'!Q632</f>
        <v>1</v>
      </c>
      <c r="F632" s="100">
        <f>SUM(E626:E632)</f>
        <v>5220.8899999999994</v>
      </c>
      <c r="G632" s="102" t="str">
        <f t="shared" si="117"/>
        <v>Farol Verde</v>
      </c>
      <c r="H632" s="116">
        <f t="shared" si="124"/>
        <v>0</v>
      </c>
      <c r="I632" s="100">
        <f t="shared" si="125"/>
        <v>7</v>
      </c>
      <c r="J632" s="120">
        <v>0</v>
      </c>
      <c r="K632" s="118">
        <f>'Monitoramento Acumulado Geral'!P632</f>
        <v>1</v>
      </c>
      <c r="L632" s="100">
        <f>$L626+L631</f>
        <v>0</v>
      </c>
      <c r="M632" s="100">
        <f t="shared" si="126"/>
        <v>4</v>
      </c>
      <c r="N632" s="115"/>
      <c r="O632" s="116" t="e">
        <f t="shared" si="118"/>
        <v>#DIV/0!</v>
      </c>
      <c r="P632" s="115"/>
      <c r="Q632" s="116" t="e">
        <f t="shared" si="119"/>
        <v>#DIV/0!</v>
      </c>
      <c r="R632" s="115"/>
      <c r="S632" s="100" t="e">
        <f t="shared" si="120"/>
        <v>#DIV/0!</v>
      </c>
    </row>
    <row r="633" spans="1:19" ht="15" x14ac:dyDescent="0.2">
      <c r="A633" s="114" t="s">
        <v>111</v>
      </c>
      <c r="B633" s="100" t="s">
        <v>158</v>
      </c>
      <c r="C633" s="115">
        <v>0</v>
      </c>
      <c r="D633" s="100">
        <f>(C633/12)*8</f>
        <v>0</v>
      </c>
      <c r="E633" s="103">
        <f>'Monitoramento Acumulado Geral'!Q633</f>
        <v>3860</v>
      </c>
      <c r="F633" s="100">
        <f>SUM(E626:E633)</f>
        <v>9080.89</v>
      </c>
      <c r="G633" s="102" t="str">
        <f t="shared" si="117"/>
        <v>Farol Verde</v>
      </c>
      <c r="H633" s="116">
        <f t="shared" si="124"/>
        <v>0</v>
      </c>
      <c r="I633" s="100">
        <f t="shared" si="125"/>
        <v>8</v>
      </c>
      <c r="J633" s="120">
        <v>0</v>
      </c>
      <c r="K633" s="118">
        <f>'Monitoramento Acumulado Geral'!P633</f>
        <v>2</v>
      </c>
      <c r="L633" s="100">
        <f>L626+L632</f>
        <v>0</v>
      </c>
      <c r="M633" s="100">
        <f t="shared" si="126"/>
        <v>6</v>
      </c>
      <c r="N633" s="115"/>
      <c r="O633" s="116" t="e">
        <f t="shared" si="118"/>
        <v>#DIV/0!</v>
      </c>
      <c r="P633" s="115"/>
      <c r="Q633" s="116" t="e">
        <f t="shared" si="119"/>
        <v>#DIV/0!</v>
      </c>
      <c r="R633" s="115"/>
      <c r="S633" s="100" t="e">
        <f t="shared" si="120"/>
        <v>#DIV/0!</v>
      </c>
    </row>
    <row r="634" spans="1:19" ht="15" x14ac:dyDescent="0.2">
      <c r="A634" s="114" t="s">
        <v>111</v>
      </c>
      <c r="B634" s="100" t="s">
        <v>159</v>
      </c>
      <c r="C634" s="115">
        <v>0</v>
      </c>
      <c r="D634" s="100">
        <f>(C634/12)*9</f>
        <v>0</v>
      </c>
      <c r="E634" s="103">
        <f>'Monitoramento Acumulado Geral'!Q634</f>
        <v>2650</v>
      </c>
      <c r="F634" s="100">
        <f>SUM(E626:E634)</f>
        <v>11730.89</v>
      </c>
      <c r="G634" s="102" t="str">
        <f t="shared" si="117"/>
        <v>Farol Verde</v>
      </c>
      <c r="H634" s="116">
        <f t="shared" si="124"/>
        <v>0</v>
      </c>
      <c r="I634" s="100">
        <f t="shared" si="125"/>
        <v>9</v>
      </c>
      <c r="J634" s="120">
        <v>0</v>
      </c>
      <c r="K634" s="118">
        <f>'Monitoramento Acumulado Geral'!P634</f>
        <v>2</v>
      </c>
      <c r="L634" s="100">
        <f>$L626+L633</f>
        <v>0</v>
      </c>
      <c r="M634" s="100">
        <f t="shared" si="126"/>
        <v>8</v>
      </c>
      <c r="N634" s="115"/>
      <c r="O634" s="116" t="e">
        <f t="shared" si="118"/>
        <v>#DIV/0!</v>
      </c>
      <c r="P634" s="115"/>
      <c r="Q634" s="116" t="e">
        <f t="shared" si="119"/>
        <v>#DIV/0!</v>
      </c>
      <c r="R634" s="115"/>
      <c r="S634" s="100" t="e">
        <f t="shared" si="120"/>
        <v>#DIV/0!</v>
      </c>
    </row>
    <row r="635" spans="1:19" ht="15" x14ac:dyDescent="0.2">
      <c r="A635" s="114" t="s">
        <v>111</v>
      </c>
      <c r="B635" s="100" t="s">
        <v>160</v>
      </c>
      <c r="C635" s="115">
        <v>0</v>
      </c>
      <c r="D635" s="100">
        <f>(C635/12)*10</f>
        <v>0</v>
      </c>
      <c r="E635" s="103">
        <f>'Monitoramento Acumulado Geral'!Q635</f>
        <v>0</v>
      </c>
      <c r="F635" s="100">
        <f>SUM(E626:E635)</f>
        <v>11730.89</v>
      </c>
      <c r="G635" s="102" t="str">
        <f t="shared" si="117"/>
        <v>Farol Verde</v>
      </c>
      <c r="H635" s="116">
        <f t="shared" si="124"/>
        <v>0</v>
      </c>
      <c r="I635" s="100">
        <f t="shared" si="125"/>
        <v>10</v>
      </c>
      <c r="J635" s="120">
        <v>0</v>
      </c>
      <c r="K635" s="118">
        <f>'Monitoramento Acumulado Geral'!P635</f>
        <v>0</v>
      </c>
      <c r="L635" s="100">
        <f>$L626+L634</f>
        <v>0</v>
      </c>
      <c r="M635" s="100">
        <f t="shared" si="126"/>
        <v>8</v>
      </c>
      <c r="N635" s="115"/>
      <c r="O635" s="116" t="e">
        <f t="shared" si="118"/>
        <v>#DIV/0!</v>
      </c>
      <c r="P635" s="115"/>
      <c r="Q635" s="116" t="e">
        <f t="shared" si="119"/>
        <v>#DIV/0!</v>
      </c>
      <c r="R635" s="115"/>
      <c r="S635" s="100" t="e">
        <f t="shared" si="120"/>
        <v>#DIV/0!</v>
      </c>
    </row>
    <row r="636" spans="1:19" ht="15" x14ac:dyDescent="0.2">
      <c r="A636" s="114" t="s">
        <v>111</v>
      </c>
      <c r="B636" s="100" t="s">
        <v>161</v>
      </c>
      <c r="C636" s="115">
        <v>0</v>
      </c>
      <c r="D636" s="100">
        <f>(C636/12)*11</f>
        <v>0</v>
      </c>
      <c r="E636" s="103">
        <f>'Monitoramento Acumulado Geral'!Q636</f>
        <v>0</v>
      </c>
      <c r="F636" s="100">
        <f>SUM(E626:E636)</f>
        <v>11730.89</v>
      </c>
      <c r="G636" s="102" t="str">
        <f t="shared" si="117"/>
        <v>Farol Verde</v>
      </c>
      <c r="H636" s="116">
        <f t="shared" si="124"/>
        <v>0</v>
      </c>
      <c r="I636" s="100">
        <f t="shared" si="125"/>
        <v>11</v>
      </c>
      <c r="J636" s="120">
        <v>0</v>
      </c>
      <c r="K636" s="118">
        <f>'Monitoramento Acumulado Geral'!P636</f>
        <v>0</v>
      </c>
      <c r="L636" s="100">
        <f>L626+L635</f>
        <v>0</v>
      </c>
      <c r="M636" s="100">
        <f t="shared" si="126"/>
        <v>8</v>
      </c>
      <c r="N636" s="115"/>
      <c r="O636" s="116" t="e">
        <f t="shared" si="118"/>
        <v>#DIV/0!</v>
      </c>
      <c r="P636" s="115"/>
      <c r="Q636" s="116" t="e">
        <f t="shared" si="119"/>
        <v>#DIV/0!</v>
      </c>
      <c r="R636" s="115"/>
      <c r="S636" s="100" t="e">
        <f t="shared" si="120"/>
        <v>#DIV/0!</v>
      </c>
    </row>
    <row r="637" spans="1:19" ht="15" x14ac:dyDescent="0.2">
      <c r="A637" s="114" t="s">
        <v>111</v>
      </c>
      <c r="B637" s="100" t="s">
        <v>162</v>
      </c>
      <c r="C637" s="115">
        <v>0</v>
      </c>
      <c r="D637" s="100">
        <f>(C637/12)*12</f>
        <v>0</v>
      </c>
      <c r="E637" s="103">
        <f>'Monitoramento Acumulado Geral'!Q637</f>
        <v>0</v>
      </c>
      <c r="F637" s="100">
        <f>SUM(E626:E637)</f>
        <v>11730.89</v>
      </c>
      <c r="G637" s="102" t="str">
        <f t="shared" si="117"/>
        <v>Farol Verde</v>
      </c>
      <c r="H637" s="116">
        <f t="shared" si="124"/>
        <v>0</v>
      </c>
      <c r="I637" s="100">
        <f t="shared" si="125"/>
        <v>12</v>
      </c>
      <c r="J637" s="120">
        <v>0</v>
      </c>
      <c r="K637" s="118">
        <f>'Monitoramento Acumulado Geral'!P637</f>
        <v>0</v>
      </c>
      <c r="L637" s="100">
        <f>$L626+L636</f>
        <v>0</v>
      </c>
      <c r="M637" s="100">
        <f t="shared" si="126"/>
        <v>8</v>
      </c>
      <c r="N637" s="115"/>
      <c r="O637" s="116" t="e">
        <f t="shared" si="118"/>
        <v>#DIV/0!</v>
      </c>
      <c r="P637" s="115"/>
      <c r="Q637" s="116" t="e">
        <f t="shared" si="119"/>
        <v>#DIV/0!</v>
      </c>
      <c r="R637" s="115"/>
      <c r="S637" s="100" t="e">
        <f t="shared" si="120"/>
        <v>#DIV/0!</v>
      </c>
    </row>
    <row r="638" spans="1:19" ht="15" x14ac:dyDescent="0.2">
      <c r="A638" s="114" t="s">
        <v>96</v>
      </c>
      <c r="B638" s="100" t="s">
        <v>151</v>
      </c>
      <c r="C638" s="115">
        <v>30000</v>
      </c>
      <c r="D638" s="100">
        <f>(C638/12)*1</f>
        <v>2500</v>
      </c>
      <c r="E638" s="103">
        <f>'Monitoramento Acumulado Geral'!Q638</f>
        <v>0</v>
      </c>
      <c r="F638" s="100">
        <f>E638</f>
        <v>0</v>
      </c>
      <c r="G638" s="102" t="str">
        <f t="shared" si="117"/>
        <v>Farol Vermelho</v>
      </c>
      <c r="H638" s="116">
        <f t="shared" si="115"/>
        <v>2500</v>
      </c>
      <c r="I638" s="100">
        <f t="shared" si="116"/>
        <v>1</v>
      </c>
      <c r="J638" s="119">
        <v>12</v>
      </c>
      <c r="K638" s="118">
        <f>'Monitoramento Acumulado Geral'!P638</f>
        <v>0</v>
      </c>
      <c r="L638" s="100">
        <f>J638/12</f>
        <v>1</v>
      </c>
      <c r="M638" s="100">
        <f>K638</f>
        <v>0</v>
      </c>
      <c r="N638" s="115">
        <v>0</v>
      </c>
      <c r="O638" s="116" t="e">
        <f t="shared" si="118"/>
        <v>#DIV/0!</v>
      </c>
      <c r="P638" s="115">
        <v>0</v>
      </c>
      <c r="Q638" s="116" t="e">
        <f t="shared" si="119"/>
        <v>#DIV/0!</v>
      </c>
      <c r="R638" s="115">
        <v>0</v>
      </c>
      <c r="S638" s="100" t="e">
        <f t="shared" si="120"/>
        <v>#DIV/0!</v>
      </c>
    </row>
    <row r="639" spans="1:19" ht="15" x14ac:dyDescent="0.2">
      <c r="A639" s="114" t="s">
        <v>96</v>
      </c>
      <c r="B639" s="100" t="s">
        <v>152</v>
      </c>
      <c r="C639" s="115">
        <v>30000</v>
      </c>
      <c r="D639" s="100">
        <f>(C639/12)*2</f>
        <v>5000</v>
      </c>
      <c r="E639" s="103">
        <f>'Monitoramento Acumulado Geral'!Q639</f>
        <v>0</v>
      </c>
      <c r="F639" s="100">
        <f>SUM(E638:E639)</f>
        <v>0</v>
      </c>
      <c r="G639" s="102" t="str">
        <f t="shared" si="117"/>
        <v>Farol Vermelho</v>
      </c>
      <c r="H639" s="116">
        <f t="shared" si="115"/>
        <v>5000</v>
      </c>
      <c r="I639" s="100">
        <f t="shared" si="116"/>
        <v>2</v>
      </c>
      <c r="J639" s="119">
        <v>12</v>
      </c>
      <c r="K639" s="118">
        <f>'Monitoramento Acumulado Geral'!P639</f>
        <v>0</v>
      </c>
      <c r="L639" s="100">
        <f>L638+L638</f>
        <v>2</v>
      </c>
      <c r="M639" s="100">
        <f>M638+K639</f>
        <v>0</v>
      </c>
      <c r="N639" s="115">
        <v>0</v>
      </c>
      <c r="O639" s="116" t="e">
        <f t="shared" si="118"/>
        <v>#DIV/0!</v>
      </c>
      <c r="P639" s="115">
        <v>0</v>
      </c>
      <c r="Q639" s="116" t="e">
        <f t="shared" si="119"/>
        <v>#DIV/0!</v>
      </c>
      <c r="R639" s="115">
        <v>0</v>
      </c>
      <c r="S639" s="100" t="e">
        <f t="shared" si="120"/>
        <v>#DIV/0!</v>
      </c>
    </row>
    <row r="640" spans="1:19" ht="15" x14ac:dyDescent="0.2">
      <c r="A640" s="114" t="s">
        <v>96</v>
      </c>
      <c r="B640" s="100" t="s">
        <v>153</v>
      </c>
      <c r="C640" s="115">
        <v>30000</v>
      </c>
      <c r="D640" s="100">
        <f>(C640/12)*3</f>
        <v>7500</v>
      </c>
      <c r="E640" s="103">
        <f>'Monitoramento Acumulado Geral'!Q640</f>
        <v>0</v>
      </c>
      <c r="F640" s="100">
        <f>SUM(E638:E640)</f>
        <v>0</v>
      </c>
      <c r="G640" s="102" t="str">
        <f t="shared" si="117"/>
        <v>Farol Vermelho</v>
      </c>
      <c r="H640" s="116">
        <f t="shared" si="115"/>
        <v>7500</v>
      </c>
      <c r="I640" s="100">
        <f t="shared" si="116"/>
        <v>3</v>
      </c>
      <c r="J640" s="119">
        <v>12</v>
      </c>
      <c r="K640" s="118">
        <f>'Monitoramento Acumulado Geral'!P640</f>
        <v>0</v>
      </c>
      <c r="L640" s="100">
        <f>$L638+L639</f>
        <v>3</v>
      </c>
      <c r="M640" s="100">
        <f t="shared" ref="M640:M649" si="127">M639+K640</f>
        <v>0</v>
      </c>
      <c r="N640" s="115">
        <v>0</v>
      </c>
      <c r="O640" s="116" t="e">
        <f t="shared" si="118"/>
        <v>#DIV/0!</v>
      </c>
      <c r="P640" s="115">
        <v>0</v>
      </c>
      <c r="Q640" s="116" t="e">
        <f t="shared" si="119"/>
        <v>#DIV/0!</v>
      </c>
      <c r="R640" s="115">
        <v>0</v>
      </c>
      <c r="S640" s="100" t="e">
        <f t="shared" si="120"/>
        <v>#DIV/0!</v>
      </c>
    </row>
    <row r="641" spans="1:19" ht="15" x14ac:dyDescent="0.2">
      <c r="A641" s="114" t="s">
        <v>96</v>
      </c>
      <c r="B641" s="100" t="s">
        <v>154</v>
      </c>
      <c r="C641" s="115">
        <v>30000</v>
      </c>
      <c r="D641" s="100">
        <f>(C641/12)*4</f>
        <v>10000</v>
      </c>
      <c r="E641" s="103">
        <f>'Monitoramento Acumulado Geral'!Q641</f>
        <v>0</v>
      </c>
      <c r="F641" s="100">
        <f>SUM(E638:E641)</f>
        <v>0</v>
      </c>
      <c r="G641" s="102" t="str">
        <f t="shared" si="117"/>
        <v>Farol Vermelho</v>
      </c>
      <c r="H641" s="116">
        <f t="shared" si="115"/>
        <v>10000</v>
      </c>
      <c r="I641" s="100">
        <f t="shared" si="116"/>
        <v>4</v>
      </c>
      <c r="J641" s="119">
        <v>12</v>
      </c>
      <c r="K641" s="118">
        <f>'Monitoramento Acumulado Geral'!P641</f>
        <v>0</v>
      </c>
      <c r="L641" s="100">
        <f>$L638+L640</f>
        <v>4</v>
      </c>
      <c r="M641" s="100">
        <f t="shared" si="127"/>
        <v>0</v>
      </c>
      <c r="N641" s="115">
        <v>0</v>
      </c>
      <c r="O641" s="116" t="e">
        <f t="shared" si="118"/>
        <v>#DIV/0!</v>
      </c>
      <c r="P641" s="115">
        <v>0</v>
      </c>
      <c r="Q641" s="116" t="e">
        <f t="shared" si="119"/>
        <v>#DIV/0!</v>
      </c>
      <c r="R641" s="115">
        <v>0</v>
      </c>
      <c r="S641" s="100" t="e">
        <f t="shared" si="120"/>
        <v>#DIV/0!</v>
      </c>
    </row>
    <row r="642" spans="1:19" ht="15" x14ac:dyDescent="0.2">
      <c r="A642" s="114" t="s">
        <v>96</v>
      </c>
      <c r="B642" s="100" t="s">
        <v>155</v>
      </c>
      <c r="C642" s="115">
        <v>30000</v>
      </c>
      <c r="D642" s="100">
        <f>(C642/12)*5</f>
        <v>12500</v>
      </c>
      <c r="E642" s="103">
        <f>'Monitoramento Acumulado Geral'!Q642</f>
        <v>5640</v>
      </c>
      <c r="F642" s="100">
        <f>SUM(E638:E642)</f>
        <v>5640</v>
      </c>
      <c r="G642" s="102" t="str">
        <f t="shared" si="117"/>
        <v>Farol Vermelho</v>
      </c>
      <c r="H642" s="116">
        <f t="shared" si="115"/>
        <v>6860</v>
      </c>
      <c r="I642" s="100">
        <f t="shared" si="116"/>
        <v>5</v>
      </c>
      <c r="J642" s="119">
        <v>12</v>
      </c>
      <c r="K642" s="118">
        <f>'Monitoramento Acumulado Geral'!P642</f>
        <v>3</v>
      </c>
      <c r="L642" s="100">
        <f>L638+L641</f>
        <v>5</v>
      </c>
      <c r="M642" s="100">
        <f t="shared" si="127"/>
        <v>3</v>
      </c>
      <c r="N642" s="115">
        <v>0</v>
      </c>
      <c r="O642" s="116" t="e">
        <f t="shared" si="118"/>
        <v>#DIV/0!</v>
      </c>
      <c r="P642" s="115">
        <v>0</v>
      </c>
      <c r="Q642" s="116" t="e">
        <f t="shared" si="119"/>
        <v>#DIV/0!</v>
      </c>
      <c r="R642" s="115">
        <v>0</v>
      </c>
      <c r="S642" s="100" t="e">
        <f t="shared" si="120"/>
        <v>#DIV/0!</v>
      </c>
    </row>
    <row r="643" spans="1:19" ht="15" x14ac:dyDescent="0.2">
      <c r="A643" s="114" t="s">
        <v>96</v>
      </c>
      <c r="B643" s="100" t="s">
        <v>156</v>
      </c>
      <c r="C643" s="115">
        <v>30000</v>
      </c>
      <c r="D643" s="100">
        <f>(C643/12)*6</f>
        <v>15000</v>
      </c>
      <c r="E643" s="103">
        <f>'Monitoramento Acumulado Geral'!Q643</f>
        <v>0</v>
      </c>
      <c r="F643" s="100">
        <f>SUM(E638:E643)</f>
        <v>5640</v>
      </c>
      <c r="G643" s="102" t="str">
        <f t="shared" si="117"/>
        <v>Farol Vermelho</v>
      </c>
      <c r="H643" s="116">
        <f t="shared" si="115"/>
        <v>9360</v>
      </c>
      <c r="I643" s="100">
        <f t="shared" si="116"/>
        <v>6</v>
      </c>
      <c r="J643" s="119">
        <v>12</v>
      </c>
      <c r="K643" s="118">
        <f>'Monitoramento Acumulado Geral'!P643</f>
        <v>0</v>
      </c>
      <c r="L643" s="100">
        <f>$L638+L642</f>
        <v>6</v>
      </c>
      <c r="M643" s="100">
        <f t="shared" si="127"/>
        <v>3</v>
      </c>
      <c r="N643" s="115"/>
      <c r="O643" s="116" t="e">
        <f t="shared" si="118"/>
        <v>#DIV/0!</v>
      </c>
      <c r="P643" s="115"/>
      <c r="Q643" s="116" t="e">
        <f t="shared" si="119"/>
        <v>#DIV/0!</v>
      </c>
      <c r="R643" s="115"/>
      <c r="S643" s="100" t="e">
        <f t="shared" si="120"/>
        <v>#DIV/0!</v>
      </c>
    </row>
    <row r="644" spans="1:19" ht="15" x14ac:dyDescent="0.2">
      <c r="A644" s="114" t="s">
        <v>96</v>
      </c>
      <c r="B644" s="100" t="s">
        <v>157</v>
      </c>
      <c r="C644" s="115">
        <v>30000</v>
      </c>
      <c r="D644" s="100">
        <f>(C644/12)*7</f>
        <v>17500</v>
      </c>
      <c r="E644" s="103">
        <f>'Monitoramento Acumulado Geral'!Q644</f>
        <v>0</v>
      </c>
      <c r="F644" s="100">
        <f>SUM(E638:E644)</f>
        <v>5640</v>
      </c>
      <c r="G644" s="102" t="str">
        <f t="shared" si="117"/>
        <v>Farol Vermelho</v>
      </c>
      <c r="H644" s="116">
        <f t="shared" si="115"/>
        <v>11860</v>
      </c>
      <c r="I644" s="100">
        <f t="shared" si="116"/>
        <v>7</v>
      </c>
      <c r="J644" s="119">
        <v>12</v>
      </c>
      <c r="K644" s="118">
        <f>'Monitoramento Acumulado Geral'!P644</f>
        <v>0</v>
      </c>
      <c r="L644" s="100">
        <f>$L638+L643</f>
        <v>7</v>
      </c>
      <c r="M644" s="100">
        <f t="shared" si="127"/>
        <v>3</v>
      </c>
      <c r="N644" s="115"/>
      <c r="O644" s="116" t="e">
        <f t="shared" si="118"/>
        <v>#DIV/0!</v>
      </c>
      <c r="P644" s="115"/>
      <c r="Q644" s="116" t="e">
        <f t="shared" si="119"/>
        <v>#DIV/0!</v>
      </c>
      <c r="R644" s="115"/>
      <c r="S644" s="100" t="e">
        <f t="shared" si="120"/>
        <v>#DIV/0!</v>
      </c>
    </row>
    <row r="645" spans="1:19" ht="15" x14ac:dyDescent="0.2">
      <c r="A645" s="114" t="s">
        <v>96</v>
      </c>
      <c r="B645" s="100" t="s">
        <v>158</v>
      </c>
      <c r="C645" s="115">
        <v>30000</v>
      </c>
      <c r="D645" s="100">
        <f>(C645/12)*8</f>
        <v>20000</v>
      </c>
      <c r="E645" s="103">
        <f>'Monitoramento Acumulado Geral'!Q645</f>
        <v>1000</v>
      </c>
      <c r="F645" s="100">
        <f>SUM(E638:E645)</f>
        <v>6640</v>
      </c>
      <c r="G645" s="102" t="str">
        <f t="shared" si="117"/>
        <v>Farol Vermelho</v>
      </c>
      <c r="H645" s="116">
        <f t="shared" si="115"/>
        <v>13360</v>
      </c>
      <c r="I645" s="100">
        <f t="shared" si="116"/>
        <v>8</v>
      </c>
      <c r="J645" s="119">
        <v>12</v>
      </c>
      <c r="K645" s="118">
        <f>'Monitoramento Acumulado Geral'!P645</f>
        <v>1</v>
      </c>
      <c r="L645" s="100">
        <f>L638+L644</f>
        <v>8</v>
      </c>
      <c r="M645" s="100">
        <f t="shared" si="127"/>
        <v>4</v>
      </c>
      <c r="N645" s="115"/>
      <c r="O645" s="116" t="e">
        <f t="shared" si="118"/>
        <v>#DIV/0!</v>
      </c>
      <c r="P645" s="115"/>
      <c r="Q645" s="116" t="e">
        <f t="shared" si="119"/>
        <v>#DIV/0!</v>
      </c>
      <c r="R645" s="115"/>
      <c r="S645" s="100" t="e">
        <f t="shared" si="120"/>
        <v>#DIV/0!</v>
      </c>
    </row>
    <row r="646" spans="1:19" ht="15" x14ac:dyDescent="0.2">
      <c r="A646" s="114" t="s">
        <v>96</v>
      </c>
      <c r="B646" s="100" t="s">
        <v>159</v>
      </c>
      <c r="C646" s="115">
        <v>30000</v>
      </c>
      <c r="D646" s="100">
        <f>(C646/12)*9</f>
        <v>22500</v>
      </c>
      <c r="E646" s="103">
        <f>'Monitoramento Acumulado Geral'!Q646</f>
        <v>0</v>
      </c>
      <c r="F646" s="100">
        <f>SUM(E638:E646)</f>
        <v>6640</v>
      </c>
      <c r="G646" s="102" t="str">
        <f t="shared" si="117"/>
        <v>Farol Vermelho</v>
      </c>
      <c r="H646" s="116">
        <f t="shared" si="115"/>
        <v>15860</v>
      </c>
      <c r="I646" s="100">
        <f t="shared" si="116"/>
        <v>9</v>
      </c>
      <c r="J646" s="119">
        <v>12</v>
      </c>
      <c r="K646" s="118">
        <f>'Monitoramento Acumulado Geral'!P646</f>
        <v>0</v>
      </c>
      <c r="L646" s="100">
        <f>$L638+L645</f>
        <v>9</v>
      </c>
      <c r="M646" s="100">
        <f t="shared" si="127"/>
        <v>4</v>
      </c>
      <c r="N646" s="115"/>
      <c r="O646" s="116" t="e">
        <f t="shared" si="118"/>
        <v>#DIV/0!</v>
      </c>
      <c r="P646" s="115"/>
      <c r="Q646" s="116" t="e">
        <f t="shared" si="119"/>
        <v>#DIV/0!</v>
      </c>
      <c r="R646" s="115"/>
      <c r="S646" s="100" t="e">
        <f t="shared" si="120"/>
        <v>#DIV/0!</v>
      </c>
    </row>
    <row r="647" spans="1:19" ht="15" x14ac:dyDescent="0.2">
      <c r="A647" s="114" t="s">
        <v>96</v>
      </c>
      <c r="B647" s="100" t="s">
        <v>160</v>
      </c>
      <c r="C647" s="115">
        <v>30000</v>
      </c>
      <c r="D647" s="100">
        <f>(C647/12)*10</f>
        <v>25000</v>
      </c>
      <c r="E647" s="103">
        <f>'Monitoramento Acumulado Geral'!Q647</f>
        <v>0</v>
      </c>
      <c r="F647" s="100">
        <f>SUM(E638:E647)</f>
        <v>6640</v>
      </c>
      <c r="G647" s="102" t="str">
        <f t="shared" si="117"/>
        <v>Farol Vermelho</v>
      </c>
      <c r="H647" s="116">
        <f t="shared" si="115"/>
        <v>18360</v>
      </c>
      <c r="I647" s="100">
        <f t="shared" si="116"/>
        <v>10</v>
      </c>
      <c r="J647" s="119">
        <v>12</v>
      </c>
      <c r="K647" s="118">
        <f>'Monitoramento Acumulado Geral'!P647</f>
        <v>0</v>
      </c>
      <c r="L647" s="100">
        <f>$L638+L646</f>
        <v>10</v>
      </c>
      <c r="M647" s="100">
        <f t="shared" si="127"/>
        <v>4</v>
      </c>
      <c r="N647" s="115"/>
      <c r="O647" s="116" t="e">
        <f t="shared" si="118"/>
        <v>#DIV/0!</v>
      </c>
      <c r="P647" s="115"/>
      <c r="Q647" s="116" t="e">
        <f t="shared" si="119"/>
        <v>#DIV/0!</v>
      </c>
      <c r="R647" s="115"/>
      <c r="S647" s="100" t="e">
        <f t="shared" si="120"/>
        <v>#DIV/0!</v>
      </c>
    </row>
    <row r="648" spans="1:19" ht="15" x14ac:dyDescent="0.2">
      <c r="A648" s="114" t="s">
        <v>96</v>
      </c>
      <c r="B648" s="100" t="s">
        <v>161</v>
      </c>
      <c r="C648" s="115">
        <v>30000</v>
      </c>
      <c r="D648" s="100">
        <f>(C648/12)*11</f>
        <v>27500</v>
      </c>
      <c r="E648" s="103">
        <f>'Monitoramento Acumulado Geral'!Q648</f>
        <v>0</v>
      </c>
      <c r="F648" s="100">
        <f>SUM(E638:E648)</f>
        <v>6640</v>
      </c>
      <c r="G648" s="102" t="str">
        <f t="shared" si="117"/>
        <v>Farol Vermelho</v>
      </c>
      <c r="H648" s="116">
        <f t="shared" si="115"/>
        <v>20860</v>
      </c>
      <c r="I648" s="100">
        <f t="shared" si="116"/>
        <v>11</v>
      </c>
      <c r="J648" s="119">
        <v>12</v>
      </c>
      <c r="K648" s="118">
        <f>'Monitoramento Acumulado Geral'!P648</f>
        <v>0</v>
      </c>
      <c r="L648" s="100">
        <f>L638+L647</f>
        <v>11</v>
      </c>
      <c r="M648" s="100">
        <f t="shared" si="127"/>
        <v>4</v>
      </c>
      <c r="N648" s="115"/>
      <c r="O648" s="116" t="e">
        <f t="shared" si="118"/>
        <v>#DIV/0!</v>
      </c>
      <c r="P648" s="115"/>
      <c r="Q648" s="116" t="e">
        <f t="shared" si="119"/>
        <v>#DIV/0!</v>
      </c>
      <c r="R648" s="115"/>
      <c r="S648" s="100" t="e">
        <f t="shared" si="120"/>
        <v>#DIV/0!</v>
      </c>
    </row>
    <row r="649" spans="1:19" ht="15" x14ac:dyDescent="0.2">
      <c r="A649" s="114" t="s">
        <v>96</v>
      </c>
      <c r="B649" s="100" t="s">
        <v>162</v>
      </c>
      <c r="C649" s="115">
        <v>30000</v>
      </c>
      <c r="D649" s="100">
        <f>(C649/12)*12</f>
        <v>30000</v>
      </c>
      <c r="E649" s="103">
        <f>'Monitoramento Acumulado Geral'!Q649</f>
        <v>0</v>
      </c>
      <c r="F649" s="100">
        <f>SUM(E638:E649)</f>
        <v>6640</v>
      </c>
      <c r="G649" s="102" t="str">
        <f t="shared" si="117"/>
        <v>Farol Vermelho</v>
      </c>
      <c r="H649" s="116">
        <f t="shared" si="115"/>
        <v>23360</v>
      </c>
      <c r="I649" s="100">
        <f t="shared" si="116"/>
        <v>12</v>
      </c>
      <c r="J649" s="119">
        <v>12</v>
      </c>
      <c r="K649" s="118">
        <f>'Monitoramento Acumulado Geral'!P649</f>
        <v>0</v>
      </c>
      <c r="L649" s="100">
        <f>$L638+L648</f>
        <v>12</v>
      </c>
      <c r="M649" s="100">
        <f t="shared" si="127"/>
        <v>4</v>
      </c>
      <c r="N649" s="115"/>
      <c r="O649" s="116" t="e">
        <f t="shared" si="118"/>
        <v>#DIV/0!</v>
      </c>
      <c r="P649" s="115"/>
      <c r="Q649" s="116" t="e">
        <f t="shared" si="119"/>
        <v>#DIV/0!</v>
      </c>
      <c r="R649" s="115"/>
      <c r="S649" s="100" t="e">
        <f t="shared" si="120"/>
        <v>#DIV/0!</v>
      </c>
    </row>
    <row r="650" spans="1:19" ht="15" x14ac:dyDescent="0.2">
      <c r="A650" s="114" t="s">
        <v>66</v>
      </c>
      <c r="B650" s="100" t="s">
        <v>151</v>
      </c>
      <c r="C650" s="115">
        <v>7000</v>
      </c>
      <c r="D650" s="100">
        <f>(C650/12)*1</f>
        <v>583.33333333333337</v>
      </c>
      <c r="E650" s="103">
        <f>'Monitoramento Acumulado Geral'!Q650</f>
        <v>0</v>
      </c>
      <c r="F650" s="100">
        <f>E650</f>
        <v>0</v>
      </c>
      <c r="G650" s="102" t="str">
        <f t="shared" si="117"/>
        <v>Farol Vermelho</v>
      </c>
      <c r="H650" s="116">
        <f t="shared" si="115"/>
        <v>583.33333333333337</v>
      </c>
      <c r="I650" s="100">
        <f t="shared" si="116"/>
        <v>1</v>
      </c>
      <c r="J650" s="119">
        <v>10</v>
      </c>
      <c r="K650" s="118">
        <f>'Monitoramento Acumulado Geral'!P650</f>
        <v>0</v>
      </c>
      <c r="L650" s="100">
        <f>J650/12</f>
        <v>0.83333333333333337</v>
      </c>
      <c r="M650" s="100">
        <f>K650</f>
        <v>0</v>
      </c>
      <c r="N650" s="115">
        <v>0</v>
      </c>
      <c r="O650" s="116" t="e">
        <f t="shared" si="118"/>
        <v>#DIV/0!</v>
      </c>
      <c r="P650" s="115">
        <v>0</v>
      </c>
      <c r="Q650" s="116" t="e">
        <f t="shared" si="119"/>
        <v>#DIV/0!</v>
      </c>
      <c r="R650" s="115">
        <v>0</v>
      </c>
      <c r="S650" s="100" t="e">
        <f t="shared" si="120"/>
        <v>#DIV/0!</v>
      </c>
    </row>
    <row r="651" spans="1:19" ht="15" x14ac:dyDescent="0.2">
      <c r="A651" s="114" t="s">
        <v>66</v>
      </c>
      <c r="B651" s="100" t="s">
        <v>152</v>
      </c>
      <c r="C651" s="115">
        <v>7000</v>
      </c>
      <c r="D651" s="100">
        <f>(C651/12)*2</f>
        <v>1166.6666666666667</v>
      </c>
      <c r="E651" s="103">
        <f>'Monitoramento Acumulado Geral'!Q651</f>
        <v>3420</v>
      </c>
      <c r="F651" s="100">
        <f>SUM(E650:E651)</f>
        <v>3420</v>
      </c>
      <c r="G651" s="102" t="str">
        <f t="shared" si="117"/>
        <v>Farol Verde</v>
      </c>
      <c r="H651" s="116">
        <f t="shared" si="115"/>
        <v>0</v>
      </c>
      <c r="I651" s="100">
        <f t="shared" si="116"/>
        <v>2</v>
      </c>
      <c r="J651" s="119">
        <v>10</v>
      </c>
      <c r="K651" s="118">
        <f>'Monitoramento Acumulado Geral'!P651</f>
        <v>1</v>
      </c>
      <c r="L651" s="100">
        <f>L650+L650</f>
        <v>1.6666666666666667</v>
      </c>
      <c r="M651" s="100">
        <f>M650+K651</f>
        <v>1</v>
      </c>
      <c r="N651" s="115">
        <v>0</v>
      </c>
      <c r="O651" s="116" t="e">
        <f t="shared" si="118"/>
        <v>#DIV/0!</v>
      </c>
      <c r="P651" s="115">
        <v>0</v>
      </c>
      <c r="Q651" s="116" t="e">
        <f t="shared" si="119"/>
        <v>#DIV/0!</v>
      </c>
      <c r="R651" s="115">
        <v>0</v>
      </c>
      <c r="S651" s="100" t="e">
        <f t="shared" si="120"/>
        <v>#DIV/0!</v>
      </c>
    </row>
    <row r="652" spans="1:19" ht="15" x14ac:dyDescent="0.2">
      <c r="A652" s="114" t="s">
        <v>66</v>
      </c>
      <c r="B652" s="100" t="s">
        <v>153</v>
      </c>
      <c r="C652" s="115">
        <v>7000</v>
      </c>
      <c r="D652" s="100">
        <f>(C652/12)*3</f>
        <v>1750</v>
      </c>
      <c r="E652" s="103">
        <f>'Monitoramento Acumulado Geral'!Q652</f>
        <v>0</v>
      </c>
      <c r="F652" s="100">
        <f>SUM(E650:E652)</f>
        <v>3420</v>
      </c>
      <c r="G652" s="102" t="str">
        <f t="shared" si="117"/>
        <v>Farol Verde</v>
      </c>
      <c r="H652" s="116">
        <f t="shared" si="115"/>
        <v>0</v>
      </c>
      <c r="I652" s="100">
        <f t="shared" si="116"/>
        <v>3</v>
      </c>
      <c r="J652" s="119">
        <v>10</v>
      </c>
      <c r="K652" s="118">
        <f>'Monitoramento Acumulado Geral'!P652</f>
        <v>0</v>
      </c>
      <c r="L652" s="100">
        <f>$L650+L651</f>
        <v>2.5</v>
      </c>
      <c r="M652" s="100">
        <f t="shared" ref="M652:M661" si="128">M651+K652</f>
        <v>1</v>
      </c>
      <c r="N652" s="115">
        <v>0</v>
      </c>
      <c r="O652" s="116" t="e">
        <f t="shared" si="118"/>
        <v>#DIV/0!</v>
      </c>
      <c r="P652" s="115">
        <v>0</v>
      </c>
      <c r="Q652" s="116" t="e">
        <f t="shared" si="119"/>
        <v>#DIV/0!</v>
      </c>
      <c r="R652" s="115">
        <v>0</v>
      </c>
      <c r="S652" s="100" t="e">
        <f t="shared" si="120"/>
        <v>#DIV/0!</v>
      </c>
    </row>
    <row r="653" spans="1:19" ht="15" x14ac:dyDescent="0.2">
      <c r="A653" s="114" t="s">
        <v>66</v>
      </c>
      <c r="B653" s="100" t="s">
        <v>154</v>
      </c>
      <c r="C653" s="115">
        <v>7000</v>
      </c>
      <c r="D653" s="100">
        <f>(C653/12)*4</f>
        <v>2333.3333333333335</v>
      </c>
      <c r="E653" s="103">
        <f>'Monitoramento Acumulado Geral'!Q653</f>
        <v>0</v>
      </c>
      <c r="F653" s="100">
        <f>SUM(E650:E653)</f>
        <v>3420</v>
      </c>
      <c r="G653" s="102" t="str">
        <f t="shared" si="117"/>
        <v>Farol Verde</v>
      </c>
      <c r="H653" s="116">
        <f t="shared" si="115"/>
        <v>0</v>
      </c>
      <c r="I653" s="100">
        <f t="shared" si="116"/>
        <v>4</v>
      </c>
      <c r="J653" s="119">
        <v>10</v>
      </c>
      <c r="K653" s="118">
        <f>'Monitoramento Acumulado Geral'!P653</f>
        <v>0</v>
      </c>
      <c r="L653" s="100">
        <f>$L650+L652</f>
        <v>3.3333333333333335</v>
      </c>
      <c r="M653" s="100">
        <f t="shared" si="128"/>
        <v>1</v>
      </c>
      <c r="N653" s="115">
        <v>0</v>
      </c>
      <c r="O653" s="116" t="e">
        <f t="shared" si="118"/>
        <v>#DIV/0!</v>
      </c>
      <c r="P653" s="115">
        <v>0</v>
      </c>
      <c r="Q653" s="116" t="e">
        <f t="shared" si="119"/>
        <v>#DIV/0!</v>
      </c>
      <c r="R653" s="115">
        <v>0</v>
      </c>
      <c r="S653" s="100" t="e">
        <f t="shared" si="120"/>
        <v>#DIV/0!</v>
      </c>
    </row>
    <row r="654" spans="1:19" ht="15" x14ac:dyDescent="0.2">
      <c r="A654" s="114" t="s">
        <v>66</v>
      </c>
      <c r="B654" s="100" t="s">
        <v>155</v>
      </c>
      <c r="C654" s="115">
        <v>7000</v>
      </c>
      <c r="D654" s="100">
        <f>(C654/12)*5</f>
        <v>2916.666666666667</v>
      </c>
      <c r="E654" s="103">
        <f>'Monitoramento Acumulado Geral'!Q654</f>
        <v>0</v>
      </c>
      <c r="F654" s="100">
        <f>SUM(E650:E654)</f>
        <v>3420</v>
      </c>
      <c r="G654" s="102" t="str">
        <f t="shared" si="117"/>
        <v>Farol Verde</v>
      </c>
      <c r="H654" s="116">
        <f t="shared" si="115"/>
        <v>0</v>
      </c>
      <c r="I654" s="100">
        <f t="shared" si="116"/>
        <v>5</v>
      </c>
      <c r="J654" s="119">
        <v>10</v>
      </c>
      <c r="K654" s="118">
        <f>'Monitoramento Acumulado Geral'!P654</f>
        <v>0</v>
      </c>
      <c r="L654" s="100">
        <f>L650+L653</f>
        <v>4.166666666666667</v>
      </c>
      <c r="M654" s="100">
        <f t="shared" si="128"/>
        <v>1</v>
      </c>
      <c r="N654" s="115">
        <v>0</v>
      </c>
      <c r="O654" s="116" t="e">
        <f t="shared" si="118"/>
        <v>#DIV/0!</v>
      </c>
      <c r="P654" s="115">
        <v>0</v>
      </c>
      <c r="Q654" s="116" t="e">
        <f t="shared" si="119"/>
        <v>#DIV/0!</v>
      </c>
      <c r="R654" s="115">
        <v>0</v>
      </c>
      <c r="S654" s="100" t="e">
        <f t="shared" si="120"/>
        <v>#DIV/0!</v>
      </c>
    </row>
    <row r="655" spans="1:19" ht="15" x14ac:dyDescent="0.2">
      <c r="A655" s="114" t="s">
        <v>66</v>
      </c>
      <c r="B655" s="100" t="s">
        <v>156</v>
      </c>
      <c r="C655" s="115">
        <v>7000</v>
      </c>
      <c r="D655" s="100">
        <f>(C655/12)*6</f>
        <v>3500</v>
      </c>
      <c r="E655" s="103">
        <f>'Monitoramento Acumulado Geral'!Q655</f>
        <v>1920</v>
      </c>
      <c r="F655" s="100">
        <f>SUM(E650:E655)</f>
        <v>5340</v>
      </c>
      <c r="G655" s="102" t="str">
        <f t="shared" si="117"/>
        <v>Farol Verde</v>
      </c>
      <c r="H655" s="116">
        <f t="shared" si="115"/>
        <v>0</v>
      </c>
      <c r="I655" s="100">
        <f t="shared" si="116"/>
        <v>6</v>
      </c>
      <c r="J655" s="119">
        <v>10</v>
      </c>
      <c r="K655" s="118">
        <f>'Monitoramento Acumulado Geral'!P655</f>
        <v>6</v>
      </c>
      <c r="L655" s="100">
        <f>$L650+L654</f>
        <v>5</v>
      </c>
      <c r="M655" s="100">
        <f t="shared" si="128"/>
        <v>7</v>
      </c>
      <c r="N655" s="115"/>
      <c r="O655" s="116" t="e">
        <f t="shared" si="118"/>
        <v>#DIV/0!</v>
      </c>
      <c r="P655" s="115"/>
      <c r="Q655" s="116" t="e">
        <f t="shared" si="119"/>
        <v>#DIV/0!</v>
      </c>
      <c r="R655" s="115"/>
      <c r="S655" s="100" t="e">
        <f t="shared" si="120"/>
        <v>#DIV/0!</v>
      </c>
    </row>
    <row r="656" spans="1:19" ht="15" x14ac:dyDescent="0.2">
      <c r="A656" s="114" t="s">
        <v>66</v>
      </c>
      <c r="B656" s="100" t="s">
        <v>157</v>
      </c>
      <c r="C656" s="115">
        <v>7000</v>
      </c>
      <c r="D656" s="100">
        <f>(C656/12)*7</f>
        <v>4083.3333333333335</v>
      </c>
      <c r="E656" s="103">
        <f>'Monitoramento Acumulado Geral'!Q656</f>
        <v>0</v>
      </c>
      <c r="F656" s="100">
        <f>SUM(E650:E656)</f>
        <v>5340</v>
      </c>
      <c r="G656" s="102" t="str">
        <f t="shared" si="117"/>
        <v>Farol Verde</v>
      </c>
      <c r="H656" s="116">
        <f t="shared" si="115"/>
        <v>0</v>
      </c>
      <c r="I656" s="100">
        <f t="shared" si="116"/>
        <v>7</v>
      </c>
      <c r="J656" s="119">
        <v>10</v>
      </c>
      <c r="K656" s="118">
        <f>'Monitoramento Acumulado Geral'!P656</f>
        <v>0</v>
      </c>
      <c r="L656" s="100">
        <f>$L650+L655</f>
        <v>5.833333333333333</v>
      </c>
      <c r="M656" s="100">
        <f t="shared" si="128"/>
        <v>7</v>
      </c>
      <c r="N656" s="115"/>
      <c r="O656" s="116" t="e">
        <f t="shared" si="118"/>
        <v>#DIV/0!</v>
      </c>
      <c r="P656" s="115"/>
      <c r="Q656" s="116" t="e">
        <f t="shared" si="119"/>
        <v>#DIV/0!</v>
      </c>
      <c r="R656" s="115"/>
      <c r="S656" s="100" t="e">
        <f t="shared" si="120"/>
        <v>#DIV/0!</v>
      </c>
    </row>
    <row r="657" spans="1:19" ht="15" x14ac:dyDescent="0.2">
      <c r="A657" s="114" t="s">
        <v>66</v>
      </c>
      <c r="B657" s="100" t="s">
        <v>158</v>
      </c>
      <c r="C657" s="115">
        <v>7000</v>
      </c>
      <c r="D657" s="100">
        <f>(C657/12)*8</f>
        <v>4666.666666666667</v>
      </c>
      <c r="E657" s="103">
        <f>'Monitoramento Acumulado Geral'!Q657</f>
        <v>1500</v>
      </c>
      <c r="F657" s="100">
        <f>SUM(E650:E657)</f>
        <v>6840</v>
      </c>
      <c r="G657" s="102" t="str">
        <f t="shared" si="117"/>
        <v>Farol Verde</v>
      </c>
      <c r="H657" s="116">
        <f t="shared" si="115"/>
        <v>0</v>
      </c>
      <c r="I657" s="100">
        <f t="shared" si="116"/>
        <v>8</v>
      </c>
      <c r="J657" s="119">
        <v>10</v>
      </c>
      <c r="K657" s="118">
        <f>'Monitoramento Acumulado Geral'!P657</f>
        <v>6</v>
      </c>
      <c r="L657" s="100">
        <f>L650+L656</f>
        <v>6.6666666666666661</v>
      </c>
      <c r="M657" s="100">
        <f t="shared" si="128"/>
        <v>13</v>
      </c>
      <c r="N657" s="115"/>
      <c r="O657" s="116" t="e">
        <f t="shared" si="118"/>
        <v>#DIV/0!</v>
      </c>
      <c r="P657" s="115"/>
      <c r="Q657" s="116" t="e">
        <f t="shared" si="119"/>
        <v>#DIV/0!</v>
      </c>
      <c r="R657" s="115"/>
      <c r="S657" s="100" t="e">
        <f t="shared" si="120"/>
        <v>#DIV/0!</v>
      </c>
    </row>
    <row r="658" spans="1:19" ht="15" x14ac:dyDescent="0.2">
      <c r="A658" s="114" t="s">
        <v>66</v>
      </c>
      <c r="B658" s="100" t="s">
        <v>159</v>
      </c>
      <c r="C658" s="115">
        <v>7000</v>
      </c>
      <c r="D658" s="100">
        <f>(C658/12)*9</f>
        <v>5250</v>
      </c>
      <c r="E658" s="103">
        <f>'Monitoramento Acumulado Geral'!Q658</f>
        <v>0</v>
      </c>
      <c r="F658" s="100">
        <f>SUM(E650:E658)</f>
        <v>6840</v>
      </c>
      <c r="G658" s="102" t="str">
        <f t="shared" si="117"/>
        <v>Farol Verde</v>
      </c>
      <c r="H658" s="116">
        <f t="shared" si="115"/>
        <v>0</v>
      </c>
      <c r="I658" s="100">
        <f t="shared" si="116"/>
        <v>9</v>
      </c>
      <c r="J658" s="119">
        <v>10</v>
      </c>
      <c r="K658" s="118">
        <f>'Monitoramento Acumulado Geral'!P658</f>
        <v>0</v>
      </c>
      <c r="L658" s="100">
        <f>$L650+L657</f>
        <v>7.4999999999999991</v>
      </c>
      <c r="M658" s="100">
        <f t="shared" si="128"/>
        <v>13</v>
      </c>
      <c r="N658" s="115"/>
      <c r="O658" s="116" t="e">
        <f t="shared" si="118"/>
        <v>#DIV/0!</v>
      </c>
      <c r="P658" s="115"/>
      <c r="Q658" s="116" t="e">
        <f t="shared" si="119"/>
        <v>#DIV/0!</v>
      </c>
      <c r="R658" s="115"/>
      <c r="S658" s="100" t="e">
        <f t="shared" si="120"/>
        <v>#DIV/0!</v>
      </c>
    </row>
    <row r="659" spans="1:19" ht="15" x14ac:dyDescent="0.2">
      <c r="A659" s="114" t="s">
        <v>66</v>
      </c>
      <c r="B659" s="100" t="s">
        <v>160</v>
      </c>
      <c r="C659" s="115">
        <v>7000</v>
      </c>
      <c r="D659" s="100">
        <f>(C659/12)*10</f>
        <v>5833.3333333333339</v>
      </c>
      <c r="E659" s="103">
        <f>'Monitoramento Acumulado Geral'!Q659</f>
        <v>0</v>
      </c>
      <c r="F659" s="100">
        <f>SUM(E650:E659)</f>
        <v>6840</v>
      </c>
      <c r="G659" s="102" t="str">
        <f t="shared" si="117"/>
        <v>Farol Verde</v>
      </c>
      <c r="H659" s="116">
        <f t="shared" si="115"/>
        <v>0</v>
      </c>
      <c r="I659" s="100">
        <f t="shared" si="116"/>
        <v>10</v>
      </c>
      <c r="J659" s="119">
        <v>10</v>
      </c>
      <c r="K659" s="118">
        <f>'Monitoramento Acumulado Geral'!P659</f>
        <v>0</v>
      </c>
      <c r="L659" s="100">
        <f>$L650+L658</f>
        <v>8.3333333333333321</v>
      </c>
      <c r="M659" s="100">
        <f t="shared" si="128"/>
        <v>13</v>
      </c>
      <c r="N659" s="115"/>
      <c r="O659" s="116" t="e">
        <f t="shared" si="118"/>
        <v>#DIV/0!</v>
      </c>
      <c r="P659" s="115"/>
      <c r="Q659" s="116" t="e">
        <f t="shared" si="119"/>
        <v>#DIV/0!</v>
      </c>
      <c r="R659" s="115"/>
      <c r="S659" s="100" t="e">
        <f t="shared" si="120"/>
        <v>#DIV/0!</v>
      </c>
    </row>
    <row r="660" spans="1:19" ht="15" x14ac:dyDescent="0.2">
      <c r="A660" s="114" t="s">
        <v>66</v>
      </c>
      <c r="B660" s="100" t="s">
        <v>161</v>
      </c>
      <c r="C660" s="115">
        <v>7000</v>
      </c>
      <c r="D660" s="100">
        <f>(C660/12)*11</f>
        <v>6416.666666666667</v>
      </c>
      <c r="E660" s="103">
        <f>'Monitoramento Acumulado Geral'!Q660</f>
        <v>0</v>
      </c>
      <c r="F660" s="100">
        <f>SUM(E650:E660)</f>
        <v>6840</v>
      </c>
      <c r="G660" s="102" t="str">
        <f t="shared" si="117"/>
        <v>Farol Verde</v>
      </c>
      <c r="H660" s="116">
        <f t="shared" si="115"/>
        <v>0</v>
      </c>
      <c r="I660" s="100">
        <f t="shared" si="116"/>
        <v>11</v>
      </c>
      <c r="J660" s="119">
        <v>10</v>
      </c>
      <c r="K660" s="118">
        <f>'Monitoramento Acumulado Geral'!P660</f>
        <v>0</v>
      </c>
      <c r="L660" s="100">
        <f>L650+L659</f>
        <v>9.1666666666666661</v>
      </c>
      <c r="M660" s="100">
        <f t="shared" si="128"/>
        <v>13</v>
      </c>
      <c r="N660" s="115"/>
      <c r="O660" s="116" t="e">
        <f t="shared" si="118"/>
        <v>#DIV/0!</v>
      </c>
      <c r="P660" s="115"/>
      <c r="Q660" s="116" t="e">
        <f t="shared" si="119"/>
        <v>#DIV/0!</v>
      </c>
      <c r="R660" s="115"/>
      <c r="S660" s="100" t="e">
        <f t="shared" si="120"/>
        <v>#DIV/0!</v>
      </c>
    </row>
    <row r="661" spans="1:19" ht="15" x14ac:dyDescent="0.2">
      <c r="A661" s="114" t="s">
        <v>66</v>
      </c>
      <c r="B661" s="100" t="s">
        <v>162</v>
      </c>
      <c r="C661" s="115">
        <v>7000</v>
      </c>
      <c r="D661" s="100">
        <f>(C661/12)*12</f>
        <v>7000</v>
      </c>
      <c r="E661" s="103">
        <f>'Monitoramento Acumulado Geral'!Q661</f>
        <v>0</v>
      </c>
      <c r="F661" s="100">
        <f>SUM(E650:E661)</f>
        <v>6840</v>
      </c>
      <c r="G661" s="102" t="str">
        <f t="shared" si="117"/>
        <v>Farol Amarelo</v>
      </c>
      <c r="H661" s="116">
        <f t="shared" si="115"/>
        <v>160</v>
      </c>
      <c r="I661" s="100">
        <f t="shared" si="116"/>
        <v>12</v>
      </c>
      <c r="J661" s="119">
        <v>10</v>
      </c>
      <c r="K661" s="118">
        <f>'Monitoramento Acumulado Geral'!P661</f>
        <v>0</v>
      </c>
      <c r="L661" s="100">
        <f>$L650+L660</f>
        <v>10</v>
      </c>
      <c r="M661" s="100">
        <f t="shared" si="128"/>
        <v>13</v>
      </c>
      <c r="N661" s="115"/>
      <c r="O661" s="116" t="e">
        <f t="shared" si="118"/>
        <v>#DIV/0!</v>
      </c>
      <c r="P661" s="115"/>
      <c r="Q661" s="116" t="e">
        <f t="shared" si="119"/>
        <v>#DIV/0!</v>
      </c>
      <c r="R661" s="115"/>
      <c r="S661" s="100" t="e">
        <f t="shared" si="120"/>
        <v>#DIV/0!</v>
      </c>
    </row>
    <row r="662" spans="1:19" ht="15" x14ac:dyDescent="0.2">
      <c r="A662" s="114" t="s">
        <v>146</v>
      </c>
      <c r="B662" s="100" t="s">
        <v>151</v>
      </c>
      <c r="C662" s="115">
        <v>12000</v>
      </c>
      <c r="D662" s="100">
        <f>(C662/12)*1</f>
        <v>1000</v>
      </c>
      <c r="E662" s="103">
        <f>'Monitoramento Acumulado Geral'!Q662</f>
        <v>0</v>
      </c>
      <c r="F662" s="100">
        <f>E662</f>
        <v>0</v>
      </c>
      <c r="G662" s="102" t="str">
        <f t="shared" si="117"/>
        <v>Farol Vermelho</v>
      </c>
      <c r="H662" s="116">
        <f t="shared" ref="H662:H737" si="129">IF(D662-F662&lt;0,0,D662-F662)</f>
        <v>1000</v>
      </c>
      <c r="I662" s="100">
        <f t="shared" ref="I662:I737" si="130">_xlfn.IFS(B662="Janeiro",1,B662="Fevereiro",2,B662="Março",3,B662="Abril",4,B662="Maio",5,B662="Junho",6,B662="Julho",7,B662="Agosto",8,B662="Setembro",9,B662="Outubro",10,B662="Novembro",11,B662="Dezembro",12,TRUE,0)</f>
        <v>1</v>
      </c>
      <c r="J662" s="119">
        <v>15</v>
      </c>
      <c r="K662" s="118">
        <f>'Monitoramento Acumulado Geral'!P662</f>
        <v>0</v>
      </c>
      <c r="L662" s="100">
        <f>J662/12</f>
        <v>1.25</v>
      </c>
      <c r="M662" s="100">
        <f>K662</f>
        <v>0</v>
      </c>
      <c r="N662" s="115">
        <v>0</v>
      </c>
      <c r="O662" s="116" t="e">
        <f t="shared" si="118"/>
        <v>#DIV/0!</v>
      </c>
      <c r="P662" s="115">
        <v>0</v>
      </c>
      <c r="Q662" s="116" t="e">
        <f t="shared" si="119"/>
        <v>#DIV/0!</v>
      </c>
      <c r="R662" s="115">
        <v>0</v>
      </c>
      <c r="S662" s="100" t="e">
        <f t="shared" si="120"/>
        <v>#DIV/0!</v>
      </c>
    </row>
    <row r="663" spans="1:19" ht="15" x14ac:dyDescent="0.2">
      <c r="A663" s="114" t="s">
        <v>146</v>
      </c>
      <c r="B663" s="100" t="s">
        <v>152</v>
      </c>
      <c r="C663" s="115">
        <v>12000</v>
      </c>
      <c r="D663" s="100">
        <f>(C663/12)*2</f>
        <v>2000</v>
      </c>
      <c r="E663" s="103">
        <f>'Monitoramento Acumulado Geral'!Q663</f>
        <v>0</v>
      </c>
      <c r="F663" s="100">
        <f>SUM(E662:E663)</f>
        <v>0</v>
      </c>
      <c r="G663" s="102" t="str">
        <f t="shared" ref="G663:G738" si="131">_xlfn.IFS(F663&gt;D663,"Farol Verde",F663&gt;=D663*0.85,"Farol Amarelo",F663&lt;D663*0.85,"Farol Vermelho","Verdadeiro",0)</f>
        <v>Farol Vermelho</v>
      </c>
      <c r="H663" s="116">
        <f t="shared" si="129"/>
        <v>2000</v>
      </c>
      <c r="I663" s="100">
        <f t="shared" si="130"/>
        <v>2</v>
      </c>
      <c r="J663" s="119">
        <v>15</v>
      </c>
      <c r="K663" s="118">
        <f>'Monitoramento Acumulado Geral'!P663</f>
        <v>0</v>
      </c>
      <c r="L663" s="100">
        <f>L662+L662</f>
        <v>2.5</v>
      </c>
      <c r="M663" s="100">
        <f>M662+K663</f>
        <v>0</v>
      </c>
      <c r="N663" s="115">
        <v>0</v>
      </c>
      <c r="O663" s="116" t="e">
        <f t="shared" ref="O663:O738" si="132">P663/N663</f>
        <v>#DIV/0!</v>
      </c>
      <c r="P663" s="115">
        <v>0</v>
      </c>
      <c r="Q663" s="116" t="e">
        <f t="shared" ref="Q663:Q738" si="133">R663/P663</f>
        <v>#DIV/0!</v>
      </c>
      <c r="R663" s="115">
        <v>0</v>
      </c>
      <c r="S663" s="100" t="e">
        <f t="shared" ref="S663:S738" si="134">R663/N663</f>
        <v>#DIV/0!</v>
      </c>
    </row>
    <row r="664" spans="1:19" ht="15" x14ac:dyDescent="0.2">
      <c r="A664" s="114" t="s">
        <v>146</v>
      </c>
      <c r="B664" s="100" t="s">
        <v>153</v>
      </c>
      <c r="C664" s="115">
        <v>12000</v>
      </c>
      <c r="D664" s="100">
        <f>(C664/12)*3</f>
        <v>3000</v>
      </c>
      <c r="E664" s="103">
        <f>'Monitoramento Acumulado Geral'!Q664</f>
        <v>0</v>
      </c>
      <c r="F664" s="100">
        <f>SUM(E662:E664)</f>
        <v>0</v>
      </c>
      <c r="G664" s="102" t="str">
        <f t="shared" si="131"/>
        <v>Farol Vermelho</v>
      </c>
      <c r="H664" s="116">
        <f t="shared" si="129"/>
        <v>3000</v>
      </c>
      <c r="I664" s="100">
        <f t="shared" si="130"/>
        <v>3</v>
      </c>
      <c r="J664" s="119">
        <v>15</v>
      </c>
      <c r="K664" s="118">
        <f>'Monitoramento Acumulado Geral'!P664</f>
        <v>0</v>
      </c>
      <c r="L664" s="100">
        <f>$L662+L663</f>
        <v>3.75</v>
      </c>
      <c r="M664" s="100">
        <f t="shared" ref="M664:M673" si="135">M663+K664</f>
        <v>0</v>
      </c>
      <c r="N664" s="115">
        <v>0</v>
      </c>
      <c r="O664" s="116" t="e">
        <f t="shared" si="132"/>
        <v>#DIV/0!</v>
      </c>
      <c r="P664" s="115">
        <v>0</v>
      </c>
      <c r="Q664" s="116" t="e">
        <f t="shared" si="133"/>
        <v>#DIV/0!</v>
      </c>
      <c r="R664" s="115">
        <v>0</v>
      </c>
      <c r="S664" s="100" t="e">
        <f t="shared" si="134"/>
        <v>#DIV/0!</v>
      </c>
    </row>
    <row r="665" spans="1:19" ht="15" x14ac:dyDescent="0.2">
      <c r="A665" s="114" t="s">
        <v>146</v>
      </c>
      <c r="B665" s="100" t="s">
        <v>154</v>
      </c>
      <c r="C665" s="115">
        <v>12000</v>
      </c>
      <c r="D665" s="100">
        <f>(C665/12)*4</f>
        <v>4000</v>
      </c>
      <c r="E665" s="103">
        <f>'Monitoramento Acumulado Geral'!Q665</f>
        <v>2216.9499999999998</v>
      </c>
      <c r="F665" s="100">
        <f>SUM(E662:E665)</f>
        <v>2216.9499999999998</v>
      </c>
      <c r="G665" s="102" t="str">
        <f t="shared" si="131"/>
        <v>Farol Vermelho</v>
      </c>
      <c r="H665" s="116">
        <f t="shared" si="129"/>
        <v>1783.0500000000002</v>
      </c>
      <c r="I665" s="100">
        <f t="shared" si="130"/>
        <v>4</v>
      </c>
      <c r="J665" s="119">
        <v>15</v>
      </c>
      <c r="K665" s="118">
        <f>'Monitoramento Acumulado Geral'!P665</f>
        <v>6</v>
      </c>
      <c r="L665" s="100">
        <f>$L662+L664</f>
        <v>5</v>
      </c>
      <c r="M665" s="100">
        <f t="shared" si="135"/>
        <v>6</v>
      </c>
      <c r="N665" s="115">
        <v>0</v>
      </c>
      <c r="O665" s="116" t="e">
        <f t="shared" si="132"/>
        <v>#DIV/0!</v>
      </c>
      <c r="P665" s="115">
        <v>0</v>
      </c>
      <c r="Q665" s="116" t="e">
        <f t="shared" si="133"/>
        <v>#DIV/0!</v>
      </c>
      <c r="R665" s="115">
        <v>0</v>
      </c>
      <c r="S665" s="100" t="e">
        <f t="shared" si="134"/>
        <v>#DIV/0!</v>
      </c>
    </row>
    <row r="666" spans="1:19" ht="15" x14ac:dyDescent="0.2">
      <c r="A666" s="114" t="s">
        <v>146</v>
      </c>
      <c r="B666" s="100" t="s">
        <v>155</v>
      </c>
      <c r="C666" s="115">
        <v>12000</v>
      </c>
      <c r="D666" s="100">
        <f>(C666/12)*5</f>
        <v>5000</v>
      </c>
      <c r="E666" s="103">
        <f>'Monitoramento Acumulado Geral'!Q666</f>
        <v>1000</v>
      </c>
      <c r="F666" s="100">
        <f>SUM(E662:E666)</f>
        <v>3216.95</v>
      </c>
      <c r="G666" s="102" t="str">
        <f t="shared" si="131"/>
        <v>Farol Vermelho</v>
      </c>
      <c r="H666" s="116">
        <f t="shared" si="129"/>
        <v>1783.0500000000002</v>
      </c>
      <c r="I666" s="100">
        <f t="shared" si="130"/>
        <v>5</v>
      </c>
      <c r="J666" s="119">
        <v>15</v>
      </c>
      <c r="K666" s="118">
        <f>'Monitoramento Acumulado Geral'!P666</f>
        <v>2</v>
      </c>
      <c r="L666" s="100">
        <f>L662+L665</f>
        <v>6.25</v>
      </c>
      <c r="M666" s="100">
        <f t="shared" si="135"/>
        <v>8</v>
      </c>
      <c r="N666" s="115">
        <v>0</v>
      </c>
      <c r="O666" s="116" t="e">
        <f t="shared" si="132"/>
        <v>#DIV/0!</v>
      </c>
      <c r="P666" s="115">
        <v>0</v>
      </c>
      <c r="Q666" s="116" t="e">
        <f t="shared" si="133"/>
        <v>#DIV/0!</v>
      </c>
      <c r="R666" s="115">
        <v>0</v>
      </c>
      <c r="S666" s="100" t="e">
        <f t="shared" si="134"/>
        <v>#DIV/0!</v>
      </c>
    </row>
    <row r="667" spans="1:19" ht="15" x14ac:dyDescent="0.2">
      <c r="A667" s="114" t="s">
        <v>146</v>
      </c>
      <c r="B667" s="100" t="s">
        <v>156</v>
      </c>
      <c r="C667" s="115">
        <v>12000</v>
      </c>
      <c r="D667" s="100">
        <f>(C667/12)*6</f>
        <v>6000</v>
      </c>
      <c r="E667" s="103">
        <f>'Monitoramento Acumulado Geral'!Q667</f>
        <v>2550</v>
      </c>
      <c r="F667" s="100">
        <f>SUM(E662:E667)</f>
        <v>5766.95</v>
      </c>
      <c r="G667" s="102" t="str">
        <f t="shared" si="131"/>
        <v>Farol Amarelo</v>
      </c>
      <c r="H667" s="116">
        <f t="shared" si="129"/>
        <v>233.05000000000018</v>
      </c>
      <c r="I667" s="100">
        <f t="shared" si="130"/>
        <v>6</v>
      </c>
      <c r="J667" s="119">
        <v>15</v>
      </c>
      <c r="K667" s="118">
        <f>'Monitoramento Acumulado Geral'!P667</f>
        <v>5</v>
      </c>
      <c r="L667" s="100">
        <f>$L662+L666</f>
        <v>7.5</v>
      </c>
      <c r="M667" s="100">
        <f t="shared" si="135"/>
        <v>13</v>
      </c>
      <c r="N667" s="115"/>
      <c r="O667" s="116" t="e">
        <f t="shared" si="132"/>
        <v>#DIV/0!</v>
      </c>
      <c r="P667" s="115"/>
      <c r="Q667" s="116" t="e">
        <f t="shared" si="133"/>
        <v>#DIV/0!</v>
      </c>
      <c r="R667" s="115"/>
      <c r="S667" s="100" t="e">
        <f t="shared" si="134"/>
        <v>#DIV/0!</v>
      </c>
    </row>
    <row r="668" spans="1:19" ht="15" x14ac:dyDescent="0.2">
      <c r="A668" s="114" t="s">
        <v>146</v>
      </c>
      <c r="B668" s="100" t="s">
        <v>157</v>
      </c>
      <c r="C668" s="115">
        <v>12000</v>
      </c>
      <c r="D668" s="100">
        <f>(C668/12)*7</f>
        <v>7000</v>
      </c>
      <c r="E668" s="103">
        <f>'Monitoramento Acumulado Geral'!Q668</f>
        <v>0</v>
      </c>
      <c r="F668" s="100">
        <f>SUM(E662:E668)</f>
        <v>5766.95</v>
      </c>
      <c r="G668" s="102" t="str">
        <f t="shared" si="131"/>
        <v>Farol Vermelho</v>
      </c>
      <c r="H668" s="116">
        <f t="shared" si="129"/>
        <v>1233.0500000000002</v>
      </c>
      <c r="I668" s="100">
        <f t="shared" si="130"/>
        <v>7</v>
      </c>
      <c r="J668" s="119">
        <v>15</v>
      </c>
      <c r="K668" s="118">
        <f>'Monitoramento Acumulado Geral'!P668</f>
        <v>0</v>
      </c>
      <c r="L668" s="100">
        <f>$L662+L667</f>
        <v>8.75</v>
      </c>
      <c r="M668" s="100">
        <f t="shared" si="135"/>
        <v>13</v>
      </c>
      <c r="N668" s="115"/>
      <c r="O668" s="116" t="e">
        <f t="shared" si="132"/>
        <v>#DIV/0!</v>
      </c>
      <c r="P668" s="115"/>
      <c r="Q668" s="116" t="e">
        <f t="shared" si="133"/>
        <v>#DIV/0!</v>
      </c>
      <c r="R668" s="115"/>
      <c r="S668" s="100" t="e">
        <f t="shared" si="134"/>
        <v>#DIV/0!</v>
      </c>
    </row>
    <row r="669" spans="1:19" ht="15" x14ac:dyDescent="0.2">
      <c r="A669" s="114" t="s">
        <v>146</v>
      </c>
      <c r="B669" s="100" t="s">
        <v>158</v>
      </c>
      <c r="C669" s="115">
        <v>12000</v>
      </c>
      <c r="D669" s="100">
        <f>(C669/12)*8</f>
        <v>8000</v>
      </c>
      <c r="E669" s="103">
        <f>'Monitoramento Acumulado Geral'!Q669</f>
        <v>0</v>
      </c>
      <c r="F669" s="100">
        <f>SUM(E662:E669)</f>
        <v>5766.95</v>
      </c>
      <c r="G669" s="102" t="str">
        <f t="shared" si="131"/>
        <v>Farol Vermelho</v>
      </c>
      <c r="H669" s="116">
        <f t="shared" si="129"/>
        <v>2233.0500000000002</v>
      </c>
      <c r="I669" s="100">
        <f t="shared" si="130"/>
        <v>8</v>
      </c>
      <c r="J669" s="119">
        <v>15</v>
      </c>
      <c r="K669" s="118">
        <f>'Monitoramento Acumulado Geral'!P669</f>
        <v>0</v>
      </c>
      <c r="L669" s="100">
        <f>L662+L668</f>
        <v>10</v>
      </c>
      <c r="M669" s="100">
        <f t="shared" si="135"/>
        <v>13</v>
      </c>
      <c r="N669" s="115"/>
      <c r="O669" s="116" t="e">
        <f t="shared" si="132"/>
        <v>#DIV/0!</v>
      </c>
      <c r="P669" s="115"/>
      <c r="Q669" s="116" t="e">
        <f t="shared" si="133"/>
        <v>#DIV/0!</v>
      </c>
      <c r="R669" s="115"/>
      <c r="S669" s="100" t="e">
        <f t="shared" si="134"/>
        <v>#DIV/0!</v>
      </c>
    </row>
    <row r="670" spans="1:19" ht="15" x14ac:dyDescent="0.2">
      <c r="A670" s="114" t="s">
        <v>146</v>
      </c>
      <c r="B670" s="100" t="s">
        <v>159</v>
      </c>
      <c r="C670" s="115">
        <v>12000</v>
      </c>
      <c r="D670" s="100">
        <f>(C670/12)*9</f>
        <v>9000</v>
      </c>
      <c r="E670" s="103">
        <f>'Monitoramento Acumulado Geral'!Q670</f>
        <v>0</v>
      </c>
      <c r="F670" s="100">
        <f>SUM(E662:E670)</f>
        <v>5766.95</v>
      </c>
      <c r="G670" s="102" t="str">
        <f t="shared" si="131"/>
        <v>Farol Vermelho</v>
      </c>
      <c r="H670" s="116">
        <f t="shared" si="129"/>
        <v>3233.05</v>
      </c>
      <c r="I670" s="100">
        <f t="shared" si="130"/>
        <v>9</v>
      </c>
      <c r="J670" s="119">
        <v>15</v>
      </c>
      <c r="K670" s="118">
        <f>'Monitoramento Acumulado Geral'!P670</f>
        <v>0</v>
      </c>
      <c r="L670" s="100">
        <f>$L662+L669</f>
        <v>11.25</v>
      </c>
      <c r="M670" s="100">
        <f t="shared" si="135"/>
        <v>13</v>
      </c>
      <c r="N670" s="115"/>
      <c r="O670" s="116" t="e">
        <f t="shared" si="132"/>
        <v>#DIV/0!</v>
      </c>
      <c r="P670" s="115"/>
      <c r="Q670" s="116" t="e">
        <f t="shared" si="133"/>
        <v>#DIV/0!</v>
      </c>
      <c r="R670" s="115"/>
      <c r="S670" s="100" t="e">
        <f t="shared" si="134"/>
        <v>#DIV/0!</v>
      </c>
    </row>
    <row r="671" spans="1:19" ht="15" x14ac:dyDescent="0.2">
      <c r="A671" s="114" t="s">
        <v>146</v>
      </c>
      <c r="B671" s="100" t="s">
        <v>160</v>
      </c>
      <c r="C671" s="115">
        <v>12000</v>
      </c>
      <c r="D671" s="100">
        <f>(C671/12)*10</f>
        <v>10000</v>
      </c>
      <c r="E671" s="103">
        <f>'Monitoramento Acumulado Geral'!Q671</f>
        <v>0</v>
      </c>
      <c r="F671" s="100">
        <f>SUM(E662:E671)</f>
        <v>5766.95</v>
      </c>
      <c r="G671" s="102" t="str">
        <f t="shared" si="131"/>
        <v>Farol Vermelho</v>
      </c>
      <c r="H671" s="116">
        <f t="shared" si="129"/>
        <v>4233.05</v>
      </c>
      <c r="I671" s="100">
        <f t="shared" si="130"/>
        <v>10</v>
      </c>
      <c r="J671" s="119">
        <v>15</v>
      </c>
      <c r="K671" s="118">
        <f>'Monitoramento Acumulado Geral'!P671</f>
        <v>0</v>
      </c>
      <c r="L671" s="100">
        <f>$L662+L670</f>
        <v>12.5</v>
      </c>
      <c r="M671" s="100">
        <f t="shared" si="135"/>
        <v>13</v>
      </c>
      <c r="N671" s="115"/>
      <c r="O671" s="116" t="e">
        <f t="shared" si="132"/>
        <v>#DIV/0!</v>
      </c>
      <c r="P671" s="115"/>
      <c r="Q671" s="116" t="e">
        <f t="shared" si="133"/>
        <v>#DIV/0!</v>
      </c>
      <c r="R671" s="115"/>
      <c r="S671" s="100" t="e">
        <f t="shared" si="134"/>
        <v>#DIV/0!</v>
      </c>
    </row>
    <row r="672" spans="1:19" ht="15" x14ac:dyDescent="0.2">
      <c r="A672" s="114" t="s">
        <v>146</v>
      </c>
      <c r="B672" s="100" t="s">
        <v>161</v>
      </c>
      <c r="C672" s="115">
        <v>12000</v>
      </c>
      <c r="D672" s="100">
        <f>(C672/12)*11</f>
        <v>11000</v>
      </c>
      <c r="E672" s="103">
        <f>'Monitoramento Acumulado Geral'!Q672</f>
        <v>0</v>
      </c>
      <c r="F672" s="100">
        <f>SUM(E662:E672)</f>
        <v>5766.95</v>
      </c>
      <c r="G672" s="102" t="str">
        <f t="shared" si="131"/>
        <v>Farol Vermelho</v>
      </c>
      <c r="H672" s="116">
        <f t="shared" si="129"/>
        <v>5233.05</v>
      </c>
      <c r="I672" s="100">
        <f t="shared" si="130"/>
        <v>11</v>
      </c>
      <c r="J672" s="119">
        <v>15</v>
      </c>
      <c r="K672" s="118">
        <f>'Monitoramento Acumulado Geral'!P672</f>
        <v>0</v>
      </c>
      <c r="L672" s="100">
        <f>L662+L671</f>
        <v>13.75</v>
      </c>
      <c r="M672" s="100">
        <f t="shared" si="135"/>
        <v>13</v>
      </c>
      <c r="N672" s="115"/>
      <c r="O672" s="116" t="e">
        <f t="shared" si="132"/>
        <v>#DIV/0!</v>
      </c>
      <c r="P672" s="115"/>
      <c r="Q672" s="116" t="e">
        <f t="shared" si="133"/>
        <v>#DIV/0!</v>
      </c>
      <c r="R672" s="115"/>
      <c r="S672" s="100" t="e">
        <f t="shared" si="134"/>
        <v>#DIV/0!</v>
      </c>
    </row>
    <row r="673" spans="1:19" ht="15" x14ac:dyDescent="0.2">
      <c r="A673" s="114" t="s">
        <v>146</v>
      </c>
      <c r="B673" s="100" t="s">
        <v>162</v>
      </c>
      <c r="C673" s="115">
        <v>12000</v>
      </c>
      <c r="D673" s="100">
        <f>(C673/12)*12</f>
        <v>12000</v>
      </c>
      <c r="E673" s="103">
        <f>'Monitoramento Acumulado Geral'!Q673</f>
        <v>0</v>
      </c>
      <c r="F673" s="100">
        <f>SUM(E662:E673)</f>
        <v>5766.95</v>
      </c>
      <c r="G673" s="102" t="str">
        <f t="shared" si="131"/>
        <v>Farol Vermelho</v>
      </c>
      <c r="H673" s="116">
        <f t="shared" si="129"/>
        <v>6233.05</v>
      </c>
      <c r="I673" s="100">
        <f t="shared" si="130"/>
        <v>12</v>
      </c>
      <c r="J673" s="119">
        <v>15</v>
      </c>
      <c r="K673" s="118">
        <f>'Monitoramento Acumulado Geral'!P673</f>
        <v>0</v>
      </c>
      <c r="L673" s="100">
        <f>$L662+L672</f>
        <v>15</v>
      </c>
      <c r="M673" s="100">
        <f t="shared" si="135"/>
        <v>13</v>
      </c>
      <c r="N673" s="115"/>
      <c r="O673" s="116" t="e">
        <f t="shared" si="132"/>
        <v>#DIV/0!</v>
      </c>
      <c r="P673" s="115"/>
      <c r="Q673" s="116" t="e">
        <f t="shared" si="133"/>
        <v>#DIV/0!</v>
      </c>
      <c r="R673" s="115"/>
      <c r="S673" s="100" t="e">
        <f t="shared" si="134"/>
        <v>#DIV/0!</v>
      </c>
    </row>
    <row r="674" spans="1:19" ht="15" x14ac:dyDescent="0.2">
      <c r="A674" s="114" t="s">
        <v>131</v>
      </c>
      <c r="B674" s="100" t="s">
        <v>151</v>
      </c>
      <c r="C674" s="115">
        <v>16000</v>
      </c>
      <c r="D674" s="100">
        <f>(C674/12)*1</f>
        <v>1333.3333333333333</v>
      </c>
      <c r="E674" s="103">
        <f>'Monitoramento Acumulado Geral'!Q674</f>
        <v>1600</v>
      </c>
      <c r="F674" s="100">
        <f>E674</f>
        <v>1600</v>
      </c>
      <c r="G674" s="102" t="str">
        <f t="shared" si="131"/>
        <v>Farol Verde</v>
      </c>
      <c r="H674" s="116">
        <f t="shared" si="129"/>
        <v>0</v>
      </c>
      <c r="I674" s="100">
        <f t="shared" si="130"/>
        <v>1</v>
      </c>
      <c r="J674" s="119">
        <v>10</v>
      </c>
      <c r="K674" s="118">
        <f>'Monitoramento Acumulado Geral'!P674</f>
        <v>1</v>
      </c>
      <c r="L674" s="100">
        <f>J674/12</f>
        <v>0.83333333333333337</v>
      </c>
      <c r="M674" s="100">
        <f>K674</f>
        <v>1</v>
      </c>
      <c r="N674" s="115">
        <v>0</v>
      </c>
      <c r="O674" s="116" t="e">
        <f t="shared" si="132"/>
        <v>#DIV/0!</v>
      </c>
      <c r="P674" s="115">
        <v>0</v>
      </c>
      <c r="Q674" s="116" t="e">
        <f t="shared" si="133"/>
        <v>#DIV/0!</v>
      </c>
      <c r="R674" s="115">
        <v>0</v>
      </c>
      <c r="S674" s="100" t="e">
        <f t="shared" si="134"/>
        <v>#DIV/0!</v>
      </c>
    </row>
    <row r="675" spans="1:19" ht="15" x14ac:dyDescent="0.2">
      <c r="A675" s="114" t="s">
        <v>131</v>
      </c>
      <c r="B675" s="100" t="s">
        <v>152</v>
      </c>
      <c r="C675" s="115">
        <v>16000</v>
      </c>
      <c r="D675" s="100">
        <f>(C675/12)*2</f>
        <v>2666.6666666666665</v>
      </c>
      <c r="E675" s="103">
        <f>'Monitoramento Acumulado Geral'!Q675</f>
        <v>2600</v>
      </c>
      <c r="F675" s="100">
        <f>SUM(E674:E675)</f>
        <v>4200</v>
      </c>
      <c r="G675" s="102" t="str">
        <f t="shared" si="131"/>
        <v>Farol Verde</v>
      </c>
      <c r="H675" s="116">
        <f t="shared" si="129"/>
        <v>0</v>
      </c>
      <c r="I675" s="100">
        <f t="shared" si="130"/>
        <v>2</v>
      </c>
      <c r="J675" s="119">
        <v>10</v>
      </c>
      <c r="K675" s="118">
        <f>'Monitoramento Acumulado Geral'!P675</f>
        <v>2</v>
      </c>
      <c r="L675" s="100">
        <f>L674+L674</f>
        <v>1.6666666666666667</v>
      </c>
      <c r="M675" s="100">
        <f>M674+K675</f>
        <v>3</v>
      </c>
      <c r="N675" s="115">
        <v>0</v>
      </c>
      <c r="O675" s="116" t="e">
        <f t="shared" si="132"/>
        <v>#DIV/0!</v>
      </c>
      <c r="P675" s="115">
        <v>0</v>
      </c>
      <c r="Q675" s="116" t="e">
        <f t="shared" si="133"/>
        <v>#DIV/0!</v>
      </c>
      <c r="R675" s="115">
        <v>0</v>
      </c>
      <c r="S675" s="100" t="e">
        <f t="shared" si="134"/>
        <v>#DIV/0!</v>
      </c>
    </row>
    <row r="676" spans="1:19" ht="15" x14ac:dyDescent="0.2">
      <c r="A676" s="114" t="s">
        <v>131</v>
      </c>
      <c r="B676" s="100" t="s">
        <v>153</v>
      </c>
      <c r="C676" s="115">
        <v>16000</v>
      </c>
      <c r="D676" s="100">
        <f>(C676/12)*3</f>
        <v>4000</v>
      </c>
      <c r="E676" s="103">
        <f>'Monitoramento Acumulado Geral'!Q676</f>
        <v>1500</v>
      </c>
      <c r="F676" s="100">
        <f>SUM(E674:E676)</f>
        <v>5700</v>
      </c>
      <c r="G676" s="102" t="str">
        <f t="shared" si="131"/>
        <v>Farol Verde</v>
      </c>
      <c r="H676" s="116">
        <f t="shared" si="129"/>
        <v>0</v>
      </c>
      <c r="I676" s="100">
        <f t="shared" si="130"/>
        <v>3</v>
      </c>
      <c r="J676" s="119">
        <v>10</v>
      </c>
      <c r="K676" s="118">
        <f>'Monitoramento Acumulado Geral'!P676</f>
        <v>1</v>
      </c>
      <c r="L676" s="100">
        <f>$L674+L675</f>
        <v>2.5</v>
      </c>
      <c r="M676" s="100">
        <f t="shared" ref="M676:M685" si="136">M675+K676</f>
        <v>4</v>
      </c>
      <c r="N676" s="115">
        <v>0</v>
      </c>
      <c r="O676" s="116" t="e">
        <f t="shared" si="132"/>
        <v>#DIV/0!</v>
      </c>
      <c r="P676" s="115">
        <v>0</v>
      </c>
      <c r="Q676" s="116" t="e">
        <f t="shared" si="133"/>
        <v>#DIV/0!</v>
      </c>
      <c r="R676" s="115">
        <v>0</v>
      </c>
      <c r="S676" s="100" t="e">
        <f t="shared" si="134"/>
        <v>#DIV/0!</v>
      </c>
    </row>
    <row r="677" spans="1:19" ht="15" x14ac:dyDescent="0.2">
      <c r="A677" s="114" t="s">
        <v>131</v>
      </c>
      <c r="B677" s="100" t="s">
        <v>154</v>
      </c>
      <c r="C677" s="115">
        <v>16000</v>
      </c>
      <c r="D677" s="100">
        <f>(C677/12)*4</f>
        <v>5333.333333333333</v>
      </c>
      <c r="E677" s="103">
        <f>'Monitoramento Acumulado Geral'!Q677</f>
        <v>0</v>
      </c>
      <c r="F677" s="100">
        <f>SUM(E674:E677)</f>
        <v>5700</v>
      </c>
      <c r="G677" s="102" t="str">
        <f t="shared" si="131"/>
        <v>Farol Verde</v>
      </c>
      <c r="H677" s="116">
        <f t="shared" si="129"/>
        <v>0</v>
      </c>
      <c r="I677" s="100">
        <f t="shared" si="130"/>
        <v>4</v>
      </c>
      <c r="J677" s="119">
        <v>10</v>
      </c>
      <c r="K677" s="118">
        <f>'Monitoramento Acumulado Geral'!P677</f>
        <v>0</v>
      </c>
      <c r="L677" s="100">
        <f>$L674+L676</f>
        <v>3.3333333333333335</v>
      </c>
      <c r="M677" s="100">
        <f t="shared" si="136"/>
        <v>4</v>
      </c>
      <c r="N677" s="115">
        <v>0</v>
      </c>
      <c r="O677" s="116" t="e">
        <f t="shared" si="132"/>
        <v>#DIV/0!</v>
      </c>
      <c r="P677" s="115">
        <v>0</v>
      </c>
      <c r="Q677" s="116" t="e">
        <f t="shared" si="133"/>
        <v>#DIV/0!</v>
      </c>
      <c r="R677" s="115">
        <v>0</v>
      </c>
      <c r="S677" s="100" t="e">
        <f t="shared" si="134"/>
        <v>#DIV/0!</v>
      </c>
    </row>
    <row r="678" spans="1:19" ht="15" x14ac:dyDescent="0.2">
      <c r="A678" s="114" t="s">
        <v>131</v>
      </c>
      <c r="B678" s="100" t="s">
        <v>155</v>
      </c>
      <c r="C678" s="115">
        <v>16000</v>
      </c>
      <c r="D678" s="100">
        <f>(C678/12)*5</f>
        <v>6666.6666666666661</v>
      </c>
      <c r="E678" s="103">
        <f>'Monitoramento Acumulado Geral'!Q678</f>
        <v>5500</v>
      </c>
      <c r="F678" s="100">
        <f>SUM(E674:E678)</f>
        <v>11200</v>
      </c>
      <c r="G678" s="102" t="str">
        <f t="shared" si="131"/>
        <v>Farol Verde</v>
      </c>
      <c r="H678" s="116">
        <f t="shared" si="129"/>
        <v>0</v>
      </c>
      <c r="I678" s="100">
        <f t="shared" si="130"/>
        <v>5</v>
      </c>
      <c r="J678" s="119">
        <v>10</v>
      </c>
      <c r="K678" s="118">
        <f>'Monitoramento Acumulado Geral'!P678</f>
        <v>2</v>
      </c>
      <c r="L678" s="100">
        <f>L674+L677</f>
        <v>4.166666666666667</v>
      </c>
      <c r="M678" s="100">
        <f t="shared" si="136"/>
        <v>6</v>
      </c>
      <c r="N678" s="115">
        <v>3</v>
      </c>
      <c r="O678" s="116">
        <f t="shared" si="132"/>
        <v>1</v>
      </c>
      <c r="P678" s="115">
        <v>3</v>
      </c>
      <c r="Q678" s="116">
        <f t="shared" si="133"/>
        <v>0.33333333333333331</v>
      </c>
      <c r="R678" s="115">
        <v>1</v>
      </c>
      <c r="S678" s="100">
        <f t="shared" si="134"/>
        <v>0.33333333333333331</v>
      </c>
    </row>
    <row r="679" spans="1:19" ht="15" x14ac:dyDescent="0.2">
      <c r="A679" s="114" t="s">
        <v>131</v>
      </c>
      <c r="B679" s="100" t="s">
        <v>156</v>
      </c>
      <c r="C679" s="115">
        <v>16000</v>
      </c>
      <c r="D679" s="100">
        <f>(C679/12)*6</f>
        <v>8000</v>
      </c>
      <c r="E679" s="103">
        <f>'Monitoramento Acumulado Geral'!Q679</f>
        <v>0</v>
      </c>
      <c r="F679" s="100">
        <f>SUM(E674:E679)</f>
        <v>11200</v>
      </c>
      <c r="G679" s="102" t="str">
        <f t="shared" si="131"/>
        <v>Farol Verde</v>
      </c>
      <c r="H679" s="116">
        <f t="shared" si="129"/>
        <v>0</v>
      </c>
      <c r="I679" s="100">
        <f t="shared" si="130"/>
        <v>6</v>
      </c>
      <c r="J679" s="119">
        <v>10</v>
      </c>
      <c r="K679" s="118">
        <f>'Monitoramento Acumulado Geral'!P679</f>
        <v>0</v>
      </c>
      <c r="L679" s="100">
        <f>$L674+L678</f>
        <v>5</v>
      </c>
      <c r="M679" s="100">
        <f t="shared" si="136"/>
        <v>6</v>
      </c>
      <c r="N679" s="115">
        <v>3</v>
      </c>
      <c r="O679" s="116">
        <f t="shared" si="132"/>
        <v>0.66666666666666663</v>
      </c>
      <c r="P679" s="115">
        <v>2</v>
      </c>
      <c r="Q679" s="116">
        <f t="shared" si="133"/>
        <v>0</v>
      </c>
      <c r="R679" s="115">
        <v>0</v>
      </c>
      <c r="S679" s="100">
        <f t="shared" si="134"/>
        <v>0</v>
      </c>
    </row>
    <row r="680" spans="1:19" ht="15" x14ac:dyDescent="0.2">
      <c r="A680" s="114" t="s">
        <v>131</v>
      </c>
      <c r="B680" s="100" t="s">
        <v>157</v>
      </c>
      <c r="C680" s="115">
        <v>16000</v>
      </c>
      <c r="D680" s="100">
        <f>(C680/12)*7</f>
        <v>9333.3333333333321</v>
      </c>
      <c r="E680" s="103">
        <f>'Monitoramento Acumulado Geral'!Q680</f>
        <v>1180</v>
      </c>
      <c r="F680" s="100">
        <f>SUM(E674:E680)</f>
        <v>12380</v>
      </c>
      <c r="G680" s="102" t="str">
        <f t="shared" si="131"/>
        <v>Farol Verde</v>
      </c>
      <c r="H680" s="116">
        <f t="shared" si="129"/>
        <v>0</v>
      </c>
      <c r="I680" s="100">
        <f t="shared" si="130"/>
        <v>7</v>
      </c>
      <c r="J680" s="119">
        <v>10</v>
      </c>
      <c r="K680" s="118">
        <f>'Monitoramento Acumulado Geral'!P680</f>
        <v>1</v>
      </c>
      <c r="L680" s="100">
        <f>$L674+L679</f>
        <v>5.833333333333333</v>
      </c>
      <c r="M680" s="100">
        <f t="shared" si="136"/>
        <v>7</v>
      </c>
      <c r="N680" s="115"/>
      <c r="O680" s="116" t="e">
        <f t="shared" si="132"/>
        <v>#DIV/0!</v>
      </c>
      <c r="P680" s="115"/>
      <c r="Q680" s="116" t="e">
        <f t="shared" si="133"/>
        <v>#DIV/0!</v>
      </c>
      <c r="R680" s="115"/>
      <c r="S680" s="100" t="e">
        <f t="shared" si="134"/>
        <v>#DIV/0!</v>
      </c>
    </row>
    <row r="681" spans="1:19" ht="15" x14ac:dyDescent="0.2">
      <c r="A681" s="114" t="s">
        <v>131</v>
      </c>
      <c r="B681" s="100" t="s">
        <v>158</v>
      </c>
      <c r="C681" s="115">
        <v>16000</v>
      </c>
      <c r="D681" s="100">
        <f>(C681/12)*8</f>
        <v>10666.666666666666</v>
      </c>
      <c r="E681" s="103">
        <f>'Monitoramento Acumulado Geral'!Q681</f>
        <v>400</v>
      </c>
      <c r="F681" s="100">
        <f>SUM(E674:E681)</f>
        <v>12780</v>
      </c>
      <c r="G681" s="102" t="str">
        <f t="shared" si="131"/>
        <v>Farol Verde</v>
      </c>
      <c r="H681" s="116">
        <f t="shared" si="129"/>
        <v>0</v>
      </c>
      <c r="I681" s="100">
        <f t="shared" si="130"/>
        <v>8</v>
      </c>
      <c r="J681" s="119">
        <v>10</v>
      </c>
      <c r="K681" s="118">
        <f>'Monitoramento Acumulado Geral'!P681</f>
        <v>1</v>
      </c>
      <c r="L681" s="100">
        <f>L674+L680</f>
        <v>6.6666666666666661</v>
      </c>
      <c r="M681" s="100">
        <f t="shared" si="136"/>
        <v>8</v>
      </c>
      <c r="N681" s="115"/>
      <c r="O681" s="116" t="e">
        <f t="shared" si="132"/>
        <v>#DIV/0!</v>
      </c>
      <c r="P681" s="115"/>
      <c r="Q681" s="116" t="e">
        <f t="shared" si="133"/>
        <v>#DIV/0!</v>
      </c>
      <c r="R681" s="115"/>
      <c r="S681" s="100" t="e">
        <f t="shared" si="134"/>
        <v>#DIV/0!</v>
      </c>
    </row>
    <row r="682" spans="1:19" ht="15" x14ac:dyDescent="0.2">
      <c r="A682" s="114" t="s">
        <v>131</v>
      </c>
      <c r="B682" s="100" t="s">
        <v>159</v>
      </c>
      <c r="C682" s="115">
        <v>16000</v>
      </c>
      <c r="D682" s="100">
        <f>(C682/12)*9</f>
        <v>12000</v>
      </c>
      <c r="E682" s="103">
        <f>'Monitoramento Acumulado Geral'!Q682</f>
        <v>400</v>
      </c>
      <c r="F682" s="100">
        <f>SUM(E674:E682)</f>
        <v>13180</v>
      </c>
      <c r="G682" s="102" t="str">
        <f t="shared" si="131"/>
        <v>Farol Verde</v>
      </c>
      <c r="H682" s="116">
        <f t="shared" si="129"/>
        <v>0</v>
      </c>
      <c r="I682" s="100">
        <f t="shared" si="130"/>
        <v>9</v>
      </c>
      <c r="J682" s="119">
        <v>10</v>
      </c>
      <c r="K682" s="118">
        <f>'Monitoramento Acumulado Geral'!P682</f>
        <v>1</v>
      </c>
      <c r="L682" s="100">
        <f>$L674+L681</f>
        <v>7.4999999999999991</v>
      </c>
      <c r="M682" s="100">
        <f t="shared" si="136"/>
        <v>9</v>
      </c>
      <c r="N682" s="115"/>
      <c r="O682" s="116" t="e">
        <f t="shared" si="132"/>
        <v>#DIV/0!</v>
      </c>
      <c r="P682" s="115"/>
      <c r="Q682" s="116" t="e">
        <f t="shared" si="133"/>
        <v>#DIV/0!</v>
      </c>
      <c r="R682" s="115"/>
      <c r="S682" s="100" t="e">
        <f t="shared" si="134"/>
        <v>#DIV/0!</v>
      </c>
    </row>
    <row r="683" spans="1:19" ht="15" x14ac:dyDescent="0.2">
      <c r="A683" s="114" t="s">
        <v>131</v>
      </c>
      <c r="B683" s="100" t="s">
        <v>160</v>
      </c>
      <c r="C683" s="115">
        <v>16000</v>
      </c>
      <c r="D683" s="100">
        <f>(C683/12)*10</f>
        <v>13333.333333333332</v>
      </c>
      <c r="E683" s="103">
        <f>'Monitoramento Acumulado Geral'!Q683</f>
        <v>0</v>
      </c>
      <c r="F683" s="100">
        <f>SUM(E674:E683)</f>
        <v>13180</v>
      </c>
      <c r="G683" s="102" t="str">
        <f t="shared" si="131"/>
        <v>Farol Amarelo</v>
      </c>
      <c r="H683" s="116">
        <f t="shared" si="129"/>
        <v>153.33333333333212</v>
      </c>
      <c r="I683" s="100">
        <f t="shared" si="130"/>
        <v>10</v>
      </c>
      <c r="J683" s="119">
        <v>10</v>
      </c>
      <c r="K683" s="118">
        <f>'Monitoramento Acumulado Geral'!P683</f>
        <v>0</v>
      </c>
      <c r="L683" s="100">
        <f>$L674+L682</f>
        <v>8.3333333333333321</v>
      </c>
      <c r="M683" s="100">
        <f t="shared" si="136"/>
        <v>9</v>
      </c>
      <c r="N683" s="115"/>
      <c r="O683" s="116" t="e">
        <f t="shared" si="132"/>
        <v>#DIV/0!</v>
      </c>
      <c r="P683" s="115"/>
      <c r="Q683" s="116" t="e">
        <f t="shared" si="133"/>
        <v>#DIV/0!</v>
      </c>
      <c r="R683" s="115"/>
      <c r="S683" s="100" t="e">
        <f t="shared" si="134"/>
        <v>#DIV/0!</v>
      </c>
    </row>
    <row r="684" spans="1:19" ht="15" x14ac:dyDescent="0.2">
      <c r="A684" s="114" t="s">
        <v>131</v>
      </c>
      <c r="B684" s="100" t="s">
        <v>161</v>
      </c>
      <c r="C684" s="115">
        <v>16000</v>
      </c>
      <c r="D684" s="100">
        <f>(C684/12)*11</f>
        <v>14666.666666666666</v>
      </c>
      <c r="E684" s="103">
        <f>'Monitoramento Acumulado Geral'!Q684</f>
        <v>0</v>
      </c>
      <c r="F684" s="100">
        <f>SUM(E674:E684)</f>
        <v>13180</v>
      </c>
      <c r="G684" s="102" t="str">
        <f t="shared" si="131"/>
        <v>Farol Amarelo</v>
      </c>
      <c r="H684" s="116">
        <f t="shared" si="129"/>
        <v>1486.6666666666661</v>
      </c>
      <c r="I684" s="100">
        <f t="shared" si="130"/>
        <v>11</v>
      </c>
      <c r="J684" s="119">
        <v>10</v>
      </c>
      <c r="K684" s="118">
        <f>'Monitoramento Acumulado Geral'!P684</f>
        <v>0</v>
      </c>
      <c r="L684" s="100">
        <f>L674+L683</f>
        <v>9.1666666666666661</v>
      </c>
      <c r="M684" s="100">
        <f t="shared" si="136"/>
        <v>9</v>
      </c>
      <c r="N684" s="115"/>
      <c r="O684" s="116" t="e">
        <f t="shared" si="132"/>
        <v>#DIV/0!</v>
      </c>
      <c r="P684" s="115"/>
      <c r="Q684" s="116" t="e">
        <f t="shared" si="133"/>
        <v>#DIV/0!</v>
      </c>
      <c r="R684" s="115"/>
      <c r="S684" s="100" t="e">
        <f t="shared" si="134"/>
        <v>#DIV/0!</v>
      </c>
    </row>
    <row r="685" spans="1:19" ht="15" x14ac:dyDescent="0.2">
      <c r="A685" s="114" t="s">
        <v>131</v>
      </c>
      <c r="B685" s="100" t="s">
        <v>162</v>
      </c>
      <c r="C685" s="115">
        <v>16000</v>
      </c>
      <c r="D685" s="100">
        <f>(C685/12)*12</f>
        <v>16000</v>
      </c>
      <c r="E685" s="103">
        <f>'Monitoramento Acumulado Geral'!Q685</f>
        <v>0</v>
      </c>
      <c r="F685" s="100">
        <f>SUM(E674:E685)</f>
        <v>13180</v>
      </c>
      <c r="G685" s="102" t="str">
        <f t="shared" si="131"/>
        <v>Farol Vermelho</v>
      </c>
      <c r="H685" s="116">
        <f t="shared" si="129"/>
        <v>2820</v>
      </c>
      <c r="I685" s="100">
        <f t="shared" si="130"/>
        <v>12</v>
      </c>
      <c r="J685" s="119">
        <v>10</v>
      </c>
      <c r="K685" s="118">
        <f>'Monitoramento Acumulado Geral'!P685</f>
        <v>0</v>
      </c>
      <c r="L685" s="100">
        <f>$L674+L684</f>
        <v>10</v>
      </c>
      <c r="M685" s="100">
        <f t="shared" si="136"/>
        <v>9</v>
      </c>
      <c r="N685" s="115"/>
      <c r="O685" s="116" t="e">
        <f t="shared" si="132"/>
        <v>#DIV/0!</v>
      </c>
      <c r="P685" s="115"/>
      <c r="Q685" s="116" t="e">
        <f t="shared" si="133"/>
        <v>#DIV/0!</v>
      </c>
      <c r="R685" s="115"/>
      <c r="S685" s="100" t="e">
        <f t="shared" si="134"/>
        <v>#DIV/0!</v>
      </c>
    </row>
    <row r="686" spans="1:19" ht="15" x14ac:dyDescent="0.2">
      <c r="A686" s="114" t="s">
        <v>301</v>
      </c>
      <c r="B686" s="100" t="s">
        <v>151</v>
      </c>
      <c r="C686" s="115">
        <v>0</v>
      </c>
      <c r="D686" s="100">
        <f>(C686/12)*1</f>
        <v>0</v>
      </c>
      <c r="E686" s="103">
        <f>'Monitoramento Acumulado Geral'!Q686</f>
        <v>0</v>
      </c>
      <c r="F686" s="100">
        <f>E686</f>
        <v>0</v>
      </c>
      <c r="G686" s="102" t="str">
        <f t="shared" ref="G686:G697" si="137">_xlfn.IFS(F686&gt;D686,"Farol Verde",F686&gt;=D686*0.85,"Farol Amarelo",F686&lt;D686*0.85,"Farol Vermelho","Verdadeiro",0)</f>
        <v>Farol Amarelo</v>
      </c>
      <c r="H686" s="116">
        <f t="shared" ref="H686:H697" si="138">IF(D686-F686&lt;0,0,D686-F686)</f>
        <v>0</v>
      </c>
      <c r="I686" s="100">
        <f t="shared" ref="I686:I697" si="139">_xlfn.IFS(B686="Janeiro",1,B686="Fevereiro",2,B686="Março",3,B686="Abril",4,B686="Maio",5,B686="Junho",6,B686="Julho",7,B686="Agosto",8,B686="Setembro",9,B686="Outubro",10,B686="Novembro",11,B686="Dezembro",12,TRUE,0)</f>
        <v>1</v>
      </c>
      <c r="J686" s="115">
        <v>0</v>
      </c>
      <c r="K686" s="118">
        <f>'Monitoramento Acumulado Geral'!P686</f>
        <v>0</v>
      </c>
      <c r="L686" s="100">
        <f>J686/12</f>
        <v>0</v>
      </c>
      <c r="M686" s="100">
        <f>K686</f>
        <v>0</v>
      </c>
      <c r="N686" s="115">
        <v>0</v>
      </c>
      <c r="O686" s="116" t="e">
        <f t="shared" si="132"/>
        <v>#DIV/0!</v>
      </c>
      <c r="P686" s="115">
        <v>0</v>
      </c>
      <c r="Q686" s="116" t="e">
        <f t="shared" si="133"/>
        <v>#DIV/0!</v>
      </c>
      <c r="R686" s="115">
        <v>0</v>
      </c>
      <c r="S686" s="100" t="e">
        <f t="shared" si="134"/>
        <v>#DIV/0!</v>
      </c>
    </row>
    <row r="687" spans="1:19" ht="15" x14ac:dyDescent="0.2">
      <c r="A687" s="114" t="s">
        <v>301</v>
      </c>
      <c r="B687" s="100" t="s">
        <v>152</v>
      </c>
      <c r="C687" s="115">
        <v>0</v>
      </c>
      <c r="D687" s="100">
        <f>(C687/12)*2</f>
        <v>0</v>
      </c>
      <c r="E687" s="103">
        <f>'Monitoramento Acumulado Geral'!Q687</f>
        <v>0</v>
      </c>
      <c r="F687" s="100">
        <f>SUM(E686:E687)</f>
        <v>0</v>
      </c>
      <c r="G687" s="102" t="str">
        <f t="shared" si="137"/>
        <v>Farol Amarelo</v>
      </c>
      <c r="H687" s="116">
        <f t="shared" si="138"/>
        <v>0</v>
      </c>
      <c r="I687" s="100">
        <f t="shared" si="139"/>
        <v>2</v>
      </c>
      <c r="J687" s="115">
        <v>0</v>
      </c>
      <c r="K687" s="118">
        <f>'Monitoramento Acumulado Geral'!P687</f>
        <v>0</v>
      </c>
      <c r="L687" s="100">
        <f>L686+L686</f>
        <v>0</v>
      </c>
      <c r="M687" s="100">
        <f>M686+K687</f>
        <v>0</v>
      </c>
      <c r="N687" s="115">
        <v>0</v>
      </c>
      <c r="O687" s="116" t="e">
        <f t="shared" si="132"/>
        <v>#DIV/0!</v>
      </c>
      <c r="P687" s="115">
        <v>0</v>
      </c>
      <c r="Q687" s="116" t="e">
        <f t="shared" si="133"/>
        <v>#DIV/0!</v>
      </c>
      <c r="R687" s="115">
        <v>0</v>
      </c>
      <c r="S687" s="100" t="e">
        <f t="shared" si="134"/>
        <v>#DIV/0!</v>
      </c>
    </row>
    <row r="688" spans="1:19" ht="15" x14ac:dyDescent="0.2">
      <c r="A688" s="114" t="s">
        <v>301</v>
      </c>
      <c r="B688" s="100" t="s">
        <v>153</v>
      </c>
      <c r="C688" s="115">
        <v>0</v>
      </c>
      <c r="D688" s="100">
        <f>(C688/12)*3</f>
        <v>0</v>
      </c>
      <c r="E688" s="103">
        <f>'Monitoramento Acumulado Geral'!Q688</f>
        <v>0</v>
      </c>
      <c r="F688" s="100">
        <f>SUM(E686:E688)</f>
        <v>0</v>
      </c>
      <c r="G688" s="102" t="str">
        <f t="shared" si="137"/>
        <v>Farol Amarelo</v>
      </c>
      <c r="H688" s="116">
        <f t="shared" si="138"/>
        <v>0</v>
      </c>
      <c r="I688" s="100">
        <f t="shared" si="139"/>
        <v>3</v>
      </c>
      <c r="J688" s="115">
        <v>0</v>
      </c>
      <c r="K688" s="118">
        <f>'Monitoramento Acumulado Geral'!P688</f>
        <v>0</v>
      </c>
      <c r="L688" s="100">
        <f>$L686+L687</f>
        <v>0</v>
      </c>
      <c r="M688" s="100">
        <f t="shared" ref="M688:M697" si="140">M687+K688</f>
        <v>0</v>
      </c>
      <c r="N688" s="115">
        <v>0</v>
      </c>
      <c r="O688" s="116" t="e">
        <f t="shared" si="132"/>
        <v>#DIV/0!</v>
      </c>
      <c r="P688" s="115">
        <v>0</v>
      </c>
      <c r="Q688" s="116" t="e">
        <f t="shared" si="133"/>
        <v>#DIV/0!</v>
      </c>
      <c r="R688" s="115">
        <v>0</v>
      </c>
      <c r="S688" s="100" t="e">
        <f t="shared" si="134"/>
        <v>#DIV/0!</v>
      </c>
    </row>
    <row r="689" spans="1:19" ht="15" x14ac:dyDescent="0.2">
      <c r="A689" s="114" t="s">
        <v>301</v>
      </c>
      <c r="B689" s="100" t="s">
        <v>154</v>
      </c>
      <c r="C689" s="115">
        <v>0</v>
      </c>
      <c r="D689" s="100">
        <f>(C689/12)*4</f>
        <v>0</v>
      </c>
      <c r="E689" s="103">
        <f>'Monitoramento Acumulado Geral'!Q689</f>
        <v>0</v>
      </c>
      <c r="F689" s="100">
        <f>SUM(E686:E689)</f>
        <v>0</v>
      </c>
      <c r="G689" s="102" t="str">
        <f t="shared" si="137"/>
        <v>Farol Amarelo</v>
      </c>
      <c r="H689" s="116">
        <f t="shared" si="138"/>
        <v>0</v>
      </c>
      <c r="I689" s="100">
        <f t="shared" si="139"/>
        <v>4</v>
      </c>
      <c r="J689" s="115">
        <v>0</v>
      </c>
      <c r="K689" s="118">
        <f>'Monitoramento Acumulado Geral'!P689</f>
        <v>0</v>
      </c>
      <c r="L689" s="100">
        <f>$L686+L688</f>
        <v>0</v>
      </c>
      <c r="M689" s="100">
        <f t="shared" si="140"/>
        <v>0</v>
      </c>
      <c r="N689" s="115">
        <v>0</v>
      </c>
      <c r="O689" s="116" t="e">
        <f t="shared" si="132"/>
        <v>#DIV/0!</v>
      </c>
      <c r="P689" s="115">
        <v>0</v>
      </c>
      <c r="Q689" s="116" t="e">
        <f t="shared" si="133"/>
        <v>#DIV/0!</v>
      </c>
      <c r="R689" s="115">
        <v>0</v>
      </c>
      <c r="S689" s="100" t="e">
        <f t="shared" si="134"/>
        <v>#DIV/0!</v>
      </c>
    </row>
    <row r="690" spans="1:19" ht="15" x14ac:dyDescent="0.2">
      <c r="A690" s="114" t="s">
        <v>301</v>
      </c>
      <c r="B690" s="100" t="s">
        <v>155</v>
      </c>
      <c r="C690" s="115">
        <v>0</v>
      </c>
      <c r="D690" s="100">
        <f>(C690/12)*5</f>
        <v>0</v>
      </c>
      <c r="E690" s="103">
        <f>'Monitoramento Acumulado Geral'!Q690</f>
        <v>0</v>
      </c>
      <c r="F690" s="100">
        <f>SUM(E686:E690)</f>
        <v>0</v>
      </c>
      <c r="G690" s="102" t="str">
        <f t="shared" si="137"/>
        <v>Farol Amarelo</v>
      </c>
      <c r="H690" s="116">
        <f t="shared" si="138"/>
        <v>0</v>
      </c>
      <c r="I690" s="100">
        <f t="shared" si="139"/>
        <v>5</v>
      </c>
      <c r="J690" s="115">
        <v>0</v>
      </c>
      <c r="K690" s="118">
        <f>'Monitoramento Acumulado Geral'!P690</f>
        <v>0</v>
      </c>
      <c r="L690" s="100">
        <f>L686+L689</f>
        <v>0</v>
      </c>
      <c r="M690" s="100">
        <f t="shared" si="140"/>
        <v>0</v>
      </c>
      <c r="N690" s="115">
        <v>0</v>
      </c>
      <c r="O690" s="116" t="e">
        <f t="shared" si="132"/>
        <v>#DIV/0!</v>
      </c>
      <c r="P690" s="115">
        <v>0</v>
      </c>
      <c r="Q690" s="116" t="e">
        <f t="shared" si="133"/>
        <v>#DIV/0!</v>
      </c>
      <c r="R690" s="115">
        <v>0</v>
      </c>
      <c r="S690" s="100" t="e">
        <f t="shared" si="134"/>
        <v>#DIV/0!</v>
      </c>
    </row>
    <row r="691" spans="1:19" ht="15" x14ac:dyDescent="0.2">
      <c r="A691" s="114" t="s">
        <v>301</v>
      </c>
      <c r="B691" s="100" t="s">
        <v>156</v>
      </c>
      <c r="C691" s="115">
        <v>0</v>
      </c>
      <c r="D691" s="100">
        <f>(C691/12)*6</f>
        <v>0</v>
      </c>
      <c r="E691" s="103">
        <f>'Monitoramento Acumulado Geral'!Q691</f>
        <v>0</v>
      </c>
      <c r="F691" s="100">
        <f>SUM(E686:E691)</f>
        <v>0</v>
      </c>
      <c r="G691" s="102" t="str">
        <f t="shared" si="137"/>
        <v>Farol Amarelo</v>
      </c>
      <c r="H691" s="116">
        <f t="shared" si="138"/>
        <v>0</v>
      </c>
      <c r="I691" s="100">
        <f t="shared" si="139"/>
        <v>6</v>
      </c>
      <c r="J691" s="115">
        <v>0</v>
      </c>
      <c r="K691" s="118">
        <f>'Monitoramento Acumulado Geral'!P691</f>
        <v>0</v>
      </c>
      <c r="L691" s="100">
        <f>$L686+L690</f>
        <v>0</v>
      </c>
      <c r="M691" s="100">
        <f t="shared" si="140"/>
        <v>0</v>
      </c>
      <c r="N691" s="115">
        <v>0</v>
      </c>
      <c r="O691" s="116" t="e">
        <f t="shared" si="132"/>
        <v>#DIV/0!</v>
      </c>
      <c r="P691" s="115">
        <v>0</v>
      </c>
      <c r="Q691" s="116" t="e">
        <f t="shared" si="133"/>
        <v>#DIV/0!</v>
      </c>
      <c r="R691" s="115">
        <v>0</v>
      </c>
      <c r="S691" s="100" t="e">
        <f t="shared" si="134"/>
        <v>#DIV/0!</v>
      </c>
    </row>
    <row r="692" spans="1:19" ht="15" x14ac:dyDescent="0.2">
      <c r="A692" s="114" t="s">
        <v>301</v>
      </c>
      <c r="B692" s="100" t="s">
        <v>157</v>
      </c>
      <c r="C692" s="115">
        <v>0</v>
      </c>
      <c r="D692" s="100">
        <f>(C692/12)*7</f>
        <v>0</v>
      </c>
      <c r="E692" s="103">
        <f>'Monitoramento Acumulado Geral'!Q692</f>
        <v>0</v>
      </c>
      <c r="F692" s="100">
        <f>SUM(E686:E692)</f>
        <v>0</v>
      </c>
      <c r="G692" s="102" t="str">
        <f t="shared" si="137"/>
        <v>Farol Amarelo</v>
      </c>
      <c r="H692" s="116">
        <f t="shared" si="138"/>
        <v>0</v>
      </c>
      <c r="I692" s="100">
        <f t="shared" si="139"/>
        <v>7</v>
      </c>
      <c r="J692" s="115">
        <v>0</v>
      </c>
      <c r="K692" s="118">
        <f>'Monitoramento Acumulado Geral'!P692</f>
        <v>0</v>
      </c>
      <c r="L692" s="100">
        <f>$L686+L691</f>
        <v>0</v>
      </c>
      <c r="M692" s="100">
        <f t="shared" si="140"/>
        <v>0</v>
      </c>
      <c r="N692" s="115"/>
      <c r="O692" s="116" t="e">
        <f t="shared" si="132"/>
        <v>#DIV/0!</v>
      </c>
      <c r="P692" s="115"/>
      <c r="Q692" s="116" t="e">
        <f t="shared" si="133"/>
        <v>#DIV/0!</v>
      </c>
      <c r="R692" s="115"/>
      <c r="S692" s="100" t="e">
        <f t="shared" si="134"/>
        <v>#DIV/0!</v>
      </c>
    </row>
    <row r="693" spans="1:19" ht="15" x14ac:dyDescent="0.2">
      <c r="A693" s="114" t="s">
        <v>301</v>
      </c>
      <c r="B693" s="100" t="s">
        <v>158</v>
      </c>
      <c r="C693" s="115">
        <v>0</v>
      </c>
      <c r="D693" s="100">
        <f>(C693/12)*8</f>
        <v>0</v>
      </c>
      <c r="E693" s="103">
        <f>'Monitoramento Acumulado Geral'!Q693</f>
        <v>90</v>
      </c>
      <c r="F693" s="100">
        <f>SUM(E686:E693)</f>
        <v>90</v>
      </c>
      <c r="G693" s="102" t="str">
        <f t="shared" si="137"/>
        <v>Farol Verde</v>
      </c>
      <c r="H693" s="116">
        <f t="shared" si="138"/>
        <v>0</v>
      </c>
      <c r="I693" s="100">
        <f t="shared" si="139"/>
        <v>8</v>
      </c>
      <c r="J693" s="115">
        <v>0</v>
      </c>
      <c r="K693" s="118">
        <f>'Monitoramento Acumulado Geral'!P693</f>
        <v>2</v>
      </c>
      <c r="L693" s="100">
        <f>L686+L692</f>
        <v>0</v>
      </c>
      <c r="M693" s="100">
        <f t="shared" si="140"/>
        <v>2</v>
      </c>
      <c r="N693" s="115"/>
      <c r="O693" s="116" t="e">
        <f t="shared" si="132"/>
        <v>#DIV/0!</v>
      </c>
      <c r="P693" s="115"/>
      <c r="Q693" s="116" t="e">
        <f t="shared" si="133"/>
        <v>#DIV/0!</v>
      </c>
      <c r="R693" s="115"/>
      <c r="S693" s="100" t="e">
        <f t="shared" si="134"/>
        <v>#DIV/0!</v>
      </c>
    </row>
    <row r="694" spans="1:19" ht="15" x14ac:dyDescent="0.2">
      <c r="A694" s="114" t="s">
        <v>301</v>
      </c>
      <c r="B694" s="100" t="s">
        <v>159</v>
      </c>
      <c r="C694" s="115">
        <v>0</v>
      </c>
      <c r="D694" s="100">
        <f>(C694/12)*9</f>
        <v>0</v>
      </c>
      <c r="E694" s="103">
        <f>'Monitoramento Acumulado Geral'!Q694</f>
        <v>510</v>
      </c>
      <c r="F694" s="100">
        <f>SUM(E686:E694)</f>
        <v>600</v>
      </c>
      <c r="G694" s="102" t="str">
        <f t="shared" si="137"/>
        <v>Farol Verde</v>
      </c>
      <c r="H694" s="116">
        <f t="shared" si="138"/>
        <v>0</v>
      </c>
      <c r="I694" s="100">
        <f t="shared" si="139"/>
        <v>9</v>
      </c>
      <c r="J694" s="115">
        <v>0</v>
      </c>
      <c r="K694" s="118">
        <f>'Monitoramento Acumulado Geral'!P694</f>
        <v>2</v>
      </c>
      <c r="L694" s="100">
        <f>$L686+L693</f>
        <v>0</v>
      </c>
      <c r="M694" s="100">
        <f t="shared" si="140"/>
        <v>4</v>
      </c>
      <c r="N694" s="115"/>
      <c r="O694" s="116" t="e">
        <f t="shared" si="132"/>
        <v>#DIV/0!</v>
      </c>
      <c r="P694" s="115"/>
      <c r="Q694" s="116" t="e">
        <f t="shared" si="133"/>
        <v>#DIV/0!</v>
      </c>
      <c r="R694" s="115"/>
      <c r="S694" s="100" t="e">
        <f t="shared" si="134"/>
        <v>#DIV/0!</v>
      </c>
    </row>
    <row r="695" spans="1:19" ht="15" x14ac:dyDescent="0.2">
      <c r="A695" s="114" t="s">
        <v>301</v>
      </c>
      <c r="B695" s="100" t="s">
        <v>160</v>
      </c>
      <c r="C695" s="115">
        <v>0</v>
      </c>
      <c r="D695" s="100">
        <f>(C695/12)*10</f>
        <v>0</v>
      </c>
      <c r="E695" s="103">
        <f>'Monitoramento Acumulado Geral'!Q695</f>
        <v>0</v>
      </c>
      <c r="F695" s="100">
        <f>SUM(E686:E695)</f>
        <v>600</v>
      </c>
      <c r="G695" s="102" t="str">
        <f t="shared" si="137"/>
        <v>Farol Verde</v>
      </c>
      <c r="H695" s="116">
        <f t="shared" si="138"/>
        <v>0</v>
      </c>
      <c r="I695" s="100">
        <f t="shared" si="139"/>
        <v>10</v>
      </c>
      <c r="J695" s="115">
        <v>0</v>
      </c>
      <c r="K695" s="118">
        <f>'Monitoramento Acumulado Geral'!P695</f>
        <v>0</v>
      </c>
      <c r="L695" s="100">
        <f>$L686+L694</f>
        <v>0</v>
      </c>
      <c r="M695" s="100">
        <f t="shared" si="140"/>
        <v>4</v>
      </c>
      <c r="N695" s="115"/>
      <c r="O695" s="116" t="e">
        <f t="shared" si="132"/>
        <v>#DIV/0!</v>
      </c>
      <c r="P695" s="115"/>
      <c r="Q695" s="116" t="e">
        <f t="shared" si="133"/>
        <v>#DIV/0!</v>
      </c>
      <c r="R695" s="115"/>
      <c r="S695" s="100" t="e">
        <f t="shared" si="134"/>
        <v>#DIV/0!</v>
      </c>
    </row>
    <row r="696" spans="1:19" ht="15" x14ac:dyDescent="0.2">
      <c r="A696" s="114" t="s">
        <v>301</v>
      </c>
      <c r="B696" s="100" t="s">
        <v>161</v>
      </c>
      <c r="C696" s="115">
        <v>0</v>
      </c>
      <c r="D696" s="100">
        <f>(C696/12)*11</f>
        <v>0</v>
      </c>
      <c r="E696" s="103">
        <f>'Monitoramento Acumulado Geral'!Q696</f>
        <v>0</v>
      </c>
      <c r="F696" s="100">
        <f>SUM(E686:E696)</f>
        <v>600</v>
      </c>
      <c r="G696" s="102" t="str">
        <f t="shared" si="137"/>
        <v>Farol Verde</v>
      </c>
      <c r="H696" s="116">
        <f t="shared" si="138"/>
        <v>0</v>
      </c>
      <c r="I696" s="100">
        <f t="shared" si="139"/>
        <v>11</v>
      </c>
      <c r="J696" s="115">
        <v>0</v>
      </c>
      <c r="K696" s="118">
        <f>'Monitoramento Acumulado Geral'!P696</f>
        <v>0</v>
      </c>
      <c r="L696" s="100">
        <f>L686+L695</f>
        <v>0</v>
      </c>
      <c r="M696" s="100">
        <f t="shared" si="140"/>
        <v>4</v>
      </c>
      <c r="N696" s="115"/>
      <c r="O696" s="116" t="e">
        <f t="shared" si="132"/>
        <v>#DIV/0!</v>
      </c>
      <c r="P696" s="115"/>
      <c r="Q696" s="116" t="e">
        <f t="shared" si="133"/>
        <v>#DIV/0!</v>
      </c>
      <c r="R696" s="115"/>
      <c r="S696" s="100" t="e">
        <f t="shared" si="134"/>
        <v>#DIV/0!</v>
      </c>
    </row>
    <row r="697" spans="1:19" ht="15" x14ac:dyDescent="0.2">
      <c r="A697" s="114" t="s">
        <v>301</v>
      </c>
      <c r="B697" s="100" t="s">
        <v>162</v>
      </c>
      <c r="C697" s="115">
        <v>0</v>
      </c>
      <c r="D697" s="100">
        <f>(C697/12)*12</f>
        <v>0</v>
      </c>
      <c r="E697" s="103">
        <f>'Monitoramento Acumulado Geral'!Q697</f>
        <v>0</v>
      </c>
      <c r="F697" s="100">
        <f>SUM(E686:E697)</f>
        <v>600</v>
      </c>
      <c r="G697" s="102" t="str">
        <f t="shared" si="137"/>
        <v>Farol Verde</v>
      </c>
      <c r="H697" s="116">
        <f t="shared" si="138"/>
        <v>0</v>
      </c>
      <c r="I697" s="100">
        <f t="shared" si="139"/>
        <v>12</v>
      </c>
      <c r="J697" s="115">
        <v>0</v>
      </c>
      <c r="K697" s="118">
        <f>'Monitoramento Acumulado Geral'!P697</f>
        <v>0</v>
      </c>
      <c r="L697" s="100">
        <f>$L686+L696</f>
        <v>0</v>
      </c>
      <c r="M697" s="100">
        <f t="shared" si="140"/>
        <v>4</v>
      </c>
      <c r="N697" s="115"/>
      <c r="O697" s="116" t="e">
        <f t="shared" si="132"/>
        <v>#DIV/0!</v>
      </c>
      <c r="P697" s="115"/>
      <c r="Q697" s="116" t="e">
        <f t="shared" si="133"/>
        <v>#DIV/0!</v>
      </c>
      <c r="R697" s="115"/>
      <c r="S697" s="100" t="e">
        <f t="shared" si="134"/>
        <v>#DIV/0!</v>
      </c>
    </row>
    <row r="698" spans="1:19" ht="15" x14ac:dyDescent="0.2">
      <c r="A698" s="114" t="s">
        <v>42</v>
      </c>
      <c r="B698" s="100" t="s">
        <v>151</v>
      </c>
      <c r="C698" s="115">
        <v>10730.07</v>
      </c>
      <c r="D698" s="100">
        <f>(C698/12)*1</f>
        <v>894.17250000000001</v>
      </c>
      <c r="E698" s="103">
        <f>'Monitoramento Acumulado Geral'!Q698</f>
        <v>0</v>
      </c>
      <c r="F698" s="100">
        <f>E698</f>
        <v>0</v>
      </c>
      <c r="G698" s="102" t="str">
        <f t="shared" si="131"/>
        <v>Farol Vermelho</v>
      </c>
      <c r="H698" s="116">
        <f t="shared" si="129"/>
        <v>894.17250000000001</v>
      </c>
      <c r="I698" s="100">
        <f t="shared" si="130"/>
        <v>1</v>
      </c>
      <c r="J698" s="119">
        <v>5</v>
      </c>
      <c r="K698" s="118">
        <f>'Monitoramento Acumulado Geral'!P698</f>
        <v>0</v>
      </c>
      <c r="L698" s="100">
        <f>J698/12</f>
        <v>0.41666666666666669</v>
      </c>
      <c r="M698" s="100">
        <f>K698</f>
        <v>0</v>
      </c>
      <c r="N698" s="115">
        <v>0</v>
      </c>
      <c r="O698" s="116" t="e">
        <f t="shared" si="132"/>
        <v>#DIV/0!</v>
      </c>
      <c r="P698" s="115">
        <v>0</v>
      </c>
      <c r="Q698" s="116" t="e">
        <f t="shared" si="133"/>
        <v>#DIV/0!</v>
      </c>
      <c r="R698" s="115">
        <v>0</v>
      </c>
      <c r="S698" s="100" t="e">
        <f t="shared" si="134"/>
        <v>#DIV/0!</v>
      </c>
    </row>
    <row r="699" spans="1:19" ht="15" x14ac:dyDescent="0.2">
      <c r="A699" s="114" t="s">
        <v>42</v>
      </c>
      <c r="B699" s="100" t="s">
        <v>152</v>
      </c>
      <c r="C699" s="115">
        <v>10730.07</v>
      </c>
      <c r="D699" s="100">
        <f>(C699/12)*2</f>
        <v>1788.345</v>
      </c>
      <c r="E699" s="103">
        <f>'Monitoramento Acumulado Geral'!Q699</f>
        <v>600</v>
      </c>
      <c r="F699" s="100">
        <f>SUM(E698:E699)</f>
        <v>600</v>
      </c>
      <c r="G699" s="102" t="str">
        <f t="shared" si="131"/>
        <v>Farol Vermelho</v>
      </c>
      <c r="H699" s="116">
        <f t="shared" si="129"/>
        <v>1188.345</v>
      </c>
      <c r="I699" s="100">
        <f t="shared" si="130"/>
        <v>2</v>
      </c>
      <c r="J699" s="119">
        <v>5</v>
      </c>
      <c r="K699" s="118">
        <f>'Monitoramento Acumulado Geral'!P699</f>
        <v>1</v>
      </c>
      <c r="L699" s="100">
        <f>L698+L698</f>
        <v>0.83333333333333337</v>
      </c>
      <c r="M699" s="100">
        <f>M698+K699</f>
        <v>1</v>
      </c>
      <c r="N699" s="115">
        <v>0</v>
      </c>
      <c r="O699" s="116" t="e">
        <f t="shared" si="132"/>
        <v>#DIV/0!</v>
      </c>
      <c r="P699" s="115">
        <v>0</v>
      </c>
      <c r="Q699" s="116" t="e">
        <f t="shared" si="133"/>
        <v>#DIV/0!</v>
      </c>
      <c r="R699" s="115">
        <v>0</v>
      </c>
      <c r="S699" s="100" t="e">
        <f t="shared" si="134"/>
        <v>#DIV/0!</v>
      </c>
    </row>
    <row r="700" spans="1:19" ht="15" x14ac:dyDescent="0.2">
      <c r="A700" s="114" t="s">
        <v>42</v>
      </c>
      <c r="B700" s="100" t="s">
        <v>153</v>
      </c>
      <c r="C700" s="115">
        <v>10730.07</v>
      </c>
      <c r="D700" s="100">
        <f>(C700/12)*3</f>
        <v>2682.5174999999999</v>
      </c>
      <c r="E700" s="103">
        <f>'Monitoramento Acumulado Geral'!Q700</f>
        <v>0</v>
      </c>
      <c r="F700" s="100">
        <f>SUM(E698:E700)</f>
        <v>600</v>
      </c>
      <c r="G700" s="102" t="str">
        <f t="shared" si="131"/>
        <v>Farol Vermelho</v>
      </c>
      <c r="H700" s="116">
        <f t="shared" si="129"/>
        <v>2082.5174999999999</v>
      </c>
      <c r="I700" s="100">
        <f t="shared" si="130"/>
        <v>3</v>
      </c>
      <c r="J700" s="119">
        <v>5</v>
      </c>
      <c r="K700" s="118">
        <f>'Monitoramento Acumulado Geral'!P700</f>
        <v>0</v>
      </c>
      <c r="L700" s="100">
        <f>$L698+L699</f>
        <v>1.25</v>
      </c>
      <c r="M700" s="100">
        <f t="shared" ref="M700:M709" si="141">M699+K700</f>
        <v>1</v>
      </c>
      <c r="N700" s="115">
        <v>0</v>
      </c>
      <c r="O700" s="116" t="e">
        <f t="shared" si="132"/>
        <v>#DIV/0!</v>
      </c>
      <c r="P700" s="115">
        <v>0</v>
      </c>
      <c r="Q700" s="116" t="e">
        <f t="shared" si="133"/>
        <v>#DIV/0!</v>
      </c>
      <c r="R700" s="115">
        <v>0</v>
      </c>
      <c r="S700" s="100" t="e">
        <f t="shared" si="134"/>
        <v>#DIV/0!</v>
      </c>
    </row>
    <row r="701" spans="1:19" ht="15" x14ac:dyDescent="0.2">
      <c r="A701" s="114" t="s">
        <v>42</v>
      </c>
      <c r="B701" s="100" t="s">
        <v>154</v>
      </c>
      <c r="C701" s="115">
        <v>10730.07</v>
      </c>
      <c r="D701" s="100">
        <f>(C701/12)*4</f>
        <v>3576.69</v>
      </c>
      <c r="E701" s="103">
        <f>'Monitoramento Acumulado Geral'!Q701</f>
        <v>0</v>
      </c>
      <c r="F701" s="100">
        <f>SUM(E698:E701)</f>
        <v>600</v>
      </c>
      <c r="G701" s="102" t="str">
        <f t="shared" si="131"/>
        <v>Farol Vermelho</v>
      </c>
      <c r="H701" s="116">
        <f t="shared" si="129"/>
        <v>2976.69</v>
      </c>
      <c r="I701" s="100">
        <f t="shared" si="130"/>
        <v>4</v>
      </c>
      <c r="J701" s="119">
        <v>5</v>
      </c>
      <c r="K701" s="118">
        <f>'Monitoramento Acumulado Geral'!P701</f>
        <v>0</v>
      </c>
      <c r="L701" s="100">
        <f>$L698+L700</f>
        <v>1.6666666666666667</v>
      </c>
      <c r="M701" s="100">
        <f t="shared" si="141"/>
        <v>1</v>
      </c>
      <c r="N701" s="115">
        <v>0</v>
      </c>
      <c r="O701" s="116" t="e">
        <f t="shared" si="132"/>
        <v>#DIV/0!</v>
      </c>
      <c r="P701" s="115">
        <v>0</v>
      </c>
      <c r="Q701" s="116" t="e">
        <f t="shared" si="133"/>
        <v>#DIV/0!</v>
      </c>
      <c r="R701" s="115">
        <v>0</v>
      </c>
      <c r="S701" s="100" t="e">
        <f t="shared" si="134"/>
        <v>#DIV/0!</v>
      </c>
    </row>
    <row r="702" spans="1:19" ht="15" x14ac:dyDescent="0.2">
      <c r="A702" s="114" t="s">
        <v>42</v>
      </c>
      <c r="B702" s="100" t="s">
        <v>155</v>
      </c>
      <c r="C702" s="115">
        <v>10730.07</v>
      </c>
      <c r="D702" s="100">
        <f>(C702/12)*5</f>
        <v>4470.8625000000002</v>
      </c>
      <c r="E702" s="103">
        <f>'Monitoramento Acumulado Geral'!Q702</f>
        <v>283.5</v>
      </c>
      <c r="F702" s="100">
        <f>SUM(E698:E702)</f>
        <v>883.5</v>
      </c>
      <c r="G702" s="102" t="str">
        <f t="shared" si="131"/>
        <v>Farol Vermelho</v>
      </c>
      <c r="H702" s="116">
        <f t="shared" si="129"/>
        <v>3587.3625000000002</v>
      </c>
      <c r="I702" s="100">
        <f t="shared" si="130"/>
        <v>5</v>
      </c>
      <c r="J702" s="119">
        <v>5</v>
      </c>
      <c r="K702" s="118">
        <f>'Monitoramento Acumulado Geral'!P702</f>
        <v>1</v>
      </c>
      <c r="L702" s="100">
        <f>L698+L701</f>
        <v>2.0833333333333335</v>
      </c>
      <c r="M702" s="100">
        <f t="shared" si="141"/>
        <v>2</v>
      </c>
      <c r="N702" s="115">
        <v>0</v>
      </c>
      <c r="O702" s="116" t="e">
        <f t="shared" si="132"/>
        <v>#DIV/0!</v>
      </c>
      <c r="P702" s="115">
        <v>0</v>
      </c>
      <c r="Q702" s="116" t="e">
        <f t="shared" si="133"/>
        <v>#DIV/0!</v>
      </c>
      <c r="R702" s="115">
        <v>0</v>
      </c>
      <c r="S702" s="100" t="e">
        <f t="shared" si="134"/>
        <v>#DIV/0!</v>
      </c>
    </row>
    <row r="703" spans="1:19" ht="15" x14ac:dyDescent="0.2">
      <c r="A703" s="114" t="s">
        <v>42</v>
      </c>
      <c r="B703" s="100" t="s">
        <v>156</v>
      </c>
      <c r="C703" s="115">
        <v>10730.07</v>
      </c>
      <c r="D703" s="100">
        <f>(C703/12)*6</f>
        <v>5365.0349999999999</v>
      </c>
      <c r="E703" s="103">
        <f>'Monitoramento Acumulado Geral'!Q703</f>
        <v>0</v>
      </c>
      <c r="F703" s="100">
        <f>SUM(E698:E703)</f>
        <v>883.5</v>
      </c>
      <c r="G703" s="102" t="str">
        <f t="shared" si="131"/>
        <v>Farol Vermelho</v>
      </c>
      <c r="H703" s="116">
        <f t="shared" si="129"/>
        <v>4481.5349999999999</v>
      </c>
      <c r="I703" s="100">
        <f t="shared" si="130"/>
        <v>6</v>
      </c>
      <c r="J703" s="119">
        <v>5</v>
      </c>
      <c r="K703" s="118">
        <f>'Monitoramento Acumulado Geral'!P703</f>
        <v>0</v>
      </c>
      <c r="L703" s="100">
        <f>$L698+L702</f>
        <v>2.5</v>
      </c>
      <c r="M703" s="100">
        <f t="shared" si="141"/>
        <v>2</v>
      </c>
      <c r="N703" s="115"/>
      <c r="O703" s="116" t="e">
        <f t="shared" si="132"/>
        <v>#DIV/0!</v>
      </c>
      <c r="P703" s="115"/>
      <c r="Q703" s="116" t="e">
        <f t="shared" si="133"/>
        <v>#DIV/0!</v>
      </c>
      <c r="R703" s="115"/>
      <c r="S703" s="100" t="e">
        <f t="shared" si="134"/>
        <v>#DIV/0!</v>
      </c>
    </row>
    <row r="704" spans="1:19" ht="15" x14ac:dyDescent="0.2">
      <c r="A704" s="114" t="s">
        <v>42</v>
      </c>
      <c r="B704" s="100" t="s">
        <v>157</v>
      </c>
      <c r="C704" s="115">
        <v>10730.07</v>
      </c>
      <c r="D704" s="100">
        <f>(C704/12)*7</f>
        <v>6259.2075000000004</v>
      </c>
      <c r="E704" s="103">
        <f>'Monitoramento Acumulado Geral'!Q704</f>
        <v>150</v>
      </c>
      <c r="F704" s="100">
        <f>SUM(E698:E704)</f>
        <v>1033.5</v>
      </c>
      <c r="G704" s="102" t="str">
        <f t="shared" si="131"/>
        <v>Farol Vermelho</v>
      </c>
      <c r="H704" s="116">
        <f t="shared" si="129"/>
        <v>5225.7075000000004</v>
      </c>
      <c r="I704" s="100">
        <f t="shared" si="130"/>
        <v>7</v>
      </c>
      <c r="J704" s="119">
        <v>5</v>
      </c>
      <c r="K704" s="118">
        <f>'Monitoramento Acumulado Geral'!P704</f>
        <v>1</v>
      </c>
      <c r="L704" s="100">
        <f>$L698+L703</f>
        <v>2.9166666666666665</v>
      </c>
      <c r="M704" s="100">
        <f t="shared" si="141"/>
        <v>3</v>
      </c>
      <c r="N704" s="115"/>
      <c r="O704" s="116" t="e">
        <f t="shared" si="132"/>
        <v>#DIV/0!</v>
      </c>
      <c r="P704" s="115"/>
      <c r="Q704" s="116" t="e">
        <f t="shared" si="133"/>
        <v>#DIV/0!</v>
      </c>
      <c r="R704" s="115"/>
      <c r="S704" s="100" t="e">
        <f t="shared" si="134"/>
        <v>#DIV/0!</v>
      </c>
    </row>
    <row r="705" spans="1:19" ht="15" x14ac:dyDescent="0.2">
      <c r="A705" s="114" t="s">
        <v>42</v>
      </c>
      <c r="B705" s="100" t="s">
        <v>158</v>
      </c>
      <c r="C705" s="115">
        <v>10730.07</v>
      </c>
      <c r="D705" s="100">
        <f>(C705/12)*8</f>
        <v>7153.38</v>
      </c>
      <c r="E705" s="103">
        <f>'Monitoramento Acumulado Geral'!Q705</f>
        <v>100</v>
      </c>
      <c r="F705" s="100">
        <f>SUM(E698:E705)</f>
        <v>1133.5</v>
      </c>
      <c r="G705" s="102" t="str">
        <f t="shared" si="131"/>
        <v>Farol Vermelho</v>
      </c>
      <c r="H705" s="116">
        <f t="shared" si="129"/>
        <v>6019.88</v>
      </c>
      <c r="I705" s="100">
        <f t="shared" si="130"/>
        <v>8</v>
      </c>
      <c r="J705" s="119">
        <v>5</v>
      </c>
      <c r="K705" s="118">
        <f>'Monitoramento Acumulado Geral'!P705</f>
        <v>1</v>
      </c>
      <c r="L705" s="100">
        <f>L698+L704</f>
        <v>3.333333333333333</v>
      </c>
      <c r="M705" s="100">
        <f t="shared" si="141"/>
        <v>4</v>
      </c>
      <c r="N705" s="115"/>
      <c r="O705" s="116" t="e">
        <f t="shared" si="132"/>
        <v>#DIV/0!</v>
      </c>
      <c r="P705" s="115"/>
      <c r="Q705" s="116" t="e">
        <f t="shared" si="133"/>
        <v>#DIV/0!</v>
      </c>
      <c r="R705" s="115"/>
      <c r="S705" s="100" t="e">
        <f t="shared" si="134"/>
        <v>#DIV/0!</v>
      </c>
    </row>
    <row r="706" spans="1:19" ht="15" x14ac:dyDescent="0.2">
      <c r="A706" s="114" t="s">
        <v>42</v>
      </c>
      <c r="B706" s="100" t="s">
        <v>159</v>
      </c>
      <c r="C706" s="115">
        <v>10730.07</v>
      </c>
      <c r="D706" s="100">
        <f>(C706/12)*9</f>
        <v>8047.5524999999998</v>
      </c>
      <c r="E706" s="103">
        <f>'Monitoramento Acumulado Geral'!Q706</f>
        <v>165</v>
      </c>
      <c r="F706" s="100">
        <f>SUM(E698:E706)</f>
        <v>1298.5</v>
      </c>
      <c r="G706" s="102" t="str">
        <f t="shared" si="131"/>
        <v>Farol Vermelho</v>
      </c>
      <c r="H706" s="116">
        <f t="shared" si="129"/>
        <v>6749.0524999999998</v>
      </c>
      <c r="I706" s="100">
        <f t="shared" si="130"/>
        <v>9</v>
      </c>
      <c r="J706" s="119">
        <v>5</v>
      </c>
      <c r="K706" s="118">
        <f>'Monitoramento Acumulado Geral'!P706</f>
        <v>2</v>
      </c>
      <c r="L706" s="100">
        <f>$L698+L705</f>
        <v>3.7499999999999996</v>
      </c>
      <c r="M706" s="100">
        <f t="shared" si="141"/>
        <v>6</v>
      </c>
      <c r="N706" s="115"/>
      <c r="O706" s="116" t="e">
        <f t="shared" si="132"/>
        <v>#DIV/0!</v>
      </c>
      <c r="P706" s="115"/>
      <c r="Q706" s="116" t="e">
        <f t="shared" si="133"/>
        <v>#DIV/0!</v>
      </c>
      <c r="R706" s="115"/>
      <c r="S706" s="100" t="e">
        <f t="shared" si="134"/>
        <v>#DIV/0!</v>
      </c>
    </row>
    <row r="707" spans="1:19" ht="15" x14ac:dyDescent="0.2">
      <c r="A707" s="114" t="s">
        <v>42</v>
      </c>
      <c r="B707" s="100" t="s">
        <v>160</v>
      </c>
      <c r="C707" s="115">
        <v>10730.07</v>
      </c>
      <c r="D707" s="100">
        <f>(C707/12)*10</f>
        <v>8941.7250000000004</v>
      </c>
      <c r="E707" s="103">
        <f>'Monitoramento Acumulado Geral'!Q707</f>
        <v>0</v>
      </c>
      <c r="F707" s="100">
        <f>SUM(E698:E707)</f>
        <v>1298.5</v>
      </c>
      <c r="G707" s="102" t="str">
        <f t="shared" si="131"/>
        <v>Farol Vermelho</v>
      </c>
      <c r="H707" s="116">
        <f t="shared" si="129"/>
        <v>7643.2250000000004</v>
      </c>
      <c r="I707" s="100">
        <f t="shared" si="130"/>
        <v>10</v>
      </c>
      <c r="J707" s="119">
        <v>5</v>
      </c>
      <c r="K707" s="118">
        <f>'Monitoramento Acumulado Geral'!P707</f>
        <v>0</v>
      </c>
      <c r="L707" s="100">
        <f>$L698+L706</f>
        <v>4.1666666666666661</v>
      </c>
      <c r="M707" s="100">
        <f t="shared" si="141"/>
        <v>6</v>
      </c>
      <c r="N707" s="115"/>
      <c r="O707" s="116" t="e">
        <f t="shared" si="132"/>
        <v>#DIV/0!</v>
      </c>
      <c r="P707" s="115"/>
      <c r="Q707" s="116" t="e">
        <f t="shared" si="133"/>
        <v>#DIV/0!</v>
      </c>
      <c r="R707" s="115"/>
      <c r="S707" s="100" t="e">
        <f t="shared" si="134"/>
        <v>#DIV/0!</v>
      </c>
    </row>
    <row r="708" spans="1:19" ht="15" x14ac:dyDescent="0.2">
      <c r="A708" s="114" t="s">
        <v>42</v>
      </c>
      <c r="B708" s="100" t="s">
        <v>161</v>
      </c>
      <c r="C708" s="115">
        <v>10730.07</v>
      </c>
      <c r="D708" s="100">
        <f>(C708/12)*11</f>
        <v>9835.8975000000009</v>
      </c>
      <c r="E708" s="103">
        <f>'Monitoramento Acumulado Geral'!Q708</f>
        <v>0</v>
      </c>
      <c r="F708" s="100">
        <f>SUM(E698:E708)</f>
        <v>1298.5</v>
      </c>
      <c r="G708" s="102" t="str">
        <f t="shared" si="131"/>
        <v>Farol Vermelho</v>
      </c>
      <c r="H708" s="116">
        <f t="shared" si="129"/>
        <v>8537.3975000000009</v>
      </c>
      <c r="I708" s="100">
        <f t="shared" si="130"/>
        <v>11</v>
      </c>
      <c r="J708" s="119">
        <v>5</v>
      </c>
      <c r="K708" s="118">
        <f>'Monitoramento Acumulado Geral'!P708</f>
        <v>0</v>
      </c>
      <c r="L708" s="100">
        <f>L698+L707</f>
        <v>4.583333333333333</v>
      </c>
      <c r="M708" s="100">
        <f t="shared" si="141"/>
        <v>6</v>
      </c>
      <c r="N708" s="115"/>
      <c r="O708" s="116" t="e">
        <f t="shared" si="132"/>
        <v>#DIV/0!</v>
      </c>
      <c r="P708" s="115"/>
      <c r="Q708" s="116" t="e">
        <f t="shared" si="133"/>
        <v>#DIV/0!</v>
      </c>
      <c r="R708" s="115"/>
      <c r="S708" s="100" t="e">
        <f t="shared" si="134"/>
        <v>#DIV/0!</v>
      </c>
    </row>
    <row r="709" spans="1:19" ht="15" x14ac:dyDescent="0.2">
      <c r="A709" s="114" t="s">
        <v>42</v>
      </c>
      <c r="B709" s="100" t="s">
        <v>162</v>
      </c>
      <c r="C709" s="115">
        <v>10730.07</v>
      </c>
      <c r="D709" s="100">
        <f>(C709/12)*12</f>
        <v>10730.07</v>
      </c>
      <c r="E709" s="103">
        <f>'Monitoramento Acumulado Geral'!Q709</f>
        <v>0</v>
      </c>
      <c r="F709" s="100">
        <f>SUM(E698:E709)</f>
        <v>1298.5</v>
      </c>
      <c r="G709" s="102" t="str">
        <f t="shared" si="131"/>
        <v>Farol Vermelho</v>
      </c>
      <c r="H709" s="116">
        <f t="shared" si="129"/>
        <v>9431.57</v>
      </c>
      <c r="I709" s="100">
        <f t="shared" si="130"/>
        <v>12</v>
      </c>
      <c r="J709" s="119">
        <v>5</v>
      </c>
      <c r="K709" s="118">
        <f>'Monitoramento Acumulado Geral'!P709</f>
        <v>0</v>
      </c>
      <c r="L709" s="100">
        <f>$L698+L708</f>
        <v>5</v>
      </c>
      <c r="M709" s="100">
        <f t="shared" si="141"/>
        <v>6</v>
      </c>
      <c r="N709" s="115"/>
      <c r="O709" s="116" t="e">
        <f t="shared" si="132"/>
        <v>#DIV/0!</v>
      </c>
      <c r="P709" s="115"/>
      <c r="Q709" s="116" t="e">
        <f t="shared" si="133"/>
        <v>#DIV/0!</v>
      </c>
      <c r="R709" s="115"/>
      <c r="S709" s="100" t="e">
        <f t="shared" si="134"/>
        <v>#DIV/0!</v>
      </c>
    </row>
    <row r="710" spans="1:19" ht="15" x14ac:dyDescent="0.2">
      <c r="A710" s="114" t="s">
        <v>108</v>
      </c>
      <c r="B710" s="100" t="s">
        <v>151</v>
      </c>
      <c r="C710" s="115">
        <v>18000</v>
      </c>
      <c r="D710" s="100">
        <f>(C710/12)*1</f>
        <v>1500</v>
      </c>
      <c r="E710" s="103">
        <f>'Monitoramento Acumulado Geral'!Q710</f>
        <v>0</v>
      </c>
      <c r="F710" s="100">
        <f>E710</f>
        <v>0</v>
      </c>
      <c r="G710" s="102" t="str">
        <f t="shared" si="131"/>
        <v>Farol Vermelho</v>
      </c>
      <c r="H710" s="116">
        <f t="shared" si="129"/>
        <v>1500</v>
      </c>
      <c r="I710" s="100">
        <f t="shared" si="130"/>
        <v>1</v>
      </c>
      <c r="J710" s="119">
        <v>8</v>
      </c>
      <c r="K710" s="118">
        <f>'Monitoramento Acumulado Geral'!P710</f>
        <v>0</v>
      </c>
      <c r="L710" s="100">
        <f>J710/12</f>
        <v>0.66666666666666663</v>
      </c>
      <c r="M710" s="100">
        <f>K710</f>
        <v>0</v>
      </c>
      <c r="N710" s="115">
        <v>0</v>
      </c>
      <c r="O710" s="116" t="e">
        <f t="shared" si="132"/>
        <v>#DIV/0!</v>
      </c>
      <c r="P710" s="115">
        <v>0</v>
      </c>
      <c r="Q710" s="116" t="e">
        <f t="shared" si="133"/>
        <v>#DIV/0!</v>
      </c>
      <c r="R710" s="115">
        <v>0</v>
      </c>
      <c r="S710" s="100" t="e">
        <f t="shared" si="134"/>
        <v>#DIV/0!</v>
      </c>
    </row>
    <row r="711" spans="1:19" ht="15" x14ac:dyDescent="0.2">
      <c r="A711" s="114" t="s">
        <v>108</v>
      </c>
      <c r="B711" s="100" t="s">
        <v>152</v>
      </c>
      <c r="C711" s="115">
        <v>18000</v>
      </c>
      <c r="D711" s="100">
        <f>(C711/12)*2</f>
        <v>3000</v>
      </c>
      <c r="E711" s="103">
        <f>'Monitoramento Acumulado Geral'!Q711</f>
        <v>0</v>
      </c>
      <c r="F711" s="100">
        <f>SUM(E710:E711)</f>
        <v>0</v>
      </c>
      <c r="G711" s="102" t="str">
        <f t="shared" si="131"/>
        <v>Farol Vermelho</v>
      </c>
      <c r="H711" s="116">
        <f t="shared" si="129"/>
        <v>3000</v>
      </c>
      <c r="I711" s="100">
        <f t="shared" si="130"/>
        <v>2</v>
      </c>
      <c r="J711" s="119">
        <v>8</v>
      </c>
      <c r="K711" s="118">
        <f>'Monitoramento Acumulado Geral'!P711</f>
        <v>0</v>
      </c>
      <c r="L711" s="100">
        <f>L710+L710</f>
        <v>1.3333333333333333</v>
      </c>
      <c r="M711" s="100">
        <f>M710+K711</f>
        <v>0</v>
      </c>
      <c r="N711" s="115">
        <v>0</v>
      </c>
      <c r="O711" s="116" t="e">
        <f t="shared" si="132"/>
        <v>#DIV/0!</v>
      </c>
      <c r="P711" s="115">
        <v>0</v>
      </c>
      <c r="Q711" s="116" t="e">
        <f t="shared" si="133"/>
        <v>#DIV/0!</v>
      </c>
      <c r="R711" s="115">
        <v>0</v>
      </c>
      <c r="S711" s="100" t="e">
        <f t="shared" si="134"/>
        <v>#DIV/0!</v>
      </c>
    </row>
    <row r="712" spans="1:19" ht="15" x14ac:dyDescent="0.2">
      <c r="A712" s="114" t="s">
        <v>108</v>
      </c>
      <c r="B712" s="100" t="s">
        <v>153</v>
      </c>
      <c r="C712" s="115">
        <v>18000</v>
      </c>
      <c r="D712" s="100">
        <f>(C712/12)*3</f>
        <v>4500</v>
      </c>
      <c r="E712" s="103">
        <f>'Monitoramento Acumulado Geral'!Q712</f>
        <v>0</v>
      </c>
      <c r="F712" s="100">
        <f>SUM(E710:E712)</f>
        <v>0</v>
      </c>
      <c r="G712" s="102" t="str">
        <f t="shared" si="131"/>
        <v>Farol Vermelho</v>
      </c>
      <c r="H712" s="116">
        <f t="shared" si="129"/>
        <v>4500</v>
      </c>
      <c r="I712" s="100">
        <f t="shared" si="130"/>
        <v>3</v>
      </c>
      <c r="J712" s="119">
        <v>8</v>
      </c>
      <c r="K712" s="118">
        <f>'Monitoramento Acumulado Geral'!P712</f>
        <v>0</v>
      </c>
      <c r="L712" s="100">
        <f>$L710+L711</f>
        <v>2</v>
      </c>
      <c r="M712" s="100">
        <f t="shared" ref="M712:M721" si="142">M711+K712</f>
        <v>0</v>
      </c>
      <c r="N712" s="115">
        <v>0</v>
      </c>
      <c r="O712" s="116" t="e">
        <f t="shared" si="132"/>
        <v>#DIV/0!</v>
      </c>
      <c r="P712" s="115">
        <v>0</v>
      </c>
      <c r="Q712" s="116" t="e">
        <f t="shared" si="133"/>
        <v>#DIV/0!</v>
      </c>
      <c r="R712" s="115">
        <v>0</v>
      </c>
      <c r="S712" s="100" t="e">
        <f t="shared" si="134"/>
        <v>#DIV/0!</v>
      </c>
    </row>
    <row r="713" spans="1:19" ht="15" x14ac:dyDescent="0.2">
      <c r="A713" s="114" t="s">
        <v>108</v>
      </c>
      <c r="B713" s="100" t="s">
        <v>154</v>
      </c>
      <c r="C713" s="115">
        <v>18000</v>
      </c>
      <c r="D713" s="100">
        <f>(C713/12)*4</f>
        <v>6000</v>
      </c>
      <c r="E713" s="103">
        <f>'Monitoramento Acumulado Geral'!Q713</f>
        <v>0</v>
      </c>
      <c r="F713" s="100">
        <f>SUM(E710:E713)</f>
        <v>0</v>
      </c>
      <c r="G713" s="102" t="str">
        <f t="shared" si="131"/>
        <v>Farol Vermelho</v>
      </c>
      <c r="H713" s="116">
        <f t="shared" si="129"/>
        <v>6000</v>
      </c>
      <c r="I713" s="100">
        <f t="shared" si="130"/>
        <v>4</v>
      </c>
      <c r="J713" s="119">
        <v>8</v>
      </c>
      <c r="K713" s="118">
        <f>'Monitoramento Acumulado Geral'!P713</f>
        <v>0</v>
      </c>
      <c r="L713" s="100">
        <f>$L710+L712</f>
        <v>2.6666666666666665</v>
      </c>
      <c r="M713" s="100">
        <f t="shared" si="142"/>
        <v>0</v>
      </c>
      <c r="N713" s="115">
        <v>0</v>
      </c>
      <c r="O713" s="116" t="e">
        <f t="shared" si="132"/>
        <v>#DIV/0!</v>
      </c>
      <c r="P713" s="115">
        <v>0</v>
      </c>
      <c r="Q713" s="116" t="e">
        <f t="shared" si="133"/>
        <v>#DIV/0!</v>
      </c>
      <c r="R713" s="115">
        <v>0</v>
      </c>
      <c r="S713" s="100" t="e">
        <f t="shared" si="134"/>
        <v>#DIV/0!</v>
      </c>
    </row>
    <row r="714" spans="1:19" ht="15" x14ac:dyDescent="0.2">
      <c r="A714" s="114" t="s">
        <v>108</v>
      </c>
      <c r="B714" s="100" t="s">
        <v>155</v>
      </c>
      <c r="C714" s="115">
        <v>18000</v>
      </c>
      <c r="D714" s="100">
        <f>(C714/12)*5</f>
        <v>7500</v>
      </c>
      <c r="E714" s="103">
        <f>'Monitoramento Acumulado Geral'!Q714</f>
        <v>0</v>
      </c>
      <c r="F714" s="100">
        <f>SUM(E710:E714)</f>
        <v>0</v>
      </c>
      <c r="G714" s="102" t="str">
        <f t="shared" si="131"/>
        <v>Farol Vermelho</v>
      </c>
      <c r="H714" s="116">
        <f t="shared" si="129"/>
        <v>7500</v>
      </c>
      <c r="I714" s="100">
        <f t="shared" si="130"/>
        <v>5</v>
      </c>
      <c r="J714" s="119">
        <v>8</v>
      </c>
      <c r="K714" s="118">
        <f>'Monitoramento Acumulado Geral'!P714</f>
        <v>0</v>
      </c>
      <c r="L714" s="100">
        <f>L710+L713</f>
        <v>3.333333333333333</v>
      </c>
      <c r="M714" s="100">
        <f t="shared" si="142"/>
        <v>0</v>
      </c>
      <c r="N714" s="115">
        <v>0</v>
      </c>
      <c r="O714" s="116" t="e">
        <f t="shared" si="132"/>
        <v>#DIV/0!</v>
      </c>
      <c r="P714" s="115">
        <v>0</v>
      </c>
      <c r="Q714" s="116" t="e">
        <f t="shared" si="133"/>
        <v>#DIV/0!</v>
      </c>
      <c r="R714" s="115">
        <v>0</v>
      </c>
      <c r="S714" s="100" t="e">
        <f t="shared" si="134"/>
        <v>#DIV/0!</v>
      </c>
    </row>
    <row r="715" spans="1:19" ht="15" x14ac:dyDescent="0.2">
      <c r="A715" s="114" t="s">
        <v>108</v>
      </c>
      <c r="B715" s="100" t="s">
        <v>156</v>
      </c>
      <c r="C715" s="115">
        <v>18000</v>
      </c>
      <c r="D715" s="100">
        <f>(C715/12)*6</f>
        <v>9000</v>
      </c>
      <c r="E715" s="103">
        <f>'Monitoramento Acumulado Geral'!Q715</f>
        <v>0</v>
      </c>
      <c r="F715" s="100">
        <f>SUM(E710:E715)</f>
        <v>0</v>
      </c>
      <c r="G715" s="102" t="str">
        <f t="shared" si="131"/>
        <v>Farol Vermelho</v>
      </c>
      <c r="H715" s="116">
        <f t="shared" si="129"/>
        <v>9000</v>
      </c>
      <c r="I715" s="100">
        <f t="shared" si="130"/>
        <v>6</v>
      </c>
      <c r="J715" s="119">
        <v>8</v>
      </c>
      <c r="K715" s="118">
        <f>'Monitoramento Acumulado Geral'!P715</f>
        <v>0</v>
      </c>
      <c r="L715" s="100">
        <f>$L710+L714</f>
        <v>3.9999999999999996</v>
      </c>
      <c r="M715" s="100">
        <f t="shared" si="142"/>
        <v>0</v>
      </c>
      <c r="N715" s="115"/>
      <c r="O715" s="116" t="e">
        <f t="shared" si="132"/>
        <v>#DIV/0!</v>
      </c>
      <c r="P715" s="115"/>
      <c r="Q715" s="116" t="e">
        <f t="shared" si="133"/>
        <v>#DIV/0!</v>
      </c>
      <c r="R715" s="115"/>
      <c r="S715" s="100" t="e">
        <f t="shared" si="134"/>
        <v>#DIV/0!</v>
      </c>
    </row>
    <row r="716" spans="1:19" ht="15" x14ac:dyDescent="0.2">
      <c r="A716" s="114" t="s">
        <v>108</v>
      </c>
      <c r="B716" s="100" t="s">
        <v>157</v>
      </c>
      <c r="C716" s="115">
        <v>18000</v>
      </c>
      <c r="D716" s="100">
        <f>(C716/12)*7</f>
        <v>10500</v>
      </c>
      <c r="E716" s="103">
        <f>'Monitoramento Acumulado Geral'!Q716</f>
        <v>0</v>
      </c>
      <c r="F716" s="100">
        <f>SUM(E710:E716)</f>
        <v>0</v>
      </c>
      <c r="G716" s="102" t="str">
        <f t="shared" si="131"/>
        <v>Farol Vermelho</v>
      </c>
      <c r="H716" s="116">
        <f t="shared" si="129"/>
        <v>10500</v>
      </c>
      <c r="I716" s="100">
        <f t="shared" si="130"/>
        <v>7</v>
      </c>
      <c r="J716" s="119">
        <v>8</v>
      </c>
      <c r="K716" s="118">
        <f>'Monitoramento Acumulado Geral'!P716</f>
        <v>0</v>
      </c>
      <c r="L716" s="100">
        <f>$L710+L715</f>
        <v>4.6666666666666661</v>
      </c>
      <c r="M716" s="100">
        <f t="shared" si="142"/>
        <v>0</v>
      </c>
      <c r="N716" s="115"/>
      <c r="O716" s="116" t="e">
        <f t="shared" si="132"/>
        <v>#DIV/0!</v>
      </c>
      <c r="P716" s="115"/>
      <c r="Q716" s="116" t="e">
        <f t="shared" si="133"/>
        <v>#DIV/0!</v>
      </c>
      <c r="R716" s="115"/>
      <c r="S716" s="100" t="e">
        <f t="shared" si="134"/>
        <v>#DIV/0!</v>
      </c>
    </row>
    <row r="717" spans="1:19" ht="15" x14ac:dyDescent="0.2">
      <c r="A717" s="114" t="s">
        <v>108</v>
      </c>
      <c r="B717" s="100" t="s">
        <v>158</v>
      </c>
      <c r="C717" s="115">
        <v>18000</v>
      </c>
      <c r="D717" s="100">
        <f>(C717/12)*8</f>
        <v>12000</v>
      </c>
      <c r="E717" s="103">
        <f>'Monitoramento Acumulado Geral'!Q717</f>
        <v>0</v>
      </c>
      <c r="F717" s="100">
        <f>SUM(E710:E717)</f>
        <v>0</v>
      </c>
      <c r="G717" s="102" t="str">
        <f t="shared" si="131"/>
        <v>Farol Vermelho</v>
      </c>
      <c r="H717" s="116">
        <f t="shared" si="129"/>
        <v>12000</v>
      </c>
      <c r="I717" s="100">
        <f t="shared" si="130"/>
        <v>8</v>
      </c>
      <c r="J717" s="119">
        <v>8</v>
      </c>
      <c r="K717" s="118">
        <f>'Monitoramento Acumulado Geral'!P717</f>
        <v>0</v>
      </c>
      <c r="L717" s="100">
        <f>L710+L716</f>
        <v>5.333333333333333</v>
      </c>
      <c r="M717" s="100">
        <f t="shared" si="142"/>
        <v>0</v>
      </c>
      <c r="N717" s="115"/>
      <c r="O717" s="116" t="e">
        <f t="shared" si="132"/>
        <v>#DIV/0!</v>
      </c>
      <c r="P717" s="115"/>
      <c r="Q717" s="116" t="e">
        <f t="shared" si="133"/>
        <v>#DIV/0!</v>
      </c>
      <c r="R717" s="115"/>
      <c r="S717" s="100" t="e">
        <f t="shared" si="134"/>
        <v>#DIV/0!</v>
      </c>
    </row>
    <row r="718" spans="1:19" ht="15" x14ac:dyDescent="0.2">
      <c r="A718" s="114" t="s">
        <v>108</v>
      </c>
      <c r="B718" s="100" t="s">
        <v>159</v>
      </c>
      <c r="C718" s="115">
        <v>18000</v>
      </c>
      <c r="D718" s="100">
        <f>(C718/12)*9</f>
        <v>13500</v>
      </c>
      <c r="E718" s="103">
        <f>'Monitoramento Acumulado Geral'!Q718</f>
        <v>0</v>
      </c>
      <c r="F718" s="100">
        <f>SUM(E710:E718)</f>
        <v>0</v>
      </c>
      <c r="G718" s="102" t="str">
        <f t="shared" si="131"/>
        <v>Farol Vermelho</v>
      </c>
      <c r="H718" s="116">
        <f t="shared" si="129"/>
        <v>13500</v>
      </c>
      <c r="I718" s="100">
        <f t="shared" si="130"/>
        <v>9</v>
      </c>
      <c r="J718" s="119">
        <v>8</v>
      </c>
      <c r="K718" s="118">
        <f>'Monitoramento Acumulado Geral'!P718</f>
        <v>0</v>
      </c>
      <c r="L718" s="100">
        <f>$L710+L717</f>
        <v>6</v>
      </c>
      <c r="M718" s="100">
        <f t="shared" si="142"/>
        <v>0</v>
      </c>
      <c r="N718" s="115"/>
      <c r="O718" s="116" t="e">
        <f t="shared" si="132"/>
        <v>#DIV/0!</v>
      </c>
      <c r="P718" s="115"/>
      <c r="Q718" s="116" t="e">
        <f t="shared" si="133"/>
        <v>#DIV/0!</v>
      </c>
      <c r="R718" s="115"/>
      <c r="S718" s="100" t="e">
        <f t="shared" si="134"/>
        <v>#DIV/0!</v>
      </c>
    </row>
    <row r="719" spans="1:19" ht="15" x14ac:dyDescent="0.2">
      <c r="A719" s="114" t="s">
        <v>108</v>
      </c>
      <c r="B719" s="100" t="s">
        <v>160</v>
      </c>
      <c r="C719" s="115">
        <v>18000</v>
      </c>
      <c r="D719" s="100">
        <f>(C719/12)*10</f>
        <v>15000</v>
      </c>
      <c r="E719" s="103">
        <f>'Monitoramento Acumulado Geral'!Q719</f>
        <v>0</v>
      </c>
      <c r="F719" s="100">
        <f>SUM(E710:E719)</f>
        <v>0</v>
      </c>
      <c r="G719" s="102" t="str">
        <f t="shared" si="131"/>
        <v>Farol Vermelho</v>
      </c>
      <c r="H719" s="116">
        <f t="shared" si="129"/>
        <v>15000</v>
      </c>
      <c r="I719" s="100">
        <f t="shared" si="130"/>
        <v>10</v>
      </c>
      <c r="J719" s="119">
        <v>8</v>
      </c>
      <c r="K719" s="118">
        <f>'Monitoramento Acumulado Geral'!P719</f>
        <v>0</v>
      </c>
      <c r="L719" s="100">
        <f>$L710+L718</f>
        <v>6.666666666666667</v>
      </c>
      <c r="M719" s="100">
        <f t="shared" si="142"/>
        <v>0</v>
      </c>
      <c r="N719" s="115"/>
      <c r="O719" s="116" t="e">
        <f t="shared" si="132"/>
        <v>#DIV/0!</v>
      </c>
      <c r="P719" s="115"/>
      <c r="Q719" s="116" t="e">
        <f t="shared" si="133"/>
        <v>#DIV/0!</v>
      </c>
      <c r="R719" s="115"/>
      <c r="S719" s="100" t="e">
        <f t="shared" si="134"/>
        <v>#DIV/0!</v>
      </c>
    </row>
    <row r="720" spans="1:19" ht="15" x14ac:dyDescent="0.2">
      <c r="A720" s="114" t="s">
        <v>108</v>
      </c>
      <c r="B720" s="100" t="s">
        <v>161</v>
      </c>
      <c r="C720" s="115">
        <v>18000</v>
      </c>
      <c r="D720" s="100">
        <f>(C720/12)*11</f>
        <v>16500</v>
      </c>
      <c r="E720" s="103">
        <f>'Monitoramento Acumulado Geral'!Q720</f>
        <v>0</v>
      </c>
      <c r="F720" s="100">
        <f>SUM(E710:E720)</f>
        <v>0</v>
      </c>
      <c r="G720" s="102" t="str">
        <f t="shared" si="131"/>
        <v>Farol Vermelho</v>
      </c>
      <c r="H720" s="116">
        <f t="shared" si="129"/>
        <v>16500</v>
      </c>
      <c r="I720" s="100">
        <f t="shared" si="130"/>
        <v>11</v>
      </c>
      <c r="J720" s="119">
        <v>8</v>
      </c>
      <c r="K720" s="118">
        <f>'Monitoramento Acumulado Geral'!P720</f>
        <v>0</v>
      </c>
      <c r="L720" s="100">
        <f>L710+L719</f>
        <v>7.3333333333333339</v>
      </c>
      <c r="M720" s="100">
        <f t="shared" si="142"/>
        <v>0</v>
      </c>
      <c r="N720" s="115"/>
      <c r="O720" s="116" t="e">
        <f t="shared" si="132"/>
        <v>#DIV/0!</v>
      </c>
      <c r="P720" s="115"/>
      <c r="Q720" s="116" t="e">
        <f t="shared" si="133"/>
        <v>#DIV/0!</v>
      </c>
      <c r="R720" s="115"/>
      <c r="S720" s="100" t="e">
        <f t="shared" si="134"/>
        <v>#DIV/0!</v>
      </c>
    </row>
    <row r="721" spans="1:19" ht="15" x14ac:dyDescent="0.2">
      <c r="A721" s="114" t="s">
        <v>108</v>
      </c>
      <c r="B721" s="100" t="s">
        <v>162</v>
      </c>
      <c r="C721" s="115">
        <v>18000</v>
      </c>
      <c r="D721" s="100">
        <f>(C721/12)*12</f>
        <v>18000</v>
      </c>
      <c r="E721" s="103">
        <f>'Monitoramento Acumulado Geral'!Q721</f>
        <v>0</v>
      </c>
      <c r="F721" s="100">
        <f>SUM(E710:E721)</f>
        <v>0</v>
      </c>
      <c r="G721" s="102" t="str">
        <f t="shared" si="131"/>
        <v>Farol Vermelho</v>
      </c>
      <c r="H721" s="116">
        <f t="shared" si="129"/>
        <v>18000</v>
      </c>
      <c r="I721" s="100">
        <f t="shared" si="130"/>
        <v>12</v>
      </c>
      <c r="J721" s="119">
        <v>8</v>
      </c>
      <c r="K721" s="118">
        <f>'Monitoramento Acumulado Geral'!P721</f>
        <v>0</v>
      </c>
      <c r="L721" s="100">
        <f>$L710+L720</f>
        <v>8</v>
      </c>
      <c r="M721" s="100">
        <f t="shared" si="142"/>
        <v>0</v>
      </c>
      <c r="N721" s="115"/>
      <c r="O721" s="116" t="e">
        <f t="shared" si="132"/>
        <v>#DIV/0!</v>
      </c>
      <c r="P721" s="115"/>
      <c r="Q721" s="116" t="e">
        <f t="shared" si="133"/>
        <v>#DIV/0!</v>
      </c>
      <c r="R721" s="115"/>
      <c r="S721" s="100" t="e">
        <f t="shared" si="134"/>
        <v>#DIV/0!</v>
      </c>
    </row>
    <row r="722" spans="1:19" ht="15" x14ac:dyDescent="0.2">
      <c r="A722" s="114" t="s">
        <v>129</v>
      </c>
      <c r="B722" s="100" t="s">
        <v>151</v>
      </c>
      <c r="C722" s="115">
        <v>4800</v>
      </c>
      <c r="D722" s="100">
        <f>(C722/12)*1</f>
        <v>400</v>
      </c>
      <c r="E722" s="103">
        <f>'Monitoramento Acumulado Geral'!Q722</f>
        <v>0</v>
      </c>
      <c r="F722" s="100">
        <f>E722</f>
        <v>0</v>
      </c>
      <c r="G722" s="102" t="str">
        <f>_xlfn.IFS(F722&gt;D722,"Farol Verde",F722&gt;=D722*0.85,"Farol Amarelo",F722&lt;D722*0.85,"Farol Vermelho","Verdadeiro",0)</f>
        <v>Farol Vermelho</v>
      </c>
      <c r="H722" s="116">
        <f t="shared" si="129"/>
        <v>400</v>
      </c>
      <c r="I722" s="100">
        <f t="shared" si="130"/>
        <v>1</v>
      </c>
      <c r="J722" s="119">
        <v>1</v>
      </c>
      <c r="K722" s="118">
        <f>'Monitoramento Acumulado Geral'!P722</f>
        <v>0</v>
      </c>
      <c r="L722" s="100">
        <f>J722/12</f>
        <v>8.3333333333333329E-2</v>
      </c>
      <c r="M722" s="100">
        <f>K722</f>
        <v>0</v>
      </c>
      <c r="N722" s="115">
        <v>0</v>
      </c>
      <c r="O722" s="116" t="e">
        <f t="shared" si="132"/>
        <v>#DIV/0!</v>
      </c>
      <c r="P722" s="115">
        <v>0</v>
      </c>
      <c r="Q722" s="116" t="e">
        <f t="shared" si="133"/>
        <v>#DIV/0!</v>
      </c>
      <c r="R722" s="115">
        <v>0</v>
      </c>
      <c r="S722" s="100" t="e">
        <f t="shared" si="134"/>
        <v>#DIV/0!</v>
      </c>
    </row>
    <row r="723" spans="1:19" ht="15" x14ac:dyDescent="0.2">
      <c r="A723" s="114" t="s">
        <v>129</v>
      </c>
      <c r="B723" s="100" t="s">
        <v>152</v>
      </c>
      <c r="C723" s="115">
        <v>4800</v>
      </c>
      <c r="D723" s="100">
        <f>(C723/12)*2</f>
        <v>800</v>
      </c>
      <c r="E723" s="103">
        <f>'Monitoramento Acumulado Geral'!Q723</f>
        <v>0</v>
      </c>
      <c r="F723" s="100">
        <f>SUM(E722:E723)</f>
        <v>0</v>
      </c>
      <c r="G723" s="102" t="str">
        <f t="shared" si="131"/>
        <v>Farol Vermelho</v>
      </c>
      <c r="H723" s="116">
        <f t="shared" si="129"/>
        <v>800</v>
      </c>
      <c r="I723" s="100">
        <f t="shared" si="130"/>
        <v>2</v>
      </c>
      <c r="J723" s="119">
        <v>1</v>
      </c>
      <c r="K723" s="118">
        <f>'Monitoramento Acumulado Geral'!P723</f>
        <v>0</v>
      </c>
      <c r="L723" s="100">
        <f>L722+L722</f>
        <v>0.16666666666666666</v>
      </c>
      <c r="M723" s="100">
        <f>M722+K723</f>
        <v>0</v>
      </c>
      <c r="N723" s="115">
        <v>0</v>
      </c>
      <c r="O723" s="116" t="e">
        <f t="shared" si="132"/>
        <v>#DIV/0!</v>
      </c>
      <c r="P723" s="115">
        <v>0</v>
      </c>
      <c r="Q723" s="116" t="e">
        <f t="shared" si="133"/>
        <v>#DIV/0!</v>
      </c>
      <c r="R723" s="115">
        <v>0</v>
      </c>
      <c r="S723" s="100" t="e">
        <f t="shared" si="134"/>
        <v>#DIV/0!</v>
      </c>
    </row>
    <row r="724" spans="1:19" ht="15" x14ac:dyDescent="0.2">
      <c r="A724" s="114" t="s">
        <v>129</v>
      </c>
      <c r="B724" s="100" t="s">
        <v>153</v>
      </c>
      <c r="C724" s="115">
        <v>4800</v>
      </c>
      <c r="D724" s="100">
        <f>(C724/12)*3</f>
        <v>1200</v>
      </c>
      <c r="E724" s="103">
        <f>'Monitoramento Acumulado Geral'!Q724</f>
        <v>0</v>
      </c>
      <c r="F724" s="100">
        <f>SUM(E722:E724)</f>
        <v>0</v>
      </c>
      <c r="G724" s="102" t="str">
        <f t="shared" si="131"/>
        <v>Farol Vermelho</v>
      </c>
      <c r="H724" s="116">
        <f t="shared" si="129"/>
        <v>1200</v>
      </c>
      <c r="I724" s="100">
        <f t="shared" si="130"/>
        <v>3</v>
      </c>
      <c r="J724" s="119">
        <v>1</v>
      </c>
      <c r="K724" s="118">
        <f>'Monitoramento Acumulado Geral'!P724</f>
        <v>0</v>
      </c>
      <c r="L724" s="100">
        <f>$L722+L723</f>
        <v>0.25</v>
      </c>
      <c r="M724" s="100">
        <f t="shared" ref="M724:M733" si="143">M723+K724</f>
        <v>0</v>
      </c>
      <c r="N724" s="115">
        <v>0</v>
      </c>
      <c r="O724" s="116" t="e">
        <f t="shared" si="132"/>
        <v>#DIV/0!</v>
      </c>
      <c r="P724" s="115">
        <v>0</v>
      </c>
      <c r="Q724" s="116" t="e">
        <f t="shared" si="133"/>
        <v>#DIV/0!</v>
      </c>
      <c r="R724" s="115">
        <v>0</v>
      </c>
      <c r="S724" s="100" t="e">
        <f t="shared" si="134"/>
        <v>#DIV/0!</v>
      </c>
    </row>
    <row r="725" spans="1:19" ht="15" x14ac:dyDescent="0.2">
      <c r="A725" s="114" t="s">
        <v>129</v>
      </c>
      <c r="B725" s="100" t="s">
        <v>154</v>
      </c>
      <c r="C725" s="115">
        <v>4800</v>
      </c>
      <c r="D725" s="100">
        <f>(C725/12)*4</f>
        <v>1600</v>
      </c>
      <c r="E725" s="103">
        <f>'Monitoramento Acumulado Geral'!Q725</f>
        <v>0</v>
      </c>
      <c r="F725" s="100">
        <f>SUM(E722:E725)</f>
        <v>0</v>
      </c>
      <c r="G725" s="102" t="str">
        <f t="shared" si="131"/>
        <v>Farol Vermelho</v>
      </c>
      <c r="H725" s="116">
        <f t="shared" si="129"/>
        <v>1600</v>
      </c>
      <c r="I725" s="100">
        <f t="shared" si="130"/>
        <v>4</v>
      </c>
      <c r="J725" s="119">
        <v>1</v>
      </c>
      <c r="K725" s="118">
        <f>'Monitoramento Acumulado Geral'!P725</f>
        <v>0</v>
      </c>
      <c r="L725" s="100">
        <f>$L722+L724</f>
        <v>0.33333333333333331</v>
      </c>
      <c r="M725" s="100">
        <f t="shared" si="143"/>
        <v>0</v>
      </c>
      <c r="N725" s="115">
        <v>0</v>
      </c>
      <c r="O725" s="116" t="e">
        <f t="shared" si="132"/>
        <v>#DIV/0!</v>
      </c>
      <c r="P725" s="115">
        <v>0</v>
      </c>
      <c r="Q725" s="116" t="e">
        <f t="shared" si="133"/>
        <v>#DIV/0!</v>
      </c>
      <c r="R725" s="115">
        <v>0</v>
      </c>
      <c r="S725" s="100" t="e">
        <f t="shared" si="134"/>
        <v>#DIV/0!</v>
      </c>
    </row>
    <row r="726" spans="1:19" ht="15" x14ac:dyDescent="0.2">
      <c r="A726" s="114" t="s">
        <v>129</v>
      </c>
      <c r="B726" s="100" t="s">
        <v>155</v>
      </c>
      <c r="C726" s="115">
        <v>4800</v>
      </c>
      <c r="D726" s="100">
        <f>(C726/12)*5</f>
        <v>2000</v>
      </c>
      <c r="E726" s="103">
        <f>'Monitoramento Acumulado Geral'!Q726</f>
        <v>0</v>
      </c>
      <c r="F726" s="100">
        <f>SUM(E722:E726)</f>
        <v>0</v>
      </c>
      <c r="G726" s="102" t="str">
        <f t="shared" si="131"/>
        <v>Farol Vermelho</v>
      </c>
      <c r="H726" s="116">
        <f t="shared" si="129"/>
        <v>2000</v>
      </c>
      <c r="I726" s="100">
        <f t="shared" si="130"/>
        <v>5</v>
      </c>
      <c r="J726" s="119">
        <v>1</v>
      </c>
      <c r="K726" s="118">
        <f>'Monitoramento Acumulado Geral'!P726</f>
        <v>0</v>
      </c>
      <c r="L726" s="100">
        <f>L722+L725</f>
        <v>0.41666666666666663</v>
      </c>
      <c r="M726" s="100">
        <f t="shared" si="143"/>
        <v>0</v>
      </c>
      <c r="N726" s="115">
        <v>0</v>
      </c>
      <c r="O726" s="116" t="e">
        <f t="shared" si="132"/>
        <v>#DIV/0!</v>
      </c>
      <c r="P726" s="115">
        <v>0</v>
      </c>
      <c r="Q726" s="116" t="e">
        <f t="shared" si="133"/>
        <v>#DIV/0!</v>
      </c>
      <c r="R726" s="115">
        <v>0</v>
      </c>
      <c r="S726" s="100" t="e">
        <f t="shared" si="134"/>
        <v>#DIV/0!</v>
      </c>
    </row>
    <row r="727" spans="1:19" ht="15" x14ac:dyDescent="0.2">
      <c r="A727" s="114" t="s">
        <v>129</v>
      </c>
      <c r="B727" s="100" t="s">
        <v>156</v>
      </c>
      <c r="C727" s="115">
        <v>4800</v>
      </c>
      <c r="D727" s="100">
        <f>(C727/12)*6</f>
        <v>2400</v>
      </c>
      <c r="E727" s="103">
        <f>'Monitoramento Acumulado Geral'!Q727</f>
        <v>0</v>
      </c>
      <c r="F727" s="100">
        <f>SUM(E722:E727)</f>
        <v>0</v>
      </c>
      <c r="G727" s="102" t="str">
        <f t="shared" si="131"/>
        <v>Farol Vermelho</v>
      </c>
      <c r="H727" s="116">
        <f t="shared" si="129"/>
        <v>2400</v>
      </c>
      <c r="I727" s="100">
        <f t="shared" si="130"/>
        <v>6</v>
      </c>
      <c r="J727" s="119">
        <v>1</v>
      </c>
      <c r="K727" s="118">
        <f>'Monitoramento Acumulado Geral'!P727</f>
        <v>0</v>
      </c>
      <c r="L727" s="100">
        <f>$L722+L726</f>
        <v>0.49999999999999994</v>
      </c>
      <c r="M727" s="100">
        <f t="shared" si="143"/>
        <v>0</v>
      </c>
      <c r="N727" s="115"/>
      <c r="O727" s="116" t="e">
        <f t="shared" si="132"/>
        <v>#DIV/0!</v>
      </c>
      <c r="P727" s="115"/>
      <c r="Q727" s="116" t="e">
        <f t="shared" si="133"/>
        <v>#DIV/0!</v>
      </c>
      <c r="R727" s="115"/>
      <c r="S727" s="100" t="e">
        <f t="shared" si="134"/>
        <v>#DIV/0!</v>
      </c>
    </row>
    <row r="728" spans="1:19" ht="15" x14ac:dyDescent="0.2">
      <c r="A728" s="114" t="s">
        <v>129</v>
      </c>
      <c r="B728" s="100" t="s">
        <v>157</v>
      </c>
      <c r="C728" s="115">
        <v>4800</v>
      </c>
      <c r="D728" s="100">
        <f>(C728/12)*7</f>
        <v>2800</v>
      </c>
      <c r="E728" s="103">
        <f>'Monitoramento Acumulado Geral'!Q728</f>
        <v>0</v>
      </c>
      <c r="F728" s="100">
        <f>SUM(E722:E728)</f>
        <v>0</v>
      </c>
      <c r="G728" s="102" t="str">
        <f t="shared" si="131"/>
        <v>Farol Vermelho</v>
      </c>
      <c r="H728" s="116">
        <f t="shared" si="129"/>
        <v>2800</v>
      </c>
      <c r="I728" s="100">
        <f t="shared" si="130"/>
        <v>7</v>
      </c>
      <c r="J728" s="119">
        <v>1</v>
      </c>
      <c r="K728" s="118">
        <f>'Monitoramento Acumulado Geral'!P728</f>
        <v>0</v>
      </c>
      <c r="L728" s="100">
        <f>$L722+L727</f>
        <v>0.58333333333333326</v>
      </c>
      <c r="M728" s="100">
        <f t="shared" si="143"/>
        <v>0</v>
      </c>
      <c r="N728" s="115"/>
      <c r="O728" s="116" t="e">
        <f t="shared" si="132"/>
        <v>#DIV/0!</v>
      </c>
      <c r="P728" s="115"/>
      <c r="Q728" s="116" t="e">
        <f t="shared" si="133"/>
        <v>#DIV/0!</v>
      </c>
      <c r="R728" s="115"/>
      <c r="S728" s="100" t="e">
        <f t="shared" si="134"/>
        <v>#DIV/0!</v>
      </c>
    </row>
    <row r="729" spans="1:19" ht="15" x14ac:dyDescent="0.2">
      <c r="A729" s="114" t="s">
        <v>129</v>
      </c>
      <c r="B729" s="100" t="s">
        <v>158</v>
      </c>
      <c r="C729" s="115">
        <v>4800</v>
      </c>
      <c r="D729" s="100">
        <f>(C729/12)*8</f>
        <v>3200</v>
      </c>
      <c r="E729" s="103">
        <f>'Monitoramento Acumulado Geral'!Q729</f>
        <v>0</v>
      </c>
      <c r="F729" s="100">
        <f>SUM(E722:E729)</f>
        <v>0</v>
      </c>
      <c r="G729" s="102" t="str">
        <f t="shared" si="131"/>
        <v>Farol Vermelho</v>
      </c>
      <c r="H729" s="116">
        <f t="shared" si="129"/>
        <v>3200</v>
      </c>
      <c r="I729" s="100">
        <f t="shared" si="130"/>
        <v>8</v>
      </c>
      <c r="J729" s="119">
        <v>1</v>
      </c>
      <c r="K729" s="118">
        <f>'Monitoramento Acumulado Geral'!P729</f>
        <v>0</v>
      </c>
      <c r="L729" s="100">
        <f>L722+L728</f>
        <v>0.66666666666666663</v>
      </c>
      <c r="M729" s="100">
        <f t="shared" si="143"/>
        <v>0</v>
      </c>
      <c r="N729" s="115"/>
      <c r="O729" s="116" t="e">
        <f t="shared" si="132"/>
        <v>#DIV/0!</v>
      </c>
      <c r="P729" s="115"/>
      <c r="Q729" s="116" t="e">
        <f t="shared" si="133"/>
        <v>#DIV/0!</v>
      </c>
      <c r="R729" s="115"/>
      <c r="S729" s="100" t="e">
        <f t="shared" si="134"/>
        <v>#DIV/0!</v>
      </c>
    </row>
    <row r="730" spans="1:19" ht="15" x14ac:dyDescent="0.2">
      <c r="A730" s="114" t="s">
        <v>129</v>
      </c>
      <c r="B730" s="100" t="s">
        <v>159</v>
      </c>
      <c r="C730" s="115">
        <v>4800</v>
      </c>
      <c r="D730" s="100">
        <f>(C730/12)*9</f>
        <v>3600</v>
      </c>
      <c r="E730" s="103">
        <f>'Monitoramento Acumulado Geral'!Q730</f>
        <v>0</v>
      </c>
      <c r="F730" s="100">
        <f>SUM(E722:E730)</f>
        <v>0</v>
      </c>
      <c r="G730" s="102" t="str">
        <f t="shared" si="131"/>
        <v>Farol Vermelho</v>
      </c>
      <c r="H730" s="116">
        <f t="shared" si="129"/>
        <v>3600</v>
      </c>
      <c r="I730" s="100">
        <f t="shared" si="130"/>
        <v>9</v>
      </c>
      <c r="J730" s="119">
        <v>1</v>
      </c>
      <c r="K730" s="118">
        <f>'Monitoramento Acumulado Geral'!P730</f>
        <v>0</v>
      </c>
      <c r="L730" s="100">
        <f>$L722+L729</f>
        <v>0.75</v>
      </c>
      <c r="M730" s="100">
        <f t="shared" si="143"/>
        <v>0</v>
      </c>
      <c r="N730" s="115"/>
      <c r="O730" s="116" t="e">
        <f t="shared" si="132"/>
        <v>#DIV/0!</v>
      </c>
      <c r="P730" s="115"/>
      <c r="Q730" s="116" t="e">
        <f t="shared" si="133"/>
        <v>#DIV/0!</v>
      </c>
      <c r="R730" s="115"/>
      <c r="S730" s="100" t="e">
        <f t="shared" si="134"/>
        <v>#DIV/0!</v>
      </c>
    </row>
    <row r="731" spans="1:19" ht="15" x14ac:dyDescent="0.2">
      <c r="A731" s="114" t="s">
        <v>129</v>
      </c>
      <c r="B731" s="100" t="s">
        <v>160</v>
      </c>
      <c r="C731" s="115">
        <v>4800</v>
      </c>
      <c r="D731" s="100">
        <f>(C731/12)*10</f>
        <v>4000</v>
      </c>
      <c r="E731" s="103">
        <f>'Monitoramento Acumulado Geral'!Q731</f>
        <v>0</v>
      </c>
      <c r="F731" s="100">
        <f>SUM(E722:E731)</f>
        <v>0</v>
      </c>
      <c r="G731" s="102" t="str">
        <f t="shared" si="131"/>
        <v>Farol Vermelho</v>
      </c>
      <c r="H731" s="116">
        <f t="shared" si="129"/>
        <v>4000</v>
      </c>
      <c r="I731" s="100">
        <f t="shared" si="130"/>
        <v>10</v>
      </c>
      <c r="J731" s="119">
        <v>1</v>
      </c>
      <c r="K731" s="118">
        <f>'Monitoramento Acumulado Geral'!P731</f>
        <v>0</v>
      </c>
      <c r="L731" s="100">
        <f>$L722+L730</f>
        <v>0.83333333333333337</v>
      </c>
      <c r="M731" s="100">
        <f t="shared" si="143"/>
        <v>0</v>
      </c>
      <c r="N731" s="115"/>
      <c r="O731" s="116" t="e">
        <f t="shared" si="132"/>
        <v>#DIV/0!</v>
      </c>
      <c r="P731" s="115"/>
      <c r="Q731" s="116" t="e">
        <f t="shared" si="133"/>
        <v>#DIV/0!</v>
      </c>
      <c r="R731" s="115"/>
      <c r="S731" s="100" t="e">
        <f t="shared" si="134"/>
        <v>#DIV/0!</v>
      </c>
    </row>
    <row r="732" spans="1:19" ht="15" x14ac:dyDescent="0.2">
      <c r="A732" s="114" t="s">
        <v>129</v>
      </c>
      <c r="B732" s="100" t="s">
        <v>161</v>
      </c>
      <c r="C732" s="115">
        <v>4800</v>
      </c>
      <c r="D732" s="100">
        <f>(C732/12)*11</f>
        <v>4400</v>
      </c>
      <c r="E732" s="103">
        <f>'Monitoramento Acumulado Geral'!Q732</f>
        <v>0</v>
      </c>
      <c r="F732" s="100">
        <f>SUM(E722:E732)</f>
        <v>0</v>
      </c>
      <c r="G732" s="102" t="str">
        <f t="shared" si="131"/>
        <v>Farol Vermelho</v>
      </c>
      <c r="H732" s="116">
        <f t="shared" si="129"/>
        <v>4400</v>
      </c>
      <c r="I732" s="100">
        <f t="shared" si="130"/>
        <v>11</v>
      </c>
      <c r="J732" s="119">
        <v>1</v>
      </c>
      <c r="K732" s="118">
        <f>'Monitoramento Acumulado Geral'!P732</f>
        <v>0</v>
      </c>
      <c r="L732" s="100">
        <f>L722+L731</f>
        <v>0.91666666666666674</v>
      </c>
      <c r="M732" s="100">
        <f t="shared" si="143"/>
        <v>0</v>
      </c>
      <c r="N732" s="115"/>
      <c r="O732" s="116" t="e">
        <f t="shared" si="132"/>
        <v>#DIV/0!</v>
      </c>
      <c r="P732" s="115"/>
      <c r="Q732" s="116" t="e">
        <f t="shared" si="133"/>
        <v>#DIV/0!</v>
      </c>
      <c r="R732" s="115"/>
      <c r="S732" s="100" t="e">
        <f t="shared" si="134"/>
        <v>#DIV/0!</v>
      </c>
    </row>
    <row r="733" spans="1:19" ht="15" x14ac:dyDescent="0.2">
      <c r="A733" s="114" t="s">
        <v>129</v>
      </c>
      <c r="B733" s="100" t="s">
        <v>162</v>
      </c>
      <c r="C733" s="115">
        <v>4800</v>
      </c>
      <c r="D733" s="100">
        <f>(C733/12)*12</f>
        <v>4800</v>
      </c>
      <c r="E733" s="103">
        <f>'Monitoramento Acumulado Geral'!Q733</f>
        <v>0</v>
      </c>
      <c r="F733" s="100">
        <f>SUM(E722:E733)</f>
        <v>0</v>
      </c>
      <c r="G733" s="102" t="str">
        <f t="shared" si="131"/>
        <v>Farol Vermelho</v>
      </c>
      <c r="H733" s="116">
        <f t="shared" si="129"/>
        <v>4800</v>
      </c>
      <c r="I733" s="100">
        <f t="shared" si="130"/>
        <v>12</v>
      </c>
      <c r="J733" s="119">
        <v>1</v>
      </c>
      <c r="K733" s="118">
        <f>'Monitoramento Acumulado Geral'!P733</f>
        <v>0</v>
      </c>
      <c r="L733" s="100">
        <f>$L722+L732</f>
        <v>1</v>
      </c>
      <c r="M733" s="100">
        <f t="shared" si="143"/>
        <v>0</v>
      </c>
      <c r="N733" s="115"/>
      <c r="O733" s="116" t="e">
        <f t="shared" si="132"/>
        <v>#DIV/0!</v>
      </c>
      <c r="P733" s="115"/>
      <c r="Q733" s="116" t="e">
        <f t="shared" si="133"/>
        <v>#DIV/0!</v>
      </c>
      <c r="R733" s="115"/>
      <c r="S733" s="100" t="e">
        <f t="shared" si="134"/>
        <v>#DIV/0!</v>
      </c>
    </row>
    <row r="734" spans="1:19" ht="15" x14ac:dyDescent="0.2">
      <c r="A734" s="114" t="s">
        <v>125</v>
      </c>
      <c r="B734" s="100" t="s">
        <v>151</v>
      </c>
      <c r="C734" s="115">
        <v>6920.5</v>
      </c>
      <c r="D734" s="100">
        <f>(C734/12)*1</f>
        <v>576.70833333333337</v>
      </c>
      <c r="E734" s="103">
        <f>'Monitoramento Acumulado Geral'!Q734</f>
        <v>0</v>
      </c>
      <c r="F734" s="100">
        <f>E734</f>
        <v>0</v>
      </c>
      <c r="G734" s="102" t="str">
        <f t="shared" si="131"/>
        <v>Farol Vermelho</v>
      </c>
      <c r="H734" s="116">
        <f t="shared" si="129"/>
        <v>576.70833333333337</v>
      </c>
      <c r="I734" s="100">
        <f t="shared" si="130"/>
        <v>1</v>
      </c>
      <c r="J734" s="119">
        <v>4</v>
      </c>
      <c r="K734" s="118">
        <f>'Monitoramento Acumulado Geral'!P734</f>
        <v>0</v>
      </c>
      <c r="L734" s="100">
        <f>J734/12</f>
        <v>0.33333333333333331</v>
      </c>
      <c r="M734" s="100">
        <f>K734</f>
        <v>0</v>
      </c>
      <c r="N734" s="115">
        <v>0</v>
      </c>
      <c r="O734" s="116" t="e">
        <f t="shared" si="132"/>
        <v>#DIV/0!</v>
      </c>
      <c r="P734" s="115">
        <v>0</v>
      </c>
      <c r="Q734" s="116" t="e">
        <f t="shared" si="133"/>
        <v>#DIV/0!</v>
      </c>
      <c r="R734" s="115">
        <v>0</v>
      </c>
      <c r="S734" s="100" t="e">
        <f t="shared" si="134"/>
        <v>#DIV/0!</v>
      </c>
    </row>
    <row r="735" spans="1:19" ht="15" x14ac:dyDescent="0.2">
      <c r="A735" s="114" t="s">
        <v>125</v>
      </c>
      <c r="B735" s="100" t="s">
        <v>152</v>
      </c>
      <c r="C735" s="115">
        <v>6920.5</v>
      </c>
      <c r="D735" s="100">
        <f>(C735/12)*2</f>
        <v>1153.4166666666667</v>
      </c>
      <c r="E735" s="103">
        <f>'Monitoramento Acumulado Geral'!Q735</f>
        <v>0</v>
      </c>
      <c r="F735" s="100">
        <f>SUM(E734:E735)</f>
        <v>0</v>
      </c>
      <c r="G735" s="102" t="str">
        <f t="shared" si="131"/>
        <v>Farol Vermelho</v>
      </c>
      <c r="H735" s="116">
        <f t="shared" si="129"/>
        <v>1153.4166666666667</v>
      </c>
      <c r="I735" s="100">
        <f t="shared" si="130"/>
        <v>2</v>
      </c>
      <c r="J735" s="119">
        <v>4</v>
      </c>
      <c r="K735" s="118">
        <f>'Monitoramento Acumulado Geral'!P735</f>
        <v>0</v>
      </c>
      <c r="L735" s="100">
        <f>L734+L734</f>
        <v>0.66666666666666663</v>
      </c>
      <c r="M735" s="100">
        <f>M734+K735</f>
        <v>0</v>
      </c>
      <c r="N735" s="115">
        <v>0</v>
      </c>
      <c r="O735" s="116" t="e">
        <f t="shared" si="132"/>
        <v>#DIV/0!</v>
      </c>
      <c r="P735" s="115">
        <v>0</v>
      </c>
      <c r="Q735" s="116" t="e">
        <f t="shared" si="133"/>
        <v>#DIV/0!</v>
      </c>
      <c r="R735" s="115">
        <v>0</v>
      </c>
      <c r="S735" s="100" t="e">
        <f t="shared" si="134"/>
        <v>#DIV/0!</v>
      </c>
    </row>
    <row r="736" spans="1:19" ht="15" x14ac:dyDescent="0.2">
      <c r="A736" s="114" t="s">
        <v>125</v>
      </c>
      <c r="B736" s="100" t="s">
        <v>153</v>
      </c>
      <c r="C736" s="115">
        <v>6920.5</v>
      </c>
      <c r="D736" s="100">
        <f>(C736/12)*3</f>
        <v>1730.125</v>
      </c>
      <c r="E736" s="103">
        <f>'Monitoramento Acumulado Geral'!Q736</f>
        <v>1500</v>
      </c>
      <c r="F736" s="100">
        <f>SUM(E734:E736)</f>
        <v>1500</v>
      </c>
      <c r="G736" s="102" t="str">
        <f t="shared" si="131"/>
        <v>Farol Amarelo</v>
      </c>
      <c r="H736" s="116">
        <f t="shared" si="129"/>
        <v>230.125</v>
      </c>
      <c r="I736" s="100">
        <f t="shared" si="130"/>
        <v>3</v>
      </c>
      <c r="J736" s="119">
        <v>4</v>
      </c>
      <c r="K736" s="118">
        <f>'Monitoramento Acumulado Geral'!P736</f>
        <v>1</v>
      </c>
      <c r="L736" s="100">
        <f>$L734+L735</f>
        <v>1</v>
      </c>
      <c r="M736" s="100">
        <f t="shared" ref="M736:M745" si="144">M735+K736</f>
        <v>1</v>
      </c>
      <c r="N736" s="115">
        <v>0</v>
      </c>
      <c r="O736" s="116" t="e">
        <f t="shared" si="132"/>
        <v>#DIV/0!</v>
      </c>
      <c r="P736" s="115">
        <v>0</v>
      </c>
      <c r="Q736" s="116" t="e">
        <f t="shared" si="133"/>
        <v>#DIV/0!</v>
      </c>
      <c r="R736" s="115">
        <v>0</v>
      </c>
      <c r="S736" s="100" t="e">
        <f t="shared" si="134"/>
        <v>#DIV/0!</v>
      </c>
    </row>
    <row r="737" spans="1:19" ht="15" x14ac:dyDescent="0.2">
      <c r="A737" s="114" t="s">
        <v>125</v>
      </c>
      <c r="B737" s="100" t="s">
        <v>154</v>
      </c>
      <c r="C737" s="115">
        <v>6920.5</v>
      </c>
      <c r="D737" s="100">
        <f>(C737/12)*4</f>
        <v>2306.8333333333335</v>
      </c>
      <c r="E737" s="103">
        <f>'Monitoramento Acumulado Geral'!Q737</f>
        <v>0</v>
      </c>
      <c r="F737" s="100">
        <f>SUM(E734:E737)</f>
        <v>1500</v>
      </c>
      <c r="G737" s="102" t="str">
        <f t="shared" si="131"/>
        <v>Farol Vermelho</v>
      </c>
      <c r="H737" s="116">
        <f t="shared" si="129"/>
        <v>806.83333333333348</v>
      </c>
      <c r="I737" s="100">
        <f t="shared" si="130"/>
        <v>4</v>
      </c>
      <c r="J737" s="119">
        <v>4</v>
      </c>
      <c r="K737" s="118">
        <f>'Monitoramento Acumulado Geral'!P737</f>
        <v>0</v>
      </c>
      <c r="L737" s="100">
        <f>$L734+L736</f>
        <v>1.3333333333333333</v>
      </c>
      <c r="M737" s="100">
        <f t="shared" si="144"/>
        <v>1</v>
      </c>
      <c r="N737" s="115">
        <v>0</v>
      </c>
      <c r="O737" s="116" t="e">
        <f t="shared" si="132"/>
        <v>#DIV/0!</v>
      </c>
      <c r="P737" s="115">
        <v>0</v>
      </c>
      <c r="Q737" s="116" t="e">
        <f t="shared" si="133"/>
        <v>#DIV/0!</v>
      </c>
      <c r="R737" s="115">
        <v>0</v>
      </c>
      <c r="S737" s="100" t="e">
        <f t="shared" si="134"/>
        <v>#DIV/0!</v>
      </c>
    </row>
    <row r="738" spans="1:19" ht="15" x14ac:dyDescent="0.2">
      <c r="A738" s="114" t="s">
        <v>125</v>
      </c>
      <c r="B738" s="100" t="s">
        <v>155</v>
      </c>
      <c r="C738" s="115">
        <v>6920.5</v>
      </c>
      <c r="D738" s="100">
        <f>(C738/12)*5</f>
        <v>2883.541666666667</v>
      </c>
      <c r="E738" s="103">
        <f>'Monitoramento Acumulado Geral'!Q738</f>
        <v>0</v>
      </c>
      <c r="F738" s="100">
        <f>SUM(E734:E738)</f>
        <v>1500</v>
      </c>
      <c r="G738" s="102" t="str">
        <f t="shared" si="131"/>
        <v>Farol Vermelho</v>
      </c>
      <c r="H738" s="116">
        <f t="shared" ref="H738:H744" si="145">IF(D738-F738&lt;0,0,D738-F738)</f>
        <v>1383.541666666667</v>
      </c>
      <c r="I738" s="100">
        <f t="shared" ref="I738:I757" si="146">_xlfn.IFS(B738="Janeiro",1,B738="Fevereiro",2,B738="Março",3,B738="Abril",4,B738="Maio",5,B738="Junho",6,B738="Julho",7,B738="Agosto",8,B738="Setembro",9,B738="Outubro",10,B738="Novembro",11,B738="Dezembro",12,TRUE,0)</f>
        <v>5</v>
      </c>
      <c r="J738" s="119">
        <v>4</v>
      </c>
      <c r="K738" s="118">
        <f>'Monitoramento Acumulado Geral'!P738</f>
        <v>0</v>
      </c>
      <c r="L738" s="100">
        <f>L734+L737</f>
        <v>1.6666666666666665</v>
      </c>
      <c r="M738" s="100">
        <f t="shared" si="144"/>
        <v>1</v>
      </c>
      <c r="N738" s="115">
        <v>0</v>
      </c>
      <c r="O738" s="116" t="e">
        <f t="shared" si="132"/>
        <v>#DIV/0!</v>
      </c>
      <c r="P738" s="115">
        <v>0</v>
      </c>
      <c r="Q738" s="116" t="e">
        <f t="shared" si="133"/>
        <v>#DIV/0!</v>
      </c>
      <c r="R738" s="115">
        <v>0</v>
      </c>
      <c r="S738" s="100" t="e">
        <f t="shared" si="134"/>
        <v>#DIV/0!</v>
      </c>
    </row>
    <row r="739" spans="1:19" ht="15" x14ac:dyDescent="0.2">
      <c r="A739" s="114" t="s">
        <v>125</v>
      </c>
      <c r="B739" s="100" t="s">
        <v>156</v>
      </c>
      <c r="C739" s="115">
        <v>6920.5</v>
      </c>
      <c r="D739" s="100">
        <f>(C739/12)*6</f>
        <v>3460.25</v>
      </c>
      <c r="E739" s="103">
        <f>'Monitoramento Acumulado Geral'!Q739</f>
        <v>0</v>
      </c>
      <c r="F739" s="100">
        <f>SUM(E734:E739)</f>
        <v>1500</v>
      </c>
      <c r="G739" s="102" t="str">
        <f t="shared" ref="G739:G745" si="147">_xlfn.IFS(F739&gt;D739,"Farol Verde",F739&gt;=D739*0.85,"Farol Amarelo",F739&lt;D739*0.85,"Farol Vermelho","Verdadeiro",0)</f>
        <v>Farol Vermelho</v>
      </c>
      <c r="H739" s="116">
        <f t="shared" si="145"/>
        <v>1960.25</v>
      </c>
      <c r="I739" s="100">
        <f t="shared" si="146"/>
        <v>6</v>
      </c>
      <c r="J739" s="119">
        <v>4</v>
      </c>
      <c r="K739" s="118">
        <f>'Monitoramento Acumulado Geral'!P739</f>
        <v>0</v>
      </c>
      <c r="L739" s="100">
        <f>$L734+L738</f>
        <v>1.9999999999999998</v>
      </c>
      <c r="M739" s="100">
        <f t="shared" si="144"/>
        <v>1</v>
      </c>
      <c r="N739" s="115"/>
      <c r="O739" s="116" t="e">
        <f t="shared" ref="O739:O757" si="148">P739/N739</f>
        <v>#DIV/0!</v>
      </c>
      <c r="P739" s="115"/>
      <c r="Q739" s="116" t="e">
        <f t="shared" ref="Q739:Q757" si="149">R739/P739</f>
        <v>#DIV/0!</v>
      </c>
      <c r="R739" s="115"/>
      <c r="S739" s="100" t="e">
        <f t="shared" ref="S739:S757" si="150">R739/N739</f>
        <v>#DIV/0!</v>
      </c>
    </row>
    <row r="740" spans="1:19" ht="15" x14ac:dyDescent="0.2">
      <c r="A740" s="114" t="s">
        <v>125</v>
      </c>
      <c r="B740" s="100" t="s">
        <v>157</v>
      </c>
      <c r="C740" s="115">
        <v>6920.5</v>
      </c>
      <c r="D740" s="100">
        <f>(C740/12)*7</f>
        <v>4036.9583333333335</v>
      </c>
      <c r="E740" s="103">
        <f>'Monitoramento Acumulado Geral'!Q740</f>
        <v>3102.5</v>
      </c>
      <c r="F740" s="100">
        <f>SUM(E734:E740)</f>
        <v>4602.5</v>
      </c>
      <c r="G740" s="102" t="str">
        <f t="shared" si="147"/>
        <v>Farol Verde</v>
      </c>
      <c r="H740" s="116">
        <f t="shared" si="145"/>
        <v>0</v>
      </c>
      <c r="I740" s="100">
        <f t="shared" si="146"/>
        <v>7</v>
      </c>
      <c r="J740" s="119">
        <v>4</v>
      </c>
      <c r="K740" s="118">
        <f>'Monitoramento Acumulado Geral'!P740</f>
        <v>12</v>
      </c>
      <c r="L740" s="100">
        <f>$L734+L739</f>
        <v>2.333333333333333</v>
      </c>
      <c r="M740" s="100">
        <f t="shared" si="144"/>
        <v>13</v>
      </c>
      <c r="N740" s="115"/>
      <c r="O740" s="116" t="e">
        <f t="shared" si="148"/>
        <v>#DIV/0!</v>
      </c>
      <c r="P740" s="115"/>
      <c r="Q740" s="116" t="e">
        <f t="shared" si="149"/>
        <v>#DIV/0!</v>
      </c>
      <c r="R740" s="115"/>
      <c r="S740" s="100" t="e">
        <f t="shared" si="150"/>
        <v>#DIV/0!</v>
      </c>
    </row>
    <row r="741" spans="1:19" ht="15" x14ac:dyDescent="0.2">
      <c r="A741" s="114" t="s">
        <v>125</v>
      </c>
      <c r="B741" s="100" t="s">
        <v>158</v>
      </c>
      <c r="C741" s="115">
        <v>6920.5</v>
      </c>
      <c r="D741" s="100">
        <f>(C741/12)*8</f>
        <v>4613.666666666667</v>
      </c>
      <c r="E741" s="103">
        <f>'Monitoramento Acumulado Geral'!Q741</f>
        <v>0</v>
      </c>
      <c r="F741" s="100">
        <f>SUM(E734:E741)</f>
        <v>4602.5</v>
      </c>
      <c r="G741" s="102" t="str">
        <f t="shared" si="147"/>
        <v>Farol Amarelo</v>
      </c>
      <c r="H741" s="116">
        <f t="shared" si="145"/>
        <v>11.16666666666697</v>
      </c>
      <c r="I741" s="100">
        <f t="shared" si="146"/>
        <v>8</v>
      </c>
      <c r="J741" s="119">
        <v>4</v>
      </c>
      <c r="K741" s="118">
        <f>'Monitoramento Acumulado Geral'!P741</f>
        <v>0</v>
      </c>
      <c r="L741" s="100">
        <f>L734+L740</f>
        <v>2.6666666666666665</v>
      </c>
      <c r="M741" s="100">
        <f t="shared" si="144"/>
        <v>13</v>
      </c>
      <c r="N741" s="115"/>
      <c r="O741" s="116" t="e">
        <f t="shared" si="148"/>
        <v>#DIV/0!</v>
      </c>
      <c r="P741" s="115"/>
      <c r="Q741" s="116" t="e">
        <f t="shared" si="149"/>
        <v>#DIV/0!</v>
      </c>
      <c r="R741" s="115"/>
      <c r="S741" s="100" t="e">
        <f t="shared" si="150"/>
        <v>#DIV/0!</v>
      </c>
    </row>
    <row r="742" spans="1:19" ht="15" x14ac:dyDescent="0.2">
      <c r="A742" s="114" t="s">
        <v>125</v>
      </c>
      <c r="B742" s="100" t="s">
        <v>159</v>
      </c>
      <c r="C742" s="115">
        <v>6920.5</v>
      </c>
      <c r="D742" s="100">
        <f>(C742/12)*9</f>
        <v>5190.375</v>
      </c>
      <c r="E742" s="103">
        <f>'Monitoramento Acumulado Geral'!Q742</f>
        <v>583.83000000000004</v>
      </c>
      <c r="F742" s="100">
        <f>SUM(E734:E742)</f>
        <v>5186.33</v>
      </c>
      <c r="G742" s="102" t="str">
        <f t="shared" si="147"/>
        <v>Farol Amarelo</v>
      </c>
      <c r="H742" s="116">
        <f t="shared" si="145"/>
        <v>4.0450000000000728</v>
      </c>
      <c r="I742" s="100">
        <f t="shared" si="146"/>
        <v>9</v>
      </c>
      <c r="J742" s="119">
        <v>4</v>
      </c>
      <c r="K742" s="118">
        <f>'Monitoramento Acumulado Geral'!P742</f>
        <v>3</v>
      </c>
      <c r="L742" s="100">
        <f>$L734+L741</f>
        <v>3</v>
      </c>
      <c r="M742" s="100">
        <f t="shared" si="144"/>
        <v>16</v>
      </c>
      <c r="N742" s="115"/>
      <c r="O742" s="116" t="e">
        <f t="shared" si="148"/>
        <v>#DIV/0!</v>
      </c>
      <c r="P742" s="115"/>
      <c r="Q742" s="116" t="e">
        <f t="shared" si="149"/>
        <v>#DIV/0!</v>
      </c>
      <c r="R742" s="115"/>
      <c r="S742" s="100" t="e">
        <f t="shared" si="150"/>
        <v>#DIV/0!</v>
      </c>
    </row>
    <row r="743" spans="1:19" ht="15" x14ac:dyDescent="0.2">
      <c r="A743" s="114" t="s">
        <v>125</v>
      </c>
      <c r="B743" s="100" t="s">
        <v>160</v>
      </c>
      <c r="C743" s="115">
        <v>6920.5</v>
      </c>
      <c r="D743" s="100">
        <f>(C743/12)*10</f>
        <v>5767.0833333333339</v>
      </c>
      <c r="E743" s="103">
        <f>'Monitoramento Acumulado Geral'!Q743</f>
        <v>0</v>
      </c>
      <c r="F743" s="100">
        <f>SUM(E734:E743)</f>
        <v>5186.33</v>
      </c>
      <c r="G743" s="102" t="str">
        <f t="shared" si="147"/>
        <v>Farol Amarelo</v>
      </c>
      <c r="H743" s="116">
        <f t="shared" si="145"/>
        <v>580.75333333333401</v>
      </c>
      <c r="I743" s="100">
        <f t="shared" si="146"/>
        <v>10</v>
      </c>
      <c r="J743" s="119">
        <v>4</v>
      </c>
      <c r="K743" s="118">
        <f>'Monitoramento Acumulado Geral'!P743</f>
        <v>0</v>
      </c>
      <c r="L743" s="100">
        <f>$L734+L742</f>
        <v>3.3333333333333335</v>
      </c>
      <c r="M743" s="100">
        <f t="shared" si="144"/>
        <v>16</v>
      </c>
      <c r="N743" s="115"/>
      <c r="O743" s="116" t="e">
        <f t="shared" si="148"/>
        <v>#DIV/0!</v>
      </c>
      <c r="P743" s="115"/>
      <c r="Q743" s="116" t="e">
        <f t="shared" si="149"/>
        <v>#DIV/0!</v>
      </c>
      <c r="R743" s="115"/>
      <c r="S743" s="100" t="e">
        <f t="shared" si="150"/>
        <v>#DIV/0!</v>
      </c>
    </row>
    <row r="744" spans="1:19" ht="15" x14ac:dyDescent="0.2">
      <c r="A744" s="114" t="s">
        <v>125</v>
      </c>
      <c r="B744" s="100" t="s">
        <v>161</v>
      </c>
      <c r="C744" s="115">
        <v>6920.5</v>
      </c>
      <c r="D744" s="100">
        <f>(C744/12)*11</f>
        <v>6343.791666666667</v>
      </c>
      <c r="E744" s="103">
        <f>'Monitoramento Acumulado Geral'!Q744</f>
        <v>0</v>
      </c>
      <c r="F744" s="100">
        <f>SUM(E734:E744)</f>
        <v>5186.33</v>
      </c>
      <c r="G744" s="102" t="str">
        <f t="shared" si="147"/>
        <v>Farol Vermelho</v>
      </c>
      <c r="H744" s="116">
        <f t="shared" si="145"/>
        <v>1157.461666666667</v>
      </c>
      <c r="I744" s="100">
        <f t="shared" si="146"/>
        <v>11</v>
      </c>
      <c r="J744" s="119">
        <v>4</v>
      </c>
      <c r="K744" s="118">
        <f>'Monitoramento Acumulado Geral'!P744</f>
        <v>0</v>
      </c>
      <c r="L744" s="100">
        <f>L734+L743</f>
        <v>3.666666666666667</v>
      </c>
      <c r="M744" s="100">
        <f t="shared" si="144"/>
        <v>16</v>
      </c>
      <c r="N744" s="115"/>
      <c r="O744" s="116" t="e">
        <f t="shared" si="148"/>
        <v>#DIV/0!</v>
      </c>
      <c r="P744" s="115"/>
      <c r="Q744" s="116" t="e">
        <f t="shared" si="149"/>
        <v>#DIV/0!</v>
      </c>
      <c r="R744" s="115"/>
      <c r="S744" s="100" t="e">
        <f t="shared" si="150"/>
        <v>#DIV/0!</v>
      </c>
    </row>
    <row r="745" spans="1:19" ht="15" x14ac:dyDescent="0.2">
      <c r="A745" s="114" t="s">
        <v>125</v>
      </c>
      <c r="B745" s="100" t="s">
        <v>162</v>
      </c>
      <c r="C745" s="115">
        <v>6920.5</v>
      </c>
      <c r="D745" s="100">
        <f>(C745/12)*12</f>
        <v>6920.5</v>
      </c>
      <c r="E745" s="103">
        <f>'Monitoramento Acumulado Geral'!Q745</f>
        <v>0</v>
      </c>
      <c r="F745" s="100">
        <f>SUM(E734:E745)</f>
        <v>5186.33</v>
      </c>
      <c r="G745" s="102" t="str">
        <f t="shared" si="147"/>
        <v>Farol Vermelho</v>
      </c>
      <c r="H745" s="116">
        <f>IF(D745-F745&lt;0,0,D745-F745)</f>
        <v>1734.17</v>
      </c>
      <c r="I745" s="100">
        <f t="shared" si="146"/>
        <v>12</v>
      </c>
      <c r="J745" s="119">
        <v>4</v>
      </c>
      <c r="K745" s="118">
        <f>'Monitoramento Acumulado Geral'!P745</f>
        <v>0</v>
      </c>
      <c r="L745" s="100">
        <f>$L734+L744</f>
        <v>4</v>
      </c>
      <c r="M745" s="100">
        <f t="shared" si="144"/>
        <v>16</v>
      </c>
      <c r="N745" s="115"/>
      <c r="O745" s="116" t="e">
        <f t="shared" si="148"/>
        <v>#DIV/0!</v>
      </c>
      <c r="P745" s="115"/>
      <c r="Q745" s="116" t="e">
        <f t="shared" si="149"/>
        <v>#DIV/0!</v>
      </c>
      <c r="R745" s="115"/>
      <c r="S745" s="100" t="e">
        <f t="shared" si="150"/>
        <v>#DIV/0!</v>
      </c>
    </row>
    <row r="746" spans="1:19" ht="15" x14ac:dyDescent="0.2">
      <c r="A746" s="100" t="s">
        <v>313</v>
      </c>
      <c r="B746" s="100" t="s">
        <v>151</v>
      </c>
      <c r="C746" s="115">
        <v>0</v>
      </c>
      <c r="D746" s="100">
        <f>(C746/12)*1</f>
        <v>0</v>
      </c>
      <c r="E746" s="103">
        <f>'Monitoramento Acumulado Geral'!Q746</f>
        <v>0</v>
      </c>
      <c r="F746" s="100">
        <f>E746</f>
        <v>0</v>
      </c>
      <c r="G746" s="102" t="str">
        <f>_xlfn.IFS(F746&gt;D746,"Farol Verde",F746&gt;=D746*0.85,"Farol Amarelo",F746&lt;D746*0.85,"Farol Vermelho","Verdadeiro",0)</f>
        <v>Farol Amarelo</v>
      </c>
      <c r="H746" s="116">
        <f t="shared" ref="H746:H757" si="151">IF(D746-F746&lt;0,0,D746-F746)</f>
        <v>0</v>
      </c>
      <c r="I746" s="100">
        <f t="shared" si="146"/>
        <v>1</v>
      </c>
      <c r="J746" s="119">
        <v>0</v>
      </c>
      <c r="K746" s="118">
        <f>'Monitoramento Acumulado Geral'!P746</f>
        <v>0</v>
      </c>
      <c r="L746" s="100">
        <f>J746/12</f>
        <v>0</v>
      </c>
      <c r="M746" s="100">
        <f>K746</f>
        <v>0</v>
      </c>
      <c r="N746" s="115"/>
      <c r="O746" s="116" t="e">
        <f t="shared" si="148"/>
        <v>#DIV/0!</v>
      </c>
      <c r="P746" s="115"/>
      <c r="Q746" s="116" t="e">
        <f t="shared" si="149"/>
        <v>#DIV/0!</v>
      </c>
      <c r="R746" s="115"/>
      <c r="S746" s="100" t="e">
        <f t="shared" si="150"/>
        <v>#DIV/0!</v>
      </c>
    </row>
    <row r="747" spans="1:19" ht="15" x14ac:dyDescent="0.2">
      <c r="A747" s="100" t="s">
        <v>313</v>
      </c>
      <c r="B747" s="100" t="s">
        <v>152</v>
      </c>
      <c r="C747" s="115">
        <v>0</v>
      </c>
      <c r="D747" s="100">
        <f>(C747/12)*2</f>
        <v>0</v>
      </c>
      <c r="E747" s="103">
        <f>'Monitoramento Acumulado Geral'!Q747</f>
        <v>0</v>
      </c>
      <c r="F747" s="100">
        <f>SUM(E746:E747)</f>
        <v>0</v>
      </c>
      <c r="G747" s="102" t="str">
        <f t="shared" ref="G747:G757" si="152">_xlfn.IFS(F747&gt;D747,"Farol Verde",F747&gt;=D747*0.85,"Farol Amarelo",F747&lt;D747*0.85,"Farol Vermelho","Verdadeiro",0)</f>
        <v>Farol Amarelo</v>
      </c>
      <c r="H747" s="116">
        <f t="shared" si="151"/>
        <v>0</v>
      </c>
      <c r="I747" s="100">
        <f t="shared" si="146"/>
        <v>2</v>
      </c>
      <c r="J747" s="119">
        <v>0</v>
      </c>
      <c r="K747" s="118">
        <f>'Monitoramento Acumulado Geral'!P747</f>
        <v>0</v>
      </c>
      <c r="L747" s="100">
        <f>L746+L746</f>
        <v>0</v>
      </c>
      <c r="M747" s="100">
        <f>M746+K747</f>
        <v>0</v>
      </c>
      <c r="N747" s="115"/>
      <c r="O747" s="116" t="e">
        <f t="shared" si="148"/>
        <v>#DIV/0!</v>
      </c>
      <c r="P747" s="115"/>
      <c r="Q747" s="116" t="e">
        <f t="shared" si="149"/>
        <v>#DIV/0!</v>
      </c>
      <c r="R747" s="115"/>
      <c r="S747" s="100" t="e">
        <f t="shared" si="150"/>
        <v>#DIV/0!</v>
      </c>
    </row>
    <row r="748" spans="1:19" ht="15" x14ac:dyDescent="0.2">
      <c r="A748" s="100" t="s">
        <v>313</v>
      </c>
      <c r="B748" s="100" t="s">
        <v>153</v>
      </c>
      <c r="C748" s="115">
        <v>0</v>
      </c>
      <c r="D748" s="100">
        <f>(C748/12)*3</f>
        <v>0</v>
      </c>
      <c r="E748" s="103">
        <f>'Monitoramento Acumulado Geral'!Q748</f>
        <v>0</v>
      </c>
      <c r="F748" s="100">
        <f>SUM(E746:E748)</f>
        <v>0</v>
      </c>
      <c r="G748" s="102" t="str">
        <f t="shared" si="152"/>
        <v>Farol Amarelo</v>
      </c>
      <c r="H748" s="116">
        <f t="shared" si="151"/>
        <v>0</v>
      </c>
      <c r="I748" s="100">
        <f t="shared" si="146"/>
        <v>3</v>
      </c>
      <c r="J748" s="119">
        <v>0</v>
      </c>
      <c r="K748" s="118">
        <f>'Monitoramento Acumulado Geral'!P748</f>
        <v>0</v>
      </c>
      <c r="L748" s="100">
        <f>$L746+L747</f>
        <v>0</v>
      </c>
      <c r="M748" s="100">
        <f t="shared" ref="M748:M757" si="153">M747+K748</f>
        <v>0</v>
      </c>
      <c r="N748" s="115"/>
      <c r="O748" s="116" t="e">
        <f t="shared" si="148"/>
        <v>#DIV/0!</v>
      </c>
      <c r="P748" s="115"/>
      <c r="Q748" s="116" t="e">
        <f t="shared" si="149"/>
        <v>#DIV/0!</v>
      </c>
      <c r="R748" s="115"/>
      <c r="S748" s="100" t="e">
        <f t="shared" si="150"/>
        <v>#DIV/0!</v>
      </c>
    </row>
    <row r="749" spans="1:19" ht="15" x14ac:dyDescent="0.2">
      <c r="A749" s="100" t="s">
        <v>313</v>
      </c>
      <c r="B749" s="100" t="s">
        <v>154</v>
      </c>
      <c r="C749" s="115">
        <v>0</v>
      </c>
      <c r="D749" s="100">
        <f>(C749/12)*4</f>
        <v>0</v>
      </c>
      <c r="E749" s="103">
        <f>'Monitoramento Acumulado Geral'!Q749</f>
        <v>0</v>
      </c>
      <c r="F749" s="100">
        <f>SUM(E746:E749)</f>
        <v>0</v>
      </c>
      <c r="G749" s="102" t="str">
        <f t="shared" si="152"/>
        <v>Farol Amarelo</v>
      </c>
      <c r="H749" s="116">
        <f t="shared" si="151"/>
        <v>0</v>
      </c>
      <c r="I749" s="100">
        <f t="shared" si="146"/>
        <v>4</v>
      </c>
      <c r="J749" s="119">
        <v>0</v>
      </c>
      <c r="K749" s="118">
        <f>'Monitoramento Acumulado Geral'!P749</f>
        <v>0</v>
      </c>
      <c r="L749" s="100">
        <f>$L746+L748</f>
        <v>0</v>
      </c>
      <c r="M749" s="100">
        <f t="shared" si="153"/>
        <v>0</v>
      </c>
      <c r="N749" s="115"/>
      <c r="O749" s="116" t="e">
        <f t="shared" si="148"/>
        <v>#DIV/0!</v>
      </c>
      <c r="P749" s="115"/>
      <c r="Q749" s="116" t="e">
        <f t="shared" si="149"/>
        <v>#DIV/0!</v>
      </c>
      <c r="R749" s="115"/>
      <c r="S749" s="100" t="e">
        <f t="shared" si="150"/>
        <v>#DIV/0!</v>
      </c>
    </row>
    <row r="750" spans="1:19" ht="15" x14ac:dyDescent="0.2">
      <c r="A750" s="100" t="s">
        <v>313</v>
      </c>
      <c r="B750" s="100" t="s">
        <v>155</v>
      </c>
      <c r="C750" s="115">
        <v>0</v>
      </c>
      <c r="D750" s="100">
        <f>(C750/12)*5</f>
        <v>0</v>
      </c>
      <c r="E750" s="103">
        <f>'Monitoramento Acumulado Geral'!Q750</f>
        <v>0</v>
      </c>
      <c r="F750" s="100">
        <f>SUM(E746:E750)</f>
        <v>0</v>
      </c>
      <c r="G750" s="102" t="str">
        <f t="shared" si="152"/>
        <v>Farol Amarelo</v>
      </c>
      <c r="H750" s="116">
        <f t="shared" si="151"/>
        <v>0</v>
      </c>
      <c r="I750" s="100">
        <f t="shared" si="146"/>
        <v>5</v>
      </c>
      <c r="J750" s="119">
        <v>0</v>
      </c>
      <c r="K750" s="118">
        <f>'Monitoramento Acumulado Geral'!P750</f>
        <v>0</v>
      </c>
      <c r="L750" s="100">
        <f>L746+L749</f>
        <v>0</v>
      </c>
      <c r="M750" s="100">
        <f t="shared" si="153"/>
        <v>0</v>
      </c>
      <c r="N750" s="115"/>
      <c r="O750" s="116" t="e">
        <f t="shared" si="148"/>
        <v>#DIV/0!</v>
      </c>
      <c r="P750" s="115"/>
      <c r="Q750" s="116" t="e">
        <f t="shared" si="149"/>
        <v>#DIV/0!</v>
      </c>
      <c r="R750" s="115"/>
      <c r="S750" s="100" t="e">
        <f t="shared" si="150"/>
        <v>#DIV/0!</v>
      </c>
    </row>
    <row r="751" spans="1:19" ht="15" x14ac:dyDescent="0.2">
      <c r="A751" s="100" t="s">
        <v>313</v>
      </c>
      <c r="B751" s="100" t="s">
        <v>156</v>
      </c>
      <c r="C751" s="115">
        <v>0</v>
      </c>
      <c r="D751" s="100">
        <f>(C751/12)*6</f>
        <v>0</v>
      </c>
      <c r="E751" s="103">
        <f>'Monitoramento Acumulado Geral'!Q751</f>
        <v>0</v>
      </c>
      <c r="F751" s="100">
        <f>SUM(E746:E751)</f>
        <v>0</v>
      </c>
      <c r="G751" s="102" t="str">
        <f t="shared" si="152"/>
        <v>Farol Amarelo</v>
      </c>
      <c r="H751" s="116">
        <f t="shared" si="151"/>
        <v>0</v>
      </c>
      <c r="I751" s="100">
        <f t="shared" si="146"/>
        <v>6</v>
      </c>
      <c r="J751" s="119">
        <v>0</v>
      </c>
      <c r="K751" s="118">
        <f>'Monitoramento Acumulado Geral'!P751</f>
        <v>0</v>
      </c>
      <c r="L751" s="100">
        <f>$L746+L750</f>
        <v>0</v>
      </c>
      <c r="M751" s="100">
        <f t="shared" si="153"/>
        <v>0</v>
      </c>
      <c r="N751" s="115"/>
      <c r="O751" s="116" t="e">
        <f t="shared" si="148"/>
        <v>#DIV/0!</v>
      </c>
      <c r="P751" s="115"/>
      <c r="Q751" s="116" t="e">
        <f t="shared" si="149"/>
        <v>#DIV/0!</v>
      </c>
      <c r="R751" s="115"/>
      <c r="S751" s="100" t="e">
        <f t="shared" si="150"/>
        <v>#DIV/0!</v>
      </c>
    </row>
    <row r="752" spans="1:19" ht="15" x14ac:dyDescent="0.2">
      <c r="A752" s="100" t="s">
        <v>313</v>
      </c>
      <c r="B752" s="100" t="s">
        <v>157</v>
      </c>
      <c r="C752" s="115">
        <v>0</v>
      </c>
      <c r="D752" s="100">
        <f>(C752/12)*7</f>
        <v>0</v>
      </c>
      <c r="E752" s="103">
        <f>'Monitoramento Acumulado Geral'!Q752</f>
        <v>0</v>
      </c>
      <c r="F752" s="100">
        <f>SUM(E746:E752)</f>
        <v>0</v>
      </c>
      <c r="G752" s="102" t="str">
        <f t="shared" si="152"/>
        <v>Farol Amarelo</v>
      </c>
      <c r="H752" s="116">
        <f t="shared" si="151"/>
        <v>0</v>
      </c>
      <c r="I752" s="100">
        <f t="shared" si="146"/>
        <v>7</v>
      </c>
      <c r="J752" s="119">
        <v>0</v>
      </c>
      <c r="K752" s="118">
        <f>'Monitoramento Acumulado Geral'!P752</f>
        <v>0</v>
      </c>
      <c r="L752" s="100">
        <f>$L746+L751</f>
        <v>0</v>
      </c>
      <c r="M752" s="100">
        <f t="shared" si="153"/>
        <v>0</v>
      </c>
      <c r="N752" s="115"/>
      <c r="O752" s="116" t="e">
        <f t="shared" si="148"/>
        <v>#DIV/0!</v>
      </c>
      <c r="P752" s="115"/>
      <c r="Q752" s="116" t="e">
        <f t="shared" si="149"/>
        <v>#DIV/0!</v>
      </c>
      <c r="R752" s="115"/>
      <c r="S752" s="100" t="e">
        <f t="shared" si="150"/>
        <v>#DIV/0!</v>
      </c>
    </row>
    <row r="753" spans="1:19" ht="15" x14ac:dyDescent="0.2">
      <c r="A753" s="100" t="s">
        <v>313</v>
      </c>
      <c r="B753" s="100" t="s">
        <v>158</v>
      </c>
      <c r="C753" s="115">
        <v>0</v>
      </c>
      <c r="D753" s="100">
        <f>(C753/12)*8</f>
        <v>0</v>
      </c>
      <c r="E753" s="103">
        <f>'Monitoramento Acumulado Geral'!Q753</f>
        <v>0</v>
      </c>
      <c r="F753" s="100">
        <f>SUM(E746:E753)</f>
        <v>0</v>
      </c>
      <c r="G753" s="102" t="str">
        <f t="shared" si="152"/>
        <v>Farol Amarelo</v>
      </c>
      <c r="H753" s="116">
        <f t="shared" si="151"/>
        <v>0</v>
      </c>
      <c r="I753" s="100">
        <f t="shared" si="146"/>
        <v>8</v>
      </c>
      <c r="J753" s="119">
        <v>0</v>
      </c>
      <c r="K753" s="118">
        <f>'Monitoramento Acumulado Geral'!P753</f>
        <v>0</v>
      </c>
      <c r="L753" s="100">
        <f>L746+L752</f>
        <v>0</v>
      </c>
      <c r="M753" s="100">
        <f t="shared" si="153"/>
        <v>0</v>
      </c>
      <c r="N753" s="115"/>
      <c r="O753" s="116" t="e">
        <f t="shared" si="148"/>
        <v>#DIV/0!</v>
      </c>
      <c r="P753" s="115"/>
      <c r="Q753" s="116" t="e">
        <f t="shared" si="149"/>
        <v>#DIV/0!</v>
      </c>
      <c r="R753" s="115"/>
      <c r="S753" s="100" t="e">
        <f t="shared" si="150"/>
        <v>#DIV/0!</v>
      </c>
    </row>
    <row r="754" spans="1:19" ht="15" x14ac:dyDescent="0.2">
      <c r="A754" s="100" t="s">
        <v>313</v>
      </c>
      <c r="B754" s="100" t="s">
        <v>159</v>
      </c>
      <c r="C754" s="115">
        <v>0</v>
      </c>
      <c r="D754" s="100">
        <f>(C754/12)*9</f>
        <v>0</v>
      </c>
      <c r="E754" s="103">
        <f>'Monitoramento Acumulado Geral'!Q754</f>
        <v>0</v>
      </c>
      <c r="F754" s="100">
        <f>SUM(E746:E754)</f>
        <v>0</v>
      </c>
      <c r="G754" s="102" t="str">
        <f t="shared" si="152"/>
        <v>Farol Amarelo</v>
      </c>
      <c r="H754" s="116">
        <f t="shared" si="151"/>
        <v>0</v>
      </c>
      <c r="I754" s="100">
        <f t="shared" si="146"/>
        <v>9</v>
      </c>
      <c r="J754" s="119">
        <v>0</v>
      </c>
      <c r="K754" s="118">
        <f>'Monitoramento Acumulado Geral'!P754</f>
        <v>0</v>
      </c>
      <c r="L754" s="100">
        <f>$L746+L753</f>
        <v>0</v>
      </c>
      <c r="M754" s="100">
        <f t="shared" si="153"/>
        <v>0</v>
      </c>
      <c r="N754" s="115"/>
      <c r="O754" s="116" t="e">
        <f t="shared" si="148"/>
        <v>#DIV/0!</v>
      </c>
      <c r="P754" s="115"/>
      <c r="Q754" s="116" t="e">
        <f t="shared" si="149"/>
        <v>#DIV/0!</v>
      </c>
      <c r="R754" s="115"/>
      <c r="S754" s="100" t="e">
        <f t="shared" si="150"/>
        <v>#DIV/0!</v>
      </c>
    </row>
    <row r="755" spans="1:19" ht="15" x14ac:dyDescent="0.2">
      <c r="A755" s="100" t="s">
        <v>313</v>
      </c>
      <c r="B755" s="100" t="s">
        <v>160</v>
      </c>
      <c r="C755" s="115">
        <v>0</v>
      </c>
      <c r="D755" s="100">
        <f>(C755/12)*10</f>
        <v>0</v>
      </c>
      <c r="E755" s="103">
        <f>'Monitoramento Acumulado Geral'!Q755</f>
        <v>0</v>
      </c>
      <c r="F755" s="100">
        <f>SUM(E746:E755)</f>
        <v>0</v>
      </c>
      <c r="G755" s="102" t="str">
        <f t="shared" si="152"/>
        <v>Farol Amarelo</v>
      </c>
      <c r="H755" s="116">
        <f t="shared" si="151"/>
        <v>0</v>
      </c>
      <c r="I755" s="100">
        <f t="shared" si="146"/>
        <v>10</v>
      </c>
      <c r="J755" s="119">
        <v>0</v>
      </c>
      <c r="K755" s="118">
        <f>'Monitoramento Acumulado Geral'!P755</f>
        <v>0</v>
      </c>
      <c r="L755" s="100">
        <f>$L746+L754</f>
        <v>0</v>
      </c>
      <c r="M755" s="100">
        <f t="shared" si="153"/>
        <v>0</v>
      </c>
      <c r="N755" s="115"/>
      <c r="O755" s="116" t="e">
        <f t="shared" si="148"/>
        <v>#DIV/0!</v>
      </c>
      <c r="P755" s="115"/>
      <c r="Q755" s="116" t="e">
        <f t="shared" si="149"/>
        <v>#DIV/0!</v>
      </c>
      <c r="R755" s="115"/>
      <c r="S755" s="100" t="e">
        <f t="shared" si="150"/>
        <v>#DIV/0!</v>
      </c>
    </row>
    <row r="756" spans="1:19" ht="15" x14ac:dyDescent="0.2">
      <c r="A756" s="100" t="s">
        <v>313</v>
      </c>
      <c r="B756" s="100" t="s">
        <v>161</v>
      </c>
      <c r="C756" s="115">
        <v>0</v>
      </c>
      <c r="D756" s="100">
        <f>(C756/12)*11</f>
        <v>0</v>
      </c>
      <c r="E756" s="103">
        <f>'Monitoramento Acumulado Geral'!Q756</f>
        <v>0</v>
      </c>
      <c r="F756" s="100">
        <f>SUM(E746:E756)</f>
        <v>0</v>
      </c>
      <c r="G756" s="102" t="str">
        <f t="shared" si="152"/>
        <v>Farol Amarelo</v>
      </c>
      <c r="H756" s="116">
        <f t="shared" si="151"/>
        <v>0</v>
      </c>
      <c r="I756" s="100">
        <f t="shared" si="146"/>
        <v>11</v>
      </c>
      <c r="J756" s="119">
        <v>0</v>
      </c>
      <c r="K756" s="118">
        <f>'Monitoramento Acumulado Geral'!P756</f>
        <v>0</v>
      </c>
      <c r="L756" s="100">
        <f>L746+L755</f>
        <v>0</v>
      </c>
      <c r="M756" s="100">
        <f t="shared" si="153"/>
        <v>0</v>
      </c>
      <c r="N756" s="115"/>
      <c r="O756" s="116" t="e">
        <f t="shared" si="148"/>
        <v>#DIV/0!</v>
      </c>
      <c r="P756" s="115"/>
      <c r="Q756" s="116" t="e">
        <f t="shared" si="149"/>
        <v>#DIV/0!</v>
      </c>
      <c r="R756" s="115"/>
      <c r="S756" s="100" t="e">
        <f t="shared" si="150"/>
        <v>#DIV/0!</v>
      </c>
    </row>
    <row r="757" spans="1:19" ht="15" x14ac:dyDescent="0.2">
      <c r="A757" s="100" t="s">
        <v>313</v>
      </c>
      <c r="B757" s="100" t="s">
        <v>162</v>
      </c>
      <c r="C757" s="115">
        <v>0</v>
      </c>
      <c r="D757" s="100">
        <f>(C757/12)*12</f>
        <v>0</v>
      </c>
      <c r="E757" s="103">
        <f>'Monitoramento Acumulado Geral'!Q757</f>
        <v>0</v>
      </c>
      <c r="F757" s="100">
        <f>SUM(E746:E757)</f>
        <v>0</v>
      </c>
      <c r="G757" s="102" t="str">
        <f t="shared" si="152"/>
        <v>Farol Amarelo</v>
      </c>
      <c r="H757" s="116">
        <f t="shared" si="151"/>
        <v>0</v>
      </c>
      <c r="I757" s="100">
        <f t="shared" si="146"/>
        <v>12</v>
      </c>
      <c r="J757" s="119">
        <v>0</v>
      </c>
      <c r="K757" s="118">
        <f>'Monitoramento Acumulado Geral'!P757</f>
        <v>0</v>
      </c>
      <c r="L757" s="100">
        <f>$L746+L756</f>
        <v>0</v>
      </c>
      <c r="M757" s="100">
        <f t="shared" si="153"/>
        <v>0</v>
      </c>
      <c r="N757" s="115"/>
      <c r="O757" s="116" t="e">
        <f t="shared" si="148"/>
        <v>#DIV/0!</v>
      </c>
      <c r="P757" s="115"/>
      <c r="Q757" s="116" t="e">
        <f t="shared" si="149"/>
        <v>#DIV/0!</v>
      </c>
      <c r="R757" s="115"/>
      <c r="S757" s="100" t="e">
        <f t="shared" si="150"/>
        <v>#DIV/0!</v>
      </c>
    </row>
  </sheetData>
  <sheetProtection formatCells="0" formatColumns="0" formatRows="0" insertColumns="0" insertRows="0" selectLockedCells="1"/>
  <phoneticPr fontId="6" type="noConversion"/>
  <pageMargins left="0.511811024" right="0.511811024" top="0.78740157499999996" bottom="0.78740157499999996" header="0.31496062000000002" footer="0.31496062000000002"/>
  <pageSetup paperSize="9"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66"/>
  <sheetViews>
    <sheetView showGridLines="0" workbookViewId="0">
      <pane xSplit="1" ySplit="1" topLeftCell="AF2" activePane="bottomRight" state="frozen"/>
      <selection pane="topRight" activeCell="B1" sqref="B1"/>
      <selection pane="bottomLeft" activeCell="A2" sqref="A2"/>
      <selection pane="bottomRight" activeCell="AP2" sqref="AP2"/>
    </sheetView>
  </sheetViews>
  <sheetFormatPr defaultRowHeight="14.25" x14ac:dyDescent="0.2"/>
  <cols>
    <col min="1" max="1" width="31.5" customWidth="1"/>
    <col min="2" max="2" width="7.625" bestFit="1" customWidth="1"/>
    <col min="3" max="3" width="20.75" bestFit="1" customWidth="1"/>
    <col min="4" max="4" width="19.625" bestFit="1" customWidth="1"/>
    <col min="5" max="5" width="65.625" bestFit="1" customWidth="1"/>
    <col min="6" max="6" width="150.625" customWidth="1"/>
    <col min="7" max="7" width="9.125" bestFit="1" customWidth="1"/>
    <col min="8" max="8" width="12.75" bestFit="1" customWidth="1"/>
    <col min="9" max="9" width="17.75" bestFit="1" customWidth="1"/>
    <col min="10" max="10" width="34.25" bestFit="1" customWidth="1"/>
    <col min="11" max="11" width="8.625" bestFit="1" customWidth="1"/>
    <col min="12" max="12" width="13.625" bestFit="1" customWidth="1"/>
    <col min="13" max="13" width="30" bestFit="1" customWidth="1"/>
    <col min="14" max="14" width="33.625" bestFit="1" customWidth="1"/>
    <col min="15" max="15" width="35.75" bestFit="1" customWidth="1"/>
    <col min="16" max="16" width="34.625" bestFit="1" customWidth="1"/>
    <col min="17" max="17" width="32.75" bestFit="1" customWidth="1"/>
    <col min="18" max="18" width="14.75" customWidth="1"/>
    <col min="19" max="19" width="13.625" bestFit="1" customWidth="1"/>
    <col min="20" max="20" width="11.25" bestFit="1" customWidth="1"/>
    <col min="21" max="21" width="13" bestFit="1" customWidth="1"/>
    <col min="22" max="22" width="19.25" style="2" bestFit="1" customWidth="1"/>
    <col min="23" max="23" width="21.75" bestFit="1" customWidth="1"/>
    <col min="24" max="24" width="20.75" bestFit="1" customWidth="1"/>
    <col min="25" max="25" width="21" bestFit="1" customWidth="1"/>
    <col min="26" max="26" width="19.25" bestFit="1" customWidth="1"/>
    <col min="27" max="27" width="26" bestFit="1" customWidth="1"/>
    <col min="28" max="28" width="33.5" bestFit="1" customWidth="1"/>
    <col min="29" max="29" width="45.125" bestFit="1" customWidth="1"/>
    <col min="30" max="30" width="25.625" bestFit="1" customWidth="1"/>
    <col min="31" max="31" width="66.75" bestFit="1" customWidth="1"/>
  </cols>
  <sheetData>
    <row r="1" spans="1:31" ht="15" x14ac:dyDescent="0.25">
      <c r="A1" s="1" t="s">
        <v>0</v>
      </c>
      <c r="B1" s="1" t="s">
        <v>176</v>
      </c>
      <c r="C1" s="1" t="s">
        <v>177</v>
      </c>
      <c r="D1" s="1" t="s">
        <v>23</v>
      </c>
      <c r="E1" s="1" t="s">
        <v>24</v>
      </c>
      <c r="F1" s="1" t="s">
        <v>178</v>
      </c>
      <c r="G1" s="1" t="s">
        <v>25</v>
      </c>
      <c r="H1" s="1" t="s">
        <v>4</v>
      </c>
      <c r="I1" s="1" t="s">
        <v>179</v>
      </c>
      <c r="J1" s="1" t="s">
        <v>22</v>
      </c>
      <c r="K1" s="1" t="s">
        <v>5</v>
      </c>
      <c r="L1" s="1" t="s">
        <v>180</v>
      </c>
      <c r="M1" s="1" t="s">
        <v>21</v>
      </c>
      <c r="N1" s="1" t="s">
        <v>277</v>
      </c>
      <c r="O1" s="1" t="s">
        <v>278</v>
      </c>
      <c r="P1" s="1" t="s">
        <v>181</v>
      </c>
      <c r="Q1" s="1" t="s">
        <v>182</v>
      </c>
      <c r="R1" s="1" t="s">
        <v>273</v>
      </c>
      <c r="S1" s="1" t="s">
        <v>274</v>
      </c>
      <c r="T1" s="1" t="s">
        <v>183</v>
      </c>
      <c r="U1" s="1" t="s">
        <v>184</v>
      </c>
      <c r="V1" s="1" t="s">
        <v>275</v>
      </c>
      <c r="W1" s="1" t="s">
        <v>276</v>
      </c>
      <c r="X1" s="1" t="s">
        <v>185</v>
      </c>
      <c r="Y1" s="1" t="s">
        <v>9</v>
      </c>
      <c r="Z1" s="1" t="s">
        <v>10</v>
      </c>
      <c r="AA1" s="1" t="s">
        <v>190</v>
      </c>
      <c r="AB1" s="1" t="s">
        <v>191</v>
      </c>
      <c r="AC1" s="1" t="s">
        <v>11</v>
      </c>
      <c r="AD1" s="1" t="s">
        <v>192</v>
      </c>
      <c r="AE1" s="1" t="s">
        <v>272</v>
      </c>
    </row>
    <row r="2" spans="1:31" x14ac:dyDescent="0.2">
      <c r="A2" t="s">
        <v>316</v>
      </c>
      <c r="B2" s="70">
        <v>1</v>
      </c>
      <c r="C2" t="s">
        <v>193</v>
      </c>
      <c r="D2" t="s">
        <v>38</v>
      </c>
      <c r="E2" t="s">
        <v>87</v>
      </c>
      <c r="F2" t="s">
        <v>51</v>
      </c>
      <c r="G2" s="61">
        <v>16</v>
      </c>
      <c r="H2" s="61">
        <v>240</v>
      </c>
      <c r="I2" s="70">
        <v>0</v>
      </c>
      <c r="J2" s="72"/>
      <c r="K2" s="61">
        <v>1</v>
      </c>
      <c r="L2" s="61">
        <v>0</v>
      </c>
      <c r="N2" s="70">
        <v>0</v>
      </c>
      <c r="O2" s="61">
        <v>25</v>
      </c>
      <c r="P2" s="73">
        <v>0</v>
      </c>
      <c r="R2" s="79">
        <v>0</v>
      </c>
      <c r="S2" s="70">
        <v>0</v>
      </c>
      <c r="T2" s="70">
        <v>0</v>
      </c>
      <c r="V2" s="74">
        <v>0</v>
      </c>
      <c r="W2" s="2">
        <f t="shared" ref="W2" si="0">IF(K2=0,0,H2/K2)</f>
        <v>240</v>
      </c>
      <c r="X2">
        <f t="shared" ref="X2" si="1">IF(V2=0,0,(W2/V2)-1)</f>
        <v>0</v>
      </c>
      <c r="Y2" s="70">
        <v>0</v>
      </c>
      <c r="Z2" s="70">
        <v>0</v>
      </c>
      <c r="AA2" s="70">
        <v>0</v>
      </c>
      <c r="AB2" s="61">
        <v>0</v>
      </c>
      <c r="AC2" s="70">
        <v>0</v>
      </c>
      <c r="AD2" s="70">
        <v>0</v>
      </c>
      <c r="AE2" s="47"/>
    </row>
    <row r="3" spans="1:31" x14ac:dyDescent="0.2">
      <c r="A3" t="s">
        <v>83</v>
      </c>
      <c r="B3" s="70">
        <v>2</v>
      </c>
      <c r="C3" t="s">
        <v>173</v>
      </c>
      <c r="D3" t="s">
        <v>84</v>
      </c>
      <c r="E3" t="s">
        <v>32</v>
      </c>
      <c r="F3" t="s">
        <v>30</v>
      </c>
      <c r="G3" s="61">
        <v>10</v>
      </c>
      <c r="H3" s="61">
        <v>11517</v>
      </c>
      <c r="I3" s="70">
        <v>16700</v>
      </c>
      <c r="J3" s="72">
        <f t="shared" ref="J3:J12" si="2">IF(I3=0,0,H3/I3)</f>
        <v>0.68964071856287423</v>
      </c>
      <c r="K3" s="61">
        <v>12</v>
      </c>
      <c r="L3" s="61">
        <v>14</v>
      </c>
      <c r="M3">
        <f t="shared" ref="M3:M12" si="3">IF(L3=0,0,K3/L3)</f>
        <v>0.8571428571428571</v>
      </c>
      <c r="N3" s="70">
        <v>100</v>
      </c>
      <c r="O3" s="61">
        <v>100</v>
      </c>
      <c r="P3" s="73">
        <v>75</v>
      </c>
      <c r="Q3">
        <f t="shared" ref="Q3:Q12" si="4">IF(N3=0,0,(O3/N3)-1)</f>
        <v>0</v>
      </c>
      <c r="R3" s="79">
        <v>100</v>
      </c>
      <c r="S3" s="70">
        <v>100</v>
      </c>
      <c r="T3" s="70">
        <v>60</v>
      </c>
      <c r="U3">
        <f t="shared" ref="U3:U12" si="5">IF(S3=0,0,(T3/S3)-1)</f>
        <v>-0.4</v>
      </c>
      <c r="V3" s="74">
        <v>906</v>
      </c>
      <c r="W3" s="2">
        <f t="shared" ref="W3:W11" si="6">IF(K3=0,0,H3/K3)</f>
        <v>959.75</v>
      </c>
      <c r="X3">
        <f t="shared" ref="X3:X11" si="7">IF(V3=0,0,(W3/V3)-1)</f>
        <v>5.9326710816776984E-2</v>
      </c>
      <c r="Y3" s="70">
        <v>6</v>
      </c>
      <c r="Z3" s="70">
        <v>13</v>
      </c>
      <c r="AA3" s="70">
        <v>0</v>
      </c>
      <c r="AB3" s="61">
        <v>1</v>
      </c>
      <c r="AC3" s="70">
        <v>0</v>
      </c>
      <c r="AD3" s="70">
        <v>0</v>
      </c>
      <c r="AE3" s="47" t="s">
        <v>210</v>
      </c>
    </row>
    <row r="4" spans="1:31" x14ac:dyDescent="0.2">
      <c r="A4" t="s">
        <v>94</v>
      </c>
      <c r="B4" s="70">
        <v>1</v>
      </c>
      <c r="C4" t="s">
        <v>194</v>
      </c>
      <c r="D4" t="s">
        <v>38</v>
      </c>
      <c r="E4" t="s">
        <v>39</v>
      </c>
      <c r="F4" t="s">
        <v>29</v>
      </c>
      <c r="G4" s="61">
        <v>7</v>
      </c>
      <c r="H4" s="61">
        <v>4267</v>
      </c>
      <c r="I4" s="70">
        <v>2000</v>
      </c>
      <c r="J4" s="72">
        <f t="shared" si="2"/>
        <v>2.1335000000000002</v>
      </c>
      <c r="K4" s="61">
        <v>7</v>
      </c>
      <c r="L4" s="61">
        <v>7</v>
      </c>
      <c r="M4">
        <f t="shared" si="3"/>
        <v>1</v>
      </c>
      <c r="N4" s="70">
        <v>45</v>
      </c>
      <c r="O4" s="61">
        <v>57</v>
      </c>
      <c r="P4" s="73">
        <v>55</v>
      </c>
      <c r="Q4">
        <f t="shared" si="4"/>
        <v>0.26666666666666661</v>
      </c>
      <c r="R4" s="79">
        <v>0</v>
      </c>
      <c r="S4" s="70">
        <v>100</v>
      </c>
      <c r="T4" s="70">
        <v>30</v>
      </c>
      <c r="U4">
        <f t="shared" si="5"/>
        <v>-0.7</v>
      </c>
      <c r="V4" s="74">
        <v>497</v>
      </c>
      <c r="W4" s="2">
        <f t="shared" si="6"/>
        <v>609.57142857142856</v>
      </c>
      <c r="X4">
        <f t="shared" si="7"/>
        <v>0.22650186835297492</v>
      </c>
      <c r="Y4" s="70">
        <v>4</v>
      </c>
      <c r="Z4" s="70">
        <v>5</v>
      </c>
      <c r="AA4" s="70">
        <v>1</v>
      </c>
      <c r="AB4" s="61">
        <v>1</v>
      </c>
      <c r="AC4" s="70">
        <v>1</v>
      </c>
      <c r="AD4" s="70">
        <v>2</v>
      </c>
      <c r="AE4" s="47" t="s">
        <v>253</v>
      </c>
    </row>
    <row r="5" spans="1:31" x14ac:dyDescent="0.2">
      <c r="A5" t="s">
        <v>55</v>
      </c>
      <c r="B5" s="70">
        <v>3</v>
      </c>
      <c r="C5" t="s">
        <v>173</v>
      </c>
      <c r="D5" t="s">
        <v>43</v>
      </c>
      <c r="E5" t="s">
        <v>44</v>
      </c>
      <c r="F5" t="s">
        <v>35</v>
      </c>
      <c r="G5" s="61">
        <v>13</v>
      </c>
      <c r="H5" s="61">
        <v>20758.080000000002</v>
      </c>
      <c r="I5" s="70">
        <v>19817.25</v>
      </c>
      <c r="J5" s="72">
        <f t="shared" si="2"/>
        <v>1.0474753056049655</v>
      </c>
      <c r="K5" s="61">
        <v>11</v>
      </c>
      <c r="L5" s="61">
        <v>9</v>
      </c>
      <c r="M5">
        <f t="shared" si="3"/>
        <v>1.2222222222222223</v>
      </c>
      <c r="N5" s="70">
        <v>83</v>
      </c>
      <c r="O5" s="61">
        <v>57</v>
      </c>
      <c r="P5" s="73">
        <v>75</v>
      </c>
      <c r="Q5">
        <f t="shared" si="4"/>
        <v>-0.31325301204819278</v>
      </c>
      <c r="R5" s="79">
        <v>100</v>
      </c>
      <c r="S5" s="70">
        <v>100</v>
      </c>
      <c r="T5" s="70">
        <v>50</v>
      </c>
      <c r="U5">
        <f t="shared" si="5"/>
        <v>-0.5</v>
      </c>
      <c r="V5" s="74">
        <v>1468</v>
      </c>
      <c r="W5" s="2">
        <f t="shared" si="6"/>
        <v>1887.098181818182</v>
      </c>
      <c r="X5">
        <f t="shared" si="7"/>
        <v>0.28548922467178617</v>
      </c>
      <c r="Y5" s="70">
        <v>12</v>
      </c>
      <c r="Z5" s="70">
        <v>14</v>
      </c>
      <c r="AA5" s="70">
        <v>0</v>
      </c>
      <c r="AB5" s="61">
        <v>1</v>
      </c>
      <c r="AC5" s="70">
        <v>0</v>
      </c>
      <c r="AD5" s="70">
        <v>0</v>
      </c>
    </row>
    <row r="6" spans="1:31" x14ac:dyDescent="0.2">
      <c r="A6" t="s">
        <v>142</v>
      </c>
      <c r="B6" s="70">
        <v>3</v>
      </c>
      <c r="C6" t="s">
        <v>173</v>
      </c>
      <c r="D6" t="s">
        <v>43</v>
      </c>
      <c r="E6" t="s">
        <v>44</v>
      </c>
      <c r="F6" t="s">
        <v>30</v>
      </c>
      <c r="G6" s="61">
        <v>12</v>
      </c>
      <c r="H6" s="61">
        <v>52051.3</v>
      </c>
      <c r="I6" s="70">
        <v>50000</v>
      </c>
      <c r="J6" s="72">
        <f t="shared" si="2"/>
        <v>1.041026</v>
      </c>
      <c r="K6" s="61">
        <v>23</v>
      </c>
      <c r="L6" s="61">
        <v>15</v>
      </c>
      <c r="M6">
        <f t="shared" si="3"/>
        <v>1.5333333333333334</v>
      </c>
      <c r="N6" s="70">
        <v>96</v>
      </c>
      <c r="O6" s="61">
        <v>86</v>
      </c>
      <c r="P6" s="73">
        <v>75</v>
      </c>
      <c r="Q6">
        <f t="shared" si="4"/>
        <v>-0.10416666666666663</v>
      </c>
      <c r="R6" s="79">
        <v>67</v>
      </c>
      <c r="S6" s="70">
        <v>86</v>
      </c>
      <c r="T6" s="70">
        <v>50</v>
      </c>
      <c r="U6">
        <f t="shared" si="5"/>
        <v>-0.41860465116279066</v>
      </c>
      <c r="V6" s="74">
        <v>2389</v>
      </c>
      <c r="W6" s="2">
        <f t="shared" si="6"/>
        <v>2263.1</v>
      </c>
      <c r="X6">
        <f t="shared" si="7"/>
        <v>-5.2699874424445459E-2</v>
      </c>
      <c r="Y6" s="70">
        <v>19</v>
      </c>
      <c r="Z6" s="70">
        <v>19</v>
      </c>
      <c r="AA6" s="70">
        <v>1</v>
      </c>
      <c r="AB6" s="61">
        <v>1</v>
      </c>
      <c r="AC6" s="70">
        <v>1</v>
      </c>
      <c r="AD6" s="70">
        <v>0</v>
      </c>
      <c r="AE6" s="47" t="s">
        <v>211</v>
      </c>
    </row>
    <row r="7" spans="1:31" x14ac:dyDescent="0.2">
      <c r="A7" t="s">
        <v>65</v>
      </c>
      <c r="B7" s="70">
        <v>2</v>
      </c>
      <c r="C7" t="s">
        <v>175</v>
      </c>
      <c r="D7" t="s">
        <v>84</v>
      </c>
      <c r="E7" t="s">
        <v>32</v>
      </c>
      <c r="F7" t="s">
        <v>34</v>
      </c>
      <c r="G7" s="61">
        <v>22</v>
      </c>
      <c r="H7" s="61">
        <v>17612.7</v>
      </c>
      <c r="I7" s="70">
        <v>12000</v>
      </c>
      <c r="J7" s="72">
        <f t="shared" si="2"/>
        <v>1.4677250000000002</v>
      </c>
      <c r="K7" s="61">
        <v>15</v>
      </c>
      <c r="L7" s="61">
        <v>10</v>
      </c>
      <c r="M7">
        <f t="shared" si="3"/>
        <v>1.5</v>
      </c>
      <c r="N7" s="70">
        <v>0</v>
      </c>
      <c r="O7" s="61">
        <v>90</v>
      </c>
      <c r="P7" s="73">
        <v>75</v>
      </c>
      <c r="Q7">
        <f t="shared" si="4"/>
        <v>0</v>
      </c>
      <c r="R7" s="79">
        <v>100</v>
      </c>
      <c r="S7" s="70">
        <v>100</v>
      </c>
      <c r="T7" s="70">
        <v>50</v>
      </c>
      <c r="U7">
        <f t="shared" si="5"/>
        <v>-0.5</v>
      </c>
      <c r="V7" s="74">
        <v>1310</v>
      </c>
      <c r="W7" s="2">
        <f t="shared" si="6"/>
        <v>1174.18</v>
      </c>
      <c r="X7">
        <f t="shared" si="7"/>
        <v>-0.10367938931297704</v>
      </c>
      <c r="Y7" s="70">
        <v>6</v>
      </c>
      <c r="Z7" s="70">
        <v>9</v>
      </c>
      <c r="AA7" s="70">
        <v>4</v>
      </c>
      <c r="AB7" s="61">
        <v>1</v>
      </c>
      <c r="AC7" s="70">
        <v>7</v>
      </c>
      <c r="AD7" s="70">
        <v>8</v>
      </c>
      <c r="AE7" s="47" t="s">
        <v>212</v>
      </c>
    </row>
    <row r="8" spans="1:31" x14ac:dyDescent="0.2">
      <c r="A8" t="s">
        <v>41</v>
      </c>
      <c r="B8" s="70">
        <v>4</v>
      </c>
      <c r="C8" t="s">
        <v>194</v>
      </c>
      <c r="D8" t="s">
        <v>43</v>
      </c>
      <c r="E8" t="s">
        <v>44</v>
      </c>
      <c r="F8" t="s">
        <v>112</v>
      </c>
      <c r="G8" s="61">
        <v>15</v>
      </c>
      <c r="H8" s="61">
        <v>54207.4</v>
      </c>
      <c r="I8" s="70">
        <v>65000</v>
      </c>
      <c r="J8" s="72">
        <f t="shared" si="2"/>
        <v>0.83396000000000003</v>
      </c>
      <c r="K8" s="61">
        <v>905</v>
      </c>
      <c r="L8" s="61">
        <v>710</v>
      </c>
      <c r="M8">
        <f t="shared" si="3"/>
        <v>1.2746478873239437</v>
      </c>
      <c r="N8" s="70">
        <v>100</v>
      </c>
      <c r="O8" s="61">
        <v>82</v>
      </c>
      <c r="P8" s="73">
        <v>75</v>
      </c>
      <c r="Q8">
        <f t="shared" si="4"/>
        <v>-0.18000000000000005</v>
      </c>
      <c r="R8" s="79">
        <v>99.6</v>
      </c>
      <c r="S8" s="70">
        <v>90</v>
      </c>
      <c r="T8" s="70">
        <v>75</v>
      </c>
      <c r="U8">
        <f t="shared" si="5"/>
        <v>-0.16666666666666663</v>
      </c>
      <c r="V8" s="74">
        <v>57</v>
      </c>
      <c r="W8" s="2">
        <f t="shared" si="6"/>
        <v>59.897679558011049</v>
      </c>
      <c r="X8">
        <f t="shared" si="7"/>
        <v>5.0836483473878147E-2</v>
      </c>
      <c r="Y8" s="70">
        <v>58</v>
      </c>
      <c r="Z8" s="70">
        <v>886</v>
      </c>
      <c r="AA8" s="70">
        <v>4</v>
      </c>
      <c r="AB8" s="61">
        <v>2</v>
      </c>
      <c r="AC8" s="70">
        <v>1</v>
      </c>
      <c r="AD8" s="70">
        <v>4</v>
      </c>
      <c r="AE8" s="47" t="s">
        <v>213</v>
      </c>
    </row>
    <row r="9" spans="1:31" x14ac:dyDescent="0.2">
      <c r="A9" t="s">
        <v>62</v>
      </c>
      <c r="B9" s="70">
        <v>1</v>
      </c>
      <c r="C9" t="s">
        <v>173</v>
      </c>
      <c r="D9" t="s">
        <v>84</v>
      </c>
      <c r="E9" t="s">
        <v>32</v>
      </c>
      <c r="F9" t="s">
        <v>63</v>
      </c>
      <c r="G9" s="61">
        <v>19</v>
      </c>
      <c r="H9" s="61">
        <v>600</v>
      </c>
      <c r="I9" s="70">
        <v>9000</v>
      </c>
      <c r="J9" s="72">
        <f t="shared" si="2"/>
        <v>6.6666666666666666E-2</v>
      </c>
      <c r="K9" s="61">
        <v>1</v>
      </c>
      <c r="L9" s="61">
        <v>5</v>
      </c>
      <c r="M9">
        <f t="shared" si="3"/>
        <v>0.2</v>
      </c>
      <c r="N9" s="70">
        <v>38</v>
      </c>
      <c r="O9" s="61">
        <v>15</v>
      </c>
      <c r="P9" s="73">
        <v>75</v>
      </c>
      <c r="Q9">
        <f t="shared" si="4"/>
        <v>-0.60526315789473684</v>
      </c>
      <c r="R9" s="79">
        <v>0</v>
      </c>
      <c r="S9" s="70">
        <v>0</v>
      </c>
      <c r="T9" s="70">
        <v>51</v>
      </c>
      <c r="U9">
        <f t="shared" si="5"/>
        <v>0</v>
      </c>
      <c r="V9" s="74">
        <v>2895</v>
      </c>
      <c r="W9" s="2">
        <f t="shared" si="6"/>
        <v>600</v>
      </c>
      <c r="X9">
        <f t="shared" si="7"/>
        <v>-0.79274611398963735</v>
      </c>
      <c r="Y9" s="70">
        <v>2</v>
      </c>
      <c r="Z9" s="70">
        <v>4</v>
      </c>
      <c r="AA9" s="70">
        <v>0</v>
      </c>
      <c r="AB9" s="61">
        <v>1</v>
      </c>
      <c r="AC9" s="70">
        <v>0</v>
      </c>
      <c r="AD9" s="70">
        <v>0</v>
      </c>
      <c r="AE9" s="47" t="s">
        <v>294</v>
      </c>
    </row>
    <row r="10" spans="1:31" x14ac:dyDescent="0.2">
      <c r="A10" t="s">
        <v>114</v>
      </c>
      <c r="B10" s="70">
        <v>4</v>
      </c>
      <c r="C10" t="s">
        <v>173</v>
      </c>
      <c r="D10" t="s">
        <v>38</v>
      </c>
      <c r="E10" t="s">
        <v>39</v>
      </c>
      <c r="F10" t="s">
        <v>120</v>
      </c>
      <c r="G10" s="61">
        <v>24</v>
      </c>
      <c r="H10" s="61">
        <v>118654.23</v>
      </c>
      <c r="I10" s="70">
        <v>100000</v>
      </c>
      <c r="J10" s="72">
        <f t="shared" si="2"/>
        <v>1.1865422999999999</v>
      </c>
      <c r="K10" s="61">
        <v>24</v>
      </c>
      <c r="L10" s="61">
        <v>15</v>
      </c>
      <c r="M10">
        <f t="shared" si="3"/>
        <v>1.6</v>
      </c>
      <c r="N10" s="70">
        <v>100</v>
      </c>
      <c r="O10" s="61">
        <v>88</v>
      </c>
      <c r="P10" s="73">
        <v>75</v>
      </c>
      <c r="Q10">
        <f t="shared" si="4"/>
        <v>-0.12</v>
      </c>
      <c r="R10" s="79">
        <v>100</v>
      </c>
      <c r="S10" s="70">
        <v>90</v>
      </c>
      <c r="T10" s="70">
        <v>80</v>
      </c>
      <c r="U10">
        <f t="shared" si="5"/>
        <v>-0.11111111111111116</v>
      </c>
      <c r="V10" s="74">
        <v>4301</v>
      </c>
      <c r="W10" s="2">
        <f t="shared" si="6"/>
        <v>4943.9262499999995</v>
      </c>
      <c r="X10">
        <f t="shared" si="7"/>
        <v>0.14948296907695879</v>
      </c>
      <c r="Y10" s="70">
        <v>18</v>
      </c>
      <c r="Z10" s="70">
        <v>18</v>
      </c>
      <c r="AA10" s="70">
        <v>1</v>
      </c>
      <c r="AB10" s="61">
        <v>2</v>
      </c>
      <c r="AC10" s="70">
        <v>1</v>
      </c>
      <c r="AD10" s="70">
        <v>0</v>
      </c>
      <c r="AE10" s="47" t="s">
        <v>254</v>
      </c>
    </row>
    <row r="11" spans="1:31" x14ac:dyDescent="0.2">
      <c r="A11" t="s">
        <v>47</v>
      </c>
      <c r="B11" s="70">
        <v>3</v>
      </c>
      <c r="C11" t="s">
        <v>193</v>
      </c>
      <c r="D11" t="s">
        <v>38</v>
      </c>
      <c r="E11" t="s">
        <v>39</v>
      </c>
      <c r="F11" t="s">
        <v>97</v>
      </c>
      <c r="G11" s="61">
        <v>23</v>
      </c>
      <c r="H11" s="61">
        <v>29321.200000000001</v>
      </c>
      <c r="I11" s="70">
        <v>27305.1</v>
      </c>
      <c r="J11" s="72">
        <f t="shared" si="2"/>
        <v>1.0738360233070012</v>
      </c>
      <c r="K11" s="61">
        <v>207</v>
      </c>
      <c r="L11" s="61">
        <v>100</v>
      </c>
      <c r="M11">
        <f t="shared" si="3"/>
        <v>2.0699999999999998</v>
      </c>
      <c r="N11" s="70">
        <v>100</v>
      </c>
      <c r="O11" s="61">
        <v>100</v>
      </c>
      <c r="P11" s="73">
        <v>75</v>
      </c>
      <c r="Q11">
        <f t="shared" si="4"/>
        <v>0</v>
      </c>
      <c r="R11" s="79">
        <v>88</v>
      </c>
      <c r="S11" s="70">
        <v>100</v>
      </c>
      <c r="T11" s="70">
        <v>80</v>
      </c>
      <c r="U11">
        <f t="shared" si="5"/>
        <v>-0.19999999999999996</v>
      </c>
      <c r="V11" s="74">
        <v>263</v>
      </c>
      <c r="W11" s="2">
        <f t="shared" si="6"/>
        <v>141.64830917874397</v>
      </c>
      <c r="X11">
        <f t="shared" si="7"/>
        <v>-0.46141327308462365</v>
      </c>
      <c r="Y11" s="70">
        <v>28</v>
      </c>
      <c r="Z11" s="70">
        <v>158</v>
      </c>
      <c r="AA11" s="70">
        <v>6</v>
      </c>
      <c r="AB11" s="61">
        <v>3</v>
      </c>
      <c r="AC11" s="70">
        <v>8</v>
      </c>
      <c r="AD11" s="70">
        <v>55</v>
      </c>
    </row>
    <row r="12" spans="1:31" x14ac:dyDescent="0.2">
      <c r="A12" t="s">
        <v>302</v>
      </c>
      <c r="B12" s="70">
        <v>1</v>
      </c>
      <c r="C12" t="s">
        <v>173</v>
      </c>
      <c r="D12" t="s">
        <v>38</v>
      </c>
      <c r="E12" t="s">
        <v>39</v>
      </c>
      <c r="F12" t="s">
        <v>312</v>
      </c>
      <c r="G12" s="61">
        <v>6</v>
      </c>
      <c r="H12" s="61">
        <v>0</v>
      </c>
      <c r="I12" s="70">
        <v>0</v>
      </c>
      <c r="J12" s="72">
        <f t="shared" si="2"/>
        <v>0</v>
      </c>
      <c r="K12" s="61">
        <v>0</v>
      </c>
      <c r="L12" s="61">
        <v>0</v>
      </c>
      <c r="M12">
        <f t="shared" si="3"/>
        <v>0</v>
      </c>
      <c r="N12" s="70">
        <v>0</v>
      </c>
      <c r="O12" s="61">
        <v>0</v>
      </c>
      <c r="P12" s="73">
        <v>0</v>
      </c>
      <c r="Q12">
        <f t="shared" si="4"/>
        <v>0</v>
      </c>
      <c r="R12" s="79">
        <v>0</v>
      </c>
      <c r="S12" s="70">
        <v>0</v>
      </c>
      <c r="T12" s="70">
        <v>0</v>
      </c>
      <c r="U12">
        <f t="shared" si="5"/>
        <v>0</v>
      </c>
      <c r="V12" s="74">
        <v>0</v>
      </c>
      <c r="W12" s="2">
        <f t="shared" ref="W12" si="8">IF(K12=0,0,H12/K12)</f>
        <v>0</v>
      </c>
      <c r="X12">
        <f t="shared" ref="X12" si="9">IF(V12=0,0,(W12/V12)-1)</f>
        <v>0</v>
      </c>
      <c r="Y12" s="70">
        <v>0</v>
      </c>
      <c r="Z12" s="70">
        <v>0</v>
      </c>
      <c r="AA12" s="70">
        <v>0</v>
      </c>
      <c r="AB12" s="61">
        <v>0</v>
      </c>
      <c r="AC12" s="70">
        <v>0</v>
      </c>
      <c r="AD12" s="70">
        <v>0</v>
      </c>
      <c r="AE12" s="47" t="s">
        <v>305</v>
      </c>
    </row>
    <row r="13" spans="1:31" x14ac:dyDescent="0.2">
      <c r="A13" t="s">
        <v>89</v>
      </c>
      <c r="B13" s="70">
        <v>2</v>
      </c>
      <c r="C13" t="s">
        <v>175</v>
      </c>
      <c r="D13" t="s">
        <v>43</v>
      </c>
      <c r="E13" t="s">
        <v>44</v>
      </c>
      <c r="F13" t="s">
        <v>35</v>
      </c>
      <c r="G13" s="61">
        <v>20</v>
      </c>
      <c r="H13" s="61">
        <v>20506.349999999999</v>
      </c>
      <c r="I13" s="70">
        <v>26800</v>
      </c>
      <c r="J13" s="72">
        <f t="shared" ref="J13:J24" si="10">IF(I13=0,0,H13/I13)</f>
        <v>0.76516231343283581</v>
      </c>
      <c r="K13" s="61">
        <v>10</v>
      </c>
      <c r="L13" s="61">
        <v>8</v>
      </c>
      <c r="M13">
        <f t="shared" ref="M13:M24" si="11">IF(L13=0,0,K13/L13)</f>
        <v>1.25</v>
      </c>
      <c r="N13" s="70">
        <v>82</v>
      </c>
      <c r="O13" s="61">
        <v>95</v>
      </c>
      <c r="P13" s="73">
        <v>75</v>
      </c>
      <c r="Q13">
        <f t="shared" ref="Q13:Q24" si="12">IF(N13=0,0,(O13/N13)-1)</f>
        <v>0.15853658536585358</v>
      </c>
      <c r="R13" s="79">
        <v>57</v>
      </c>
      <c r="S13" s="70">
        <v>100</v>
      </c>
      <c r="T13" s="70">
        <v>75</v>
      </c>
      <c r="U13">
        <f t="shared" ref="U13:U24" si="13">IF(S13=0,0,(T13/S13)-1)</f>
        <v>-0.25</v>
      </c>
      <c r="V13" s="74">
        <v>2745</v>
      </c>
      <c r="W13" s="2">
        <f t="shared" ref="W13:W23" si="14">IF(K13=0,0,H13/K13)</f>
        <v>2050.6349999999998</v>
      </c>
      <c r="X13">
        <f t="shared" ref="X13:X23" si="15">IF(V13=0,0,(W13/V13)-1)</f>
        <v>-0.25295628415300553</v>
      </c>
      <c r="Y13" s="70">
        <v>10</v>
      </c>
      <c r="Z13" s="70">
        <v>12</v>
      </c>
      <c r="AA13" s="70">
        <v>1</v>
      </c>
      <c r="AB13" s="61">
        <v>1</v>
      </c>
      <c r="AC13" s="70">
        <v>1</v>
      </c>
      <c r="AD13" s="70">
        <v>1</v>
      </c>
    </row>
    <row r="14" spans="1:31" x14ac:dyDescent="0.2">
      <c r="A14" t="s">
        <v>113</v>
      </c>
      <c r="B14" s="70">
        <v>1</v>
      </c>
      <c r="C14" t="s">
        <v>173</v>
      </c>
      <c r="D14" t="s">
        <v>67</v>
      </c>
      <c r="E14" t="s">
        <v>68</v>
      </c>
      <c r="F14" t="s">
        <v>28</v>
      </c>
      <c r="G14" s="61">
        <v>5</v>
      </c>
      <c r="H14" s="61">
        <v>10343</v>
      </c>
      <c r="I14" s="70">
        <v>1500</v>
      </c>
      <c r="J14" s="72">
        <f t="shared" si="10"/>
        <v>6.8953333333333333</v>
      </c>
      <c r="K14" s="61">
        <v>1</v>
      </c>
      <c r="L14" s="61">
        <v>1</v>
      </c>
      <c r="M14">
        <f t="shared" si="11"/>
        <v>1</v>
      </c>
      <c r="N14" s="70">
        <v>50</v>
      </c>
      <c r="O14" s="61">
        <v>85</v>
      </c>
      <c r="P14" s="73">
        <v>58</v>
      </c>
      <c r="Q14">
        <f t="shared" si="12"/>
        <v>0.7</v>
      </c>
      <c r="R14" s="79">
        <v>100</v>
      </c>
      <c r="S14" s="70">
        <v>0</v>
      </c>
      <c r="T14" s="70">
        <v>50</v>
      </c>
      <c r="U14">
        <f t="shared" si="13"/>
        <v>0</v>
      </c>
      <c r="V14" s="74">
        <v>182</v>
      </c>
      <c r="W14" s="2">
        <f t="shared" si="14"/>
        <v>10343</v>
      </c>
      <c r="X14">
        <f t="shared" si="15"/>
        <v>55.829670329670328</v>
      </c>
      <c r="Y14" s="70">
        <v>3</v>
      </c>
      <c r="Z14" s="70">
        <v>8</v>
      </c>
      <c r="AA14" s="70">
        <v>0</v>
      </c>
      <c r="AB14" s="61">
        <v>1</v>
      </c>
      <c r="AC14" s="70">
        <v>0</v>
      </c>
      <c r="AD14" s="70">
        <v>0</v>
      </c>
      <c r="AE14" s="47" t="s">
        <v>303</v>
      </c>
    </row>
    <row r="15" spans="1:31" x14ac:dyDescent="0.2">
      <c r="A15" t="s">
        <v>117</v>
      </c>
      <c r="B15" s="70">
        <v>1</v>
      </c>
      <c r="C15" t="s">
        <v>173</v>
      </c>
      <c r="D15" t="s">
        <v>38</v>
      </c>
      <c r="E15" t="s">
        <v>39</v>
      </c>
      <c r="F15" t="s">
        <v>128</v>
      </c>
      <c r="G15" s="61">
        <v>24</v>
      </c>
      <c r="H15" s="61">
        <v>28873.73</v>
      </c>
      <c r="I15" s="70">
        <v>37047.75</v>
      </c>
      <c r="J15" s="72">
        <f t="shared" si="10"/>
        <v>0.77936527859316695</v>
      </c>
      <c r="K15" s="61">
        <v>31</v>
      </c>
      <c r="L15" s="61">
        <v>27</v>
      </c>
      <c r="M15">
        <f t="shared" si="11"/>
        <v>1.1481481481481481</v>
      </c>
      <c r="N15" s="70">
        <v>89</v>
      </c>
      <c r="O15" s="61">
        <v>92</v>
      </c>
      <c r="P15" s="73">
        <v>75</v>
      </c>
      <c r="Q15">
        <f t="shared" si="12"/>
        <v>3.3707865168539408E-2</v>
      </c>
      <c r="R15" s="79">
        <v>100</v>
      </c>
      <c r="S15" s="70">
        <v>100</v>
      </c>
      <c r="T15" s="70">
        <v>80</v>
      </c>
      <c r="U15">
        <f t="shared" si="13"/>
        <v>-0.19999999999999996</v>
      </c>
      <c r="V15" s="74">
        <v>1407</v>
      </c>
      <c r="W15" s="2">
        <f t="shared" si="14"/>
        <v>931.41064516129029</v>
      </c>
      <c r="X15">
        <f t="shared" si="15"/>
        <v>-0.33801659903248737</v>
      </c>
      <c r="Y15" s="70">
        <v>29</v>
      </c>
      <c r="Z15" s="70">
        <v>38</v>
      </c>
      <c r="AA15" s="70">
        <v>7</v>
      </c>
      <c r="AB15" s="61">
        <v>3</v>
      </c>
      <c r="AC15" s="70">
        <v>4</v>
      </c>
      <c r="AD15" s="70">
        <v>10</v>
      </c>
      <c r="AE15" s="47" t="s">
        <v>214</v>
      </c>
    </row>
    <row r="16" spans="1:31" x14ac:dyDescent="0.2">
      <c r="A16" t="s">
        <v>99</v>
      </c>
      <c r="B16" s="70">
        <v>1</v>
      </c>
      <c r="C16" t="s">
        <v>172</v>
      </c>
      <c r="D16" t="s">
        <v>100</v>
      </c>
      <c r="E16" t="s">
        <v>101</v>
      </c>
      <c r="F16" t="s">
        <v>45</v>
      </c>
      <c r="G16" s="61">
        <v>16</v>
      </c>
      <c r="H16" s="61">
        <v>2632.5</v>
      </c>
      <c r="I16" s="70">
        <v>7200</v>
      </c>
      <c r="J16" s="72">
        <f t="shared" si="10"/>
        <v>0.36562499999999998</v>
      </c>
      <c r="K16" s="61">
        <v>14</v>
      </c>
      <c r="L16" s="61">
        <v>20</v>
      </c>
      <c r="M16">
        <f t="shared" si="11"/>
        <v>0.7</v>
      </c>
      <c r="N16" s="70">
        <v>63</v>
      </c>
      <c r="O16" s="61">
        <v>76</v>
      </c>
      <c r="P16" s="73">
        <v>67</v>
      </c>
      <c r="Q16">
        <f t="shared" si="12"/>
        <v>0.20634920634920628</v>
      </c>
      <c r="R16" s="79">
        <v>50</v>
      </c>
      <c r="S16" s="70">
        <v>100</v>
      </c>
      <c r="T16" s="70">
        <v>40</v>
      </c>
      <c r="U16">
        <f t="shared" si="13"/>
        <v>-0.6</v>
      </c>
      <c r="V16" s="74">
        <v>490</v>
      </c>
      <c r="W16" s="2">
        <f t="shared" si="14"/>
        <v>188.03571428571428</v>
      </c>
      <c r="X16">
        <f t="shared" si="15"/>
        <v>-0.61625364431486884</v>
      </c>
      <c r="Y16" s="70">
        <v>9</v>
      </c>
      <c r="Z16" s="70">
        <v>18</v>
      </c>
      <c r="AA16" s="70">
        <v>0</v>
      </c>
      <c r="AB16" s="61">
        <v>1</v>
      </c>
      <c r="AC16" s="70">
        <v>0</v>
      </c>
      <c r="AD16" s="70">
        <v>0</v>
      </c>
      <c r="AE16" s="47" t="s">
        <v>298</v>
      </c>
    </row>
    <row r="17" spans="1:31" x14ac:dyDescent="0.2">
      <c r="A17" t="s">
        <v>123</v>
      </c>
      <c r="B17" s="70">
        <v>4</v>
      </c>
      <c r="C17" t="s">
        <v>172</v>
      </c>
      <c r="D17" t="s">
        <v>124</v>
      </c>
      <c r="E17" t="s">
        <v>44</v>
      </c>
      <c r="F17" t="s">
        <v>28</v>
      </c>
      <c r="G17" s="61">
        <v>19</v>
      </c>
      <c r="H17" s="61">
        <v>16000</v>
      </c>
      <c r="I17" s="70">
        <v>34200</v>
      </c>
      <c r="J17" s="72">
        <f t="shared" si="10"/>
        <v>0.46783625730994149</v>
      </c>
      <c r="K17" s="61">
        <v>6</v>
      </c>
      <c r="L17" s="61">
        <v>2</v>
      </c>
      <c r="M17">
        <f t="shared" si="11"/>
        <v>3</v>
      </c>
      <c r="N17" s="70">
        <v>100</v>
      </c>
      <c r="O17" s="61">
        <v>63</v>
      </c>
      <c r="P17" s="73">
        <v>75</v>
      </c>
      <c r="Q17">
        <f t="shared" si="12"/>
        <v>-0.37</v>
      </c>
      <c r="R17" s="79">
        <v>100</v>
      </c>
      <c r="S17" s="70">
        <v>0</v>
      </c>
      <c r="T17" s="70">
        <v>80</v>
      </c>
      <c r="U17">
        <f t="shared" si="13"/>
        <v>0</v>
      </c>
      <c r="V17" s="74">
        <v>2241</v>
      </c>
      <c r="W17" s="2">
        <f t="shared" si="14"/>
        <v>2666.6666666666665</v>
      </c>
      <c r="X17">
        <f t="shared" si="15"/>
        <v>0.18994496504536662</v>
      </c>
      <c r="Y17" s="70">
        <v>7</v>
      </c>
      <c r="Z17" s="70">
        <v>7</v>
      </c>
      <c r="AA17" s="70">
        <v>0</v>
      </c>
      <c r="AB17" s="61">
        <v>1</v>
      </c>
      <c r="AC17" s="70">
        <v>0</v>
      </c>
      <c r="AD17" s="70">
        <v>0</v>
      </c>
    </row>
    <row r="18" spans="1:31" x14ac:dyDescent="0.2">
      <c r="A18" t="s">
        <v>92</v>
      </c>
      <c r="B18" s="70">
        <v>1</v>
      </c>
      <c r="C18" t="s">
        <v>173</v>
      </c>
      <c r="D18" t="s">
        <v>38</v>
      </c>
      <c r="E18" t="s">
        <v>39</v>
      </c>
      <c r="F18" t="s">
        <v>79</v>
      </c>
      <c r="G18" s="61">
        <v>24</v>
      </c>
      <c r="H18" s="61">
        <v>45705</v>
      </c>
      <c r="I18" s="70">
        <v>85000</v>
      </c>
      <c r="J18" s="72">
        <f t="shared" si="10"/>
        <v>0.53770588235294114</v>
      </c>
      <c r="K18" s="61">
        <v>19</v>
      </c>
      <c r="L18" s="61">
        <v>25</v>
      </c>
      <c r="M18">
        <f t="shared" si="11"/>
        <v>0.76</v>
      </c>
      <c r="N18" s="70">
        <v>0</v>
      </c>
      <c r="O18" s="61">
        <v>71</v>
      </c>
      <c r="P18" s="73">
        <v>75</v>
      </c>
      <c r="Q18">
        <f t="shared" si="12"/>
        <v>0</v>
      </c>
      <c r="R18" s="79">
        <v>33</v>
      </c>
      <c r="S18" s="70">
        <v>50</v>
      </c>
      <c r="T18" s="70">
        <v>50</v>
      </c>
      <c r="U18">
        <f t="shared" si="13"/>
        <v>0</v>
      </c>
      <c r="V18" s="74">
        <v>2353</v>
      </c>
      <c r="W18" s="2">
        <f t="shared" si="14"/>
        <v>2405.5263157894738</v>
      </c>
      <c r="X18">
        <f t="shared" si="15"/>
        <v>2.2323126132373083E-2</v>
      </c>
      <c r="Y18" s="70">
        <v>24</v>
      </c>
      <c r="Z18" s="70">
        <v>30</v>
      </c>
      <c r="AA18" s="70">
        <v>3</v>
      </c>
      <c r="AB18" s="61">
        <v>4</v>
      </c>
      <c r="AC18" s="70">
        <v>3</v>
      </c>
      <c r="AD18" s="70">
        <v>4</v>
      </c>
      <c r="AE18" s="47" t="s">
        <v>215</v>
      </c>
    </row>
    <row r="19" spans="1:31" x14ac:dyDescent="0.2">
      <c r="A19" t="s">
        <v>37</v>
      </c>
      <c r="B19" s="70">
        <v>1</v>
      </c>
      <c r="C19" t="s">
        <v>173</v>
      </c>
      <c r="D19" t="s">
        <v>38</v>
      </c>
      <c r="E19" t="s">
        <v>39</v>
      </c>
      <c r="F19" t="s">
        <v>40</v>
      </c>
      <c r="G19" s="61">
        <v>5</v>
      </c>
      <c r="H19" s="61">
        <v>13240</v>
      </c>
      <c r="I19" s="70">
        <v>6600</v>
      </c>
      <c r="J19" s="72">
        <f t="shared" si="10"/>
        <v>2.0060606060606059</v>
      </c>
      <c r="K19" s="61">
        <v>7</v>
      </c>
      <c r="L19" s="61">
        <v>6</v>
      </c>
      <c r="M19">
        <f t="shared" si="11"/>
        <v>1.1666666666666667</v>
      </c>
      <c r="N19" s="70">
        <v>56</v>
      </c>
      <c r="O19" s="61">
        <v>84</v>
      </c>
      <c r="P19" s="73">
        <v>62</v>
      </c>
      <c r="Q19">
        <f t="shared" si="12"/>
        <v>0.5</v>
      </c>
      <c r="R19" s="79">
        <v>100</v>
      </c>
      <c r="S19" s="70">
        <v>100</v>
      </c>
      <c r="T19" s="70">
        <v>75</v>
      </c>
      <c r="U19">
        <f t="shared" si="13"/>
        <v>-0.25</v>
      </c>
      <c r="V19" s="74">
        <v>900</v>
      </c>
      <c r="W19" s="2">
        <f t="shared" si="14"/>
        <v>1891.4285714285713</v>
      </c>
      <c r="X19">
        <f t="shared" si="15"/>
        <v>1.1015873015873017</v>
      </c>
      <c r="Y19" s="70">
        <v>8</v>
      </c>
      <c r="Z19" s="70">
        <v>8</v>
      </c>
      <c r="AA19" s="70">
        <v>0</v>
      </c>
      <c r="AB19" s="61">
        <v>1</v>
      </c>
      <c r="AC19" s="70">
        <v>0</v>
      </c>
      <c r="AD19" s="70">
        <v>0</v>
      </c>
      <c r="AE19" s="47" t="s">
        <v>216</v>
      </c>
    </row>
    <row r="20" spans="1:31" x14ac:dyDescent="0.2">
      <c r="A20" t="s">
        <v>91</v>
      </c>
      <c r="B20" s="70">
        <v>2</v>
      </c>
      <c r="C20" t="s">
        <v>173</v>
      </c>
      <c r="D20" t="s">
        <v>38</v>
      </c>
      <c r="E20" t="s">
        <v>39</v>
      </c>
      <c r="F20" t="s">
        <v>59</v>
      </c>
      <c r="G20" s="61">
        <v>21</v>
      </c>
      <c r="H20" s="61">
        <v>23671.8</v>
      </c>
      <c r="I20" s="70">
        <v>25000</v>
      </c>
      <c r="J20" s="72">
        <f t="shared" si="10"/>
        <v>0.94687199999999994</v>
      </c>
      <c r="K20" s="61">
        <v>18</v>
      </c>
      <c r="L20" s="61">
        <v>14</v>
      </c>
      <c r="M20">
        <f t="shared" si="11"/>
        <v>1.2857142857142858</v>
      </c>
      <c r="N20" s="70">
        <v>36</v>
      </c>
      <c r="O20" s="61">
        <v>87</v>
      </c>
      <c r="P20" s="73">
        <v>75</v>
      </c>
      <c r="Q20">
        <f t="shared" si="12"/>
        <v>1.4166666666666665</v>
      </c>
      <c r="R20" s="79">
        <v>60</v>
      </c>
      <c r="S20" s="70">
        <v>80</v>
      </c>
      <c r="T20" s="70">
        <v>50</v>
      </c>
      <c r="U20">
        <f t="shared" si="13"/>
        <v>-0.375</v>
      </c>
      <c r="V20" s="74">
        <v>1187</v>
      </c>
      <c r="W20" s="2">
        <f t="shared" si="14"/>
        <v>1315.1</v>
      </c>
      <c r="X20">
        <f t="shared" si="15"/>
        <v>0.1079191238416175</v>
      </c>
      <c r="Y20" s="70">
        <v>21</v>
      </c>
      <c r="Z20" s="70">
        <v>21</v>
      </c>
      <c r="AA20" s="70">
        <v>8</v>
      </c>
      <c r="AB20" s="61">
        <v>4</v>
      </c>
      <c r="AC20" s="70">
        <v>3</v>
      </c>
      <c r="AD20" s="70">
        <v>5</v>
      </c>
      <c r="AE20" s="47" t="s">
        <v>217</v>
      </c>
    </row>
    <row r="21" spans="1:31" x14ac:dyDescent="0.2">
      <c r="A21" t="s">
        <v>126</v>
      </c>
      <c r="B21" s="70">
        <v>4</v>
      </c>
      <c r="C21" t="s">
        <v>194</v>
      </c>
      <c r="D21" t="s">
        <v>38</v>
      </c>
      <c r="E21" t="s">
        <v>49</v>
      </c>
      <c r="F21" t="s">
        <v>127</v>
      </c>
      <c r="G21" s="61">
        <v>20</v>
      </c>
      <c r="H21" s="61">
        <v>101020</v>
      </c>
      <c r="I21" s="70">
        <v>120000</v>
      </c>
      <c r="J21" s="72">
        <f t="shared" si="10"/>
        <v>0.84183333333333332</v>
      </c>
      <c r="K21" s="61">
        <v>15</v>
      </c>
      <c r="L21" s="61">
        <v>18</v>
      </c>
      <c r="M21">
        <f t="shared" si="11"/>
        <v>0.83333333333333337</v>
      </c>
      <c r="N21" s="70">
        <v>0</v>
      </c>
      <c r="O21" s="61">
        <v>100</v>
      </c>
      <c r="P21" s="73">
        <v>75</v>
      </c>
      <c r="Q21">
        <f t="shared" si="12"/>
        <v>0</v>
      </c>
      <c r="R21" s="79">
        <v>69</v>
      </c>
      <c r="S21" s="70">
        <v>50</v>
      </c>
      <c r="T21" s="70">
        <v>60</v>
      </c>
      <c r="U21">
        <f t="shared" si="13"/>
        <v>0.19999999999999996</v>
      </c>
      <c r="V21" s="74">
        <v>5833</v>
      </c>
      <c r="W21" s="2">
        <f t="shared" si="14"/>
        <v>6734.666666666667</v>
      </c>
      <c r="X21">
        <f t="shared" si="15"/>
        <v>0.15458026172924177</v>
      </c>
      <c r="Y21" s="70">
        <v>12</v>
      </c>
      <c r="Z21" s="70">
        <v>13</v>
      </c>
      <c r="AA21" s="70">
        <v>2</v>
      </c>
      <c r="AB21" s="61">
        <v>3</v>
      </c>
      <c r="AC21" s="70">
        <v>3</v>
      </c>
      <c r="AD21" s="70">
        <v>2</v>
      </c>
      <c r="AE21" s="47" t="s">
        <v>218</v>
      </c>
    </row>
    <row r="22" spans="1:31" x14ac:dyDescent="0.2">
      <c r="A22" t="s">
        <v>73</v>
      </c>
      <c r="B22" s="70">
        <v>1</v>
      </c>
      <c r="C22" t="s">
        <v>175</v>
      </c>
      <c r="D22" t="s">
        <v>38</v>
      </c>
      <c r="E22" t="s">
        <v>39</v>
      </c>
      <c r="F22" t="s">
        <v>74</v>
      </c>
      <c r="G22" s="61">
        <v>9</v>
      </c>
      <c r="H22" s="61">
        <v>4510</v>
      </c>
      <c r="I22" s="70">
        <v>10800</v>
      </c>
      <c r="J22" s="72">
        <f t="shared" si="10"/>
        <v>0.41759259259259257</v>
      </c>
      <c r="K22" s="61">
        <v>4</v>
      </c>
      <c r="L22" s="61">
        <v>4</v>
      </c>
      <c r="M22">
        <f t="shared" si="11"/>
        <v>1</v>
      </c>
      <c r="N22" s="70">
        <v>36</v>
      </c>
      <c r="O22" s="61">
        <v>58</v>
      </c>
      <c r="P22" s="73">
        <v>60</v>
      </c>
      <c r="Q22">
        <f t="shared" si="12"/>
        <v>0.61111111111111116</v>
      </c>
      <c r="R22" s="79">
        <v>100</v>
      </c>
      <c r="S22" s="70">
        <v>100</v>
      </c>
      <c r="T22" s="70">
        <v>65</v>
      </c>
      <c r="U22">
        <f t="shared" si="13"/>
        <v>-0.35</v>
      </c>
      <c r="V22" s="74">
        <v>446</v>
      </c>
      <c r="W22" s="2">
        <f t="shared" si="14"/>
        <v>1127.5</v>
      </c>
      <c r="X22">
        <f t="shared" si="15"/>
        <v>1.5280269058295963</v>
      </c>
      <c r="Y22" s="70">
        <v>3</v>
      </c>
      <c r="Z22" s="70">
        <v>3</v>
      </c>
      <c r="AA22" s="70">
        <v>1</v>
      </c>
      <c r="AB22" s="61">
        <v>1</v>
      </c>
      <c r="AC22" s="70">
        <v>2</v>
      </c>
      <c r="AD22" s="70">
        <v>1</v>
      </c>
    </row>
    <row r="23" spans="1:31" x14ac:dyDescent="0.2">
      <c r="A23" t="s">
        <v>56</v>
      </c>
      <c r="B23" s="70">
        <v>1</v>
      </c>
      <c r="C23" t="s">
        <v>173</v>
      </c>
      <c r="D23" t="s">
        <v>38</v>
      </c>
      <c r="E23" t="s">
        <v>39</v>
      </c>
      <c r="F23" t="s">
        <v>57</v>
      </c>
      <c r="G23" s="61">
        <v>13</v>
      </c>
      <c r="H23" s="61">
        <v>17820.63</v>
      </c>
      <c r="I23" s="70">
        <v>28211.11</v>
      </c>
      <c r="J23" s="72">
        <f t="shared" si="10"/>
        <v>0.63168836674629258</v>
      </c>
      <c r="K23" s="61">
        <v>5</v>
      </c>
      <c r="L23" s="61">
        <v>4</v>
      </c>
      <c r="M23">
        <f t="shared" si="11"/>
        <v>1.25</v>
      </c>
      <c r="N23" s="70">
        <v>73</v>
      </c>
      <c r="O23" s="61">
        <v>76</v>
      </c>
      <c r="P23" s="73">
        <v>75</v>
      </c>
      <c r="Q23">
        <f t="shared" si="12"/>
        <v>4.1095890410958846E-2</v>
      </c>
      <c r="R23" s="79">
        <v>50</v>
      </c>
      <c r="S23" s="70">
        <v>100</v>
      </c>
      <c r="T23" s="70">
        <v>50</v>
      </c>
      <c r="U23">
        <f t="shared" si="13"/>
        <v>-0.5</v>
      </c>
      <c r="V23" s="74">
        <v>3286</v>
      </c>
      <c r="W23" s="2">
        <f t="shared" si="14"/>
        <v>3564.1260000000002</v>
      </c>
      <c r="X23">
        <f t="shared" si="15"/>
        <v>8.4639683505782104E-2</v>
      </c>
      <c r="Y23" s="70">
        <v>6</v>
      </c>
      <c r="Z23" s="70">
        <v>6</v>
      </c>
      <c r="AA23" s="70">
        <v>2</v>
      </c>
      <c r="AB23" s="61">
        <v>2</v>
      </c>
      <c r="AC23" s="70">
        <v>1</v>
      </c>
      <c r="AD23" s="70">
        <v>2</v>
      </c>
      <c r="AE23" s="47" t="s">
        <v>255</v>
      </c>
    </row>
    <row r="24" spans="1:31" x14ac:dyDescent="0.2">
      <c r="A24" t="s">
        <v>299</v>
      </c>
      <c r="B24" s="70">
        <v>1</v>
      </c>
      <c r="C24" t="s">
        <v>172</v>
      </c>
      <c r="D24" t="s">
        <v>311</v>
      </c>
      <c r="E24" t="s">
        <v>32</v>
      </c>
      <c r="F24" t="s">
        <v>45</v>
      </c>
      <c r="G24" s="61">
        <v>9</v>
      </c>
      <c r="H24" s="61">
        <v>262</v>
      </c>
      <c r="I24" s="70">
        <v>0</v>
      </c>
      <c r="J24" s="72">
        <f t="shared" si="10"/>
        <v>0</v>
      </c>
      <c r="K24" s="61">
        <v>5</v>
      </c>
      <c r="L24" s="61">
        <v>0</v>
      </c>
      <c r="M24">
        <f t="shared" si="11"/>
        <v>0</v>
      </c>
      <c r="N24" s="70">
        <v>0</v>
      </c>
      <c r="O24" s="61">
        <v>44</v>
      </c>
      <c r="P24" s="73">
        <v>0</v>
      </c>
      <c r="Q24">
        <f t="shared" si="12"/>
        <v>0</v>
      </c>
      <c r="R24" s="79">
        <v>0</v>
      </c>
      <c r="S24" s="70">
        <v>0</v>
      </c>
      <c r="T24" s="70">
        <v>0</v>
      </c>
      <c r="U24">
        <f t="shared" si="13"/>
        <v>0</v>
      </c>
      <c r="V24" s="74">
        <v>0</v>
      </c>
      <c r="W24" s="2">
        <f t="shared" ref="W24" si="16">IF(K24=0,0,H24/K24)</f>
        <v>52.4</v>
      </c>
      <c r="X24">
        <f t="shared" ref="X24" si="17">IF(V24=0,0,(W24/V24)-1)</f>
        <v>0</v>
      </c>
      <c r="Y24" s="70">
        <v>2</v>
      </c>
      <c r="Z24" s="70">
        <v>5</v>
      </c>
      <c r="AA24" s="70">
        <v>0</v>
      </c>
      <c r="AB24" s="61">
        <v>0</v>
      </c>
      <c r="AC24" s="70">
        <v>0</v>
      </c>
      <c r="AD24" s="70">
        <v>0</v>
      </c>
      <c r="AE24" s="47" t="s">
        <v>306</v>
      </c>
    </row>
    <row r="25" spans="1:31" x14ac:dyDescent="0.2">
      <c r="A25" t="s">
        <v>90</v>
      </c>
      <c r="B25" s="70">
        <v>5</v>
      </c>
      <c r="C25" t="s">
        <v>173</v>
      </c>
      <c r="D25" t="s">
        <v>38</v>
      </c>
      <c r="E25" t="s">
        <v>39</v>
      </c>
      <c r="F25" t="s">
        <v>140</v>
      </c>
      <c r="G25" s="61">
        <v>36</v>
      </c>
      <c r="H25" s="61">
        <v>263489.44</v>
      </c>
      <c r="I25" s="70">
        <v>257719.44</v>
      </c>
      <c r="J25" s="72">
        <f>IF(I25=0,0,H25/I25)</f>
        <v>1.0223886874812393</v>
      </c>
      <c r="K25" s="61">
        <v>20</v>
      </c>
      <c r="L25" s="61">
        <v>24</v>
      </c>
      <c r="M25">
        <f>IF(L25=0,0,K25/L25)</f>
        <v>0.83333333333333337</v>
      </c>
      <c r="N25" s="70">
        <v>100</v>
      </c>
      <c r="O25" s="61">
        <v>94</v>
      </c>
      <c r="P25" s="73">
        <v>75</v>
      </c>
      <c r="Q25">
        <f>IF(N25=0,0,(O25/N25)-1)</f>
        <v>-6.0000000000000053E-2</v>
      </c>
      <c r="R25" s="79">
        <v>92</v>
      </c>
      <c r="S25" s="70">
        <v>100</v>
      </c>
      <c r="T25" s="70">
        <v>80</v>
      </c>
      <c r="U25">
        <f>IF(S25=0,0,(T25/S25)-1)</f>
        <v>-0.19999999999999996</v>
      </c>
      <c r="V25" s="74">
        <v>17267</v>
      </c>
      <c r="W25" s="2">
        <f>IF(K25=0,0,H25/K25)</f>
        <v>13174.472</v>
      </c>
      <c r="X25">
        <f>IF(V25=0,0,(W25/V25)-1)</f>
        <v>-0.2370144205710315</v>
      </c>
      <c r="Y25" s="70">
        <v>18</v>
      </c>
      <c r="Z25" s="70">
        <v>19</v>
      </c>
      <c r="AA25" s="70">
        <v>4</v>
      </c>
      <c r="AB25" s="61">
        <v>4</v>
      </c>
      <c r="AC25" s="70">
        <v>4</v>
      </c>
      <c r="AD25" s="70">
        <v>3</v>
      </c>
    </row>
    <row r="26" spans="1:31" x14ac:dyDescent="0.2">
      <c r="A26" t="s">
        <v>54</v>
      </c>
      <c r="B26" s="70">
        <v>3</v>
      </c>
      <c r="C26" t="s">
        <v>194</v>
      </c>
      <c r="D26" t="s">
        <v>38</v>
      </c>
      <c r="E26" t="s">
        <v>39</v>
      </c>
      <c r="F26" t="s">
        <v>107</v>
      </c>
      <c r="G26" s="61">
        <v>17</v>
      </c>
      <c r="H26" s="61">
        <v>24878.73</v>
      </c>
      <c r="I26" s="70">
        <v>37857.379999999997</v>
      </c>
      <c r="J26" s="72">
        <f>IF(I26=0,0,H26/I26)</f>
        <v>0.65716988338865501</v>
      </c>
      <c r="K26" s="61">
        <v>17</v>
      </c>
      <c r="L26" s="61">
        <v>19</v>
      </c>
      <c r="M26">
        <f>IF(L26=0,0,K26/L26)</f>
        <v>0.89473684210526316</v>
      </c>
      <c r="N26" s="70">
        <v>74</v>
      </c>
      <c r="O26" s="61">
        <v>82</v>
      </c>
      <c r="P26" s="73">
        <v>75</v>
      </c>
      <c r="Q26">
        <f>IF(N26=0,0,(O26/N26)-1)</f>
        <v>0.10810810810810811</v>
      </c>
      <c r="R26" s="79">
        <v>90</v>
      </c>
      <c r="S26" s="70">
        <v>71</v>
      </c>
      <c r="T26" s="70">
        <v>80</v>
      </c>
      <c r="U26">
        <f>IF(S26=0,0,(T26/S26)-1)</f>
        <v>0.12676056338028174</v>
      </c>
      <c r="V26" s="74">
        <v>243</v>
      </c>
      <c r="W26" s="2">
        <f>IF(K26=0,0,H26/K26)</f>
        <v>1463.454705882353</v>
      </c>
      <c r="X26">
        <f>IF(V26=0,0,(W26/V26)-1)</f>
        <v>5.0224473493100943</v>
      </c>
      <c r="Y26" s="70">
        <v>11</v>
      </c>
      <c r="Z26" s="70">
        <v>19</v>
      </c>
      <c r="AA26" s="70">
        <v>3</v>
      </c>
      <c r="AB26" s="61">
        <v>3</v>
      </c>
      <c r="AC26" s="70">
        <v>4</v>
      </c>
      <c r="AD26" s="70">
        <v>2</v>
      </c>
    </row>
    <row r="27" spans="1:31" x14ac:dyDescent="0.2">
      <c r="A27" t="s">
        <v>300</v>
      </c>
      <c r="B27" s="70">
        <v>1</v>
      </c>
      <c r="C27" t="s">
        <v>194</v>
      </c>
      <c r="D27" t="s">
        <v>38</v>
      </c>
      <c r="E27" t="s">
        <v>39</v>
      </c>
      <c r="F27" t="s">
        <v>72</v>
      </c>
      <c r="G27" s="61">
        <v>10</v>
      </c>
      <c r="H27" s="61">
        <v>3830</v>
      </c>
      <c r="I27" s="70">
        <v>7000</v>
      </c>
      <c r="J27" s="72">
        <f>IF(I27=0,0,H27/I27)</f>
        <v>0.54714285714285715</v>
      </c>
      <c r="K27" s="61">
        <v>5</v>
      </c>
      <c r="L27" s="61">
        <v>0</v>
      </c>
      <c r="M27">
        <f>IF(L27=0,0,K27/L27)</f>
        <v>0</v>
      </c>
      <c r="N27" s="70">
        <v>0</v>
      </c>
      <c r="O27" s="61">
        <v>60</v>
      </c>
      <c r="P27" s="73">
        <v>0</v>
      </c>
      <c r="Q27">
        <f>IF(N27=0,0,(O27/N27)-1)</f>
        <v>0</v>
      </c>
      <c r="R27" s="79">
        <v>0</v>
      </c>
      <c r="S27" s="70">
        <v>100</v>
      </c>
      <c r="T27" s="70">
        <v>0</v>
      </c>
      <c r="U27">
        <f>IF(S27=0,0,(T27/S27)-1)</f>
        <v>-1</v>
      </c>
      <c r="V27" s="74">
        <v>0</v>
      </c>
      <c r="W27" s="2">
        <f>IF(K27=0,0,H27/K27)</f>
        <v>766</v>
      </c>
      <c r="X27">
        <f>IF(V27=0,0,(W27/V27)-1)</f>
        <v>0</v>
      </c>
      <c r="Y27" s="70">
        <v>3</v>
      </c>
      <c r="Z27" s="70">
        <v>4</v>
      </c>
      <c r="AA27" s="70">
        <v>0</v>
      </c>
      <c r="AB27" s="61">
        <v>0</v>
      </c>
      <c r="AC27" s="70">
        <v>0</v>
      </c>
      <c r="AD27" s="70">
        <v>0</v>
      </c>
    </row>
    <row r="28" spans="1:31" x14ac:dyDescent="0.2">
      <c r="A28" t="s">
        <v>147</v>
      </c>
      <c r="B28" s="70">
        <v>1</v>
      </c>
      <c r="C28" t="s">
        <v>173</v>
      </c>
      <c r="D28" t="s">
        <v>84</v>
      </c>
      <c r="E28" t="s">
        <v>32</v>
      </c>
      <c r="F28" t="s">
        <v>148</v>
      </c>
      <c r="G28" s="61">
        <v>12</v>
      </c>
      <c r="H28" s="61">
        <v>0</v>
      </c>
      <c r="I28" s="70">
        <v>6000</v>
      </c>
      <c r="J28" s="72">
        <f t="shared" ref="J28:J59" si="18">IF(I28=0,0,H28/I28)</f>
        <v>0</v>
      </c>
      <c r="K28" s="61">
        <v>0</v>
      </c>
      <c r="L28" s="61">
        <v>3</v>
      </c>
      <c r="M28">
        <f t="shared" ref="M28:M59" si="19">IF(L28=0,0,K28/L28)</f>
        <v>0</v>
      </c>
      <c r="N28" s="70">
        <v>0</v>
      </c>
      <c r="O28" s="61">
        <v>0</v>
      </c>
      <c r="P28" s="73">
        <v>70</v>
      </c>
      <c r="Q28">
        <f t="shared" ref="Q28:Q59" si="20">IF(N28=0,0,(O28/N28)-1)</f>
        <v>0</v>
      </c>
      <c r="R28" s="79">
        <v>0</v>
      </c>
      <c r="S28" s="70">
        <v>0</v>
      </c>
      <c r="T28" s="70">
        <v>50</v>
      </c>
      <c r="U28">
        <f t="shared" ref="U28:U59" si="21">IF(S28=0,0,(T28/S28)-1)</f>
        <v>0</v>
      </c>
      <c r="V28" s="74">
        <v>2355</v>
      </c>
      <c r="W28" s="2">
        <f t="shared" ref="W28:W58" si="22">IF(K28=0,0,H28/K28)</f>
        <v>0</v>
      </c>
      <c r="X28">
        <f t="shared" ref="X28:X58" si="23">IF(V28=0,0,(W28/V28)-1)</f>
        <v>-1</v>
      </c>
      <c r="Y28" s="70">
        <v>0</v>
      </c>
      <c r="Z28" s="70">
        <v>0</v>
      </c>
      <c r="AA28" s="70">
        <v>0</v>
      </c>
      <c r="AB28" s="61">
        <v>1</v>
      </c>
      <c r="AC28" s="70">
        <v>0</v>
      </c>
      <c r="AD28" s="70">
        <v>0</v>
      </c>
      <c r="AE28" s="47" t="s">
        <v>219</v>
      </c>
    </row>
    <row r="29" spans="1:31" x14ac:dyDescent="0.2">
      <c r="A29" t="s">
        <v>71</v>
      </c>
      <c r="B29" s="70">
        <v>1</v>
      </c>
      <c r="C29" t="s">
        <v>194</v>
      </c>
      <c r="D29" t="s">
        <v>43</v>
      </c>
      <c r="E29" t="s">
        <v>44</v>
      </c>
      <c r="F29" t="s">
        <v>72</v>
      </c>
      <c r="G29" s="61">
        <v>21</v>
      </c>
      <c r="H29" s="61">
        <v>4511</v>
      </c>
      <c r="I29" s="70">
        <v>10000</v>
      </c>
      <c r="J29" s="72">
        <f t="shared" si="18"/>
        <v>0.4511</v>
      </c>
      <c r="K29" s="61">
        <v>5</v>
      </c>
      <c r="L29" s="61">
        <v>7</v>
      </c>
      <c r="M29">
        <f t="shared" si="19"/>
        <v>0.7142857142857143</v>
      </c>
      <c r="N29" s="70">
        <v>37</v>
      </c>
      <c r="O29" s="61">
        <v>52</v>
      </c>
      <c r="P29" s="73">
        <v>60</v>
      </c>
      <c r="Q29">
        <f t="shared" si="20"/>
        <v>0.40540540540540548</v>
      </c>
      <c r="R29" s="79">
        <v>0</v>
      </c>
      <c r="S29" s="70">
        <v>100</v>
      </c>
      <c r="T29" s="70">
        <v>50</v>
      </c>
      <c r="U29">
        <f t="shared" si="21"/>
        <v>-0.5</v>
      </c>
      <c r="V29" s="74">
        <v>450</v>
      </c>
      <c r="W29" s="2">
        <f t="shared" si="22"/>
        <v>902.2</v>
      </c>
      <c r="X29">
        <f t="shared" si="23"/>
        <v>1.0048888888888889</v>
      </c>
      <c r="Y29" s="70">
        <v>4</v>
      </c>
      <c r="Z29" s="70">
        <v>7</v>
      </c>
      <c r="AA29" s="70">
        <v>2</v>
      </c>
      <c r="AB29" s="61">
        <v>3</v>
      </c>
      <c r="AC29" s="70">
        <v>2</v>
      </c>
      <c r="AD29" s="70">
        <v>4</v>
      </c>
      <c r="AE29" s="47" t="s">
        <v>220</v>
      </c>
    </row>
    <row r="30" spans="1:31" x14ac:dyDescent="0.2">
      <c r="A30" t="s">
        <v>75</v>
      </c>
      <c r="B30" s="70">
        <v>1</v>
      </c>
      <c r="C30" t="s">
        <v>195</v>
      </c>
      <c r="D30" t="s">
        <v>38</v>
      </c>
      <c r="E30" t="s">
        <v>39</v>
      </c>
      <c r="F30" t="s">
        <v>88</v>
      </c>
      <c r="G30" s="61">
        <v>24</v>
      </c>
      <c r="H30" s="61">
        <v>48139.6</v>
      </c>
      <c r="I30" s="70">
        <v>36000</v>
      </c>
      <c r="J30" s="72">
        <f t="shared" si="18"/>
        <v>1.3372111111111111</v>
      </c>
      <c r="K30" s="61">
        <v>45</v>
      </c>
      <c r="L30" s="61">
        <v>37</v>
      </c>
      <c r="M30">
        <f t="shared" si="19"/>
        <v>1.2162162162162162</v>
      </c>
      <c r="N30" s="70">
        <v>86</v>
      </c>
      <c r="O30" s="61">
        <v>83</v>
      </c>
      <c r="P30" s="73">
        <v>75</v>
      </c>
      <c r="Q30">
        <f t="shared" si="20"/>
        <v>-3.4883720930232509E-2</v>
      </c>
      <c r="R30" s="79">
        <v>83</v>
      </c>
      <c r="S30" s="70">
        <v>100</v>
      </c>
      <c r="T30" s="70">
        <v>70</v>
      </c>
      <c r="U30">
        <f t="shared" si="21"/>
        <v>-0.30000000000000004</v>
      </c>
      <c r="V30" s="74">
        <v>1133</v>
      </c>
      <c r="W30" s="2">
        <f t="shared" si="22"/>
        <v>1069.7688888888888</v>
      </c>
      <c r="X30">
        <f t="shared" si="23"/>
        <v>-5.5808571148377006E-2</v>
      </c>
      <c r="Y30" s="70">
        <v>24</v>
      </c>
      <c r="Z30" s="70">
        <v>42</v>
      </c>
      <c r="AA30" s="70">
        <v>5</v>
      </c>
      <c r="AB30" s="61">
        <v>6</v>
      </c>
      <c r="AC30" s="70">
        <v>6</v>
      </c>
      <c r="AD30" s="70">
        <v>6</v>
      </c>
      <c r="AE30" s="47" t="s">
        <v>221</v>
      </c>
    </row>
    <row r="31" spans="1:31" x14ac:dyDescent="0.2">
      <c r="A31" t="s">
        <v>46</v>
      </c>
      <c r="B31" s="70">
        <v>2</v>
      </c>
      <c r="C31" t="s">
        <v>172</v>
      </c>
      <c r="D31" t="s">
        <v>43</v>
      </c>
      <c r="E31" t="s">
        <v>44</v>
      </c>
      <c r="F31" t="s">
        <v>95</v>
      </c>
      <c r="G31" s="61">
        <v>10</v>
      </c>
      <c r="H31" s="61">
        <v>0</v>
      </c>
      <c r="I31" s="70">
        <v>10000</v>
      </c>
      <c r="J31" s="72">
        <f t="shared" si="18"/>
        <v>0</v>
      </c>
      <c r="K31" s="61">
        <v>0</v>
      </c>
      <c r="L31" s="61">
        <v>12</v>
      </c>
      <c r="M31">
        <f t="shared" si="19"/>
        <v>0</v>
      </c>
      <c r="N31" s="70">
        <v>0</v>
      </c>
      <c r="O31" s="61">
        <v>38</v>
      </c>
      <c r="P31" s="73">
        <v>75</v>
      </c>
      <c r="Q31">
        <f t="shared" si="20"/>
        <v>0</v>
      </c>
      <c r="R31" s="79">
        <v>86</v>
      </c>
      <c r="S31" s="70">
        <v>0</v>
      </c>
      <c r="T31" s="70">
        <v>80</v>
      </c>
      <c r="U31">
        <f t="shared" si="21"/>
        <v>0</v>
      </c>
      <c r="V31" s="74">
        <v>572</v>
      </c>
      <c r="W31" s="2">
        <f t="shared" si="22"/>
        <v>0</v>
      </c>
      <c r="X31">
        <f t="shared" si="23"/>
        <v>-1</v>
      </c>
      <c r="Y31" s="70">
        <v>2</v>
      </c>
      <c r="Z31" s="70">
        <v>3</v>
      </c>
      <c r="AA31" s="70">
        <v>0</v>
      </c>
      <c r="AB31" s="61">
        <v>2</v>
      </c>
      <c r="AC31" s="70">
        <v>0</v>
      </c>
      <c r="AD31" s="70">
        <v>0</v>
      </c>
    </row>
    <row r="32" spans="1:31" x14ac:dyDescent="0.2">
      <c r="A32" t="s">
        <v>36</v>
      </c>
      <c r="B32" s="70">
        <v>1</v>
      </c>
      <c r="C32" t="s">
        <v>194</v>
      </c>
      <c r="D32" t="s">
        <v>38</v>
      </c>
      <c r="E32" t="s">
        <v>49</v>
      </c>
      <c r="F32" t="s">
        <v>50</v>
      </c>
      <c r="G32" s="61">
        <v>11</v>
      </c>
      <c r="H32" s="61">
        <v>0</v>
      </c>
      <c r="I32" s="70">
        <v>21600</v>
      </c>
      <c r="J32" s="72">
        <f t="shared" si="18"/>
        <v>0</v>
      </c>
      <c r="K32" s="61">
        <v>0</v>
      </c>
      <c r="L32" s="61">
        <v>4</v>
      </c>
      <c r="M32">
        <f t="shared" si="19"/>
        <v>0</v>
      </c>
      <c r="N32" s="70">
        <v>76</v>
      </c>
      <c r="O32" s="61">
        <v>0</v>
      </c>
      <c r="P32" s="73">
        <v>75</v>
      </c>
      <c r="Q32">
        <f t="shared" si="20"/>
        <v>-1</v>
      </c>
      <c r="R32" s="79">
        <v>100</v>
      </c>
      <c r="S32" s="70">
        <v>0</v>
      </c>
      <c r="T32" s="70">
        <v>50</v>
      </c>
      <c r="U32">
        <f t="shared" si="21"/>
        <v>0</v>
      </c>
      <c r="V32" s="74">
        <v>4093</v>
      </c>
      <c r="W32" s="2">
        <f t="shared" si="22"/>
        <v>0</v>
      </c>
      <c r="X32">
        <f t="shared" si="23"/>
        <v>-1</v>
      </c>
      <c r="Y32" s="70">
        <v>0</v>
      </c>
      <c r="Z32" s="70">
        <v>0</v>
      </c>
      <c r="AA32" s="70">
        <v>0</v>
      </c>
      <c r="AB32" s="61">
        <v>1</v>
      </c>
      <c r="AC32" s="70">
        <v>0</v>
      </c>
      <c r="AD32" s="70">
        <v>0</v>
      </c>
      <c r="AE32" s="47" t="s">
        <v>309</v>
      </c>
    </row>
    <row r="33" spans="1:31" x14ac:dyDescent="0.2">
      <c r="A33" t="s">
        <v>82</v>
      </c>
      <c r="B33" s="70">
        <v>1</v>
      </c>
      <c r="C33" t="s">
        <v>173</v>
      </c>
      <c r="D33" t="s">
        <v>38</v>
      </c>
      <c r="E33" t="s">
        <v>39</v>
      </c>
      <c r="F33" t="s">
        <v>115</v>
      </c>
      <c r="G33" s="61">
        <v>12</v>
      </c>
      <c r="H33" s="61">
        <v>41738.230000000003</v>
      </c>
      <c r="I33" s="70">
        <v>21000</v>
      </c>
      <c r="J33" s="72">
        <f t="shared" si="18"/>
        <v>1.9875347619047621</v>
      </c>
      <c r="K33" s="61">
        <v>6</v>
      </c>
      <c r="L33" s="61">
        <v>10</v>
      </c>
      <c r="M33">
        <f t="shared" si="19"/>
        <v>0.6</v>
      </c>
      <c r="N33" s="70">
        <v>93</v>
      </c>
      <c r="O33" s="61">
        <v>100</v>
      </c>
      <c r="P33" s="73">
        <v>75</v>
      </c>
      <c r="Q33">
        <f t="shared" si="20"/>
        <v>7.5268817204301008E-2</v>
      </c>
      <c r="R33" s="79">
        <v>0</v>
      </c>
      <c r="S33" s="70">
        <v>50</v>
      </c>
      <c r="T33" s="70">
        <v>25</v>
      </c>
      <c r="U33">
        <f t="shared" si="21"/>
        <v>-0.5</v>
      </c>
      <c r="V33" s="74">
        <v>1978</v>
      </c>
      <c r="W33" s="2">
        <f t="shared" si="22"/>
        <v>6956.3716666666669</v>
      </c>
      <c r="X33">
        <f t="shared" si="23"/>
        <v>2.5168714189416921</v>
      </c>
      <c r="Y33" s="70">
        <v>4</v>
      </c>
      <c r="Z33" s="70">
        <v>6</v>
      </c>
      <c r="AA33" s="70">
        <v>1</v>
      </c>
      <c r="AB33" s="61">
        <v>1</v>
      </c>
      <c r="AC33" s="70">
        <v>1</v>
      </c>
      <c r="AD33" s="70">
        <v>1</v>
      </c>
      <c r="AE33" s="47" t="s">
        <v>295</v>
      </c>
    </row>
    <row r="34" spans="1:31" x14ac:dyDescent="0.2">
      <c r="A34" t="s">
        <v>64</v>
      </c>
      <c r="B34" s="70">
        <v>3</v>
      </c>
      <c r="C34" t="s">
        <v>194</v>
      </c>
      <c r="D34" t="s">
        <v>84</v>
      </c>
      <c r="E34" t="s">
        <v>32</v>
      </c>
      <c r="F34" t="s">
        <v>58</v>
      </c>
      <c r="G34" s="61">
        <v>8</v>
      </c>
      <c r="H34" s="61">
        <v>0</v>
      </c>
      <c r="I34" s="70">
        <v>34000</v>
      </c>
      <c r="J34" s="72">
        <f t="shared" si="18"/>
        <v>0</v>
      </c>
      <c r="K34" s="61">
        <v>0</v>
      </c>
      <c r="L34" s="61">
        <v>13</v>
      </c>
      <c r="M34">
        <f t="shared" si="19"/>
        <v>0</v>
      </c>
      <c r="N34" s="70">
        <v>79</v>
      </c>
      <c r="O34" s="61">
        <v>66</v>
      </c>
      <c r="P34" s="73">
        <v>75</v>
      </c>
      <c r="Q34">
        <f t="shared" si="20"/>
        <v>-0.16455696202531644</v>
      </c>
      <c r="R34" s="79">
        <v>100</v>
      </c>
      <c r="S34" s="70">
        <v>0</v>
      </c>
      <c r="T34" s="70">
        <v>50</v>
      </c>
      <c r="U34">
        <f t="shared" si="21"/>
        <v>0</v>
      </c>
      <c r="V34" s="74">
        <v>3471</v>
      </c>
      <c r="W34" s="2">
        <f t="shared" si="22"/>
        <v>0</v>
      </c>
      <c r="X34">
        <f t="shared" si="23"/>
        <v>-1</v>
      </c>
      <c r="Y34" s="70">
        <v>3</v>
      </c>
      <c r="Z34" s="70">
        <v>4</v>
      </c>
      <c r="AA34" s="70">
        <v>0</v>
      </c>
      <c r="AB34" s="61">
        <v>1</v>
      </c>
      <c r="AC34" s="70">
        <v>0</v>
      </c>
      <c r="AD34" s="70">
        <v>0</v>
      </c>
    </row>
    <row r="35" spans="1:31" x14ac:dyDescent="0.2">
      <c r="A35" t="s">
        <v>135</v>
      </c>
      <c r="B35" s="70">
        <v>1</v>
      </c>
      <c r="C35" t="s">
        <v>173</v>
      </c>
      <c r="D35" t="s">
        <v>136</v>
      </c>
      <c r="E35" t="s">
        <v>137</v>
      </c>
      <c r="F35" t="s">
        <v>138</v>
      </c>
      <c r="G35" s="61">
        <v>6</v>
      </c>
      <c r="H35" s="61">
        <v>5550</v>
      </c>
      <c r="I35" s="70">
        <v>7000</v>
      </c>
      <c r="J35" s="72">
        <f t="shared" si="18"/>
        <v>0.79285714285714282</v>
      </c>
      <c r="K35" s="61">
        <v>5</v>
      </c>
      <c r="L35" s="61">
        <v>7</v>
      </c>
      <c r="M35">
        <f t="shared" si="19"/>
        <v>0.7142857142857143</v>
      </c>
      <c r="N35" s="70">
        <v>0</v>
      </c>
      <c r="O35" s="61">
        <v>100</v>
      </c>
      <c r="P35" s="73">
        <v>37</v>
      </c>
      <c r="Q35">
        <f t="shared" si="20"/>
        <v>0</v>
      </c>
      <c r="R35" s="79">
        <v>0</v>
      </c>
      <c r="S35" s="70">
        <v>0</v>
      </c>
      <c r="T35" s="70">
        <v>50</v>
      </c>
      <c r="U35">
        <f t="shared" si="21"/>
        <v>0</v>
      </c>
      <c r="V35" s="74">
        <v>700</v>
      </c>
      <c r="W35" s="2">
        <f t="shared" si="22"/>
        <v>1110</v>
      </c>
      <c r="X35">
        <f t="shared" si="23"/>
        <v>0.58571428571428563</v>
      </c>
      <c r="Y35" s="70">
        <v>5</v>
      </c>
      <c r="Z35" s="70">
        <v>5</v>
      </c>
      <c r="AA35" s="70">
        <v>1</v>
      </c>
      <c r="AB35" s="61">
        <v>1</v>
      </c>
      <c r="AC35" s="70">
        <v>1</v>
      </c>
      <c r="AD35" s="70">
        <v>1</v>
      </c>
      <c r="AE35" s="47" t="s">
        <v>293</v>
      </c>
    </row>
    <row r="36" spans="1:31" x14ac:dyDescent="0.2">
      <c r="A36" t="s">
        <v>103</v>
      </c>
      <c r="B36" s="70">
        <v>4</v>
      </c>
      <c r="C36" t="s">
        <v>194</v>
      </c>
      <c r="D36" t="s">
        <v>43</v>
      </c>
      <c r="E36" t="s">
        <v>44</v>
      </c>
      <c r="F36" t="s">
        <v>104</v>
      </c>
      <c r="G36" s="61">
        <v>25</v>
      </c>
      <c r="H36" s="61">
        <v>40283.5</v>
      </c>
      <c r="I36" s="70">
        <v>102000</v>
      </c>
      <c r="J36" s="72">
        <f t="shared" si="18"/>
        <v>0.3949362745098039</v>
      </c>
      <c r="K36" s="61">
        <v>17</v>
      </c>
      <c r="L36" s="61">
        <v>40</v>
      </c>
      <c r="M36">
        <f t="shared" si="19"/>
        <v>0.42499999999999999</v>
      </c>
      <c r="N36" s="70">
        <v>84</v>
      </c>
      <c r="O36" s="61">
        <v>65</v>
      </c>
      <c r="P36" s="73">
        <v>75</v>
      </c>
      <c r="Q36">
        <f t="shared" si="20"/>
        <v>-0.22619047619047616</v>
      </c>
      <c r="R36" s="79">
        <v>88</v>
      </c>
      <c r="S36" s="70">
        <v>100</v>
      </c>
      <c r="T36" s="70">
        <v>80</v>
      </c>
      <c r="U36">
        <f t="shared" si="21"/>
        <v>-0.19999999999999996</v>
      </c>
      <c r="V36" s="74">
        <v>2652</v>
      </c>
      <c r="W36" s="2">
        <f t="shared" si="22"/>
        <v>2369.6176470588234</v>
      </c>
      <c r="X36">
        <f t="shared" si="23"/>
        <v>-0.10647901694614503</v>
      </c>
      <c r="Y36" s="70">
        <v>16</v>
      </c>
      <c r="Z36" s="70">
        <v>26</v>
      </c>
      <c r="AA36" s="70">
        <v>0</v>
      </c>
      <c r="AB36" s="61">
        <v>3</v>
      </c>
      <c r="AC36" s="70">
        <v>0</v>
      </c>
      <c r="AD36" s="70">
        <v>0</v>
      </c>
    </row>
    <row r="37" spans="1:31" x14ac:dyDescent="0.2">
      <c r="A37" t="s">
        <v>85</v>
      </c>
      <c r="B37" s="70">
        <v>1</v>
      </c>
      <c r="C37" t="s">
        <v>193</v>
      </c>
      <c r="D37" t="s">
        <v>84</v>
      </c>
      <c r="E37" t="s">
        <v>32</v>
      </c>
      <c r="F37" t="s">
        <v>118</v>
      </c>
      <c r="G37" s="61">
        <v>10</v>
      </c>
      <c r="H37" s="61">
        <v>6690</v>
      </c>
      <c r="I37" s="70">
        <v>8100</v>
      </c>
      <c r="J37" s="72">
        <f t="shared" si="18"/>
        <v>0.82592592592592595</v>
      </c>
      <c r="K37" s="61">
        <v>26</v>
      </c>
      <c r="L37" s="61">
        <v>10</v>
      </c>
      <c r="M37">
        <f t="shared" si="19"/>
        <v>2.6</v>
      </c>
      <c r="N37" s="70">
        <v>71</v>
      </c>
      <c r="O37" s="61">
        <v>100</v>
      </c>
      <c r="P37" s="73">
        <v>75</v>
      </c>
      <c r="Q37">
        <f t="shared" si="20"/>
        <v>0.40845070422535201</v>
      </c>
      <c r="R37" s="79">
        <v>100</v>
      </c>
      <c r="S37" s="70">
        <v>0</v>
      </c>
      <c r="T37" s="70">
        <v>80</v>
      </c>
      <c r="U37">
        <f t="shared" si="21"/>
        <v>0</v>
      </c>
      <c r="V37" s="74">
        <v>413</v>
      </c>
      <c r="W37" s="2">
        <f t="shared" si="22"/>
        <v>257.30769230769232</v>
      </c>
      <c r="X37">
        <f t="shared" si="23"/>
        <v>-0.37697895325013964</v>
      </c>
      <c r="Y37" s="70">
        <v>5</v>
      </c>
      <c r="Z37" s="70">
        <v>12</v>
      </c>
      <c r="AA37" s="70">
        <v>1</v>
      </c>
      <c r="AB37" s="61">
        <v>2</v>
      </c>
      <c r="AC37" s="70">
        <v>1</v>
      </c>
      <c r="AD37" s="70">
        <v>0</v>
      </c>
      <c r="AE37" s="47" t="s">
        <v>222</v>
      </c>
    </row>
    <row r="38" spans="1:31" x14ac:dyDescent="0.2">
      <c r="A38" t="s">
        <v>121</v>
      </c>
      <c r="B38" s="70">
        <v>4</v>
      </c>
      <c r="C38" t="s">
        <v>172</v>
      </c>
      <c r="D38" t="s">
        <v>38</v>
      </c>
      <c r="E38" t="s">
        <v>39</v>
      </c>
      <c r="F38" t="s">
        <v>145</v>
      </c>
      <c r="G38" s="61">
        <v>25</v>
      </c>
      <c r="H38" s="61">
        <v>82606.63</v>
      </c>
      <c r="I38" s="70">
        <v>125346</v>
      </c>
      <c r="J38" s="72">
        <f t="shared" si="18"/>
        <v>0.65902884814832552</v>
      </c>
      <c r="K38" s="61">
        <v>9</v>
      </c>
      <c r="L38" s="61">
        <v>9</v>
      </c>
      <c r="M38">
        <f t="shared" si="19"/>
        <v>1</v>
      </c>
      <c r="N38" s="70">
        <v>96</v>
      </c>
      <c r="O38" s="61">
        <v>88</v>
      </c>
      <c r="P38" s="73">
        <v>75</v>
      </c>
      <c r="Q38">
        <f t="shared" si="20"/>
        <v>-8.333333333333337E-2</v>
      </c>
      <c r="R38" s="79">
        <v>43</v>
      </c>
      <c r="S38" s="70">
        <v>100</v>
      </c>
      <c r="T38" s="70">
        <v>50</v>
      </c>
      <c r="U38">
        <f t="shared" si="21"/>
        <v>-0.5</v>
      </c>
      <c r="V38" s="74">
        <v>12388</v>
      </c>
      <c r="W38" s="2">
        <f t="shared" si="22"/>
        <v>9178.514444444445</v>
      </c>
      <c r="X38">
        <f t="shared" si="23"/>
        <v>-0.2590802030638969</v>
      </c>
      <c r="Y38" s="70">
        <v>9</v>
      </c>
      <c r="Z38" s="70">
        <v>13</v>
      </c>
      <c r="AA38" s="70">
        <v>1</v>
      </c>
      <c r="AB38" s="61">
        <v>1</v>
      </c>
      <c r="AC38" s="70">
        <v>1</v>
      </c>
      <c r="AD38" s="70">
        <v>1</v>
      </c>
      <c r="AE38" s="47" t="s">
        <v>223</v>
      </c>
    </row>
    <row r="39" spans="1:31" x14ac:dyDescent="0.2">
      <c r="A39" t="s">
        <v>314</v>
      </c>
      <c r="B39" s="70">
        <v>1</v>
      </c>
      <c r="C39" t="s">
        <v>173</v>
      </c>
      <c r="D39" t="s">
        <v>318</v>
      </c>
      <c r="E39" t="s">
        <v>68</v>
      </c>
      <c r="F39" t="s">
        <v>319</v>
      </c>
      <c r="G39" s="61">
        <v>5</v>
      </c>
      <c r="H39" s="61">
        <v>0</v>
      </c>
      <c r="I39" s="70">
        <v>0</v>
      </c>
      <c r="J39" s="72"/>
      <c r="K39" s="61">
        <v>0</v>
      </c>
      <c r="L39" s="61">
        <v>0</v>
      </c>
      <c r="N39" s="70">
        <v>0</v>
      </c>
      <c r="O39" s="61">
        <v>0</v>
      </c>
      <c r="P39" s="73">
        <v>0</v>
      </c>
      <c r="R39" s="79">
        <v>0</v>
      </c>
      <c r="S39" s="70">
        <v>0</v>
      </c>
      <c r="T39" s="70">
        <v>0</v>
      </c>
      <c r="V39" s="74">
        <v>0</v>
      </c>
      <c r="W39" s="2">
        <f>IF(K39=0,0,H39/K39)</f>
        <v>0</v>
      </c>
      <c r="X39">
        <f>IF(V39=0,0,(W39/V39)-1)</f>
        <v>0</v>
      </c>
      <c r="Y39" s="70">
        <v>0</v>
      </c>
      <c r="Z39" s="70">
        <v>0</v>
      </c>
      <c r="AA39" s="70">
        <v>0</v>
      </c>
      <c r="AB39" s="61">
        <v>0</v>
      </c>
      <c r="AC39" s="70">
        <v>0</v>
      </c>
      <c r="AD39" s="70">
        <v>0</v>
      </c>
      <c r="AE39" s="47"/>
    </row>
    <row r="40" spans="1:31" x14ac:dyDescent="0.2">
      <c r="A40" t="s">
        <v>315</v>
      </c>
      <c r="B40" s="70">
        <v>1</v>
      </c>
      <c r="C40" t="s">
        <v>193</v>
      </c>
      <c r="D40" t="s">
        <v>43</v>
      </c>
      <c r="E40" t="s">
        <v>44</v>
      </c>
      <c r="F40" t="s">
        <v>97</v>
      </c>
      <c r="G40" s="61">
        <v>11</v>
      </c>
      <c r="H40" s="61">
        <v>559.17999999999995</v>
      </c>
      <c r="I40" s="70">
        <v>0</v>
      </c>
      <c r="J40" s="72"/>
      <c r="K40" s="61">
        <v>1</v>
      </c>
      <c r="L40" s="61">
        <v>0</v>
      </c>
      <c r="N40" s="70">
        <v>0</v>
      </c>
      <c r="O40" s="61">
        <v>18</v>
      </c>
      <c r="P40" s="73">
        <v>0</v>
      </c>
      <c r="R40" s="79">
        <v>0</v>
      </c>
      <c r="S40" s="70">
        <v>0</v>
      </c>
      <c r="T40" s="70">
        <v>0</v>
      </c>
      <c r="V40" s="74">
        <v>0</v>
      </c>
      <c r="W40" s="2">
        <f t="shared" ref="W40" si="24">IF(K40=0,0,H40/K40)</f>
        <v>559.17999999999995</v>
      </c>
      <c r="X40">
        <f t="shared" ref="X40" si="25">IF(V40=0,0,(W40/V40)-1)</f>
        <v>0</v>
      </c>
      <c r="Y40" s="70">
        <v>0</v>
      </c>
      <c r="Z40" s="70">
        <v>0</v>
      </c>
      <c r="AA40" s="70">
        <v>0</v>
      </c>
      <c r="AB40" s="61">
        <v>0</v>
      </c>
      <c r="AC40" s="70">
        <v>0</v>
      </c>
      <c r="AD40" s="70">
        <v>0</v>
      </c>
      <c r="AE40" s="47"/>
    </row>
    <row r="41" spans="1:31" x14ac:dyDescent="0.2">
      <c r="A41" t="s">
        <v>116</v>
      </c>
      <c r="B41" s="70">
        <v>3</v>
      </c>
      <c r="C41" t="s">
        <v>173</v>
      </c>
      <c r="D41" t="s">
        <v>43</v>
      </c>
      <c r="E41" t="s">
        <v>44</v>
      </c>
      <c r="F41" t="s">
        <v>27</v>
      </c>
      <c r="G41" s="61">
        <v>16</v>
      </c>
      <c r="H41" s="61">
        <v>3714</v>
      </c>
      <c r="I41" s="70">
        <v>17674.88</v>
      </c>
      <c r="J41" s="72">
        <f t="shared" si="18"/>
        <v>0.21012872506065103</v>
      </c>
      <c r="K41" s="61">
        <v>4</v>
      </c>
      <c r="L41" s="61">
        <v>10</v>
      </c>
      <c r="M41">
        <f t="shared" si="19"/>
        <v>0.4</v>
      </c>
      <c r="N41" s="70">
        <v>65</v>
      </c>
      <c r="O41" s="61">
        <v>31</v>
      </c>
      <c r="P41" s="73">
        <v>75</v>
      </c>
      <c r="Q41">
        <f t="shared" si="20"/>
        <v>-0.52307692307692299</v>
      </c>
      <c r="R41" s="79">
        <v>100</v>
      </c>
      <c r="S41" s="70">
        <v>100</v>
      </c>
      <c r="T41" s="70">
        <v>50</v>
      </c>
      <c r="U41">
        <f t="shared" si="21"/>
        <v>-0.5</v>
      </c>
      <c r="V41" s="74">
        <v>2666</v>
      </c>
      <c r="W41" s="2">
        <f t="shared" si="22"/>
        <v>928.5</v>
      </c>
      <c r="X41">
        <f t="shared" si="23"/>
        <v>-0.65172543135783945</v>
      </c>
      <c r="Y41" s="70">
        <v>6</v>
      </c>
      <c r="Z41" s="70">
        <v>6</v>
      </c>
      <c r="AA41" s="70">
        <v>0</v>
      </c>
      <c r="AB41" s="61">
        <v>2</v>
      </c>
      <c r="AC41" s="70">
        <v>0</v>
      </c>
      <c r="AD41" s="70">
        <v>0</v>
      </c>
      <c r="AE41" s="47" t="s">
        <v>304</v>
      </c>
    </row>
    <row r="42" spans="1:31" x14ac:dyDescent="0.2">
      <c r="A42" t="s">
        <v>86</v>
      </c>
      <c r="B42" s="70">
        <v>1</v>
      </c>
      <c r="C42" t="s">
        <v>173</v>
      </c>
      <c r="D42" t="s">
        <v>38</v>
      </c>
      <c r="E42" t="s">
        <v>87</v>
      </c>
      <c r="F42" t="s">
        <v>61</v>
      </c>
      <c r="G42" s="61">
        <v>13</v>
      </c>
      <c r="H42" s="61">
        <v>2405</v>
      </c>
      <c r="I42" s="70">
        <v>1000</v>
      </c>
      <c r="J42" s="72">
        <f t="shared" si="18"/>
        <v>2.4049999999999998</v>
      </c>
      <c r="K42" s="61">
        <v>5</v>
      </c>
      <c r="L42" s="61">
        <v>5</v>
      </c>
      <c r="M42">
        <f t="shared" si="19"/>
        <v>1</v>
      </c>
      <c r="N42" s="70">
        <v>71</v>
      </c>
      <c r="O42" s="61">
        <v>69</v>
      </c>
      <c r="P42" s="73">
        <v>72</v>
      </c>
      <c r="Q42">
        <f t="shared" si="20"/>
        <v>-2.8169014084507005E-2</v>
      </c>
      <c r="R42" s="79">
        <v>0</v>
      </c>
      <c r="S42" s="70">
        <v>0</v>
      </c>
      <c r="T42" s="70">
        <v>1</v>
      </c>
      <c r="U42">
        <f t="shared" si="21"/>
        <v>0</v>
      </c>
      <c r="V42" s="74">
        <v>308</v>
      </c>
      <c r="W42" s="2">
        <f t="shared" si="22"/>
        <v>481</v>
      </c>
      <c r="X42">
        <f t="shared" si="23"/>
        <v>0.56168831168831179</v>
      </c>
      <c r="Y42" s="70">
        <v>4</v>
      </c>
      <c r="Z42" s="70">
        <v>4</v>
      </c>
      <c r="AA42" s="70">
        <v>1</v>
      </c>
      <c r="AB42" s="61">
        <v>1</v>
      </c>
      <c r="AC42" s="70">
        <v>1</v>
      </c>
      <c r="AD42" s="70">
        <v>0</v>
      </c>
      <c r="AE42" s="47" t="s">
        <v>224</v>
      </c>
    </row>
    <row r="43" spans="1:31" x14ac:dyDescent="0.2">
      <c r="A43" t="s">
        <v>102</v>
      </c>
      <c r="B43" s="70">
        <v>1</v>
      </c>
      <c r="C43" t="s">
        <v>193</v>
      </c>
      <c r="D43" t="s">
        <v>38</v>
      </c>
      <c r="E43" t="s">
        <v>87</v>
      </c>
      <c r="F43" t="s">
        <v>51</v>
      </c>
      <c r="G43" s="61">
        <v>17</v>
      </c>
      <c r="H43" s="61">
        <v>2721.5</v>
      </c>
      <c r="I43" s="70">
        <v>8325</v>
      </c>
      <c r="J43" s="72">
        <f t="shared" si="18"/>
        <v>0.32690690690690688</v>
      </c>
      <c r="K43" s="61">
        <v>30</v>
      </c>
      <c r="L43" s="61">
        <v>12</v>
      </c>
      <c r="M43">
        <f t="shared" si="19"/>
        <v>2.5</v>
      </c>
      <c r="N43" s="70">
        <v>82</v>
      </c>
      <c r="O43" s="61">
        <v>76</v>
      </c>
      <c r="P43" s="73">
        <v>75</v>
      </c>
      <c r="Q43">
        <f t="shared" si="20"/>
        <v>-7.3170731707317027E-2</v>
      </c>
      <c r="R43" s="79">
        <v>50</v>
      </c>
      <c r="S43" s="70">
        <v>0</v>
      </c>
      <c r="T43" s="70">
        <v>50</v>
      </c>
      <c r="U43">
        <f t="shared" si="21"/>
        <v>0</v>
      </c>
      <c r="V43" s="74">
        <v>653</v>
      </c>
      <c r="W43" s="2">
        <f t="shared" si="22"/>
        <v>90.716666666666669</v>
      </c>
      <c r="X43">
        <f t="shared" si="23"/>
        <v>-0.86107708014293005</v>
      </c>
      <c r="Y43" s="70">
        <v>2</v>
      </c>
      <c r="Z43" s="70">
        <v>8</v>
      </c>
      <c r="AA43" s="70">
        <v>1</v>
      </c>
      <c r="AB43" s="61">
        <v>2</v>
      </c>
      <c r="AC43" s="70">
        <v>1</v>
      </c>
      <c r="AD43" s="70">
        <v>9</v>
      </c>
      <c r="AE43" s="47" t="s">
        <v>291</v>
      </c>
    </row>
    <row r="44" spans="1:31" x14ac:dyDescent="0.2">
      <c r="A44" t="s">
        <v>106</v>
      </c>
      <c r="B44" s="70">
        <v>1</v>
      </c>
      <c r="C44" t="s">
        <v>194</v>
      </c>
      <c r="D44" t="s">
        <v>43</v>
      </c>
      <c r="E44" t="s">
        <v>44</v>
      </c>
      <c r="F44" t="s">
        <v>149</v>
      </c>
      <c r="G44" s="61">
        <v>13</v>
      </c>
      <c r="H44" s="61">
        <v>58939</v>
      </c>
      <c r="I44" s="70">
        <v>127560</v>
      </c>
      <c r="J44" s="72">
        <f t="shared" si="18"/>
        <v>0.46204923173408591</v>
      </c>
      <c r="K44" s="61">
        <v>14</v>
      </c>
      <c r="L44" s="61">
        <v>25</v>
      </c>
      <c r="M44">
        <f t="shared" si="19"/>
        <v>0.56000000000000005</v>
      </c>
      <c r="N44" s="70">
        <v>84</v>
      </c>
      <c r="O44" s="61">
        <v>81</v>
      </c>
      <c r="P44" s="73">
        <v>75</v>
      </c>
      <c r="Q44">
        <f t="shared" si="20"/>
        <v>-3.5714285714285698E-2</v>
      </c>
      <c r="R44" s="79">
        <v>100</v>
      </c>
      <c r="S44" s="70">
        <v>28</v>
      </c>
      <c r="T44" s="70">
        <v>75</v>
      </c>
      <c r="U44">
        <f t="shared" si="21"/>
        <v>1.6785714285714284</v>
      </c>
      <c r="V44" s="74">
        <v>4049</v>
      </c>
      <c r="W44" s="2">
        <f t="shared" si="22"/>
        <v>4209.9285714285716</v>
      </c>
      <c r="X44">
        <f t="shared" si="23"/>
        <v>3.9745263380728924E-2</v>
      </c>
      <c r="Y44" s="70">
        <v>20</v>
      </c>
      <c r="Z44" s="70">
        <v>36</v>
      </c>
      <c r="AA44" s="70">
        <v>3</v>
      </c>
      <c r="AB44" s="61">
        <v>3</v>
      </c>
      <c r="AC44" s="70">
        <v>5</v>
      </c>
      <c r="AD44" s="70">
        <v>3</v>
      </c>
      <c r="AE44" s="47" t="s">
        <v>296</v>
      </c>
    </row>
    <row r="45" spans="1:31" x14ac:dyDescent="0.2">
      <c r="A45" t="s">
        <v>31</v>
      </c>
      <c r="B45" s="70">
        <v>1</v>
      </c>
      <c r="C45" t="s">
        <v>194</v>
      </c>
      <c r="D45" t="s">
        <v>84</v>
      </c>
      <c r="E45" t="s">
        <v>32</v>
      </c>
      <c r="F45" t="s">
        <v>33</v>
      </c>
      <c r="G45" s="61">
        <v>14</v>
      </c>
      <c r="H45" s="61">
        <v>4150.6000000000004</v>
      </c>
      <c r="I45" s="70">
        <v>7025</v>
      </c>
      <c r="J45" s="72">
        <f t="shared" si="18"/>
        <v>0.59083274021352317</v>
      </c>
      <c r="K45" s="61">
        <v>6</v>
      </c>
      <c r="L45" s="61">
        <v>6</v>
      </c>
      <c r="M45">
        <f t="shared" si="19"/>
        <v>1</v>
      </c>
      <c r="N45" s="70">
        <v>100</v>
      </c>
      <c r="O45" s="61">
        <v>85</v>
      </c>
      <c r="P45" s="73">
        <v>75</v>
      </c>
      <c r="Q45">
        <f t="shared" si="20"/>
        <v>-0.15000000000000002</v>
      </c>
      <c r="R45" s="79">
        <v>0</v>
      </c>
      <c r="S45" s="70">
        <v>100</v>
      </c>
      <c r="T45" s="70">
        <v>25</v>
      </c>
      <c r="U45">
        <f t="shared" si="21"/>
        <v>-0.75</v>
      </c>
      <c r="V45" s="74">
        <v>871</v>
      </c>
      <c r="W45" s="2">
        <f t="shared" si="22"/>
        <v>691.76666666666677</v>
      </c>
      <c r="X45">
        <f t="shared" si="23"/>
        <v>-0.20577879831611168</v>
      </c>
      <c r="Y45" s="70">
        <v>6</v>
      </c>
      <c r="Z45" s="70">
        <v>8</v>
      </c>
      <c r="AA45" s="70">
        <v>1</v>
      </c>
      <c r="AB45" s="61">
        <v>1</v>
      </c>
      <c r="AC45" s="70">
        <v>1</v>
      </c>
      <c r="AD45" s="70">
        <v>0</v>
      </c>
      <c r="AE45" s="47" t="s">
        <v>292</v>
      </c>
    </row>
    <row r="46" spans="1:31" x14ac:dyDescent="0.2">
      <c r="A46" t="s">
        <v>143</v>
      </c>
      <c r="B46" s="70">
        <v>2</v>
      </c>
      <c r="C46" t="s">
        <v>173</v>
      </c>
      <c r="D46" t="s">
        <v>38</v>
      </c>
      <c r="E46" t="s">
        <v>39</v>
      </c>
      <c r="F46" t="s">
        <v>60</v>
      </c>
      <c r="G46" s="61">
        <v>22</v>
      </c>
      <c r="H46" s="61">
        <v>56800</v>
      </c>
      <c r="I46" s="70">
        <v>60000</v>
      </c>
      <c r="J46" s="72">
        <f t="shared" si="18"/>
        <v>0.94666666666666666</v>
      </c>
      <c r="K46" s="61">
        <v>17</v>
      </c>
      <c r="L46" s="61">
        <v>13</v>
      </c>
      <c r="M46">
        <f t="shared" si="19"/>
        <v>1.3076923076923077</v>
      </c>
      <c r="N46" s="70">
        <v>42</v>
      </c>
      <c r="O46" s="61">
        <v>67</v>
      </c>
      <c r="P46" s="73">
        <v>60</v>
      </c>
      <c r="Q46">
        <f t="shared" si="20"/>
        <v>0.59523809523809534</v>
      </c>
      <c r="R46" s="79">
        <v>56</v>
      </c>
      <c r="S46" s="70">
        <v>100</v>
      </c>
      <c r="T46" s="70">
        <v>80</v>
      </c>
      <c r="U46">
        <f t="shared" si="21"/>
        <v>-0.19999999999999996</v>
      </c>
      <c r="V46" s="74">
        <v>1625</v>
      </c>
      <c r="W46" s="2">
        <f t="shared" si="22"/>
        <v>3341.1764705882351</v>
      </c>
      <c r="X46">
        <f t="shared" si="23"/>
        <v>1.0561085972850677</v>
      </c>
      <c r="Y46" s="70">
        <v>14</v>
      </c>
      <c r="Z46" s="70">
        <v>15</v>
      </c>
      <c r="AA46" s="70">
        <v>0</v>
      </c>
      <c r="AB46" s="61">
        <v>1</v>
      </c>
      <c r="AC46" s="70">
        <v>0</v>
      </c>
      <c r="AD46" s="70">
        <v>0</v>
      </c>
      <c r="AE46" s="47" t="s">
        <v>225</v>
      </c>
    </row>
    <row r="47" spans="1:31" x14ac:dyDescent="0.2">
      <c r="A47" t="s">
        <v>70</v>
      </c>
      <c r="B47" s="70">
        <v>1</v>
      </c>
      <c r="C47" t="s">
        <v>175</v>
      </c>
      <c r="D47" t="s">
        <v>67</v>
      </c>
      <c r="E47" t="s">
        <v>68</v>
      </c>
      <c r="F47" t="s">
        <v>34</v>
      </c>
      <c r="G47" s="61">
        <v>14</v>
      </c>
      <c r="H47" s="61">
        <v>7200</v>
      </c>
      <c r="I47" s="70">
        <v>6000</v>
      </c>
      <c r="J47" s="72">
        <f t="shared" si="18"/>
        <v>1.2</v>
      </c>
      <c r="K47" s="61">
        <v>4</v>
      </c>
      <c r="L47" s="61">
        <v>6</v>
      </c>
      <c r="M47">
        <f t="shared" si="19"/>
        <v>0.66666666666666663</v>
      </c>
      <c r="N47" s="70">
        <v>60</v>
      </c>
      <c r="O47" s="61">
        <v>86</v>
      </c>
      <c r="P47" s="73">
        <v>70</v>
      </c>
      <c r="Q47">
        <f t="shared" si="20"/>
        <v>0.43333333333333335</v>
      </c>
      <c r="R47" s="79">
        <v>0</v>
      </c>
      <c r="S47" s="70">
        <v>0</v>
      </c>
      <c r="T47" s="70">
        <v>21</v>
      </c>
      <c r="U47">
        <f t="shared" si="21"/>
        <v>0</v>
      </c>
      <c r="V47" s="74">
        <v>933</v>
      </c>
      <c r="W47" s="2">
        <f t="shared" si="22"/>
        <v>1800</v>
      </c>
      <c r="X47">
        <f t="shared" si="23"/>
        <v>0.92926045016077174</v>
      </c>
      <c r="Y47" s="70">
        <v>2</v>
      </c>
      <c r="Z47" s="70">
        <v>2</v>
      </c>
      <c r="AA47" s="70">
        <v>1</v>
      </c>
      <c r="AB47" s="61">
        <v>1</v>
      </c>
      <c r="AC47" s="70">
        <v>1</v>
      </c>
      <c r="AD47" s="70">
        <v>1</v>
      </c>
      <c r="AE47" s="47" t="s">
        <v>297</v>
      </c>
    </row>
    <row r="48" spans="1:31" x14ac:dyDescent="0.2">
      <c r="A48" t="s">
        <v>80</v>
      </c>
      <c r="B48" s="70">
        <v>1</v>
      </c>
      <c r="C48" t="s">
        <v>173</v>
      </c>
      <c r="D48" t="s">
        <v>38</v>
      </c>
      <c r="E48" t="s">
        <v>39</v>
      </c>
      <c r="F48" t="s">
        <v>81</v>
      </c>
      <c r="G48" s="61">
        <v>10</v>
      </c>
      <c r="H48" s="61">
        <v>5420</v>
      </c>
      <c r="I48" s="70">
        <v>6510</v>
      </c>
      <c r="J48" s="72">
        <f t="shared" si="18"/>
        <v>0.83256528417818743</v>
      </c>
      <c r="K48" s="61">
        <v>6</v>
      </c>
      <c r="L48" s="61">
        <v>2</v>
      </c>
      <c r="M48">
        <f t="shared" si="19"/>
        <v>3</v>
      </c>
      <c r="N48" s="70">
        <v>100</v>
      </c>
      <c r="O48" s="61">
        <v>90</v>
      </c>
      <c r="P48" s="73">
        <v>75</v>
      </c>
      <c r="Q48">
        <f t="shared" si="20"/>
        <v>-9.9999999999999978E-2</v>
      </c>
      <c r="R48" s="79">
        <v>0</v>
      </c>
      <c r="S48" s="70">
        <v>0</v>
      </c>
      <c r="T48" s="70">
        <v>1</v>
      </c>
      <c r="U48">
        <f t="shared" si="21"/>
        <v>0</v>
      </c>
      <c r="V48" s="74">
        <v>1446</v>
      </c>
      <c r="W48" s="2">
        <f t="shared" si="22"/>
        <v>903.33333333333337</v>
      </c>
      <c r="X48">
        <f t="shared" si="23"/>
        <v>-0.37528815122176118</v>
      </c>
      <c r="Y48" s="70">
        <v>3</v>
      </c>
      <c r="Z48" s="70">
        <v>5</v>
      </c>
      <c r="AA48" s="70">
        <v>0</v>
      </c>
      <c r="AB48" s="61">
        <v>1</v>
      </c>
      <c r="AC48" s="70">
        <v>0</v>
      </c>
      <c r="AD48" s="70">
        <v>0</v>
      </c>
      <c r="AE48" s="47" t="s">
        <v>290</v>
      </c>
    </row>
    <row r="49" spans="1:31" x14ac:dyDescent="0.2">
      <c r="A49" t="s">
        <v>77</v>
      </c>
      <c r="B49" s="70">
        <v>1</v>
      </c>
      <c r="C49" t="s">
        <v>194</v>
      </c>
      <c r="D49" t="s">
        <v>84</v>
      </c>
      <c r="E49" t="s">
        <v>32</v>
      </c>
      <c r="F49" t="s">
        <v>78</v>
      </c>
      <c r="G49" s="61">
        <v>4</v>
      </c>
      <c r="H49" s="61">
        <v>600</v>
      </c>
      <c r="I49" s="70">
        <v>5400</v>
      </c>
      <c r="J49" s="72">
        <f t="shared" si="18"/>
        <v>0.1111111111111111</v>
      </c>
      <c r="K49" s="61">
        <v>2</v>
      </c>
      <c r="L49" s="61">
        <v>8</v>
      </c>
      <c r="M49">
        <f t="shared" si="19"/>
        <v>0.25</v>
      </c>
      <c r="N49" s="70">
        <v>30</v>
      </c>
      <c r="O49" s="61">
        <v>75</v>
      </c>
      <c r="P49" s="73">
        <v>66</v>
      </c>
      <c r="Q49">
        <f t="shared" si="20"/>
        <v>1.5</v>
      </c>
      <c r="R49" s="79">
        <v>100</v>
      </c>
      <c r="S49" s="70">
        <v>100</v>
      </c>
      <c r="T49" s="70">
        <v>50</v>
      </c>
      <c r="U49">
        <f t="shared" si="21"/>
        <v>-0.5</v>
      </c>
      <c r="V49" s="74">
        <v>270</v>
      </c>
      <c r="W49" s="2">
        <f t="shared" si="22"/>
        <v>300</v>
      </c>
      <c r="X49">
        <f t="shared" si="23"/>
        <v>0.11111111111111116</v>
      </c>
      <c r="Y49" s="70">
        <v>2</v>
      </c>
      <c r="Z49" s="70">
        <v>2</v>
      </c>
      <c r="AA49" s="70">
        <v>0</v>
      </c>
      <c r="AB49" s="61">
        <v>1</v>
      </c>
      <c r="AC49" s="70">
        <v>0</v>
      </c>
      <c r="AD49" s="70">
        <v>0</v>
      </c>
      <c r="AE49" s="47" t="s">
        <v>226</v>
      </c>
    </row>
    <row r="50" spans="1:31" x14ac:dyDescent="0.2">
      <c r="A50" t="s">
        <v>52</v>
      </c>
      <c r="B50" s="70">
        <v>1</v>
      </c>
      <c r="C50" t="s">
        <v>173</v>
      </c>
      <c r="D50" t="s">
        <v>43</v>
      </c>
      <c r="E50" t="s">
        <v>44</v>
      </c>
      <c r="F50" t="s">
        <v>53</v>
      </c>
      <c r="G50" s="61">
        <v>6</v>
      </c>
      <c r="H50" s="61">
        <v>4300</v>
      </c>
      <c r="I50" s="70">
        <v>6600</v>
      </c>
      <c r="J50" s="72">
        <f t="shared" si="18"/>
        <v>0.65151515151515149</v>
      </c>
      <c r="K50" s="61">
        <v>2</v>
      </c>
      <c r="L50" s="61">
        <v>8</v>
      </c>
      <c r="M50">
        <f t="shared" si="19"/>
        <v>0.25</v>
      </c>
      <c r="N50" s="70">
        <v>63</v>
      </c>
      <c r="O50" s="61">
        <v>100</v>
      </c>
      <c r="P50" s="73">
        <v>70</v>
      </c>
      <c r="Q50">
        <f t="shared" si="20"/>
        <v>0.58730158730158721</v>
      </c>
      <c r="R50" s="79">
        <v>71</v>
      </c>
      <c r="S50" s="70">
        <v>100</v>
      </c>
      <c r="T50" s="70">
        <v>50</v>
      </c>
      <c r="U50">
        <f t="shared" si="21"/>
        <v>-0.5</v>
      </c>
      <c r="V50" s="74">
        <v>263</v>
      </c>
      <c r="W50" s="2">
        <f t="shared" si="22"/>
        <v>2150</v>
      </c>
      <c r="X50">
        <f t="shared" si="23"/>
        <v>7.1749049429657799</v>
      </c>
      <c r="Y50" s="70">
        <v>2</v>
      </c>
      <c r="Z50" s="70">
        <v>2</v>
      </c>
      <c r="AA50" s="70">
        <v>0</v>
      </c>
      <c r="AB50" s="61">
        <v>2</v>
      </c>
      <c r="AC50" s="70">
        <v>0</v>
      </c>
      <c r="AD50" s="70">
        <v>0</v>
      </c>
    </row>
    <row r="51" spans="1:31" x14ac:dyDescent="0.2">
      <c r="A51" t="s">
        <v>105</v>
      </c>
      <c r="B51" s="70">
        <v>1</v>
      </c>
      <c r="C51" t="s">
        <v>195</v>
      </c>
      <c r="D51" t="s">
        <v>43</v>
      </c>
      <c r="E51" t="s">
        <v>44</v>
      </c>
      <c r="F51" t="s">
        <v>141</v>
      </c>
      <c r="G51" s="61">
        <v>6</v>
      </c>
      <c r="H51" s="61">
        <v>1050</v>
      </c>
      <c r="I51" s="70">
        <v>12330</v>
      </c>
      <c r="J51" s="72">
        <f t="shared" si="18"/>
        <v>8.5158150851581502E-2</v>
      </c>
      <c r="K51" s="61">
        <v>3</v>
      </c>
      <c r="L51" s="61">
        <v>10</v>
      </c>
      <c r="M51">
        <f t="shared" si="19"/>
        <v>0.3</v>
      </c>
      <c r="N51" s="70">
        <v>100</v>
      </c>
      <c r="O51" s="61">
        <v>33</v>
      </c>
      <c r="P51" s="73">
        <v>75</v>
      </c>
      <c r="Q51">
        <f t="shared" si="20"/>
        <v>-0.66999999999999993</v>
      </c>
      <c r="R51" s="79">
        <v>40</v>
      </c>
      <c r="S51" s="70">
        <v>100</v>
      </c>
      <c r="T51" s="70">
        <v>65</v>
      </c>
      <c r="U51">
        <f t="shared" si="21"/>
        <v>-0.35</v>
      </c>
      <c r="V51" s="74">
        <v>782</v>
      </c>
      <c r="W51" s="2">
        <f t="shared" si="22"/>
        <v>350</v>
      </c>
      <c r="X51">
        <f t="shared" si="23"/>
        <v>-0.55242966751918154</v>
      </c>
      <c r="Y51" s="70">
        <v>9</v>
      </c>
      <c r="Z51" s="70">
        <v>12</v>
      </c>
      <c r="AA51" s="70">
        <v>0</v>
      </c>
      <c r="AB51" s="61">
        <v>2</v>
      </c>
      <c r="AC51" s="70">
        <v>0</v>
      </c>
      <c r="AD51" s="70">
        <v>0</v>
      </c>
      <c r="AE51" s="47" t="s">
        <v>227</v>
      </c>
    </row>
    <row r="52" spans="1:31" x14ac:dyDescent="0.2">
      <c r="A52" t="s">
        <v>98</v>
      </c>
      <c r="B52" s="70">
        <v>5</v>
      </c>
      <c r="C52" t="s">
        <v>194</v>
      </c>
      <c r="D52" t="s">
        <v>38</v>
      </c>
      <c r="E52" t="s">
        <v>39</v>
      </c>
      <c r="F52" t="s">
        <v>139</v>
      </c>
      <c r="G52" s="61">
        <v>24</v>
      </c>
      <c r="H52" s="61">
        <v>227637.2</v>
      </c>
      <c r="I52" s="70">
        <v>270000</v>
      </c>
      <c r="J52" s="72">
        <f t="shared" si="18"/>
        <v>0.84310074074074082</v>
      </c>
      <c r="K52" s="61">
        <v>44</v>
      </c>
      <c r="L52" s="61">
        <v>34</v>
      </c>
      <c r="M52">
        <f t="shared" si="19"/>
        <v>1.2941176470588236</v>
      </c>
      <c r="N52" s="70">
        <v>98</v>
      </c>
      <c r="O52" s="61">
        <v>80</v>
      </c>
      <c r="P52" s="73">
        <v>75</v>
      </c>
      <c r="Q52">
        <f t="shared" si="20"/>
        <v>-0.18367346938775508</v>
      </c>
      <c r="R52" s="79">
        <v>72</v>
      </c>
      <c r="S52" s="70">
        <v>87</v>
      </c>
      <c r="T52" s="70">
        <v>72</v>
      </c>
      <c r="U52">
        <f t="shared" si="21"/>
        <v>-0.17241379310344829</v>
      </c>
      <c r="V52" s="74">
        <v>4707</v>
      </c>
      <c r="W52" s="2">
        <f t="shared" si="22"/>
        <v>5173.5727272727272</v>
      </c>
      <c r="X52">
        <f t="shared" si="23"/>
        <v>9.9123162794290787E-2</v>
      </c>
      <c r="Y52" s="70">
        <v>36</v>
      </c>
      <c r="Z52" s="70">
        <v>36</v>
      </c>
      <c r="AA52" s="70">
        <v>7</v>
      </c>
      <c r="AB52" s="61">
        <v>6</v>
      </c>
      <c r="AC52" s="70">
        <v>6</v>
      </c>
      <c r="AD52" s="70">
        <v>3</v>
      </c>
      <c r="AE52" s="47" t="s">
        <v>228</v>
      </c>
    </row>
    <row r="53" spans="1:31" x14ac:dyDescent="0.2">
      <c r="A53" t="s">
        <v>109</v>
      </c>
      <c r="B53" s="70">
        <v>1</v>
      </c>
      <c r="C53" t="s">
        <v>173</v>
      </c>
      <c r="D53" t="s">
        <v>38</v>
      </c>
      <c r="E53" t="s">
        <v>39</v>
      </c>
      <c r="F53" t="s">
        <v>110</v>
      </c>
      <c r="G53" s="61">
        <v>9</v>
      </c>
      <c r="H53" s="61">
        <v>153</v>
      </c>
      <c r="I53" s="70">
        <v>6600</v>
      </c>
      <c r="J53" s="72">
        <f t="shared" si="18"/>
        <v>2.3181818181818182E-2</v>
      </c>
      <c r="K53" s="61">
        <v>1</v>
      </c>
      <c r="L53" s="61">
        <v>2</v>
      </c>
      <c r="M53">
        <f t="shared" si="19"/>
        <v>0.5</v>
      </c>
      <c r="N53" s="70">
        <v>57</v>
      </c>
      <c r="O53" s="61">
        <v>33</v>
      </c>
      <c r="P53" s="73">
        <v>70</v>
      </c>
      <c r="Q53">
        <f t="shared" si="20"/>
        <v>-0.42105263157894735</v>
      </c>
      <c r="R53" s="79">
        <v>40</v>
      </c>
      <c r="S53" s="70">
        <v>0</v>
      </c>
      <c r="T53" s="70">
        <v>50</v>
      </c>
      <c r="U53">
        <f t="shared" si="21"/>
        <v>0</v>
      </c>
      <c r="V53" s="74">
        <v>873</v>
      </c>
      <c r="W53" s="2">
        <f t="shared" si="22"/>
        <v>153</v>
      </c>
      <c r="X53">
        <f t="shared" si="23"/>
        <v>-0.82474226804123707</v>
      </c>
      <c r="Y53" s="70">
        <v>2</v>
      </c>
      <c r="Z53" s="70">
        <v>2</v>
      </c>
      <c r="AA53" s="70">
        <v>2</v>
      </c>
      <c r="AB53" s="61">
        <v>1</v>
      </c>
      <c r="AC53" s="70">
        <v>2</v>
      </c>
      <c r="AD53" s="70">
        <v>0</v>
      </c>
    </row>
    <row r="54" spans="1:31" x14ac:dyDescent="0.2">
      <c r="A54" t="s">
        <v>111</v>
      </c>
      <c r="B54" s="70">
        <v>1</v>
      </c>
      <c r="C54" t="s">
        <v>173</v>
      </c>
      <c r="D54" t="s">
        <v>38</v>
      </c>
      <c r="E54" t="s">
        <v>39</v>
      </c>
      <c r="F54" t="s">
        <v>76</v>
      </c>
      <c r="G54" s="61">
        <v>20</v>
      </c>
      <c r="H54" s="61">
        <v>11730.89</v>
      </c>
      <c r="I54" s="70">
        <v>0</v>
      </c>
      <c r="J54" s="72">
        <f t="shared" si="18"/>
        <v>0</v>
      </c>
      <c r="K54" s="61">
        <v>8</v>
      </c>
      <c r="L54" s="61">
        <v>0</v>
      </c>
      <c r="M54">
        <f t="shared" si="19"/>
        <v>0</v>
      </c>
      <c r="N54" s="70">
        <v>23</v>
      </c>
      <c r="O54" s="61">
        <v>70</v>
      </c>
      <c r="P54" s="73">
        <v>0</v>
      </c>
      <c r="Q54">
        <f t="shared" si="20"/>
        <v>2.0434782608695654</v>
      </c>
      <c r="R54" s="79">
        <v>0</v>
      </c>
      <c r="S54" s="70">
        <v>100</v>
      </c>
      <c r="T54" s="70">
        <v>0</v>
      </c>
      <c r="U54">
        <f t="shared" si="21"/>
        <v>-1</v>
      </c>
      <c r="V54" s="74">
        <v>1237</v>
      </c>
      <c r="W54" s="2">
        <f t="shared" si="22"/>
        <v>1466.3612499999999</v>
      </c>
      <c r="X54">
        <f t="shared" si="23"/>
        <v>0.18541734033953117</v>
      </c>
      <c r="Y54" s="70">
        <v>7</v>
      </c>
      <c r="Z54" s="70">
        <v>7</v>
      </c>
      <c r="AA54" s="70">
        <v>0</v>
      </c>
      <c r="AB54" s="61">
        <v>0</v>
      </c>
      <c r="AC54" s="70">
        <v>0</v>
      </c>
      <c r="AD54" s="70">
        <v>0</v>
      </c>
    </row>
    <row r="55" spans="1:31" x14ac:dyDescent="0.2">
      <c r="A55" t="s">
        <v>96</v>
      </c>
      <c r="B55" s="70">
        <v>3</v>
      </c>
      <c r="C55" t="s">
        <v>172</v>
      </c>
      <c r="D55" t="s">
        <v>43</v>
      </c>
      <c r="E55" t="s">
        <v>44</v>
      </c>
      <c r="F55" t="s">
        <v>122</v>
      </c>
      <c r="G55" s="61">
        <v>18</v>
      </c>
      <c r="H55" s="61">
        <v>6640</v>
      </c>
      <c r="I55" s="70">
        <v>30000</v>
      </c>
      <c r="J55" s="72">
        <f t="shared" si="18"/>
        <v>0.22133333333333333</v>
      </c>
      <c r="K55" s="61">
        <v>4</v>
      </c>
      <c r="L55" s="61">
        <v>12</v>
      </c>
      <c r="M55">
        <f t="shared" si="19"/>
        <v>0.33333333333333331</v>
      </c>
      <c r="N55" s="70">
        <v>84</v>
      </c>
      <c r="O55" s="61">
        <v>90</v>
      </c>
      <c r="P55" s="73">
        <v>75</v>
      </c>
      <c r="Q55">
        <f t="shared" si="20"/>
        <v>7.1428571428571397E-2</v>
      </c>
      <c r="R55" s="79">
        <v>100</v>
      </c>
      <c r="S55" s="70">
        <v>100</v>
      </c>
      <c r="T55" s="70">
        <v>80</v>
      </c>
      <c r="U55">
        <f t="shared" si="21"/>
        <v>-0.19999999999999996</v>
      </c>
      <c r="V55" s="74">
        <v>1962</v>
      </c>
      <c r="W55" s="2">
        <f t="shared" si="22"/>
        <v>1660</v>
      </c>
      <c r="X55">
        <f t="shared" si="23"/>
        <v>-0.15392456676860344</v>
      </c>
      <c r="Y55" s="70">
        <v>3</v>
      </c>
      <c r="Z55" s="70">
        <v>7</v>
      </c>
      <c r="AA55" s="70">
        <v>1</v>
      </c>
      <c r="AB55" s="61">
        <v>4</v>
      </c>
      <c r="AC55" s="70">
        <v>1</v>
      </c>
      <c r="AD55" s="70">
        <v>0</v>
      </c>
    </row>
    <row r="56" spans="1:31" x14ac:dyDescent="0.2">
      <c r="A56" t="s">
        <v>66</v>
      </c>
      <c r="B56" s="70">
        <v>1</v>
      </c>
      <c r="C56" t="s">
        <v>173</v>
      </c>
      <c r="D56" t="s">
        <v>67</v>
      </c>
      <c r="E56" t="s">
        <v>68</v>
      </c>
      <c r="F56" t="s">
        <v>69</v>
      </c>
      <c r="G56" s="61">
        <v>11</v>
      </c>
      <c r="H56" s="61">
        <v>6840</v>
      </c>
      <c r="I56" s="70">
        <v>7000</v>
      </c>
      <c r="J56" s="72">
        <f t="shared" si="18"/>
        <v>0.97714285714285709</v>
      </c>
      <c r="K56" s="61">
        <v>13</v>
      </c>
      <c r="L56" s="61">
        <v>10</v>
      </c>
      <c r="M56">
        <f t="shared" si="19"/>
        <v>1.3</v>
      </c>
      <c r="N56" s="70">
        <v>77</v>
      </c>
      <c r="O56" s="61">
        <v>78</v>
      </c>
      <c r="P56" s="73">
        <v>75</v>
      </c>
      <c r="Q56">
        <f t="shared" si="20"/>
        <v>1.298701298701288E-2</v>
      </c>
      <c r="R56" s="79">
        <v>0</v>
      </c>
      <c r="S56" s="70">
        <v>75</v>
      </c>
      <c r="T56" s="70">
        <v>30</v>
      </c>
      <c r="U56">
        <f t="shared" si="21"/>
        <v>-0.6</v>
      </c>
      <c r="V56" s="74">
        <v>453</v>
      </c>
      <c r="W56" s="2">
        <f t="shared" si="22"/>
        <v>526.15384615384619</v>
      </c>
      <c r="X56">
        <f t="shared" si="23"/>
        <v>0.1614875191034133</v>
      </c>
      <c r="Y56" s="70">
        <v>9</v>
      </c>
      <c r="Z56" s="70">
        <v>15</v>
      </c>
      <c r="AA56" s="70">
        <v>0</v>
      </c>
      <c r="AB56" s="61">
        <v>1</v>
      </c>
      <c r="AC56" s="70">
        <v>0</v>
      </c>
      <c r="AD56" s="70">
        <v>0</v>
      </c>
      <c r="AE56" s="47" t="s">
        <v>308</v>
      </c>
    </row>
    <row r="57" spans="1:31" x14ac:dyDescent="0.2">
      <c r="A57" t="s">
        <v>146</v>
      </c>
      <c r="B57" s="70">
        <v>1</v>
      </c>
      <c r="C57" t="s">
        <v>174</v>
      </c>
      <c r="D57" t="s">
        <v>43</v>
      </c>
      <c r="E57" t="s">
        <v>44</v>
      </c>
      <c r="F57" t="s">
        <v>58</v>
      </c>
      <c r="G57" s="61">
        <v>14</v>
      </c>
      <c r="H57" s="61">
        <v>5766.95</v>
      </c>
      <c r="I57" s="70">
        <v>12000</v>
      </c>
      <c r="J57" s="72">
        <f t="shared" si="18"/>
        <v>0.48057916666666667</v>
      </c>
      <c r="K57" s="61">
        <v>13</v>
      </c>
      <c r="L57" s="61">
        <v>15</v>
      </c>
      <c r="M57">
        <f t="shared" si="19"/>
        <v>0.8666666666666667</v>
      </c>
      <c r="N57" s="70">
        <v>53</v>
      </c>
      <c r="O57" s="61">
        <v>42</v>
      </c>
      <c r="P57" s="73">
        <v>60</v>
      </c>
      <c r="Q57">
        <f t="shared" si="20"/>
        <v>-0.20754716981132071</v>
      </c>
      <c r="R57" s="79">
        <v>100</v>
      </c>
      <c r="S57" s="70">
        <v>0</v>
      </c>
      <c r="T57" s="70">
        <v>75</v>
      </c>
      <c r="U57">
        <f t="shared" si="21"/>
        <v>0</v>
      </c>
      <c r="V57" s="74">
        <v>552</v>
      </c>
      <c r="W57" s="2">
        <f t="shared" si="22"/>
        <v>443.61153846153843</v>
      </c>
      <c r="X57">
        <f t="shared" si="23"/>
        <v>-0.19635590858416951</v>
      </c>
      <c r="Y57" s="70">
        <v>4</v>
      </c>
      <c r="Z57" s="70">
        <v>14</v>
      </c>
      <c r="AA57" s="70">
        <v>1</v>
      </c>
      <c r="AB57" s="61">
        <v>2</v>
      </c>
      <c r="AC57" s="70">
        <v>1</v>
      </c>
      <c r="AD57" s="70">
        <v>5</v>
      </c>
    </row>
    <row r="58" spans="1:31" x14ac:dyDescent="0.2">
      <c r="A58" t="s">
        <v>131</v>
      </c>
      <c r="B58" s="70">
        <v>1</v>
      </c>
      <c r="C58" t="s">
        <v>173</v>
      </c>
      <c r="D58" t="s">
        <v>38</v>
      </c>
      <c r="E58" t="s">
        <v>39</v>
      </c>
      <c r="F58" t="s">
        <v>48</v>
      </c>
      <c r="G58" s="61">
        <v>15</v>
      </c>
      <c r="H58" s="61">
        <v>13180</v>
      </c>
      <c r="I58" s="70">
        <v>16000</v>
      </c>
      <c r="J58" s="72">
        <f t="shared" si="18"/>
        <v>0.82374999999999998</v>
      </c>
      <c r="K58" s="61">
        <v>9</v>
      </c>
      <c r="L58" s="61">
        <v>10</v>
      </c>
      <c r="M58">
        <f t="shared" si="19"/>
        <v>0.9</v>
      </c>
      <c r="N58" s="70">
        <v>59</v>
      </c>
      <c r="O58" s="61">
        <v>64</v>
      </c>
      <c r="P58" s="73">
        <v>65</v>
      </c>
      <c r="Q58">
        <f t="shared" si="20"/>
        <v>8.4745762711864403E-2</v>
      </c>
      <c r="R58" s="79">
        <v>100</v>
      </c>
      <c r="S58" s="70">
        <v>80</v>
      </c>
      <c r="T58" s="70">
        <v>50</v>
      </c>
      <c r="U58">
        <f t="shared" si="21"/>
        <v>-0.375</v>
      </c>
      <c r="V58" s="74">
        <v>1176</v>
      </c>
      <c r="W58" s="2">
        <f t="shared" si="22"/>
        <v>1464.4444444444443</v>
      </c>
      <c r="X58">
        <f t="shared" si="23"/>
        <v>0.24527588813303081</v>
      </c>
      <c r="Y58" s="70">
        <v>9</v>
      </c>
      <c r="Z58" s="70">
        <v>9</v>
      </c>
      <c r="AA58" s="70">
        <v>2</v>
      </c>
      <c r="AB58" s="61">
        <v>2</v>
      </c>
      <c r="AC58" s="70">
        <v>1</v>
      </c>
      <c r="AD58" s="70">
        <v>2</v>
      </c>
      <c r="AE58" s="47" t="s">
        <v>229</v>
      </c>
    </row>
    <row r="59" spans="1:31" x14ac:dyDescent="0.2">
      <c r="A59" t="s">
        <v>301</v>
      </c>
      <c r="B59" s="70">
        <v>1</v>
      </c>
      <c r="C59" t="s">
        <v>193</v>
      </c>
      <c r="D59" t="s">
        <v>43</v>
      </c>
      <c r="E59" t="s">
        <v>44</v>
      </c>
      <c r="F59" t="s">
        <v>118</v>
      </c>
      <c r="G59" s="61">
        <v>20</v>
      </c>
      <c r="H59" s="61">
        <v>600</v>
      </c>
      <c r="I59" s="70">
        <v>0</v>
      </c>
      <c r="J59" s="72">
        <f t="shared" si="18"/>
        <v>0</v>
      </c>
      <c r="K59" s="61">
        <v>4</v>
      </c>
      <c r="L59" s="61">
        <v>0</v>
      </c>
      <c r="M59">
        <f t="shared" si="19"/>
        <v>0</v>
      </c>
      <c r="N59" s="70">
        <v>0</v>
      </c>
      <c r="O59" s="61">
        <v>50</v>
      </c>
      <c r="P59" s="73">
        <v>0</v>
      </c>
      <c r="Q59">
        <f t="shared" si="20"/>
        <v>0</v>
      </c>
      <c r="R59" s="79">
        <v>0</v>
      </c>
      <c r="S59" s="70">
        <v>100</v>
      </c>
      <c r="T59" s="70">
        <v>0</v>
      </c>
      <c r="U59">
        <f t="shared" si="21"/>
        <v>-1</v>
      </c>
      <c r="V59" s="74">
        <v>0</v>
      </c>
      <c r="W59" s="2">
        <f t="shared" ref="W59" si="26">IF(K59=0,0,H59/K59)</f>
        <v>150</v>
      </c>
      <c r="X59">
        <f t="shared" ref="X59" si="27">IF(V59=0,0,(W59/V59)-1)</f>
        <v>0</v>
      </c>
      <c r="Y59" s="70">
        <v>3</v>
      </c>
      <c r="Z59" s="70">
        <v>3</v>
      </c>
      <c r="AA59" s="70">
        <v>0</v>
      </c>
      <c r="AB59" s="61">
        <v>0</v>
      </c>
      <c r="AC59" s="70">
        <v>0</v>
      </c>
      <c r="AD59" s="70">
        <v>0</v>
      </c>
      <c r="AE59" s="47" t="s">
        <v>308</v>
      </c>
    </row>
    <row r="60" spans="1:31" x14ac:dyDescent="0.2">
      <c r="A60" t="s">
        <v>42</v>
      </c>
      <c r="B60" s="70">
        <v>1</v>
      </c>
      <c r="C60" t="s">
        <v>172</v>
      </c>
      <c r="D60" t="s">
        <v>43</v>
      </c>
      <c r="E60" t="s">
        <v>44</v>
      </c>
      <c r="F60" t="s">
        <v>45</v>
      </c>
      <c r="G60" s="61">
        <v>14</v>
      </c>
      <c r="H60" s="61">
        <v>1298.5</v>
      </c>
      <c r="I60" s="70">
        <v>10730.07</v>
      </c>
      <c r="J60" s="72">
        <f>IF(I60=0,0,H60/I60)</f>
        <v>0.12101505395584558</v>
      </c>
      <c r="K60" s="61">
        <v>6</v>
      </c>
      <c r="L60" s="61">
        <v>5</v>
      </c>
      <c r="M60">
        <f>IF(L60=0,0,K60/L60)</f>
        <v>1.2</v>
      </c>
      <c r="N60" s="70">
        <v>96</v>
      </c>
      <c r="O60" s="61">
        <v>92</v>
      </c>
      <c r="P60" s="73">
        <v>75</v>
      </c>
      <c r="Q60">
        <f>IF(N60=0,0,(O60/N60)-1)</f>
        <v>-4.166666666666663E-2</v>
      </c>
      <c r="R60" s="79">
        <v>67</v>
      </c>
      <c r="S60" s="70">
        <v>100</v>
      </c>
      <c r="T60" s="70">
        <v>80</v>
      </c>
      <c r="U60">
        <f>IF(S60=0,0,(T60/S60)-1)</f>
        <v>-0.19999999999999996</v>
      </c>
      <c r="V60" s="74">
        <v>860</v>
      </c>
      <c r="W60" s="2">
        <f>IF(K60=0,0,H60/K60)</f>
        <v>216.41666666666666</v>
      </c>
      <c r="X60">
        <f>IF(V60=0,0,(W60/V60)-1)</f>
        <v>-0.74835271317829455</v>
      </c>
      <c r="Y60" s="70">
        <v>8</v>
      </c>
      <c r="Z60" s="70">
        <v>8</v>
      </c>
      <c r="AA60" s="70">
        <v>0</v>
      </c>
      <c r="AB60" s="61">
        <v>1</v>
      </c>
      <c r="AC60" s="70">
        <v>0</v>
      </c>
      <c r="AD60" s="70">
        <v>0</v>
      </c>
      <c r="AE60" s="47" t="s">
        <v>230</v>
      </c>
    </row>
    <row r="61" spans="1:31" x14ac:dyDescent="0.2">
      <c r="A61" t="s">
        <v>108</v>
      </c>
      <c r="B61" s="70">
        <v>1</v>
      </c>
      <c r="C61" t="s">
        <v>194</v>
      </c>
      <c r="D61" t="s">
        <v>132</v>
      </c>
      <c r="E61" t="s">
        <v>133</v>
      </c>
      <c r="F61" t="s">
        <v>134</v>
      </c>
      <c r="G61" s="61">
        <v>4</v>
      </c>
      <c r="H61" s="61">
        <v>0</v>
      </c>
      <c r="I61" s="70">
        <v>18000</v>
      </c>
      <c r="J61" s="72">
        <f>IF(I61=0,0,H61/I61)</f>
        <v>0</v>
      </c>
      <c r="K61" s="61">
        <v>0</v>
      </c>
      <c r="L61" s="61">
        <v>8</v>
      </c>
      <c r="M61">
        <f>IF(L61=0,0,K61/L61)</f>
        <v>0</v>
      </c>
      <c r="N61" s="70">
        <v>100</v>
      </c>
      <c r="O61" s="61">
        <v>40</v>
      </c>
      <c r="P61" s="73">
        <v>75</v>
      </c>
      <c r="Q61">
        <f>IF(N61=0,0,(O61/N61)-1)</f>
        <v>-0.6</v>
      </c>
      <c r="R61" s="79">
        <v>0</v>
      </c>
      <c r="S61" s="70">
        <v>0</v>
      </c>
      <c r="T61" s="70">
        <v>75</v>
      </c>
      <c r="U61">
        <f>IF(S61=0,0,(T61/S61)-1)</f>
        <v>0</v>
      </c>
      <c r="V61" s="74">
        <v>1765</v>
      </c>
      <c r="W61" s="2">
        <f>IF(K61=0,0,H61/K61)</f>
        <v>0</v>
      </c>
      <c r="X61">
        <f>IF(V61=0,0,(W61/V61)-1)</f>
        <v>-1</v>
      </c>
      <c r="Y61" s="70">
        <v>8</v>
      </c>
      <c r="Z61" s="70">
        <v>8</v>
      </c>
      <c r="AA61" s="70">
        <v>0</v>
      </c>
      <c r="AB61" s="61">
        <v>1</v>
      </c>
      <c r="AC61" s="70">
        <v>0</v>
      </c>
      <c r="AD61" s="70">
        <v>0</v>
      </c>
    </row>
    <row r="62" spans="1:31" x14ac:dyDescent="0.2">
      <c r="A62" t="s">
        <v>129</v>
      </c>
      <c r="B62" s="70">
        <v>1</v>
      </c>
      <c r="C62" t="s">
        <v>194</v>
      </c>
      <c r="D62" t="s">
        <v>130</v>
      </c>
      <c r="E62" t="s">
        <v>68</v>
      </c>
      <c r="F62" t="s">
        <v>93</v>
      </c>
      <c r="G62" s="61">
        <v>5</v>
      </c>
      <c r="H62" s="61">
        <v>0</v>
      </c>
      <c r="I62" s="70">
        <v>4800</v>
      </c>
      <c r="J62" s="72">
        <f>IF(I62=0,0,H62/I62)</f>
        <v>0</v>
      </c>
      <c r="K62" s="61">
        <v>0</v>
      </c>
      <c r="L62" s="61">
        <v>1</v>
      </c>
      <c r="M62">
        <f>IF(L62=0,0,K62/L62)</f>
        <v>0</v>
      </c>
      <c r="N62" s="70">
        <v>0</v>
      </c>
      <c r="O62" s="61">
        <v>0</v>
      </c>
      <c r="P62" s="73">
        <v>25</v>
      </c>
      <c r="Q62">
        <f>IF(N62=0,0,(O62/N62)-1)</f>
        <v>0</v>
      </c>
      <c r="R62" s="79">
        <v>0</v>
      </c>
      <c r="S62" s="70">
        <v>0</v>
      </c>
      <c r="T62" s="70">
        <v>30</v>
      </c>
      <c r="U62">
        <f>IF(S62=0,0,(T62/S62)-1)</f>
        <v>0</v>
      </c>
      <c r="V62" s="74">
        <v>150</v>
      </c>
      <c r="W62" s="2">
        <f>IF(K62=0,0,H62/K62)</f>
        <v>0</v>
      </c>
      <c r="X62">
        <f>IF(V62=0,0,(W62/V62)-1)</f>
        <v>-1</v>
      </c>
      <c r="Y62" s="70">
        <v>0</v>
      </c>
      <c r="Z62" s="70">
        <v>0</v>
      </c>
      <c r="AA62" s="70">
        <v>0</v>
      </c>
      <c r="AB62" s="61">
        <v>1</v>
      </c>
      <c r="AC62" s="70">
        <v>0</v>
      </c>
      <c r="AD62" s="70">
        <v>0</v>
      </c>
      <c r="AE62" s="47" t="s">
        <v>310</v>
      </c>
    </row>
    <row r="63" spans="1:31" x14ac:dyDescent="0.2">
      <c r="A63" t="s">
        <v>125</v>
      </c>
      <c r="B63" s="70">
        <v>3</v>
      </c>
      <c r="C63" t="s">
        <v>194</v>
      </c>
      <c r="D63" t="s">
        <v>144</v>
      </c>
      <c r="E63" t="s">
        <v>44</v>
      </c>
      <c r="F63" t="s">
        <v>119</v>
      </c>
      <c r="G63" s="61">
        <v>11</v>
      </c>
      <c r="H63" s="61">
        <v>5486.33</v>
      </c>
      <c r="I63" s="70">
        <v>6920.5</v>
      </c>
      <c r="J63" s="72">
        <f>IF(I63=0,0,H63/I63)</f>
        <v>0.79276497362907306</v>
      </c>
      <c r="K63" s="61">
        <v>18</v>
      </c>
      <c r="L63" s="61">
        <v>4</v>
      </c>
      <c r="M63">
        <f>IF(L63=0,0,K63/L63)</f>
        <v>4.5</v>
      </c>
      <c r="N63" s="70">
        <v>89</v>
      </c>
      <c r="O63" s="61">
        <v>90</v>
      </c>
      <c r="P63" s="73">
        <v>75</v>
      </c>
      <c r="Q63">
        <f>IF(N63=0,0,(O63/N63)-1)</f>
        <v>1.1235955056179803E-2</v>
      </c>
      <c r="R63" s="79">
        <v>93</v>
      </c>
      <c r="S63" s="70">
        <v>100</v>
      </c>
      <c r="T63" s="70">
        <v>60</v>
      </c>
      <c r="U63">
        <f>IF(S63=0,0,(T63/S63)-1)</f>
        <v>-0.4</v>
      </c>
      <c r="V63" s="74">
        <v>573</v>
      </c>
      <c r="W63" s="2">
        <f>IF(K63=0,0,H63/K63)</f>
        <v>304.79611111111109</v>
      </c>
      <c r="X63">
        <f>IF(V63=0,0,(W63/V63)-1)</f>
        <v>-0.46806961411673453</v>
      </c>
      <c r="Y63" s="70">
        <v>4</v>
      </c>
      <c r="Z63" s="70">
        <v>9</v>
      </c>
      <c r="AA63" s="70">
        <v>1</v>
      </c>
      <c r="AB63" s="61">
        <v>1</v>
      </c>
      <c r="AC63" s="70">
        <v>1</v>
      </c>
      <c r="AD63" s="70">
        <v>5</v>
      </c>
      <c r="AE63" s="47" t="s">
        <v>307</v>
      </c>
    </row>
    <row r="64" spans="1:31" x14ac:dyDescent="0.2">
      <c r="A64" t="s">
        <v>313</v>
      </c>
      <c r="B64" s="70">
        <v>1</v>
      </c>
      <c r="C64" t="s">
        <v>172</v>
      </c>
      <c r="D64" t="s">
        <v>144</v>
      </c>
      <c r="E64" t="s">
        <v>44</v>
      </c>
      <c r="F64" t="s">
        <v>45</v>
      </c>
      <c r="G64" s="61">
        <v>6</v>
      </c>
      <c r="H64" s="61">
        <v>0</v>
      </c>
      <c r="I64" s="70">
        <v>0</v>
      </c>
      <c r="J64" s="72">
        <f>IF(I64=0,0,H64/I64)</f>
        <v>0</v>
      </c>
      <c r="K64" s="61">
        <v>0</v>
      </c>
      <c r="L64" s="61">
        <v>0</v>
      </c>
      <c r="M64">
        <f>IF(L64=0,0,K64/L64)</f>
        <v>0</v>
      </c>
      <c r="N64" s="70">
        <v>0</v>
      </c>
      <c r="O64" s="61">
        <v>0</v>
      </c>
      <c r="P64" s="73">
        <v>0</v>
      </c>
      <c r="R64" s="79">
        <v>0</v>
      </c>
      <c r="S64" s="70">
        <v>0</v>
      </c>
      <c r="T64" s="70">
        <v>0</v>
      </c>
      <c r="V64" s="74">
        <v>0</v>
      </c>
      <c r="W64" s="2">
        <f t="shared" ref="W64" si="28">IF(K64=0,0,H64/K64)</f>
        <v>0</v>
      </c>
      <c r="X64">
        <f t="shared" ref="X64" si="29">IF(V64=0,0,(W64/V64)-1)</f>
        <v>0</v>
      </c>
      <c r="Y64" s="70">
        <v>0</v>
      </c>
      <c r="Z64" s="70">
        <v>0</v>
      </c>
      <c r="AA64" s="70">
        <v>0</v>
      </c>
      <c r="AB64" s="61">
        <v>0</v>
      </c>
      <c r="AC64" s="70">
        <v>0</v>
      </c>
      <c r="AD64" s="70">
        <v>0</v>
      </c>
      <c r="AE64" s="47"/>
    </row>
    <row r="65" spans="8:22" x14ac:dyDescent="0.2">
      <c r="H65" s="70"/>
      <c r="I65" s="70"/>
      <c r="K65" s="70"/>
      <c r="L65" s="61"/>
      <c r="O65" s="73"/>
      <c r="V65" s="74"/>
    </row>
    <row r="66" spans="8:22" x14ac:dyDescent="0.2">
      <c r="I66" s="70"/>
    </row>
  </sheetData>
  <sheetProtection formatCells="0" formatColumns="0" formatRows="0" insertColumns="0" insertRows="0" selectLockedCells="1"/>
  <sortState xmlns:xlrd2="http://schemas.microsoft.com/office/spreadsheetml/2017/richdata2" ref="A3:AE66">
    <sortCondition ref="A1"/>
  </sortState>
  <hyperlinks>
    <hyperlink ref="AE3" r:id="rId1" xr:uid="{00000000-0004-0000-0800-000000000000}"/>
    <hyperlink ref="AE6" r:id="rId2" xr:uid="{00000000-0004-0000-0800-000001000000}"/>
    <hyperlink ref="AE8" r:id="rId3" xr:uid="{00000000-0004-0000-0800-000002000000}"/>
    <hyperlink ref="AE15" r:id="rId4" xr:uid="{00000000-0004-0000-0800-000003000000}"/>
    <hyperlink ref="AE21" r:id="rId5" xr:uid="{00000000-0004-0000-0800-000004000000}"/>
    <hyperlink ref="AE28" r:id="rId6" xr:uid="{00000000-0004-0000-0800-000005000000}"/>
    <hyperlink ref="AE20" r:id="rId7" xr:uid="{00000000-0004-0000-0800-000006000000}"/>
    <hyperlink ref="AE19" r:id="rId8" xr:uid="{00000000-0004-0000-0800-000007000000}"/>
    <hyperlink ref="AE18" r:id="rId9" xr:uid="{00000000-0004-0000-0800-000008000000}"/>
    <hyperlink ref="AE29" r:id="rId10" xr:uid="{00000000-0004-0000-0800-000009000000}"/>
    <hyperlink ref="AE30" r:id="rId11" xr:uid="{00000000-0004-0000-0800-00000A000000}"/>
    <hyperlink ref="AE37" r:id="rId12" xr:uid="{00000000-0004-0000-0800-00000B000000}"/>
    <hyperlink ref="AE38" r:id="rId13" xr:uid="{00000000-0004-0000-0800-00000C000000}"/>
    <hyperlink ref="AE42" r:id="rId14" xr:uid="{00000000-0004-0000-0800-00000D000000}"/>
    <hyperlink ref="AE46" r:id="rId15" xr:uid="{00000000-0004-0000-0800-00000E000000}"/>
    <hyperlink ref="AE49" r:id="rId16" xr:uid="{00000000-0004-0000-0800-00000F000000}"/>
    <hyperlink ref="AE60" r:id="rId17" xr:uid="{00000000-0004-0000-0800-000010000000}"/>
    <hyperlink ref="AE58" r:id="rId18" xr:uid="{00000000-0004-0000-0800-000011000000}"/>
    <hyperlink ref="AE52" r:id="rId19" xr:uid="{00000000-0004-0000-0800-000012000000}"/>
    <hyperlink ref="AE51" r:id="rId20" xr:uid="{00000000-0004-0000-0800-000013000000}"/>
    <hyperlink ref="AE4" r:id="rId21" xr:uid="{00000000-0004-0000-0800-000014000000}"/>
    <hyperlink ref="AE10" r:id="rId22" xr:uid="{00000000-0004-0000-0800-000015000000}"/>
    <hyperlink ref="AE23" r:id="rId23" xr:uid="{00000000-0004-0000-0800-000016000000}"/>
    <hyperlink ref="AE48" r:id="rId24" xr:uid="{00000000-0004-0000-0800-000017000000}"/>
    <hyperlink ref="AE43" r:id="rId25" xr:uid="{00000000-0004-0000-0800-000018000000}"/>
    <hyperlink ref="AE45" r:id="rId26" xr:uid="{00000000-0004-0000-0800-000019000000}"/>
    <hyperlink ref="AE35" r:id="rId27" xr:uid="{00000000-0004-0000-0800-00001A000000}"/>
    <hyperlink ref="AE9" r:id="rId28" xr:uid="{00000000-0004-0000-0800-00001B000000}"/>
    <hyperlink ref="AE33" r:id="rId29" xr:uid="{00000000-0004-0000-0800-00001C000000}"/>
    <hyperlink ref="AE44" r:id="rId30" xr:uid="{00000000-0004-0000-0800-00001D000000}"/>
    <hyperlink ref="AE47" r:id="rId31" xr:uid="{00000000-0004-0000-0800-00001E000000}"/>
    <hyperlink ref="AE16" r:id="rId32" xr:uid="{00000000-0004-0000-0800-00001F000000}"/>
    <hyperlink ref="AE14" r:id="rId33" xr:uid="{D438B6E1-3BFB-4907-8C6C-314ED6866275}"/>
    <hyperlink ref="AE41" r:id="rId34" xr:uid="{5E9A4534-4986-4861-9085-5350B265AD11}"/>
    <hyperlink ref="AE12" r:id="rId35" xr:uid="{4CBEF1C6-EE7F-45A2-9B5D-565412FEE7B3}"/>
    <hyperlink ref="AE24" r:id="rId36" xr:uid="{E908D43D-6D2D-43BD-8DE8-45B1A254420E}"/>
    <hyperlink ref="AE63" r:id="rId37" xr:uid="{CC9699B6-517E-40F2-8878-7BE3F81A3801}"/>
    <hyperlink ref="AE59" r:id="rId38" xr:uid="{496AC134-5554-444A-969C-F4252596045D}"/>
    <hyperlink ref="AE56" r:id="rId39" xr:uid="{5208C722-BD43-414B-A49A-BCCBB9395A7B}"/>
    <hyperlink ref="AE32" r:id="rId40" xr:uid="{058B3A50-5CB8-4A23-84D0-688D0F9E2AA1}"/>
    <hyperlink ref="AE62" r:id="rId41" xr:uid="{C83BBA0D-8581-4EF7-9479-8C84F5C9D8D8}"/>
  </hyperlinks>
  <pageMargins left="0.511811024" right="0.511811024" top="0.78740157499999996" bottom="0.78740157499999996" header="0.31496062000000002" footer="0.31496062000000002"/>
  <pageSetup paperSize="9" orientation="portrait" r:id="rId4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758"/>
  <sheetViews>
    <sheetView topLeftCell="A725" workbookViewId="0">
      <pane xSplit="1" topLeftCell="D1" activePane="topRight" state="frozen"/>
      <selection pane="topRight" activeCell="E734" sqref="E734:E743"/>
    </sheetView>
  </sheetViews>
  <sheetFormatPr defaultColWidth="8.75" defaultRowHeight="14.25" x14ac:dyDescent="0.2"/>
  <cols>
    <col min="1" max="1" width="20.25" style="3" customWidth="1"/>
    <col min="2" max="2" width="21.5" style="3" customWidth="1"/>
    <col min="3" max="5" width="22.25" style="3" customWidth="1"/>
    <col min="6" max="16384" width="8.75" style="3"/>
  </cols>
  <sheetData>
    <row r="1" spans="1:5" ht="15.75" x14ac:dyDescent="0.2">
      <c r="A1" s="40" t="s">
        <v>0</v>
      </c>
      <c r="B1" s="36" t="s">
        <v>165</v>
      </c>
      <c r="C1" s="41" t="s">
        <v>15</v>
      </c>
      <c r="D1" s="41" t="s">
        <v>16</v>
      </c>
      <c r="E1" s="42" t="s">
        <v>17</v>
      </c>
    </row>
    <row r="2" spans="1:5" x14ac:dyDescent="0.2">
      <c r="A2" s="43" t="s">
        <v>316</v>
      </c>
      <c r="B2" s="6" t="s">
        <v>151</v>
      </c>
      <c r="C2" s="71">
        <v>0</v>
      </c>
      <c r="D2" s="71">
        <v>0</v>
      </c>
      <c r="E2" s="71">
        <v>0</v>
      </c>
    </row>
    <row r="3" spans="1:5" x14ac:dyDescent="0.2">
      <c r="A3" s="43" t="s">
        <v>316</v>
      </c>
      <c r="B3" s="6" t="s">
        <v>152</v>
      </c>
      <c r="C3" s="71">
        <v>0</v>
      </c>
      <c r="D3" s="71">
        <v>0</v>
      </c>
      <c r="E3" s="71">
        <v>0</v>
      </c>
    </row>
    <row r="4" spans="1:5" x14ac:dyDescent="0.2">
      <c r="A4" s="43" t="s">
        <v>316</v>
      </c>
      <c r="B4" s="6" t="s">
        <v>153</v>
      </c>
      <c r="C4" s="71">
        <v>0</v>
      </c>
      <c r="D4" s="71">
        <v>0</v>
      </c>
      <c r="E4" s="71">
        <v>0</v>
      </c>
    </row>
    <row r="5" spans="1:5" x14ac:dyDescent="0.2">
      <c r="A5" s="43" t="s">
        <v>316</v>
      </c>
      <c r="B5" s="6" t="s">
        <v>154</v>
      </c>
      <c r="C5" s="71">
        <v>0</v>
      </c>
      <c r="D5" s="71">
        <v>0</v>
      </c>
      <c r="E5" s="71">
        <v>0</v>
      </c>
    </row>
    <row r="6" spans="1:5" x14ac:dyDescent="0.2">
      <c r="A6" s="43" t="s">
        <v>316</v>
      </c>
      <c r="B6" s="6" t="s">
        <v>155</v>
      </c>
      <c r="C6" s="71">
        <v>0</v>
      </c>
      <c r="D6" s="71">
        <v>0</v>
      </c>
      <c r="E6" s="71">
        <v>0</v>
      </c>
    </row>
    <row r="7" spans="1:5" x14ac:dyDescent="0.2">
      <c r="A7" s="43" t="s">
        <v>316</v>
      </c>
      <c r="B7" s="6" t="s">
        <v>156</v>
      </c>
      <c r="C7" s="71">
        <v>0</v>
      </c>
      <c r="D7" s="71">
        <v>0</v>
      </c>
      <c r="E7" s="71">
        <v>0</v>
      </c>
    </row>
    <row r="8" spans="1:5" x14ac:dyDescent="0.2">
      <c r="A8" s="43" t="s">
        <v>316</v>
      </c>
      <c r="B8" s="6" t="s">
        <v>157</v>
      </c>
      <c r="C8" s="71">
        <v>0</v>
      </c>
      <c r="D8" s="71">
        <v>0</v>
      </c>
      <c r="E8" s="71">
        <v>0</v>
      </c>
    </row>
    <row r="9" spans="1:5" x14ac:dyDescent="0.2">
      <c r="A9" s="43" t="s">
        <v>316</v>
      </c>
      <c r="B9" s="6" t="s">
        <v>158</v>
      </c>
      <c r="C9" s="71">
        <v>0</v>
      </c>
      <c r="D9" s="71">
        <v>0</v>
      </c>
      <c r="E9" s="71">
        <v>0</v>
      </c>
    </row>
    <row r="10" spans="1:5" x14ac:dyDescent="0.2">
      <c r="A10" s="43" t="s">
        <v>316</v>
      </c>
      <c r="B10" s="6" t="s">
        <v>159</v>
      </c>
      <c r="C10" s="71">
        <v>0</v>
      </c>
      <c r="D10" s="71">
        <v>0</v>
      </c>
      <c r="E10" s="71">
        <v>0</v>
      </c>
    </row>
    <row r="11" spans="1:5" x14ac:dyDescent="0.2">
      <c r="A11" s="43" t="s">
        <v>316</v>
      </c>
      <c r="B11" s="6" t="s">
        <v>160</v>
      </c>
      <c r="C11" s="71">
        <v>0</v>
      </c>
      <c r="D11" s="71">
        <v>0</v>
      </c>
      <c r="E11" s="71">
        <v>0</v>
      </c>
    </row>
    <row r="12" spans="1:5" x14ac:dyDescent="0.2">
      <c r="A12" s="43" t="s">
        <v>316</v>
      </c>
      <c r="B12" s="6" t="s">
        <v>161</v>
      </c>
      <c r="C12" s="71">
        <v>0</v>
      </c>
      <c r="D12" s="71">
        <v>0</v>
      </c>
      <c r="E12" s="71">
        <v>0</v>
      </c>
    </row>
    <row r="13" spans="1:5" x14ac:dyDescent="0.2">
      <c r="A13" s="43" t="s">
        <v>316</v>
      </c>
      <c r="B13" s="6" t="s">
        <v>162</v>
      </c>
      <c r="C13" s="71">
        <v>0</v>
      </c>
      <c r="D13" s="71">
        <v>0</v>
      </c>
      <c r="E13" s="71">
        <v>0</v>
      </c>
    </row>
    <row r="14" spans="1:5" x14ac:dyDescent="0.2">
      <c r="A14" s="43" t="s">
        <v>83</v>
      </c>
      <c r="B14" s="6" t="s">
        <v>151</v>
      </c>
      <c r="C14" s="71">
        <v>0</v>
      </c>
      <c r="D14" s="71">
        <v>0</v>
      </c>
      <c r="E14" s="71">
        <v>0</v>
      </c>
    </row>
    <row r="15" spans="1:5" x14ac:dyDescent="0.2">
      <c r="A15" s="43" t="s">
        <v>83</v>
      </c>
      <c r="B15" s="6" t="s">
        <v>152</v>
      </c>
      <c r="C15" s="71">
        <v>0</v>
      </c>
      <c r="D15" s="71">
        <v>0</v>
      </c>
      <c r="E15" s="71">
        <v>0</v>
      </c>
    </row>
    <row r="16" spans="1:5" x14ac:dyDescent="0.2">
      <c r="A16" s="43" t="s">
        <v>83</v>
      </c>
      <c r="B16" s="6" t="s">
        <v>153</v>
      </c>
      <c r="C16" s="71">
        <v>0</v>
      </c>
      <c r="D16" s="71">
        <v>0</v>
      </c>
      <c r="E16" s="71">
        <v>0</v>
      </c>
    </row>
    <row r="17" spans="1:5" x14ac:dyDescent="0.2">
      <c r="A17" s="43" t="s">
        <v>83</v>
      </c>
      <c r="B17" s="6" t="s">
        <v>154</v>
      </c>
      <c r="C17" s="71">
        <v>0</v>
      </c>
      <c r="D17" s="71">
        <v>0</v>
      </c>
      <c r="E17" s="71">
        <v>0</v>
      </c>
    </row>
    <row r="18" spans="1:5" x14ac:dyDescent="0.2">
      <c r="A18" s="43" t="s">
        <v>83</v>
      </c>
      <c r="B18" s="6" t="s">
        <v>155</v>
      </c>
      <c r="C18" s="71">
        <v>0</v>
      </c>
      <c r="D18" s="71">
        <v>0</v>
      </c>
      <c r="E18" s="71">
        <v>0</v>
      </c>
    </row>
    <row r="19" spans="1:5" x14ac:dyDescent="0.2">
      <c r="A19" s="43" t="s">
        <v>83</v>
      </c>
      <c r="B19" s="6" t="s">
        <v>156</v>
      </c>
      <c r="C19" s="71">
        <v>0</v>
      </c>
      <c r="D19" s="71">
        <v>0</v>
      </c>
      <c r="E19" s="71">
        <v>0</v>
      </c>
    </row>
    <row r="20" spans="1:5" x14ac:dyDescent="0.2">
      <c r="A20" s="43" t="s">
        <v>83</v>
      </c>
      <c r="B20" s="6" t="s">
        <v>157</v>
      </c>
      <c r="C20" s="71">
        <v>0</v>
      </c>
      <c r="D20" s="71">
        <v>0</v>
      </c>
      <c r="E20" s="71">
        <v>0</v>
      </c>
    </row>
    <row r="21" spans="1:5" x14ac:dyDescent="0.2">
      <c r="A21" s="43" t="s">
        <v>83</v>
      </c>
      <c r="B21" s="6" t="s">
        <v>158</v>
      </c>
      <c r="C21" s="71">
        <v>0</v>
      </c>
      <c r="D21" s="71">
        <v>0</v>
      </c>
      <c r="E21" s="71">
        <v>0</v>
      </c>
    </row>
    <row r="22" spans="1:5" x14ac:dyDescent="0.2">
      <c r="A22" s="43" t="s">
        <v>83</v>
      </c>
      <c r="B22" s="6" t="s">
        <v>159</v>
      </c>
      <c r="C22" s="71">
        <v>0</v>
      </c>
      <c r="D22" s="71">
        <v>0</v>
      </c>
      <c r="E22" s="71">
        <v>0</v>
      </c>
    </row>
    <row r="23" spans="1:5" x14ac:dyDescent="0.2">
      <c r="A23" s="43" t="s">
        <v>83</v>
      </c>
      <c r="B23" s="6" t="s">
        <v>160</v>
      </c>
      <c r="C23" s="71">
        <v>0</v>
      </c>
      <c r="D23" s="71">
        <v>0</v>
      </c>
      <c r="E23" s="71">
        <v>0</v>
      </c>
    </row>
    <row r="24" spans="1:5" x14ac:dyDescent="0.2">
      <c r="A24" s="43" t="s">
        <v>83</v>
      </c>
      <c r="B24" s="6" t="s">
        <v>161</v>
      </c>
      <c r="C24" s="71">
        <v>0</v>
      </c>
      <c r="D24" s="71">
        <v>0</v>
      </c>
      <c r="E24" s="71">
        <v>0</v>
      </c>
    </row>
    <row r="25" spans="1:5" x14ac:dyDescent="0.2">
      <c r="A25" s="43" t="s">
        <v>83</v>
      </c>
      <c r="B25" s="6" t="s">
        <v>162</v>
      </c>
      <c r="C25" s="71">
        <v>0</v>
      </c>
      <c r="D25" s="71">
        <v>0</v>
      </c>
      <c r="E25" s="71">
        <v>0</v>
      </c>
    </row>
    <row r="26" spans="1:5" x14ac:dyDescent="0.2">
      <c r="A26" s="43" t="s">
        <v>94</v>
      </c>
      <c r="B26" s="6" t="s">
        <v>151</v>
      </c>
      <c r="C26" s="71">
        <v>0</v>
      </c>
      <c r="D26" s="71">
        <v>0</v>
      </c>
      <c r="E26" s="71">
        <v>1</v>
      </c>
    </row>
    <row r="27" spans="1:5" x14ac:dyDescent="0.2">
      <c r="A27" s="43" t="s">
        <v>94</v>
      </c>
      <c r="B27" s="6" t="s">
        <v>152</v>
      </c>
      <c r="C27" s="71">
        <v>0</v>
      </c>
      <c r="D27" s="71">
        <v>0</v>
      </c>
      <c r="E27" s="71">
        <v>0</v>
      </c>
    </row>
    <row r="28" spans="1:5" x14ac:dyDescent="0.2">
      <c r="A28" s="43" t="s">
        <v>94</v>
      </c>
      <c r="B28" s="6" t="s">
        <v>153</v>
      </c>
      <c r="C28" s="71">
        <v>0</v>
      </c>
      <c r="D28" s="71">
        <v>0</v>
      </c>
      <c r="E28" s="71">
        <v>0</v>
      </c>
    </row>
    <row r="29" spans="1:5" x14ac:dyDescent="0.2">
      <c r="A29" s="43" t="s">
        <v>94</v>
      </c>
      <c r="B29" s="6" t="s">
        <v>154</v>
      </c>
      <c r="C29" s="71">
        <v>0</v>
      </c>
      <c r="D29" s="71">
        <v>0</v>
      </c>
      <c r="E29" s="71">
        <v>0</v>
      </c>
    </row>
    <row r="30" spans="1:5" x14ac:dyDescent="0.2">
      <c r="A30" s="43" t="s">
        <v>94</v>
      </c>
      <c r="B30" s="6" t="s">
        <v>155</v>
      </c>
      <c r="C30" s="71">
        <v>0</v>
      </c>
      <c r="D30" s="71">
        <v>0</v>
      </c>
      <c r="E30" s="71">
        <v>0</v>
      </c>
    </row>
    <row r="31" spans="1:5" x14ac:dyDescent="0.2">
      <c r="A31" s="43" t="s">
        <v>94</v>
      </c>
      <c r="B31" s="6" t="s">
        <v>156</v>
      </c>
      <c r="C31" s="71">
        <v>0</v>
      </c>
      <c r="D31" s="71">
        <v>0</v>
      </c>
      <c r="E31" s="71">
        <v>0</v>
      </c>
    </row>
    <row r="32" spans="1:5" x14ac:dyDescent="0.2">
      <c r="A32" s="43" t="s">
        <v>94</v>
      </c>
      <c r="B32" s="6" t="s">
        <v>157</v>
      </c>
      <c r="C32" s="71">
        <v>0</v>
      </c>
      <c r="D32" s="71">
        <v>0</v>
      </c>
      <c r="E32" s="71">
        <v>0</v>
      </c>
    </row>
    <row r="33" spans="1:5" x14ac:dyDescent="0.2">
      <c r="A33" s="43" t="s">
        <v>94</v>
      </c>
      <c r="B33" s="6" t="s">
        <v>158</v>
      </c>
      <c r="C33" s="71">
        <v>0</v>
      </c>
      <c r="D33" s="71">
        <v>0</v>
      </c>
      <c r="E33" s="71">
        <v>0</v>
      </c>
    </row>
    <row r="34" spans="1:5" x14ac:dyDescent="0.2">
      <c r="A34" s="43" t="s">
        <v>94</v>
      </c>
      <c r="B34" s="6" t="s">
        <v>159</v>
      </c>
      <c r="C34" s="71">
        <v>0</v>
      </c>
      <c r="D34" s="71">
        <v>0</v>
      </c>
      <c r="E34" s="71">
        <v>0</v>
      </c>
    </row>
    <row r="35" spans="1:5" x14ac:dyDescent="0.2">
      <c r="A35" s="43" t="s">
        <v>94</v>
      </c>
      <c r="B35" s="6" t="s">
        <v>160</v>
      </c>
      <c r="C35" s="71">
        <v>0</v>
      </c>
      <c r="D35" s="71">
        <v>0</v>
      </c>
      <c r="E35" s="71">
        <v>0</v>
      </c>
    </row>
    <row r="36" spans="1:5" x14ac:dyDescent="0.2">
      <c r="A36" s="43" t="s">
        <v>94</v>
      </c>
      <c r="B36" s="6" t="s">
        <v>161</v>
      </c>
      <c r="C36" s="71">
        <v>0</v>
      </c>
      <c r="D36" s="71">
        <v>0</v>
      </c>
      <c r="E36" s="71">
        <v>0</v>
      </c>
    </row>
    <row r="37" spans="1:5" x14ac:dyDescent="0.2">
      <c r="A37" s="43" t="s">
        <v>94</v>
      </c>
      <c r="B37" s="6" t="s">
        <v>162</v>
      </c>
      <c r="C37" s="71">
        <v>0</v>
      </c>
      <c r="D37" s="71">
        <v>0</v>
      </c>
      <c r="E37" s="71">
        <v>0</v>
      </c>
    </row>
    <row r="38" spans="1:5" x14ac:dyDescent="0.2">
      <c r="A38" s="43" t="s">
        <v>55</v>
      </c>
      <c r="B38" s="6" t="s">
        <v>151</v>
      </c>
      <c r="C38" s="71">
        <v>0</v>
      </c>
      <c r="D38" s="71">
        <v>0</v>
      </c>
      <c r="E38" s="71">
        <v>0</v>
      </c>
    </row>
    <row r="39" spans="1:5" x14ac:dyDescent="0.2">
      <c r="A39" s="43" t="s">
        <v>55</v>
      </c>
      <c r="B39" s="6" t="s">
        <v>152</v>
      </c>
      <c r="C39" s="71">
        <v>0</v>
      </c>
      <c r="D39" s="71">
        <v>0</v>
      </c>
      <c r="E39" s="71">
        <v>1</v>
      </c>
    </row>
    <row r="40" spans="1:5" x14ac:dyDescent="0.2">
      <c r="A40" s="43" t="s">
        <v>55</v>
      </c>
      <c r="B40" s="6" t="s">
        <v>153</v>
      </c>
      <c r="C40" s="71">
        <v>0</v>
      </c>
      <c r="D40" s="71">
        <v>0</v>
      </c>
      <c r="E40" s="71">
        <v>1</v>
      </c>
    </row>
    <row r="41" spans="1:5" x14ac:dyDescent="0.2">
      <c r="A41" s="43" t="s">
        <v>55</v>
      </c>
      <c r="B41" s="6" t="s">
        <v>154</v>
      </c>
      <c r="C41" s="71">
        <v>0</v>
      </c>
      <c r="D41" s="71">
        <v>0</v>
      </c>
      <c r="E41" s="71">
        <v>0</v>
      </c>
    </row>
    <row r="42" spans="1:5" x14ac:dyDescent="0.2">
      <c r="A42" s="43" t="s">
        <v>55</v>
      </c>
      <c r="B42" s="6" t="s">
        <v>155</v>
      </c>
      <c r="C42" s="71">
        <v>0</v>
      </c>
      <c r="D42" s="71">
        <v>0</v>
      </c>
      <c r="E42" s="71">
        <v>0</v>
      </c>
    </row>
    <row r="43" spans="1:5" x14ac:dyDescent="0.2">
      <c r="A43" s="43" t="s">
        <v>55</v>
      </c>
      <c r="B43" s="6" t="s">
        <v>156</v>
      </c>
      <c r="C43" s="71">
        <v>0</v>
      </c>
      <c r="D43" s="71">
        <v>0</v>
      </c>
      <c r="E43" s="71">
        <v>1</v>
      </c>
    </row>
    <row r="44" spans="1:5" x14ac:dyDescent="0.2">
      <c r="A44" s="43" t="s">
        <v>55</v>
      </c>
      <c r="B44" s="6" t="s">
        <v>157</v>
      </c>
      <c r="C44" s="71">
        <v>0</v>
      </c>
      <c r="D44" s="71">
        <v>0</v>
      </c>
      <c r="E44" s="71">
        <v>0</v>
      </c>
    </row>
    <row r="45" spans="1:5" x14ac:dyDescent="0.2">
      <c r="A45" s="43" t="s">
        <v>55</v>
      </c>
      <c r="B45" s="6" t="s">
        <v>158</v>
      </c>
      <c r="C45" s="71">
        <v>0</v>
      </c>
      <c r="D45" s="71">
        <v>0</v>
      </c>
      <c r="E45" s="71">
        <v>0</v>
      </c>
    </row>
    <row r="46" spans="1:5" x14ac:dyDescent="0.2">
      <c r="A46" s="43" t="s">
        <v>55</v>
      </c>
      <c r="B46" s="6" t="s">
        <v>159</v>
      </c>
      <c r="C46" s="71">
        <v>0</v>
      </c>
      <c r="D46" s="71">
        <v>0</v>
      </c>
      <c r="E46" s="71">
        <v>0</v>
      </c>
    </row>
    <row r="47" spans="1:5" x14ac:dyDescent="0.2">
      <c r="A47" s="43" t="s">
        <v>55</v>
      </c>
      <c r="B47" s="6" t="s">
        <v>160</v>
      </c>
      <c r="C47" s="71">
        <v>0</v>
      </c>
      <c r="D47" s="71">
        <v>0</v>
      </c>
      <c r="E47" s="71">
        <v>0</v>
      </c>
    </row>
    <row r="48" spans="1:5" x14ac:dyDescent="0.2">
      <c r="A48" s="43" t="s">
        <v>55</v>
      </c>
      <c r="B48" s="6" t="s">
        <v>161</v>
      </c>
      <c r="C48" s="71">
        <v>0</v>
      </c>
      <c r="D48" s="71">
        <v>0</v>
      </c>
      <c r="E48" s="71">
        <v>0</v>
      </c>
    </row>
    <row r="49" spans="1:5" x14ac:dyDescent="0.2">
      <c r="A49" s="43" t="s">
        <v>55</v>
      </c>
      <c r="B49" s="6" t="s">
        <v>162</v>
      </c>
      <c r="C49" s="71">
        <v>0</v>
      </c>
      <c r="D49" s="71">
        <v>0</v>
      </c>
      <c r="E49" s="71">
        <v>0</v>
      </c>
    </row>
    <row r="50" spans="1:5" x14ac:dyDescent="0.2">
      <c r="A50" s="43" t="s">
        <v>142</v>
      </c>
      <c r="B50" s="6" t="s">
        <v>151</v>
      </c>
      <c r="C50" s="71">
        <v>0</v>
      </c>
      <c r="D50" s="71">
        <v>0</v>
      </c>
      <c r="E50" s="71">
        <v>1</v>
      </c>
    </row>
    <row r="51" spans="1:5" x14ac:dyDescent="0.2">
      <c r="A51" s="43" t="s">
        <v>142</v>
      </c>
      <c r="B51" s="6" t="s">
        <v>152</v>
      </c>
      <c r="C51" s="71">
        <v>1</v>
      </c>
      <c r="D51" s="71">
        <v>0</v>
      </c>
      <c r="E51" s="71">
        <v>2</v>
      </c>
    </row>
    <row r="52" spans="1:5" x14ac:dyDescent="0.2">
      <c r="A52" s="43" t="s">
        <v>142</v>
      </c>
      <c r="B52" s="6" t="s">
        <v>153</v>
      </c>
      <c r="C52" s="71">
        <v>0</v>
      </c>
      <c r="D52" s="71">
        <v>0</v>
      </c>
      <c r="E52" s="71">
        <v>1</v>
      </c>
    </row>
    <row r="53" spans="1:5" x14ac:dyDescent="0.2">
      <c r="A53" s="43" t="s">
        <v>142</v>
      </c>
      <c r="B53" s="6" t="s">
        <v>154</v>
      </c>
      <c r="C53" s="71">
        <v>0</v>
      </c>
      <c r="D53" s="71">
        <v>0</v>
      </c>
      <c r="E53" s="71">
        <v>0</v>
      </c>
    </row>
    <row r="54" spans="1:5" x14ac:dyDescent="0.2">
      <c r="A54" s="43" t="s">
        <v>142</v>
      </c>
      <c r="B54" s="6" t="s">
        <v>155</v>
      </c>
      <c r="C54" s="71">
        <v>0</v>
      </c>
      <c r="D54" s="71">
        <v>0</v>
      </c>
      <c r="E54" s="71">
        <v>2</v>
      </c>
    </row>
    <row r="55" spans="1:5" x14ac:dyDescent="0.2">
      <c r="A55" s="43" t="s">
        <v>142</v>
      </c>
      <c r="B55" s="6" t="s">
        <v>156</v>
      </c>
      <c r="C55" s="71">
        <v>0</v>
      </c>
      <c r="D55" s="71">
        <v>0</v>
      </c>
      <c r="E55" s="71">
        <v>1</v>
      </c>
    </row>
    <row r="56" spans="1:5" x14ac:dyDescent="0.2">
      <c r="A56" s="43" t="s">
        <v>142</v>
      </c>
      <c r="B56" s="6" t="s">
        <v>157</v>
      </c>
      <c r="C56" s="71">
        <v>0</v>
      </c>
      <c r="D56" s="71">
        <v>0</v>
      </c>
      <c r="E56" s="71">
        <v>0</v>
      </c>
    </row>
    <row r="57" spans="1:5" x14ac:dyDescent="0.2">
      <c r="A57" s="43" t="s">
        <v>142</v>
      </c>
      <c r="B57" s="6" t="s">
        <v>158</v>
      </c>
      <c r="C57" s="71">
        <v>0</v>
      </c>
      <c r="D57" s="71">
        <v>0</v>
      </c>
      <c r="E57" s="71">
        <v>0</v>
      </c>
    </row>
    <row r="58" spans="1:5" x14ac:dyDescent="0.2">
      <c r="A58" s="43" t="s">
        <v>142</v>
      </c>
      <c r="B58" s="6" t="s">
        <v>159</v>
      </c>
      <c r="C58" s="71">
        <v>0</v>
      </c>
      <c r="D58" s="71">
        <v>0</v>
      </c>
      <c r="E58" s="71">
        <v>0</v>
      </c>
    </row>
    <row r="59" spans="1:5" x14ac:dyDescent="0.2">
      <c r="A59" s="43" t="s">
        <v>142</v>
      </c>
      <c r="B59" s="6" t="s">
        <v>160</v>
      </c>
      <c r="C59" s="71">
        <v>0</v>
      </c>
      <c r="D59" s="71">
        <v>0</v>
      </c>
      <c r="E59" s="71">
        <v>0</v>
      </c>
    </row>
    <row r="60" spans="1:5" x14ac:dyDescent="0.2">
      <c r="A60" s="43" t="s">
        <v>142</v>
      </c>
      <c r="B60" s="6" t="s">
        <v>161</v>
      </c>
      <c r="C60" s="71">
        <v>0</v>
      </c>
      <c r="D60" s="71">
        <v>0</v>
      </c>
      <c r="E60" s="71">
        <v>0</v>
      </c>
    </row>
    <row r="61" spans="1:5" x14ac:dyDescent="0.2">
      <c r="A61" s="43" t="s">
        <v>142</v>
      </c>
      <c r="B61" s="6" t="s">
        <v>162</v>
      </c>
      <c r="C61" s="71">
        <v>0</v>
      </c>
      <c r="D61" s="71">
        <v>0</v>
      </c>
      <c r="E61" s="71">
        <v>0</v>
      </c>
    </row>
    <row r="62" spans="1:5" x14ac:dyDescent="0.2">
      <c r="A62" s="43" t="s">
        <v>65</v>
      </c>
      <c r="B62" s="6" t="s">
        <v>151</v>
      </c>
      <c r="C62" s="71">
        <v>0</v>
      </c>
      <c r="D62" s="71">
        <v>0</v>
      </c>
      <c r="E62" s="71">
        <v>0</v>
      </c>
    </row>
    <row r="63" spans="1:5" x14ac:dyDescent="0.2">
      <c r="A63" s="43" t="s">
        <v>65</v>
      </c>
      <c r="B63" s="6" t="s">
        <v>152</v>
      </c>
      <c r="C63" s="71">
        <v>0</v>
      </c>
      <c r="D63" s="71">
        <v>0</v>
      </c>
      <c r="E63" s="71">
        <v>0</v>
      </c>
    </row>
    <row r="64" spans="1:5" x14ac:dyDescent="0.2">
      <c r="A64" s="43" t="s">
        <v>65</v>
      </c>
      <c r="B64" s="6" t="s">
        <v>153</v>
      </c>
      <c r="C64" s="71">
        <v>0</v>
      </c>
      <c r="D64" s="71">
        <v>0</v>
      </c>
      <c r="E64" s="71">
        <v>0</v>
      </c>
    </row>
    <row r="65" spans="1:5" x14ac:dyDescent="0.2">
      <c r="A65" s="43" t="s">
        <v>65</v>
      </c>
      <c r="B65" s="6" t="s">
        <v>154</v>
      </c>
      <c r="C65" s="71">
        <v>0</v>
      </c>
      <c r="D65" s="71">
        <v>0</v>
      </c>
      <c r="E65" s="71">
        <v>0</v>
      </c>
    </row>
    <row r="66" spans="1:5" x14ac:dyDescent="0.2">
      <c r="A66" s="43" t="s">
        <v>65</v>
      </c>
      <c r="B66" s="6" t="s">
        <v>155</v>
      </c>
      <c r="C66" s="71">
        <v>0</v>
      </c>
      <c r="D66" s="71">
        <v>0</v>
      </c>
      <c r="E66" s="71">
        <v>0</v>
      </c>
    </row>
    <row r="67" spans="1:5" x14ac:dyDescent="0.2">
      <c r="A67" s="43" t="s">
        <v>65</v>
      </c>
      <c r="B67" s="6" t="s">
        <v>156</v>
      </c>
      <c r="C67" s="71">
        <v>0</v>
      </c>
      <c r="D67" s="71">
        <v>0</v>
      </c>
      <c r="E67" s="71">
        <v>0</v>
      </c>
    </row>
    <row r="68" spans="1:5" x14ac:dyDescent="0.2">
      <c r="A68" s="43" t="s">
        <v>65</v>
      </c>
      <c r="B68" s="6" t="s">
        <v>157</v>
      </c>
      <c r="C68" s="71">
        <v>0</v>
      </c>
      <c r="D68" s="71">
        <v>0</v>
      </c>
      <c r="E68" s="71">
        <v>3</v>
      </c>
    </row>
    <row r="69" spans="1:5" x14ac:dyDescent="0.2">
      <c r="A69" s="43" t="s">
        <v>65</v>
      </c>
      <c r="B69" s="6" t="s">
        <v>158</v>
      </c>
      <c r="C69" s="71">
        <v>0</v>
      </c>
      <c r="D69" s="71">
        <v>0</v>
      </c>
      <c r="E69" s="71">
        <v>0</v>
      </c>
    </row>
    <row r="70" spans="1:5" x14ac:dyDescent="0.2">
      <c r="A70" s="43" t="s">
        <v>65</v>
      </c>
      <c r="B70" s="6" t="s">
        <v>159</v>
      </c>
      <c r="C70" s="71">
        <v>0</v>
      </c>
      <c r="D70" s="71">
        <v>0</v>
      </c>
      <c r="E70" s="71">
        <v>0</v>
      </c>
    </row>
    <row r="71" spans="1:5" x14ac:dyDescent="0.2">
      <c r="A71" s="43" t="s">
        <v>65</v>
      </c>
      <c r="B71" s="6" t="s">
        <v>160</v>
      </c>
      <c r="C71" s="71">
        <v>0</v>
      </c>
      <c r="D71" s="71">
        <v>0</v>
      </c>
      <c r="E71" s="71">
        <v>0</v>
      </c>
    </row>
    <row r="72" spans="1:5" x14ac:dyDescent="0.2">
      <c r="A72" s="43" t="s">
        <v>65</v>
      </c>
      <c r="B72" s="6" t="s">
        <v>161</v>
      </c>
      <c r="C72" s="71">
        <v>0</v>
      </c>
      <c r="D72" s="71">
        <v>0</v>
      </c>
      <c r="E72" s="71">
        <v>0</v>
      </c>
    </row>
    <row r="73" spans="1:5" x14ac:dyDescent="0.2">
      <c r="A73" s="43" t="s">
        <v>65</v>
      </c>
      <c r="B73" s="6" t="s">
        <v>162</v>
      </c>
      <c r="C73" s="71">
        <v>0</v>
      </c>
      <c r="D73" s="71">
        <v>0</v>
      </c>
      <c r="E73" s="71">
        <v>0</v>
      </c>
    </row>
    <row r="74" spans="1:5" x14ac:dyDescent="0.2">
      <c r="A74" s="43" t="s">
        <v>41</v>
      </c>
      <c r="B74" s="6" t="s">
        <v>151</v>
      </c>
      <c r="C74" s="71">
        <v>0</v>
      </c>
      <c r="D74" s="71">
        <v>0</v>
      </c>
      <c r="E74" s="71">
        <v>402</v>
      </c>
    </row>
    <row r="75" spans="1:5" x14ac:dyDescent="0.2">
      <c r="A75" s="43" t="s">
        <v>41</v>
      </c>
      <c r="B75" s="6" t="s">
        <v>152</v>
      </c>
      <c r="C75" s="71">
        <v>0</v>
      </c>
      <c r="D75" s="71">
        <v>6</v>
      </c>
      <c r="E75" s="71">
        <v>332</v>
      </c>
    </row>
    <row r="76" spans="1:5" x14ac:dyDescent="0.2">
      <c r="A76" s="43" t="s">
        <v>41</v>
      </c>
      <c r="B76" s="6" t="s">
        <v>153</v>
      </c>
      <c r="C76" s="71">
        <v>0</v>
      </c>
      <c r="D76" s="71">
        <v>0</v>
      </c>
      <c r="E76" s="71">
        <v>97</v>
      </c>
    </row>
    <row r="77" spans="1:5" x14ac:dyDescent="0.2">
      <c r="A77" s="43" t="s">
        <v>41</v>
      </c>
      <c r="B77" s="6" t="s">
        <v>154</v>
      </c>
      <c r="C77" s="71">
        <v>0</v>
      </c>
      <c r="D77" s="71">
        <v>0</v>
      </c>
      <c r="E77" s="71">
        <v>0</v>
      </c>
    </row>
    <row r="78" spans="1:5" x14ac:dyDescent="0.2">
      <c r="A78" s="43" t="s">
        <v>41</v>
      </c>
      <c r="B78" s="6" t="s">
        <v>155</v>
      </c>
      <c r="C78" s="71">
        <v>0</v>
      </c>
      <c r="D78" s="71">
        <v>0</v>
      </c>
      <c r="E78" s="71">
        <v>0</v>
      </c>
    </row>
    <row r="79" spans="1:5" x14ac:dyDescent="0.2">
      <c r="A79" s="43" t="s">
        <v>41</v>
      </c>
      <c r="B79" s="6" t="s">
        <v>156</v>
      </c>
      <c r="C79" s="71">
        <v>0</v>
      </c>
      <c r="D79" s="71">
        <v>0</v>
      </c>
      <c r="E79" s="71">
        <v>0</v>
      </c>
    </row>
    <row r="80" spans="1:5" x14ac:dyDescent="0.2">
      <c r="A80" s="43" t="s">
        <v>41</v>
      </c>
      <c r="B80" s="6" t="s">
        <v>157</v>
      </c>
      <c r="C80" s="71">
        <v>0</v>
      </c>
      <c r="D80" s="71">
        <v>0</v>
      </c>
      <c r="E80" s="71">
        <v>2</v>
      </c>
    </row>
    <row r="81" spans="1:5" x14ac:dyDescent="0.2">
      <c r="A81" s="43" t="s">
        <v>41</v>
      </c>
      <c r="B81" s="6" t="s">
        <v>158</v>
      </c>
      <c r="C81" s="71">
        <v>0</v>
      </c>
      <c r="D81" s="71">
        <v>0</v>
      </c>
      <c r="E81" s="71">
        <v>0</v>
      </c>
    </row>
    <row r="82" spans="1:5" x14ac:dyDescent="0.2">
      <c r="A82" s="43" t="s">
        <v>41</v>
      </c>
      <c r="B82" s="6" t="s">
        <v>159</v>
      </c>
      <c r="C82" s="71">
        <v>0</v>
      </c>
      <c r="D82" s="71">
        <v>0</v>
      </c>
      <c r="E82" s="71">
        <v>0</v>
      </c>
    </row>
    <row r="83" spans="1:5" x14ac:dyDescent="0.2">
      <c r="A83" s="43" t="s">
        <v>41</v>
      </c>
      <c r="B83" s="6" t="s">
        <v>160</v>
      </c>
      <c r="C83" s="71">
        <v>0</v>
      </c>
      <c r="D83" s="71">
        <v>0</v>
      </c>
      <c r="E83" s="71">
        <v>0</v>
      </c>
    </row>
    <row r="84" spans="1:5" x14ac:dyDescent="0.2">
      <c r="A84" s="43" t="s">
        <v>41</v>
      </c>
      <c r="B84" s="6" t="s">
        <v>161</v>
      </c>
      <c r="C84" s="71">
        <v>0</v>
      </c>
      <c r="D84" s="71">
        <v>0</v>
      </c>
      <c r="E84" s="71">
        <v>0</v>
      </c>
    </row>
    <row r="85" spans="1:5" x14ac:dyDescent="0.2">
      <c r="A85" s="43" t="s">
        <v>41</v>
      </c>
      <c r="B85" s="6" t="s">
        <v>162</v>
      </c>
      <c r="C85" s="71">
        <v>0</v>
      </c>
      <c r="D85" s="71">
        <v>0</v>
      </c>
      <c r="E85" s="71">
        <v>0</v>
      </c>
    </row>
    <row r="86" spans="1:5" x14ac:dyDescent="0.2">
      <c r="A86" s="43" t="s">
        <v>62</v>
      </c>
      <c r="B86" s="6" t="s">
        <v>151</v>
      </c>
      <c r="C86" s="71">
        <v>0</v>
      </c>
      <c r="D86" s="71">
        <v>0</v>
      </c>
      <c r="E86" s="71">
        <v>0</v>
      </c>
    </row>
    <row r="87" spans="1:5" x14ac:dyDescent="0.2">
      <c r="A87" s="43" t="s">
        <v>62</v>
      </c>
      <c r="B87" s="6" t="s">
        <v>152</v>
      </c>
      <c r="C87" s="71">
        <v>0</v>
      </c>
      <c r="D87" s="71">
        <v>0</v>
      </c>
      <c r="E87" s="71">
        <v>0</v>
      </c>
    </row>
    <row r="88" spans="1:5" x14ac:dyDescent="0.2">
      <c r="A88" s="43" t="s">
        <v>62</v>
      </c>
      <c r="B88" s="6" t="s">
        <v>153</v>
      </c>
      <c r="C88" s="71">
        <v>0</v>
      </c>
      <c r="D88" s="71">
        <v>0</v>
      </c>
      <c r="E88" s="71">
        <v>0</v>
      </c>
    </row>
    <row r="89" spans="1:5" x14ac:dyDescent="0.2">
      <c r="A89" s="43" t="s">
        <v>62</v>
      </c>
      <c r="B89" s="6" t="s">
        <v>154</v>
      </c>
      <c r="C89" s="71">
        <v>0</v>
      </c>
      <c r="D89" s="71">
        <v>0</v>
      </c>
      <c r="E89" s="71">
        <v>0</v>
      </c>
    </row>
    <row r="90" spans="1:5" x14ac:dyDescent="0.2">
      <c r="A90" s="43" t="s">
        <v>62</v>
      </c>
      <c r="B90" s="6" t="s">
        <v>155</v>
      </c>
      <c r="C90" s="71">
        <v>0</v>
      </c>
      <c r="D90" s="71">
        <v>0</v>
      </c>
      <c r="E90" s="71">
        <v>0</v>
      </c>
    </row>
    <row r="91" spans="1:5" x14ac:dyDescent="0.2">
      <c r="A91" s="43" t="s">
        <v>62</v>
      </c>
      <c r="B91" s="6" t="s">
        <v>156</v>
      </c>
      <c r="C91" s="71">
        <v>0</v>
      </c>
      <c r="D91" s="71">
        <v>0</v>
      </c>
      <c r="E91" s="71">
        <v>0</v>
      </c>
    </row>
    <row r="92" spans="1:5" x14ac:dyDescent="0.2">
      <c r="A92" s="43" t="s">
        <v>62</v>
      </c>
      <c r="B92" s="6" t="s">
        <v>157</v>
      </c>
      <c r="C92" s="71">
        <v>0</v>
      </c>
      <c r="D92" s="71">
        <v>0</v>
      </c>
      <c r="E92" s="71">
        <v>0</v>
      </c>
    </row>
    <row r="93" spans="1:5" x14ac:dyDescent="0.2">
      <c r="A93" s="43" t="s">
        <v>62</v>
      </c>
      <c r="B93" s="6" t="s">
        <v>158</v>
      </c>
      <c r="C93" s="71">
        <v>0</v>
      </c>
      <c r="D93" s="71">
        <v>0</v>
      </c>
      <c r="E93" s="71">
        <v>0</v>
      </c>
    </row>
    <row r="94" spans="1:5" x14ac:dyDescent="0.2">
      <c r="A94" s="43" t="s">
        <v>62</v>
      </c>
      <c r="B94" s="6" t="s">
        <v>159</v>
      </c>
      <c r="C94" s="71">
        <v>0</v>
      </c>
      <c r="D94" s="71">
        <v>0</v>
      </c>
      <c r="E94" s="71">
        <v>0</v>
      </c>
    </row>
    <row r="95" spans="1:5" x14ac:dyDescent="0.2">
      <c r="A95" s="43" t="s">
        <v>62</v>
      </c>
      <c r="B95" s="6" t="s">
        <v>160</v>
      </c>
      <c r="C95" s="71">
        <v>0</v>
      </c>
      <c r="D95" s="71">
        <v>0</v>
      </c>
      <c r="E95" s="71">
        <v>0</v>
      </c>
    </row>
    <row r="96" spans="1:5" x14ac:dyDescent="0.2">
      <c r="A96" s="43" t="s">
        <v>62</v>
      </c>
      <c r="B96" s="6" t="s">
        <v>161</v>
      </c>
      <c r="C96" s="71">
        <v>0</v>
      </c>
      <c r="D96" s="71">
        <v>0</v>
      </c>
      <c r="E96" s="71">
        <v>0</v>
      </c>
    </row>
    <row r="97" spans="1:5" x14ac:dyDescent="0.2">
      <c r="A97" s="43" t="s">
        <v>62</v>
      </c>
      <c r="B97" s="6" t="s">
        <v>162</v>
      </c>
      <c r="C97" s="71">
        <v>0</v>
      </c>
      <c r="D97" s="71">
        <v>0</v>
      </c>
      <c r="E97" s="71">
        <v>0</v>
      </c>
    </row>
    <row r="98" spans="1:5" x14ac:dyDescent="0.2">
      <c r="A98" s="43" t="s">
        <v>114</v>
      </c>
      <c r="B98" s="6" t="s">
        <v>151</v>
      </c>
      <c r="C98" s="71">
        <v>0</v>
      </c>
      <c r="D98" s="71">
        <v>0</v>
      </c>
      <c r="E98" s="71">
        <v>0</v>
      </c>
    </row>
    <row r="99" spans="1:5" x14ac:dyDescent="0.2">
      <c r="A99" s="43" t="s">
        <v>114</v>
      </c>
      <c r="B99" s="6" t="s">
        <v>152</v>
      </c>
      <c r="C99" s="71">
        <v>0</v>
      </c>
      <c r="D99" s="71">
        <v>0</v>
      </c>
      <c r="E99" s="71">
        <v>2</v>
      </c>
    </row>
    <row r="100" spans="1:5" x14ac:dyDescent="0.2">
      <c r="A100" s="43" t="s">
        <v>114</v>
      </c>
      <c r="B100" s="6" t="s">
        <v>153</v>
      </c>
      <c r="C100" s="71">
        <v>0</v>
      </c>
      <c r="D100" s="71">
        <v>0</v>
      </c>
      <c r="E100" s="71">
        <v>0</v>
      </c>
    </row>
    <row r="101" spans="1:5" x14ac:dyDescent="0.2">
      <c r="A101" s="43" t="s">
        <v>114</v>
      </c>
      <c r="B101" s="6" t="s">
        <v>154</v>
      </c>
      <c r="C101" s="71">
        <v>0</v>
      </c>
      <c r="D101" s="71">
        <v>0</v>
      </c>
      <c r="E101" s="71">
        <v>0</v>
      </c>
    </row>
    <row r="102" spans="1:5" x14ac:dyDescent="0.2">
      <c r="A102" s="43" t="s">
        <v>114</v>
      </c>
      <c r="B102" s="6" t="s">
        <v>155</v>
      </c>
      <c r="C102" s="71">
        <v>0</v>
      </c>
      <c r="D102" s="71">
        <v>0</v>
      </c>
      <c r="E102" s="71">
        <v>4</v>
      </c>
    </row>
    <row r="103" spans="1:5" x14ac:dyDescent="0.2">
      <c r="A103" s="43" t="s">
        <v>114</v>
      </c>
      <c r="B103" s="6" t="s">
        <v>156</v>
      </c>
      <c r="C103" s="71">
        <v>0</v>
      </c>
      <c r="D103" s="71">
        <v>0</v>
      </c>
      <c r="E103" s="71">
        <v>2</v>
      </c>
    </row>
    <row r="104" spans="1:5" x14ac:dyDescent="0.2">
      <c r="A104" s="43" t="s">
        <v>114</v>
      </c>
      <c r="B104" s="6" t="s">
        <v>157</v>
      </c>
      <c r="C104" s="71">
        <v>0</v>
      </c>
      <c r="D104" s="71">
        <v>0</v>
      </c>
      <c r="E104" s="71">
        <v>0</v>
      </c>
    </row>
    <row r="105" spans="1:5" x14ac:dyDescent="0.2">
      <c r="A105" s="43" t="s">
        <v>114</v>
      </c>
      <c r="B105" s="6" t="s">
        <v>158</v>
      </c>
      <c r="C105" s="71">
        <v>0</v>
      </c>
      <c r="D105" s="71">
        <v>0</v>
      </c>
      <c r="E105" s="71">
        <v>0</v>
      </c>
    </row>
    <row r="106" spans="1:5" x14ac:dyDescent="0.2">
      <c r="A106" s="43" t="s">
        <v>114</v>
      </c>
      <c r="B106" s="6" t="s">
        <v>159</v>
      </c>
      <c r="C106" s="71">
        <v>0</v>
      </c>
      <c r="D106" s="71">
        <v>0</v>
      </c>
      <c r="E106" s="71">
        <v>0</v>
      </c>
    </row>
    <row r="107" spans="1:5" x14ac:dyDescent="0.2">
      <c r="A107" s="43" t="s">
        <v>114</v>
      </c>
      <c r="B107" s="6" t="s">
        <v>160</v>
      </c>
      <c r="C107" s="71">
        <v>0</v>
      </c>
      <c r="D107" s="71">
        <v>0</v>
      </c>
      <c r="E107" s="71">
        <v>0</v>
      </c>
    </row>
    <row r="108" spans="1:5" x14ac:dyDescent="0.2">
      <c r="A108" s="43" t="s">
        <v>114</v>
      </c>
      <c r="B108" s="6" t="s">
        <v>161</v>
      </c>
      <c r="C108" s="71">
        <v>0</v>
      </c>
      <c r="D108" s="71">
        <v>0</v>
      </c>
      <c r="E108" s="71">
        <v>0</v>
      </c>
    </row>
    <row r="109" spans="1:5" x14ac:dyDescent="0.2">
      <c r="A109" s="43" t="s">
        <v>114</v>
      </c>
      <c r="B109" s="6" t="s">
        <v>162</v>
      </c>
      <c r="C109" s="71">
        <v>0</v>
      </c>
      <c r="D109" s="71">
        <v>0</v>
      </c>
      <c r="E109" s="71">
        <v>0</v>
      </c>
    </row>
    <row r="110" spans="1:5" x14ac:dyDescent="0.2">
      <c r="A110" s="43" t="s">
        <v>47</v>
      </c>
      <c r="B110" s="6" t="s">
        <v>151</v>
      </c>
      <c r="C110" s="71">
        <v>0</v>
      </c>
      <c r="D110" s="71">
        <v>0</v>
      </c>
      <c r="E110" s="71">
        <v>0</v>
      </c>
    </row>
    <row r="111" spans="1:5" x14ac:dyDescent="0.2">
      <c r="A111" s="43" t="s">
        <v>47</v>
      </c>
      <c r="B111" s="6" t="s">
        <v>152</v>
      </c>
      <c r="C111" s="71">
        <v>0</v>
      </c>
      <c r="D111" s="71">
        <v>0</v>
      </c>
      <c r="E111" s="71">
        <v>2</v>
      </c>
    </row>
    <row r="112" spans="1:5" x14ac:dyDescent="0.2">
      <c r="A112" s="43" t="s">
        <v>47</v>
      </c>
      <c r="B112" s="6" t="s">
        <v>153</v>
      </c>
      <c r="C112" s="71">
        <v>0</v>
      </c>
      <c r="D112" s="71">
        <v>0</v>
      </c>
      <c r="E112" s="71">
        <v>0</v>
      </c>
    </row>
    <row r="113" spans="1:5" x14ac:dyDescent="0.2">
      <c r="A113" s="43" t="s">
        <v>47</v>
      </c>
      <c r="B113" s="6" t="s">
        <v>154</v>
      </c>
      <c r="C113" s="71">
        <v>0</v>
      </c>
      <c r="D113" s="71">
        <v>0</v>
      </c>
      <c r="E113" s="71">
        <v>15</v>
      </c>
    </row>
    <row r="114" spans="1:5" x14ac:dyDescent="0.2">
      <c r="A114" s="43" t="s">
        <v>47</v>
      </c>
      <c r="B114" s="6" t="s">
        <v>155</v>
      </c>
      <c r="C114" s="71">
        <v>0</v>
      </c>
      <c r="D114" s="71">
        <v>0</v>
      </c>
      <c r="E114" s="71">
        <v>18</v>
      </c>
    </row>
    <row r="115" spans="1:5" x14ac:dyDescent="0.2">
      <c r="A115" s="43" t="s">
        <v>47</v>
      </c>
      <c r="B115" s="6" t="s">
        <v>156</v>
      </c>
      <c r="C115" s="71">
        <v>0</v>
      </c>
      <c r="D115" s="71">
        <v>0</v>
      </c>
      <c r="E115" s="71">
        <v>14</v>
      </c>
    </row>
    <row r="116" spans="1:5" x14ac:dyDescent="0.2">
      <c r="A116" s="43" t="s">
        <v>47</v>
      </c>
      <c r="B116" s="6" t="s">
        <v>157</v>
      </c>
      <c r="C116" s="71">
        <v>0</v>
      </c>
      <c r="D116" s="71">
        <v>0</v>
      </c>
      <c r="E116" s="71">
        <v>4</v>
      </c>
    </row>
    <row r="117" spans="1:5" x14ac:dyDescent="0.2">
      <c r="A117" s="43" t="s">
        <v>47</v>
      </c>
      <c r="B117" s="6" t="s">
        <v>158</v>
      </c>
      <c r="C117" s="71">
        <v>0</v>
      </c>
      <c r="D117" s="71">
        <v>0</v>
      </c>
      <c r="E117" s="71">
        <v>10</v>
      </c>
    </row>
    <row r="118" spans="1:5" x14ac:dyDescent="0.2">
      <c r="A118" s="43" t="s">
        <v>47</v>
      </c>
      <c r="B118" s="6" t="s">
        <v>159</v>
      </c>
      <c r="C118" s="71">
        <v>0</v>
      </c>
      <c r="D118" s="71">
        <v>0</v>
      </c>
      <c r="E118" s="71">
        <v>0</v>
      </c>
    </row>
    <row r="119" spans="1:5" x14ac:dyDescent="0.2">
      <c r="A119" s="43" t="s">
        <v>47</v>
      </c>
      <c r="B119" s="6" t="s">
        <v>160</v>
      </c>
      <c r="C119" s="71">
        <v>0</v>
      </c>
      <c r="D119" s="71">
        <v>0</v>
      </c>
      <c r="E119" s="71">
        <v>0</v>
      </c>
    </row>
    <row r="120" spans="1:5" x14ac:dyDescent="0.2">
      <c r="A120" s="43" t="s">
        <v>47</v>
      </c>
      <c r="B120" s="6" t="s">
        <v>161</v>
      </c>
      <c r="C120" s="71">
        <v>0</v>
      </c>
      <c r="D120" s="71">
        <v>0</v>
      </c>
      <c r="E120" s="71">
        <v>0</v>
      </c>
    </row>
    <row r="121" spans="1:5" x14ac:dyDescent="0.2">
      <c r="A121" s="43" t="s">
        <v>47</v>
      </c>
      <c r="B121" s="6" t="s">
        <v>162</v>
      </c>
      <c r="C121" s="71">
        <v>0</v>
      </c>
      <c r="D121" s="71">
        <v>0</v>
      </c>
      <c r="E121" s="71">
        <v>0</v>
      </c>
    </row>
    <row r="122" spans="1:5" x14ac:dyDescent="0.2">
      <c r="A122" s="43" t="s">
        <v>302</v>
      </c>
      <c r="B122" s="6" t="s">
        <v>151</v>
      </c>
      <c r="C122" s="71">
        <v>0</v>
      </c>
      <c r="D122" s="71">
        <v>0</v>
      </c>
      <c r="E122" s="71">
        <v>0</v>
      </c>
    </row>
    <row r="123" spans="1:5" x14ac:dyDescent="0.2">
      <c r="A123" s="43" t="s">
        <v>302</v>
      </c>
      <c r="B123" s="6" t="s">
        <v>152</v>
      </c>
      <c r="C123" s="71">
        <v>0</v>
      </c>
      <c r="D123" s="71">
        <v>0</v>
      </c>
      <c r="E123" s="71">
        <v>0</v>
      </c>
    </row>
    <row r="124" spans="1:5" x14ac:dyDescent="0.2">
      <c r="A124" s="43" t="s">
        <v>302</v>
      </c>
      <c r="B124" s="6" t="s">
        <v>153</v>
      </c>
      <c r="C124" s="71">
        <v>0</v>
      </c>
      <c r="D124" s="71">
        <v>0</v>
      </c>
      <c r="E124" s="71">
        <v>0</v>
      </c>
    </row>
    <row r="125" spans="1:5" x14ac:dyDescent="0.2">
      <c r="A125" s="43" t="s">
        <v>302</v>
      </c>
      <c r="B125" s="6" t="s">
        <v>154</v>
      </c>
      <c r="C125" s="71">
        <v>0</v>
      </c>
      <c r="D125" s="71">
        <v>0</v>
      </c>
      <c r="E125" s="71">
        <v>0</v>
      </c>
    </row>
    <row r="126" spans="1:5" x14ac:dyDescent="0.2">
      <c r="A126" s="43" t="s">
        <v>302</v>
      </c>
      <c r="B126" s="6" t="s">
        <v>155</v>
      </c>
      <c r="C126" s="71">
        <v>0</v>
      </c>
      <c r="D126" s="71">
        <v>0</v>
      </c>
      <c r="E126" s="71">
        <v>0</v>
      </c>
    </row>
    <row r="127" spans="1:5" x14ac:dyDescent="0.2">
      <c r="A127" s="43" t="s">
        <v>302</v>
      </c>
      <c r="B127" s="6" t="s">
        <v>156</v>
      </c>
      <c r="C127" s="71">
        <v>0</v>
      </c>
      <c r="D127" s="71">
        <v>0</v>
      </c>
      <c r="E127" s="71">
        <v>0</v>
      </c>
    </row>
    <row r="128" spans="1:5" x14ac:dyDescent="0.2">
      <c r="A128" s="43" t="s">
        <v>302</v>
      </c>
      <c r="B128" s="6" t="s">
        <v>157</v>
      </c>
      <c r="C128" s="71">
        <v>0</v>
      </c>
      <c r="D128" s="71">
        <v>0</v>
      </c>
      <c r="E128" s="71">
        <v>0</v>
      </c>
    </row>
    <row r="129" spans="1:5" x14ac:dyDescent="0.2">
      <c r="A129" s="43" t="s">
        <v>302</v>
      </c>
      <c r="B129" s="6" t="s">
        <v>158</v>
      </c>
      <c r="C129" s="71">
        <v>0</v>
      </c>
      <c r="D129" s="71">
        <v>0</v>
      </c>
      <c r="E129" s="71">
        <v>0</v>
      </c>
    </row>
    <row r="130" spans="1:5" x14ac:dyDescent="0.2">
      <c r="A130" s="43" t="s">
        <v>302</v>
      </c>
      <c r="B130" s="6" t="s">
        <v>159</v>
      </c>
      <c r="C130" s="71">
        <v>0</v>
      </c>
      <c r="D130" s="71">
        <v>0</v>
      </c>
      <c r="E130" s="71">
        <v>0</v>
      </c>
    </row>
    <row r="131" spans="1:5" x14ac:dyDescent="0.2">
      <c r="A131" s="43" t="s">
        <v>302</v>
      </c>
      <c r="B131" s="6" t="s">
        <v>160</v>
      </c>
      <c r="C131" s="71">
        <v>0</v>
      </c>
      <c r="D131" s="71">
        <v>0</v>
      </c>
      <c r="E131" s="71">
        <v>0</v>
      </c>
    </row>
    <row r="132" spans="1:5" x14ac:dyDescent="0.2">
      <c r="A132" s="43" t="s">
        <v>302</v>
      </c>
      <c r="B132" s="6" t="s">
        <v>161</v>
      </c>
      <c r="C132" s="71">
        <v>0</v>
      </c>
      <c r="D132" s="71">
        <v>0</v>
      </c>
      <c r="E132" s="71">
        <v>0</v>
      </c>
    </row>
    <row r="133" spans="1:5" x14ac:dyDescent="0.2">
      <c r="A133" s="43" t="s">
        <v>302</v>
      </c>
      <c r="B133" s="6" t="s">
        <v>162</v>
      </c>
      <c r="C133" s="71">
        <v>0</v>
      </c>
      <c r="D133" s="71">
        <v>0</v>
      </c>
      <c r="E133" s="71">
        <v>0</v>
      </c>
    </row>
    <row r="134" spans="1:5" x14ac:dyDescent="0.2">
      <c r="A134" s="43" t="s">
        <v>89</v>
      </c>
      <c r="B134" s="6" t="s">
        <v>151</v>
      </c>
      <c r="C134" s="71">
        <v>0</v>
      </c>
      <c r="D134" s="71">
        <v>0</v>
      </c>
      <c r="E134" s="71">
        <v>1</v>
      </c>
    </row>
    <row r="135" spans="1:5" x14ac:dyDescent="0.2">
      <c r="A135" s="43" t="s">
        <v>89</v>
      </c>
      <c r="B135" s="6" t="s">
        <v>152</v>
      </c>
      <c r="C135" s="71">
        <v>0</v>
      </c>
      <c r="D135" s="71">
        <v>0</v>
      </c>
      <c r="E135" s="71">
        <v>0</v>
      </c>
    </row>
    <row r="136" spans="1:5" x14ac:dyDescent="0.2">
      <c r="A136" s="43" t="s">
        <v>89</v>
      </c>
      <c r="B136" s="6" t="s">
        <v>153</v>
      </c>
      <c r="C136" s="71">
        <v>0</v>
      </c>
      <c r="D136" s="71">
        <v>0</v>
      </c>
      <c r="E136" s="71">
        <v>0</v>
      </c>
    </row>
    <row r="137" spans="1:5" x14ac:dyDescent="0.2">
      <c r="A137" s="43" t="s">
        <v>89</v>
      </c>
      <c r="B137" s="6" t="s">
        <v>154</v>
      </c>
      <c r="C137" s="71">
        <v>0</v>
      </c>
      <c r="D137" s="71">
        <v>0</v>
      </c>
      <c r="E137" s="71">
        <v>0</v>
      </c>
    </row>
    <row r="138" spans="1:5" x14ac:dyDescent="0.2">
      <c r="A138" s="43" t="s">
        <v>89</v>
      </c>
      <c r="B138" s="6" t="s">
        <v>155</v>
      </c>
      <c r="C138" s="71">
        <v>0</v>
      </c>
      <c r="D138" s="71">
        <v>0</v>
      </c>
      <c r="E138" s="71">
        <v>1</v>
      </c>
    </row>
    <row r="139" spans="1:5" x14ac:dyDescent="0.2">
      <c r="A139" s="43" t="s">
        <v>89</v>
      </c>
      <c r="B139" s="6" t="s">
        <v>156</v>
      </c>
      <c r="C139" s="71">
        <v>0</v>
      </c>
      <c r="D139" s="71">
        <v>0</v>
      </c>
      <c r="E139" s="71">
        <v>0</v>
      </c>
    </row>
    <row r="140" spans="1:5" x14ac:dyDescent="0.2">
      <c r="A140" s="43" t="s">
        <v>89</v>
      </c>
      <c r="B140" s="6" t="s">
        <v>157</v>
      </c>
      <c r="C140" s="71">
        <v>0</v>
      </c>
      <c r="D140" s="71">
        <v>0</v>
      </c>
      <c r="E140" s="71">
        <v>1</v>
      </c>
    </row>
    <row r="141" spans="1:5" x14ac:dyDescent="0.2">
      <c r="A141" s="43" t="s">
        <v>89</v>
      </c>
      <c r="B141" s="6" t="s">
        <v>158</v>
      </c>
      <c r="C141" s="71">
        <v>0</v>
      </c>
      <c r="D141" s="71">
        <v>0</v>
      </c>
      <c r="E141" s="71">
        <v>0</v>
      </c>
    </row>
    <row r="142" spans="1:5" x14ac:dyDescent="0.2">
      <c r="A142" s="43" t="s">
        <v>89</v>
      </c>
      <c r="B142" s="6" t="s">
        <v>159</v>
      </c>
      <c r="C142" s="71">
        <v>0</v>
      </c>
      <c r="D142" s="71">
        <v>0</v>
      </c>
      <c r="E142" s="71">
        <v>0</v>
      </c>
    </row>
    <row r="143" spans="1:5" x14ac:dyDescent="0.2">
      <c r="A143" s="43" t="s">
        <v>89</v>
      </c>
      <c r="B143" s="6" t="s">
        <v>160</v>
      </c>
      <c r="C143" s="71">
        <v>0</v>
      </c>
      <c r="D143" s="71">
        <v>0</v>
      </c>
      <c r="E143" s="71">
        <v>0</v>
      </c>
    </row>
    <row r="144" spans="1:5" x14ac:dyDescent="0.2">
      <c r="A144" s="43" t="s">
        <v>89</v>
      </c>
      <c r="B144" s="6" t="s">
        <v>161</v>
      </c>
      <c r="C144" s="71">
        <v>0</v>
      </c>
      <c r="D144" s="71">
        <v>0</v>
      </c>
      <c r="E144" s="71">
        <v>0</v>
      </c>
    </row>
    <row r="145" spans="1:5" x14ac:dyDescent="0.2">
      <c r="A145" s="43" t="s">
        <v>89</v>
      </c>
      <c r="B145" s="6" t="s">
        <v>162</v>
      </c>
      <c r="C145" s="71">
        <v>0</v>
      </c>
      <c r="D145" s="71">
        <v>0</v>
      </c>
      <c r="E145" s="71">
        <v>0</v>
      </c>
    </row>
    <row r="146" spans="1:5" x14ac:dyDescent="0.2">
      <c r="A146" s="43" t="s">
        <v>113</v>
      </c>
      <c r="B146" s="6" t="s">
        <v>151</v>
      </c>
      <c r="C146" s="71">
        <v>0</v>
      </c>
      <c r="D146" s="71">
        <v>0</v>
      </c>
      <c r="E146" s="71">
        <v>0</v>
      </c>
    </row>
    <row r="147" spans="1:5" x14ac:dyDescent="0.2">
      <c r="A147" s="43" t="s">
        <v>113</v>
      </c>
      <c r="B147" s="6" t="s">
        <v>152</v>
      </c>
      <c r="C147" s="71">
        <v>0</v>
      </c>
      <c r="D147" s="71">
        <v>0</v>
      </c>
      <c r="E147" s="71">
        <v>0</v>
      </c>
    </row>
    <row r="148" spans="1:5" x14ac:dyDescent="0.2">
      <c r="A148" s="43" t="s">
        <v>113</v>
      </c>
      <c r="B148" s="6" t="s">
        <v>153</v>
      </c>
      <c r="C148" s="71">
        <v>0</v>
      </c>
      <c r="D148" s="71">
        <v>0</v>
      </c>
      <c r="E148" s="71">
        <v>0</v>
      </c>
    </row>
    <row r="149" spans="1:5" x14ac:dyDescent="0.2">
      <c r="A149" s="43" t="s">
        <v>113</v>
      </c>
      <c r="B149" s="6" t="s">
        <v>154</v>
      </c>
      <c r="C149" s="71">
        <v>0</v>
      </c>
      <c r="D149" s="71">
        <v>0</v>
      </c>
      <c r="E149" s="71">
        <v>0</v>
      </c>
    </row>
    <row r="150" spans="1:5" x14ac:dyDescent="0.2">
      <c r="A150" s="43" t="s">
        <v>113</v>
      </c>
      <c r="B150" s="6" t="s">
        <v>155</v>
      </c>
      <c r="C150" s="71">
        <v>0</v>
      </c>
      <c r="D150" s="71">
        <v>0</v>
      </c>
      <c r="E150" s="71">
        <v>0</v>
      </c>
    </row>
    <row r="151" spans="1:5" x14ac:dyDescent="0.2">
      <c r="A151" s="43" t="s">
        <v>113</v>
      </c>
      <c r="B151" s="6" t="s">
        <v>156</v>
      </c>
      <c r="C151" s="71">
        <v>0</v>
      </c>
      <c r="D151" s="71">
        <v>0</v>
      </c>
      <c r="E151" s="71">
        <v>0</v>
      </c>
    </row>
    <row r="152" spans="1:5" x14ac:dyDescent="0.2">
      <c r="A152" s="43" t="s">
        <v>113</v>
      </c>
      <c r="B152" s="6" t="s">
        <v>157</v>
      </c>
      <c r="C152" s="71">
        <v>0</v>
      </c>
      <c r="D152" s="71">
        <v>0</v>
      </c>
      <c r="E152" s="71">
        <v>0</v>
      </c>
    </row>
    <row r="153" spans="1:5" x14ac:dyDescent="0.2">
      <c r="A153" s="43" t="s">
        <v>113</v>
      </c>
      <c r="B153" s="6" t="s">
        <v>158</v>
      </c>
      <c r="C153" s="71">
        <v>0</v>
      </c>
      <c r="D153" s="71">
        <v>0</v>
      </c>
      <c r="E153" s="71">
        <v>0</v>
      </c>
    </row>
    <row r="154" spans="1:5" x14ac:dyDescent="0.2">
      <c r="A154" s="43" t="s">
        <v>113</v>
      </c>
      <c r="B154" s="6" t="s">
        <v>159</v>
      </c>
      <c r="C154" s="71">
        <v>0</v>
      </c>
      <c r="D154" s="71">
        <v>0</v>
      </c>
      <c r="E154" s="71">
        <v>0</v>
      </c>
    </row>
    <row r="155" spans="1:5" x14ac:dyDescent="0.2">
      <c r="A155" s="43" t="s">
        <v>113</v>
      </c>
      <c r="B155" s="6" t="s">
        <v>160</v>
      </c>
      <c r="C155" s="71">
        <v>0</v>
      </c>
      <c r="D155" s="71">
        <v>0</v>
      </c>
      <c r="E155" s="71">
        <v>0</v>
      </c>
    </row>
    <row r="156" spans="1:5" x14ac:dyDescent="0.2">
      <c r="A156" s="43" t="s">
        <v>113</v>
      </c>
      <c r="B156" s="6" t="s">
        <v>161</v>
      </c>
      <c r="C156" s="71">
        <v>0</v>
      </c>
      <c r="D156" s="71">
        <v>0</v>
      </c>
      <c r="E156" s="71">
        <v>0</v>
      </c>
    </row>
    <row r="157" spans="1:5" x14ac:dyDescent="0.2">
      <c r="A157" s="43" t="s">
        <v>113</v>
      </c>
      <c r="B157" s="6" t="s">
        <v>162</v>
      </c>
      <c r="C157" s="71">
        <v>0</v>
      </c>
      <c r="D157" s="71">
        <v>0</v>
      </c>
      <c r="E157" s="71">
        <v>0</v>
      </c>
    </row>
    <row r="158" spans="1:5" x14ac:dyDescent="0.2">
      <c r="A158" s="43" t="s">
        <v>117</v>
      </c>
      <c r="B158" s="6" t="s">
        <v>151</v>
      </c>
      <c r="C158" s="71">
        <v>0</v>
      </c>
      <c r="D158" s="71">
        <v>0</v>
      </c>
      <c r="E158" s="71">
        <v>0</v>
      </c>
    </row>
    <row r="159" spans="1:5" x14ac:dyDescent="0.2">
      <c r="A159" s="43" t="s">
        <v>117</v>
      </c>
      <c r="B159" s="6" t="s">
        <v>152</v>
      </c>
      <c r="C159" s="71">
        <v>0</v>
      </c>
      <c r="D159" s="71">
        <v>0</v>
      </c>
      <c r="E159" s="71">
        <v>1</v>
      </c>
    </row>
    <row r="160" spans="1:5" x14ac:dyDescent="0.2">
      <c r="A160" s="43" t="s">
        <v>117</v>
      </c>
      <c r="B160" s="6" t="s">
        <v>153</v>
      </c>
      <c r="C160" s="71">
        <v>0</v>
      </c>
      <c r="D160" s="71">
        <v>0</v>
      </c>
      <c r="E160" s="71">
        <v>0</v>
      </c>
    </row>
    <row r="161" spans="1:5" x14ac:dyDescent="0.2">
      <c r="A161" s="43" t="s">
        <v>117</v>
      </c>
      <c r="B161" s="6" t="s">
        <v>154</v>
      </c>
      <c r="C161" s="71">
        <v>0</v>
      </c>
      <c r="D161" s="71">
        <v>0</v>
      </c>
      <c r="E161" s="71">
        <v>0</v>
      </c>
    </row>
    <row r="162" spans="1:5" x14ac:dyDescent="0.2">
      <c r="A162" s="43" t="s">
        <v>117</v>
      </c>
      <c r="B162" s="6" t="s">
        <v>155</v>
      </c>
      <c r="C162" s="71">
        <v>0</v>
      </c>
      <c r="D162" s="71">
        <v>0</v>
      </c>
      <c r="E162" s="71">
        <v>0</v>
      </c>
    </row>
    <row r="163" spans="1:5" x14ac:dyDescent="0.2">
      <c r="A163" s="43" t="s">
        <v>117</v>
      </c>
      <c r="B163" s="6" t="s">
        <v>156</v>
      </c>
      <c r="C163" s="71">
        <v>0</v>
      </c>
      <c r="D163" s="71">
        <v>0</v>
      </c>
      <c r="E163" s="71">
        <v>0</v>
      </c>
    </row>
    <row r="164" spans="1:5" x14ac:dyDescent="0.2">
      <c r="A164" s="43" t="s">
        <v>117</v>
      </c>
      <c r="B164" s="6" t="s">
        <v>157</v>
      </c>
      <c r="C164" s="71">
        <v>0</v>
      </c>
      <c r="D164" s="71">
        <v>0</v>
      </c>
      <c r="E164" s="71">
        <v>0</v>
      </c>
    </row>
    <row r="165" spans="1:5" x14ac:dyDescent="0.2">
      <c r="A165" s="43" t="s">
        <v>117</v>
      </c>
      <c r="B165" s="6" t="s">
        <v>158</v>
      </c>
      <c r="C165" s="71">
        <v>0</v>
      </c>
      <c r="D165" s="71">
        <v>0</v>
      </c>
      <c r="E165" s="71">
        <v>0</v>
      </c>
    </row>
    <row r="166" spans="1:5" x14ac:dyDescent="0.2">
      <c r="A166" s="43" t="s">
        <v>117</v>
      </c>
      <c r="B166" s="6" t="s">
        <v>159</v>
      </c>
      <c r="C166" s="71">
        <v>0</v>
      </c>
      <c r="D166" s="71">
        <v>0</v>
      </c>
      <c r="E166" s="71">
        <v>0</v>
      </c>
    </row>
    <row r="167" spans="1:5" x14ac:dyDescent="0.2">
      <c r="A167" s="43" t="s">
        <v>117</v>
      </c>
      <c r="B167" s="6" t="s">
        <v>160</v>
      </c>
      <c r="C167" s="71">
        <v>0</v>
      </c>
      <c r="D167" s="71">
        <v>0</v>
      </c>
      <c r="E167" s="71">
        <v>0</v>
      </c>
    </row>
    <row r="168" spans="1:5" x14ac:dyDescent="0.2">
      <c r="A168" s="43" t="s">
        <v>117</v>
      </c>
      <c r="B168" s="6" t="s">
        <v>161</v>
      </c>
      <c r="C168" s="71">
        <v>0</v>
      </c>
      <c r="D168" s="71">
        <v>0</v>
      </c>
      <c r="E168" s="71">
        <v>0</v>
      </c>
    </row>
    <row r="169" spans="1:5" x14ac:dyDescent="0.2">
      <c r="A169" s="43" t="s">
        <v>117</v>
      </c>
      <c r="B169" s="6" t="s">
        <v>162</v>
      </c>
      <c r="C169" s="71">
        <v>0</v>
      </c>
      <c r="D169" s="71">
        <v>0</v>
      </c>
      <c r="E169" s="71">
        <v>0</v>
      </c>
    </row>
    <row r="170" spans="1:5" x14ac:dyDescent="0.2">
      <c r="A170" s="43" t="s">
        <v>99</v>
      </c>
      <c r="B170" s="6" t="s">
        <v>151</v>
      </c>
      <c r="C170" s="71">
        <v>0</v>
      </c>
      <c r="D170" s="71">
        <v>0</v>
      </c>
      <c r="E170" s="71">
        <v>0</v>
      </c>
    </row>
    <row r="171" spans="1:5" x14ac:dyDescent="0.2">
      <c r="A171" s="43" t="s">
        <v>99</v>
      </c>
      <c r="B171" s="6" t="s">
        <v>152</v>
      </c>
      <c r="C171" s="71">
        <v>0</v>
      </c>
      <c r="D171" s="71">
        <v>0</v>
      </c>
      <c r="E171" s="71">
        <v>0</v>
      </c>
    </row>
    <row r="172" spans="1:5" x14ac:dyDescent="0.2">
      <c r="A172" s="43" t="s">
        <v>99</v>
      </c>
      <c r="B172" s="6" t="s">
        <v>153</v>
      </c>
      <c r="C172" s="71">
        <v>0</v>
      </c>
      <c r="D172" s="71">
        <v>0</v>
      </c>
      <c r="E172" s="71">
        <v>0</v>
      </c>
    </row>
    <row r="173" spans="1:5" x14ac:dyDescent="0.2">
      <c r="A173" s="43" t="s">
        <v>99</v>
      </c>
      <c r="B173" s="6" t="s">
        <v>154</v>
      </c>
      <c r="C173" s="71">
        <v>0</v>
      </c>
      <c r="D173" s="71">
        <v>0</v>
      </c>
      <c r="E173" s="71">
        <v>4</v>
      </c>
    </row>
    <row r="174" spans="1:5" x14ac:dyDescent="0.2">
      <c r="A174" s="43" t="s">
        <v>99</v>
      </c>
      <c r="B174" s="6" t="s">
        <v>155</v>
      </c>
      <c r="C174" s="71">
        <v>0</v>
      </c>
      <c r="D174" s="71">
        <v>0</v>
      </c>
      <c r="E174" s="71">
        <v>4</v>
      </c>
    </row>
    <row r="175" spans="1:5" x14ac:dyDescent="0.2">
      <c r="A175" s="43" t="s">
        <v>99</v>
      </c>
      <c r="B175" s="6" t="s">
        <v>156</v>
      </c>
      <c r="C175" s="71">
        <v>0</v>
      </c>
      <c r="D175" s="71">
        <v>0</v>
      </c>
      <c r="E175" s="71">
        <v>2</v>
      </c>
    </row>
    <row r="176" spans="1:5" x14ac:dyDescent="0.2">
      <c r="A176" s="43" t="s">
        <v>99</v>
      </c>
      <c r="B176" s="6" t="s">
        <v>157</v>
      </c>
      <c r="C176" s="71">
        <v>0</v>
      </c>
      <c r="D176" s="71">
        <v>0</v>
      </c>
      <c r="E176" s="71">
        <v>3</v>
      </c>
    </row>
    <row r="177" spans="1:5" x14ac:dyDescent="0.2">
      <c r="A177" s="43" t="s">
        <v>99</v>
      </c>
      <c r="B177" s="6" t="s">
        <v>158</v>
      </c>
      <c r="C177" s="71">
        <v>0</v>
      </c>
      <c r="D177" s="71">
        <v>0</v>
      </c>
      <c r="E177" s="71">
        <v>0</v>
      </c>
    </row>
    <row r="178" spans="1:5" x14ac:dyDescent="0.2">
      <c r="A178" s="43" t="s">
        <v>99</v>
      </c>
      <c r="B178" s="6" t="s">
        <v>159</v>
      </c>
      <c r="C178" s="71">
        <v>0</v>
      </c>
      <c r="D178" s="71">
        <v>0</v>
      </c>
      <c r="E178" s="71">
        <v>0</v>
      </c>
    </row>
    <row r="179" spans="1:5" x14ac:dyDescent="0.2">
      <c r="A179" s="43" t="s">
        <v>99</v>
      </c>
      <c r="B179" s="6" t="s">
        <v>160</v>
      </c>
      <c r="C179" s="71">
        <v>0</v>
      </c>
      <c r="D179" s="71">
        <v>0</v>
      </c>
      <c r="E179" s="71">
        <v>0</v>
      </c>
    </row>
    <row r="180" spans="1:5" x14ac:dyDescent="0.2">
      <c r="A180" s="43" t="s">
        <v>99</v>
      </c>
      <c r="B180" s="6" t="s">
        <v>161</v>
      </c>
      <c r="C180" s="71">
        <v>0</v>
      </c>
      <c r="D180" s="71">
        <v>0</v>
      </c>
      <c r="E180" s="71">
        <v>0</v>
      </c>
    </row>
    <row r="181" spans="1:5" x14ac:dyDescent="0.2">
      <c r="A181" s="43" t="s">
        <v>99</v>
      </c>
      <c r="B181" s="6" t="s">
        <v>162</v>
      </c>
      <c r="C181" s="71">
        <v>0</v>
      </c>
      <c r="D181" s="71">
        <v>0</v>
      </c>
      <c r="E181" s="71">
        <v>0</v>
      </c>
    </row>
    <row r="182" spans="1:5" x14ac:dyDescent="0.2">
      <c r="A182" s="43" t="s">
        <v>123</v>
      </c>
      <c r="B182" s="6" t="s">
        <v>151</v>
      </c>
      <c r="C182" s="71">
        <v>0</v>
      </c>
      <c r="D182" s="71">
        <v>0</v>
      </c>
      <c r="E182" s="71">
        <v>0</v>
      </c>
    </row>
    <row r="183" spans="1:5" x14ac:dyDescent="0.2">
      <c r="A183" s="43" t="s">
        <v>123</v>
      </c>
      <c r="B183" s="6" t="s">
        <v>152</v>
      </c>
      <c r="C183" s="71">
        <v>0</v>
      </c>
      <c r="D183" s="71">
        <v>0</v>
      </c>
      <c r="E183" s="71">
        <v>0</v>
      </c>
    </row>
    <row r="184" spans="1:5" x14ac:dyDescent="0.2">
      <c r="A184" s="43" t="s">
        <v>123</v>
      </c>
      <c r="B184" s="6" t="s">
        <v>153</v>
      </c>
      <c r="C184" s="71">
        <v>0</v>
      </c>
      <c r="D184" s="71">
        <v>0</v>
      </c>
      <c r="E184" s="71">
        <v>0</v>
      </c>
    </row>
    <row r="185" spans="1:5" x14ac:dyDescent="0.2">
      <c r="A185" s="43" t="s">
        <v>123</v>
      </c>
      <c r="B185" s="6" t="s">
        <v>154</v>
      </c>
      <c r="C185" s="71">
        <v>0</v>
      </c>
      <c r="D185" s="71">
        <v>0</v>
      </c>
      <c r="E185" s="71">
        <v>0</v>
      </c>
    </row>
    <row r="186" spans="1:5" x14ac:dyDescent="0.2">
      <c r="A186" s="43" t="s">
        <v>123</v>
      </c>
      <c r="B186" s="6" t="s">
        <v>155</v>
      </c>
      <c r="C186" s="71">
        <v>0</v>
      </c>
      <c r="D186" s="71">
        <v>0</v>
      </c>
      <c r="E186" s="71">
        <v>0</v>
      </c>
    </row>
    <row r="187" spans="1:5" x14ac:dyDescent="0.2">
      <c r="A187" s="43" t="s">
        <v>123</v>
      </c>
      <c r="B187" s="6" t="s">
        <v>156</v>
      </c>
      <c r="C187" s="71">
        <v>0</v>
      </c>
      <c r="D187" s="71">
        <v>0</v>
      </c>
      <c r="E187" s="71">
        <v>0</v>
      </c>
    </row>
    <row r="188" spans="1:5" x14ac:dyDescent="0.2">
      <c r="A188" s="43" t="s">
        <v>123</v>
      </c>
      <c r="B188" s="6" t="s">
        <v>157</v>
      </c>
      <c r="C188" s="71">
        <v>0</v>
      </c>
      <c r="D188" s="71">
        <v>0</v>
      </c>
      <c r="E188" s="71">
        <v>0</v>
      </c>
    </row>
    <row r="189" spans="1:5" x14ac:dyDescent="0.2">
      <c r="A189" s="43" t="s">
        <v>123</v>
      </c>
      <c r="B189" s="6" t="s">
        <v>158</v>
      </c>
      <c r="C189" s="71">
        <v>0</v>
      </c>
      <c r="D189" s="71">
        <v>0</v>
      </c>
      <c r="E189" s="71">
        <v>0</v>
      </c>
    </row>
    <row r="190" spans="1:5" x14ac:dyDescent="0.2">
      <c r="A190" s="43" t="s">
        <v>123</v>
      </c>
      <c r="B190" s="6" t="s">
        <v>159</v>
      </c>
      <c r="C190" s="71">
        <v>0</v>
      </c>
      <c r="D190" s="71">
        <v>0</v>
      </c>
      <c r="E190" s="71">
        <v>0</v>
      </c>
    </row>
    <row r="191" spans="1:5" x14ac:dyDescent="0.2">
      <c r="A191" s="43" t="s">
        <v>123</v>
      </c>
      <c r="B191" s="6" t="s">
        <v>160</v>
      </c>
      <c r="C191" s="71">
        <v>0</v>
      </c>
      <c r="D191" s="71">
        <v>0</v>
      </c>
      <c r="E191" s="71">
        <v>0</v>
      </c>
    </row>
    <row r="192" spans="1:5" x14ac:dyDescent="0.2">
      <c r="A192" s="43" t="s">
        <v>123</v>
      </c>
      <c r="B192" s="6" t="s">
        <v>161</v>
      </c>
      <c r="C192" s="71">
        <v>0</v>
      </c>
      <c r="D192" s="71">
        <v>0</v>
      </c>
      <c r="E192" s="71">
        <v>0</v>
      </c>
    </row>
    <row r="193" spans="1:5" x14ac:dyDescent="0.2">
      <c r="A193" s="43" t="s">
        <v>123</v>
      </c>
      <c r="B193" s="6" t="s">
        <v>162</v>
      </c>
      <c r="C193" s="71">
        <v>0</v>
      </c>
      <c r="D193" s="71">
        <v>0</v>
      </c>
      <c r="E193" s="71">
        <v>0</v>
      </c>
    </row>
    <row r="194" spans="1:5" x14ac:dyDescent="0.2">
      <c r="A194" s="43" t="s">
        <v>92</v>
      </c>
      <c r="B194" s="6" t="s">
        <v>151</v>
      </c>
      <c r="C194" s="71">
        <v>0</v>
      </c>
      <c r="D194" s="71">
        <v>0</v>
      </c>
      <c r="E194" s="71">
        <v>0</v>
      </c>
    </row>
    <row r="195" spans="1:5" x14ac:dyDescent="0.2">
      <c r="A195" s="43" t="s">
        <v>92</v>
      </c>
      <c r="B195" s="6" t="s">
        <v>152</v>
      </c>
      <c r="C195" s="71">
        <v>0</v>
      </c>
      <c r="D195" s="71">
        <v>0</v>
      </c>
      <c r="E195" s="71">
        <v>0</v>
      </c>
    </row>
    <row r="196" spans="1:5" x14ac:dyDescent="0.2">
      <c r="A196" s="43" t="s">
        <v>92</v>
      </c>
      <c r="B196" s="6" t="s">
        <v>153</v>
      </c>
      <c r="C196" s="71">
        <v>0</v>
      </c>
      <c r="D196" s="71">
        <v>0</v>
      </c>
      <c r="E196" s="71">
        <v>0</v>
      </c>
    </row>
    <row r="197" spans="1:5" x14ac:dyDescent="0.2">
      <c r="A197" s="43" t="s">
        <v>92</v>
      </c>
      <c r="B197" s="6" t="s">
        <v>154</v>
      </c>
      <c r="C197" s="71">
        <v>0</v>
      </c>
      <c r="D197" s="71">
        <v>0</v>
      </c>
      <c r="E197" s="71">
        <v>0</v>
      </c>
    </row>
    <row r="198" spans="1:5" x14ac:dyDescent="0.2">
      <c r="A198" s="43" t="s">
        <v>92</v>
      </c>
      <c r="B198" s="6" t="s">
        <v>155</v>
      </c>
      <c r="C198" s="71">
        <v>0</v>
      </c>
      <c r="D198" s="71">
        <v>0</v>
      </c>
      <c r="E198" s="71">
        <v>1</v>
      </c>
    </row>
    <row r="199" spans="1:5" x14ac:dyDescent="0.2">
      <c r="A199" s="43" t="s">
        <v>92</v>
      </c>
      <c r="B199" s="6" t="s">
        <v>156</v>
      </c>
      <c r="C199" s="71">
        <v>0</v>
      </c>
      <c r="D199" s="71">
        <v>0</v>
      </c>
      <c r="E199" s="71">
        <v>0</v>
      </c>
    </row>
    <row r="200" spans="1:5" x14ac:dyDescent="0.2">
      <c r="A200" s="43" t="s">
        <v>92</v>
      </c>
      <c r="B200" s="6" t="s">
        <v>157</v>
      </c>
      <c r="C200" s="71">
        <v>0</v>
      </c>
      <c r="D200" s="71">
        <v>0</v>
      </c>
      <c r="E200" s="71">
        <v>0</v>
      </c>
    </row>
    <row r="201" spans="1:5" x14ac:dyDescent="0.2">
      <c r="A201" s="43" t="s">
        <v>92</v>
      </c>
      <c r="B201" s="6" t="s">
        <v>158</v>
      </c>
      <c r="C201" s="71">
        <v>0</v>
      </c>
      <c r="D201" s="71">
        <v>0</v>
      </c>
      <c r="E201" s="71">
        <v>0</v>
      </c>
    </row>
    <row r="202" spans="1:5" x14ac:dyDescent="0.2">
      <c r="A202" s="43" t="s">
        <v>92</v>
      </c>
      <c r="B202" s="6" t="s">
        <v>159</v>
      </c>
      <c r="C202" s="71">
        <v>0</v>
      </c>
      <c r="D202" s="71">
        <v>0</v>
      </c>
      <c r="E202" s="71">
        <v>0</v>
      </c>
    </row>
    <row r="203" spans="1:5" x14ac:dyDescent="0.2">
      <c r="A203" s="43" t="s">
        <v>92</v>
      </c>
      <c r="B203" s="6" t="s">
        <v>160</v>
      </c>
      <c r="C203" s="71">
        <v>0</v>
      </c>
      <c r="D203" s="71">
        <v>0</v>
      </c>
      <c r="E203" s="71">
        <v>0</v>
      </c>
    </row>
    <row r="204" spans="1:5" x14ac:dyDescent="0.2">
      <c r="A204" s="43" t="s">
        <v>92</v>
      </c>
      <c r="B204" s="6" t="s">
        <v>161</v>
      </c>
      <c r="C204" s="71">
        <v>0</v>
      </c>
      <c r="D204" s="71">
        <v>0</v>
      </c>
      <c r="E204" s="71">
        <v>0</v>
      </c>
    </row>
    <row r="205" spans="1:5" x14ac:dyDescent="0.2">
      <c r="A205" s="43" t="s">
        <v>92</v>
      </c>
      <c r="B205" s="6" t="s">
        <v>162</v>
      </c>
      <c r="C205" s="71">
        <v>0</v>
      </c>
      <c r="D205" s="71">
        <v>0</v>
      </c>
      <c r="E205" s="71">
        <v>0</v>
      </c>
    </row>
    <row r="206" spans="1:5" x14ac:dyDescent="0.2">
      <c r="A206" s="43" t="s">
        <v>37</v>
      </c>
      <c r="B206" s="6" t="s">
        <v>151</v>
      </c>
      <c r="C206" s="71">
        <v>0</v>
      </c>
      <c r="D206" s="71">
        <v>0</v>
      </c>
      <c r="E206" s="71">
        <v>0</v>
      </c>
    </row>
    <row r="207" spans="1:5" x14ac:dyDescent="0.2">
      <c r="A207" s="43" t="s">
        <v>37</v>
      </c>
      <c r="B207" s="6" t="s">
        <v>152</v>
      </c>
      <c r="C207" s="71">
        <v>0</v>
      </c>
      <c r="D207" s="71">
        <v>0</v>
      </c>
      <c r="E207" s="71">
        <v>0</v>
      </c>
    </row>
    <row r="208" spans="1:5" x14ac:dyDescent="0.2">
      <c r="A208" s="43" t="s">
        <v>37</v>
      </c>
      <c r="B208" s="6" t="s">
        <v>153</v>
      </c>
      <c r="C208" s="71">
        <v>0</v>
      </c>
      <c r="D208" s="71">
        <v>0</v>
      </c>
      <c r="E208" s="71">
        <v>1</v>
      </c>
    </row>
    <row r="209" spans="1:5" x14ac:dyDescent="0.2">
      <c r="A209" s="43" t="s">
        <v>37</v>
      </c>
      <c r="B209" s="6" t="s">
        <v>154</v>
      </c>
      <c r="C209" s="71">
        <v>0</v>
      </c>
      <c r="D209" s="71">
        <v>0</v>
      </c>
      <c r="E209" s="71">
        <v>0</v>
      </c>
    </row>
    <row r="210" spans="1:5" x14ac:dyDescent="0.2">
      <c r="A210" s="43" t="s">
        <v>37</v>
      </c>
      <c r="B210" s="6" t="s">
        <v>155</v>
      </c>
      <c r="C210" s="71">
        <v>0</v>
      </c>
      <c r="D210" s="71">
        <v>0</v>
      </c>
      <c r="E210" s="71">
        <v>0</v>
      </c>
    </row>
    <row r="211" spans="1:5" x14ac:dyDescent="0.2">
      <c r="A211" s="43" t="s">
        <v>37</v>
      </c>
      <c r="B211" s="6" t="s">
        <v>156</v>
      </c>
      <c r="C211" s="71">
        <v>0</v>
      </c>
      <c r="D211" s="71">
        <v>0</v>
      </c>
      <c r="E211" s="71">
        <v>1</v>
      </c>
    </row>
    <row r="212" spans="1:5" x14ac:dyDescent="0.2">
      <c r="A212" s="43" t="s">
        <v>37</v>
      </c>
      <c r="B212" s="6" t="s">
        <v>157</v>
      </c>
      <c r="C212" s="71">
        <v>0</v>
      </c>
      <c r="D212" s="71">
        <v>0</v>
      </c>
      <c r="E212" s="71">
        <v>1</v>
      </c>
    </row>
    <row r="213" spans="1:5" x14ac:dyDescent="0.2">
      <c r="A213" s="43" t="s">
        <v>37</v>
      </c>
      <c r="B213" s="6" t="s">
        <v>158</v>
      </c>
      <c r="C213" s="71">
        <v>0</v>
      </c>
      <c r="D213" s="71">
        <v>0</v>
      </c>
      <c r="E213" s="71">
        <v>0</v>
      </c>
    </row>
    <row r="214" spans="1:5" x14ac:dyDescent="0.2">
      <c r="A214" s="43" t="s">
        <v>37</v>
      </c>
      <c r="B214" s="6" t="s">
        <v>159</v>
      </c>
      <c r="C214" s="71">
        <v>0</v>
      </c>
      <c r="D214" s="71">
        <v>0</v>
      </c>
      <c r="E214" s="71">
        <v>0</v>
      </c>
    </row>
    <row r="215" spans="1:5" x14ac:dyDescent="0.2">
      <c r="A215" s="43" t="s">
        <v>37</v>
      </c>
      <c r="B215" s="6" t="s">
        <v>160</v>
      </c>
      <c r="C215" s="71">
        <v>0</v>
      </c>
      <c r="D215" s="71">
        <v>0</v>
      </c>
      <c r="E215" s="71">
        <v>0</v>
      </c>
    </row>
    <row r="216" spans="1:5" x14ac:dyDescent="0.2">
      <c r="A216" s="43" t="s">
        <v>37</v>
      </c>
      <c r="B216" s="6" t="s">
        <v>161</v>
      </c>
      <c r="C216" s="71">
        <v>0</v>
      </c>
      <c r="D216" s="71">
        <v>0</v>
      </c>
      <c r="E216" s="71">
        <v>0</v>
      </c>
    </row>
    <row r="217" spans="1:5" x14ac:dyDescent="0.2">
      <c r="A217" s="43" t="s">
        <v>37</v>
      </c>
      <c r="B217" s="6" t="s">
        <v>162</v>
      </c>
      <c r="C217" s="71">
        <v>0</v>
      </c>
      <c r="D217" s="71">
        <v>0</v>
      </c>
      <c r="E217" s="71">
        <v>0</v>
      </c>
    </row>
    <row r="218" spans="1:5" x14ac:dyDescent="0.2">
      <c r="A218" s="43" t="s">
        <v>91</v>
      </c>
      <c r="B218" s="6" t="s">
        <v>151</v>
      </c>
      <c r="C218" s="71">
        <v>0</v>
      </c>
      <c r="D218" s="71">
        <v>1</v>
      </c>
      <c r="E218" s="71">
        <v>1</v>
      </c>
    </row>
    <row r="219" spans="1:5" x14ac:dyDescent="0.2">
      <c r="A219" s="43" t="s">
        <v>91</v>
      </c>
      <c r="B219" s="6" t="s">
        <v>152</v>
      </c>
      <c r="C219" s="71">
        <v>0</v>
      </c>
      <c r="D219" s="71">
        <v>0</v>
      </c>
      <c r="E219" s="71">
        <v>0</v>
      </c>
    </row>
    <row r="220" spans="1:5" x14ac:dyDescent="0.2">
      <c r="A220" s="43" t="s">
        <v>91</v>
      </c>
      <c r="B220" s="6" t="s">
        <v>153</v>
      </c>
      <c r="C220" s="71">
        <v>0</v>
      </c>
      <c r="D220" s="71">
        <v>0</v>
      </c>
      <c r="E220" s="71">
        <v>0</v>
      </c>
    </row>
    <row r="221" spans="1:5" x14ac:dyDescent="0.2">
      <c r="A221" s="43" t="s">
        <v>91</v>
      </c>
      <c r="B221" s="6" t="s">
        <v>154</v>
      </c>
      <c r="C221" s="71">
        <v>0</v>
      </c>
      <c r="D221" s="71">
        <v>0</v>
      </c>
      <c r="E221" s="71">
        <v>0</v>
      </c>
    </row>
    <row r="222" spans="1:5" x14ac:dyDescent="0.2">
      <c r="A222" s="43" t="s">
        <v>91</v>
      </c>
      <c r="B222" s="6" t="s">
        <v>155</v>
      </c>
      <c r="C222" s="71">
        <v>0</v>
      </c>
      <c r="D222" s="71">
        <v>0</v>
      </c>
      <c r="E222" s="71">
        <v>0</v>
      </c>
    </row>
    <row r="223" spans="1:5" x14ac:dyDescent="0.2">
      <c r="A223" s="43" t="s">
        <v>91</v>
      </c>
      <c r="B223" s="6" t="s">
        <v>156</v>
      </c>
      <c r="C223" s="71">
        <v>0</v>
      </c>
      <c r="D223" s="71">
        <v>0</v>
      </c>
      <c r="E223" s="71">
        <v>0</v>
      </c>
    </row>
    <row r="224" spans="1:5" x14ac:dyDescent="0.2">
      <c r="A224" s="43" t="s">
        <v>91</v>
      </c>
      <c r="B224" s="6" t="s">
        <v>157</v>
      </c>
      <c r="C224" s="71">
        <v>0</v>
      </c>
      <c r="D224" s="71">
        <v>0</v>
      </c>
      <c r="E224" s="71">
        <v>0</v>
      </c>
    </row>
    <row r="225" spans="1:5" x14ac:dyDescent="0.2">
      <c r="A225" s="43" t="s">
        <v>91</v>
      </c>
      <c r="B225" s="6" t="s">
        <v>158</v>
      </c>
      <c r="C225" s="71">
        <v>0</v>
      </c>
      <c r="D225" s="71">
        <v>0</v>
      </c>
      <c r="E225" s="71">
        <v>0</v>
      </c>
    </row>
    <row r="226" spans="1:5" x14ac:dyDescent="0.2">
      <c r="A226" s="43" t="s">
        <v>91</v>
      </c>
      <c r="B226" s="6" t="s">
        <v>159</v>
      </c>
      <c r="C226" s="71">
        <v>0</v>
      </c>
      <c r="D226" s="71">
        <v>0</v>
      </c>
      <c r="E226" s="71">
        <v>0</v>
      </c>
    </row>
    <row r="227" spans="1:5" x14ac:dyDescent="0.2">
      <c r="A227" s="43" t="s">
        <v>91</v>
      </c>
      <c r="B227" s="6" t="s">
        <v>160</v>
      </c>
      <c r="C227" s="71">
        <v>0</v>
      </c>
      <c r="D227" s="71">
        <v>0</v>
      </c>
      <c r="E227" s="71">
        <v>0</v>
      </c>
    </row>
    <row r="228" spans="1:5" x14ac:dyDescent="0.2">
      <c r="A228" s="43" t="s">
        <v>91</v>
      </c>
      <c r="B228" s="6" t="s">
        <v>161</v>
      </c>
      <c r="C228" s="71">
        <v>0</v>
      </c>
      <c r="D228" s="71">
        <v>0</v>
      </c>
      <c r="E228" s="71">
        <v>0</v>
      </c>
    </row>
    <row r="229" spans="1:5" x14ac:dyDescent="0.2">
      <c r="A229" s="43" t="s">
        <v>91</v>
      </c>
      <c r="B229" s="6" t="s">
        <v>162</v>
      </c>
      <c r="C229" s="71">
        <v>0</v>
      </c>
      <c r="D229" s="71">
        <v>0</v>
      </c>
      <c r="E229" s="71">
        <v>0</v>
      </c>
    </row>
    <row r="230" spans="1:5" x14ac:dyDescent="0.2">
      <c r="A230" s="43" t="s">
        <v>126</v>
      </c>
      <c r="B230" s="6" t="s">
        <v>151</v>
      </c>
      <c r="C230" s="71">
        <v>1</v>
      </c>
      <c r="D230" s="71">
        <v>0</v>
      </c>
      <c r="E230" s="71">
        <v>1</v>
      </c>
    </row>
    <row r="231" spans="1:5" x14ac:dyDescent="0.2">
      <c r="A231" s="43" t="s">
        <v>126</v>
      </c>
      <c r="B231" s="6" t="s">
        <v>152</v>
      </c>
      <c r="C231" s="71">
        <v>0</v>
      </c>
      <c r="D231" s="71">
        <v>0</v>
      </c>
      <c r="E231" s="71">
        <v>2</v>
      </c>
    </row>
    <row r="232" spans="1:5" x14ac:dyDescent="0.2">
      <c r="A232" s="43" t="s">
        <v>126</v>
      </c>
      <c r="B232" s="6" t="s">
        <v>153</v>
      </c>
      <c r="C232" s="71">
        <v>0</v>
      </c>
      <c r="D232" s="71">
        <v>1</v>
      </c>
      <c r="E232" s="71">
        <v>2</v>
      </c>
    </row>
    <row r="233" spans="1:5" x14ac:dyDescent="0.2">
      <c r="A233" s="43" t="s">
        <v>126</v>
      </c>
      <c r="B233" s="6" t="s">
        <v>154</v>
      </c>
      <c r="C233" s="71">
        <v>0</v>
      </c>
      <c r="D233" s="71">
        <v>0</v>
      </c>
      <c r="E233" s="71">
        <v>0</v>
      </c>
    </row>
    <row r="234" spans="1:5" x14ac:dyDescent="0.2">
      <c r="A234" s="43" t="s">
        <v>126</v>
      </c>
      <c r="B234" s="6" t="s">
        <v>155</v>
      </c>
      <c r="C234" s="71">
        <v>0</v>
      </c>
      <c r="D234" s="71">
        <v>0</v>
      </c>
      <c r="E234" s="71">
        <v>0</v>
      </c>
    </row>
    <row r="235" spans="1:5" x14ac:dyDescent="0.2">
      <c r="A235" s="43" t="s">
        <v>126</v>
      </c>
      <c r="B235" s="6" t="s">
        <v>156</v>
      </c>
      <c r="C235" s="71">
        <v>0</v>
      </c>
      <c r="D235" s="71">
        <v>0</v>
      </c>
      <c r="E235" s="71">
        <v>0</v>
      </c>
    </row>
    <row r="236" spans="1:5" x14ac:dyDescent="0.2">
      <c r="A236" s="43" t="s">
        <v>126</v>
      </c>
      <c r="B236" s="6" t="s">
        <v>157</v>
      </c>
      <c r="C236" s="71">
        <v>0</v>
      </c>
      <c r="D236" s="71">
        <v>0</v>
      </c>
      <c r="E236" s="71">
        <v>0</v>
      </c>
    </row>
    <row r="237" spans="1:5" x14ac:dyDescent="0.2">
      <c r="A237" s="43" t="s">
        <v>126</v>
      </c>
      <c r="B237" s="6" t="s">
        <v>158</v>
      </c>
      <c r="C237" s="71">
        <v>0</v>
      </c>
      <c r="D237" s="71">
        <v>0</v>
      </c>
      <c r="E237" s="71">
        <v>0</v>
      </c>
    </row>
    <row r="238" spans="1:5" x14ac:dyDescent="0.2">
      <c r="A238" s="43" t="s">
        <v>126</v>
      </c>
      <c r="B238" s="6" t="s">
        <v>159</v>
      </c>
      <c r="C238" s="71">
        <v>0</v>
      </c>
      <c r="D238" s="71">
        <v>0</v>
      </c>
      <c r="E238" s="71">
        <v>0</v>
      </c>
    </row>
    <row r="239" spans="1:5" x14ac:dyDescent="0.2">
      <c r="A239" s="43" t="s">
        <v>126</v>
      </c>
      <c r="B239" s="6" t="s">
        <v>160</v>
      </c>
      <c r="C239" s="71">
        <v>0</v>
      </c>
      <c r="D239" s="71">
        <v>0</v>
      </c>
      <c r="E239" s="71">
        <v>0</v>
      </c>
    </row>
    <row r="240" spans="1:5" x14ac:dyDescent="0.2">
      <c r="A240" s="43" t="s">
        <v>126</v>
      </c>
      <c r="B240" s="6" t="s">
        <v>161</v>
      </c>
      <c r="C240" s="71">
        <v>0</v>
      </c>
      <c r="D240" s="71">
        <v>0</v>
      </c>
      <c r="E240" s="71">
        <v>0</v>
      </c>
    </row>
    <row r="241" spans="1:5" x14ac:dyDescent="0.2">
      <c r="A241" s="43" t="s">
        <v>126</v>
      </c>
      <c r="B241" s="6" t="s">
        <v>162</v>
      </c>
      <c r="C241" s="71">
        <v>0</v>
      </c>
      <c r="D241" s="71">
        <v>0</v>
      </c>
      <c r="E241" s="71">
        <v>0</v>
      </c>
    </row>
    <row r="242" spans="1:5" x14ac:dyDescent="0.2">
      <c r="A242" s="43" t="s">
        <v>73</v>
      </c>
      <c r="B242" s="6" t="s">
        <v>151</v>
      </c>
      <c r="C242" s="71">
        <v>0</v>
      </c>
      <c r="D242" s="71">
        <v>0</v>
      </c>
      <c r="E242" s="71">
        <v>0</v>
      </c>
    </row>
    <row r="243" spans="1:5" x14ac:dyDescent="0.2">
      <c r="A243" s="43" t="s">
        <v>73</v>
      </c>
      <c r="B243" s="6" t="s">
        <v>152</v>
      </c>
      <c r="C243" s="71">
        <v>0</v>
      </c>
      <c r="D243" s="71">
        <v>0</v>
      </c>
      <c r="E243" s="71">
        <v>0</v>
      </c>
    </row>
    <row r="244" spans="1:5" x14ac:dyDescent="0.2">
      <c r="A244" s="43" t="s">
        <v>73</v>
      </c>
      <c r="B244" s="6" t="s">
        <v>153</v>
      </c>
      <c r="C244" s="71">
        <v>0</v>
      </c>
      <c r="D244" s="71">
        <v>0</v>
      </c>
      <c r="E244" s="71">
        <v>0</v>
      </c>
    </row>
    <row r="245" spans="1:5" x14ac:dyDescent="0.2">
      <c r="A245" s="43" t="s">
        <v>73</v>
      </c>
      <c r="B245" s="6" t="s">
        <v>154</v>
      </c>
      <c r="C245" s="71">
        <v>0</v>
      </c>
      <c r="D245" s="71">
        <v>0</v>
      </c>
      <c r="E245" s="71">
        <v>0</v>
      </c>
    </row>
    <row r="246" spans="1:5" x14ac:dyDescent="0.2">
      <c r="A246" s="43" t="s">
        <v>73</v>
      </c>
      <c r="B246" s="6" t="s">
        <v>155</v>
      </c>
      <c r="C246" s="71">
        <v>0</v>
      </c>
      <c r="D246" s="71">
        <v>0</v>
      </c>
      <c r="E246" s="71">
        <v>0</v>
      </c>
    </row>
    <row r="247" spans="1:5" x14ac:dyDescent="0.2">
      <c r="A247" s="43" t="s">
        <v>73</v>
      </c>
      <c r="B247" s="6" t="s">
        <v>156</v>
      </c>
      <c r="C247" s="71">
        <v>0</v>
      </c>
      <c r="D247" s="71">
        <v>0</v>
      </c>
      <c r="E247" s="71">
        <v>0</v>
      </c>
    </row>
    <row r="248" spans="1:5" x14ac:dyDescent="0.2">
      <c r="A248" s="43" t="s">
        <v>73</v>
      </c>
      <c r="B248" s="6" t="s">
        <v>157</v>
      </c>
      <c r="C248" s="71">
        <v>0</v>
      </c>
      <c r="D248" s="71">
        <v>0</v>
      </c>
      <c r="E248" s="71">
        <v>1</v>
      </c>
    </row>
    <row r="249" spans="1:5" x14ac:dyDescent="0.2">
      <c r="A249" s="43" t="s">
        <v>73</v>
      </c>
      <c r="B249" s="6" t="s">
        <v>158</v>
      </c>
      <c r="C249" s="71">
        <v>0</v>
      </c>
      <c r="D249" s="71">
        <v>0</v>
      </c>
      <c r="E249" s="71">
        <v>0</v>
      </c>
    </row>
    <row r="250" spans="1:5" x14ac:dyDescent="0.2">
      <c r="A250" s="43" t="s">
        <v>73</v>
      </c>
      <c r="B250" s="6" t="s">
        <v>159</v>
      </c>
      <c r="C250" s="71">
        <v>0</v>
      </c>
      <c r="D250" s="71">
        <v>0</v>
      </c>
      <c r="E250" s="71">
        <v>0</v>
      </c>
    </row>
    <row r="251" spans="1:5" x14ac:dyDescent="0.2">
      <c r="A251" s="43" t="s">
        <v>73</v>
      </c>
      <c r="B251" s="6" t="s">
        <v>160</v>
      </c>
      <c r="C251" s="71">
        <v>0</v>
      </c>
      <c r="D251" s="71">
        <v>0</v>
      </c>
      <c r="E251" s="71">
        <v>0</v>
      </c>
    </row>
    <row r="252" spans="1:5" x14ac:dyDescent="0.2">
      <c r="A252" s="43" t="s">
        <v>73</v>
      </c>
      <c r="B252" s="6" t="s">
        <v>161</v>
      </c>
      <c r="C252" s="71">
        <v>0</v>
      </c>
      <c r="D252" s="71">
        <v>0</v>
      </c>
      <c r="E252" s="71">
        <v>0</v>
      </c>
    </row>
    <row r="253" spans="1:5" x14ac:dyDescent="0.2">
      <c r="A253" s="43" t="s">
        <v>73</v>
      </c>
      <c r="B253" s="6" t="s">
        <v>162</v>
      </c>
      <c r="C253" s="71">
        <v>0</v>
      </c>
      <c r="D253" s="71">
        <v>0</v>
      </c>
      <c r="E253" s="71">
        <v>0</v>
      </c>
    </row>
    <row r="254" spans="1:5" x14ac:dyDescent="0.2">
      <c r="A254" s="43" t="s">
        <v>56</v>
      </c>
      <c r="B254" s="6" t="s">
        <v>151</v>
      </c>
      <c r="C254" s="71">
        <v>0</v>
      </c>
      <c r="D254" s="71">
        <v>0</v>
      </c>
      <c r="E254" s="71">
        <v>0</v>
      </c>
    </row>
    <row r="255" spans="1:5" x14ac:dyDescent="0.2">
      <c r="A255" s="43" t="s">
        <v>56</v>
      </c>
      <c r="B255" s="6" t="s">
        <v>152</v>
      </c>
      <c r="C255" s="71">
        <v>0</v>
      </c>
      <c r="D255" s="71">
        <v>0</v>
      </c>
      <c r="E255" s="71">
        <v>1</v>
      </c>
    </row>
    <row r="256" spans="1:5" x14ac:dyDescent="0.2">
      <c r="A256" s="43" t="s">
        <v>56</v>
      </c>
      <c r="B256" s="6" t="s">
        <v>153</v>
      </c>
      <c r="C256" s="71">
        <v>0</v>
      </c>
      <c r="D256" s="71">
        <v>0</v>
      </c>
      <c r="E256" s="71">
        <v>0</v>
      </c>
    </row>
    <row r="257" spans="1:5" x14ac:dyDescent="0.2">
      <c r="A257" s="43" t="s">
        <v>56</v>
      </c>
      <c r="B257" s="6" t="s">
        <v>154</v>
      </c>
      <c r="C257" s="71">
        <v>0</v>
      </c>
      <c r="D257" s="71">
        <v>0</v>
      </c>
      <c r="E257" s="71">
        <v>0</v>
      </c>
    </row>
    <row r="258" spans="1:5" x14ac:dyDescent="0.2">
      <c r="A258" s="43" t="s">
        <v>56</v>
      </c>
      <c r="B258" s="6" t="s">
        <v>155</v>
      </c>
      <c r="C258" s="71">
        <v>0</v>
      </c>
      <c r="D258" s="71">
        <v>0</v>
      </c>
      <c r="E258" s="71">
        <v>0</v>
      </c>
    </row>
    <row r="259" spans="1:5" x14ac:dyDescent="0.2">
      <c r="A259" s="43" t="s">
        <v>56</v>
      </c>
      <c r="B259" s="6" t="s">
        <v>156</v>
      </c>
      <c r="C259" s="71">
        <v>0</v>
      </c>
      <c r="D259" s="71">
        <v>0</v>
      </c>
      <c r="E259" s="71">
        <v>0</v>
      </c>
    </row>
    <row r="260" spans="1:5" x14ac:dyDescent="0.2">
      <c r="A260" s="43" t="s">
        <v>56</v>
      </c>
      <c r="B260" s="6" t="s">
        <v>157</v>
      </c>
      <c r="C260" s="71">
        <v>0</v>
      </c>
      <c r="D260" s="71">
        <v>0</v>
      </c>
      <c r="E260" s="71">
        <v>0</v>
      </c>
    </row>
    <row r="261" spans="1:5" x14ac:dyDescent="0.2">
      <c r="A261" s="43" t="s">
        <v>56</v>
      </c>
      <c r="B261" s="6" t="s">
        <v>158</v>
      </c>
      <c r="C261" s="71">
        <v>0</v>
      </c>
      <c r="D261" s="71">
        <v>0</v>
      </c>
      <c r="E261" s="71">
        <v>0</v>
      </c>
    </row>
    <row r="262" spans="1:5" x14ac:dyDescent="0.2">
      <c r="A262" s="43" t="s">
        <v>56</v>
      </c>
      <c r="B262" s="6" t="s">
        <v>159</v>
      </c>
      <c r="C262" s="71">
        <v>0</v>
      </c>
      <c r="D262" s="71">
        <v>0</v>
      </c>
      <c r="E262" s="71">
        <v>0</v>
      </c>
    </row>
    <row r="263" spans="1:5" x14ac:dyDescent="0.2">
      <c r="A263" s="43" t="s">
        <v>56</v>
      </c>
      <c r="B263" s="6" t="s">
        <v>160</v>
      </c>
      <c r="C263" s="71">
        <v>0</v>
      </c>
      <c r="D263" s="71">
        <v>0</v>
      </c>
      <c r="E263" s="71">
        <v>0</v>
      </c>
    </row>
    <row r="264" spans="1:5" x14ac:dyDescent="0.2">
      <c r="A264" s="43" t="s">
        <v>56</v>
      </c>
      <c r="B264" s="6" t="s">
        <v>161</v>
      </c>
      <c r="C264" s="71">
        <v>0</v>
      </c>
      <c r="D264" s="71">
        <v>0</v>
      </c>
      <c r="E264" s="71">
        <v>0</v>
      </c>
    </row>
    <row r="265" spans="1:5" x14ac:dyDescent="0.2">
      <c r="A265" s="43" t="s">
        <v>56</v>
      </c>
      <c r="B265" s="6" t="s">
        <v>162</v>
      </c>
      <c r="C265" s="71">
        <v>0</v>
      </c>
      <c r="D265" s="71">
        <v>0</v>
      </c>
      <c r="E265" s="71">
        <v>0</v>
      </c>
    </row>
    <row r="266" spans="1:5" x14ac:dyDescent="0.2">
      <c r="A266" s="43" t="s">
        <v>299</v>
      </c>
      <c r="B266" s="6" t="s">
        <v>151</v>
      </c>
      <c r="C266" s="71">
        <v>0</v>
      </c>
      <c r="D266" s="71">
        <v>0</v>
      </c>
      <c r="E266" s="71">
        <v>0</v>
      </c>
    </row>
    <row r="267" spans="1:5" x14ac:dyDescent="0.2">
      <c r="A267" s="43" t="s">
        <v>299</v>
      </c>
      <c r="B267" s="6" t="s">
        <v>152</v>
      </c>
      <c r="C267" s="71">
        <v>0</v>
      </c>
      <c r="D267" s="71">
        <v>0</v>
      </c>
      <c r="E267" s="71">
        <v>0</v>
      </c>
    </row>
    <row r="268" spans="1:5" x14ac:dyDescent="0.2">
      <c r="A268" s="43" t="s">
        <v>299</v>
      </c>
      <c r="B268" s="6" t="s">
        <v>153</v>
      </c>
      <c r="C268" s="71">
        <v>0</v>
      </c>
      <c r="D268" s="71">
        <v>0</v>
      </c>
      <c r="E268" s="71">
        <v>0</v>
      </c>
    </row>
    <row r="269" spans="1:5" x14ac:dyDescent="0.2">
      <c r="A269" s="43" t="s">
        <v>299</v>
      </c>
      <c r="B269" s="6" t="s">
        <v>154</v>
      </c>
      <c r="C269" s="71">
        <v>0</v>
      </c>
      <c r="D269" s="71">
        <v>0</v>
      </c>
      <c r="E269" s="71">
        <v>0</v>
      </c>
    </row>
    <row r="270" spans="1:5" x14ac:dyDescent="0.2">
      <c r="A270" s="43" t="s">
        <v>299</v>
      </c>
      <c r="B270" s="6" t="s">
        <v>155</v>
      </c>
      <c r="C270" s="71">
        <v>0</v>
      </c>
      <c r="D270" s="71">
        <v>0</v>
      </c>
      <c r="E270" s="71">
        <v>0</v>
      </c>
    </row>
    <row r="271" spans="1:5" x14ac:dyDescent="0.2">
      <c r="A271" s="43" t="s">
        <v>299</v>
      </c>
      <c r="B271" s="6" t="s">
        <v>156</v>
      </c>
      <c r="C271" s="71">
        <v>0</v>
      </c>
      <c r="D271" s="71">
        <v>0</v>
      </c>
      <c r="E271" s="71">
        <v>0</v>
      </c>
    </row>
    <row r="272" spans="1:5" x14ac:dyDescent="0.2">
      <c r="A272" s="43" t="s">
        <v>299</v>
      </c>
      <c r="B272" s="6" t="s">
        <v>157</v>
      </c>
      <c r="C272" s="71">
        <v>0</v>
      </c>
      <c r="D272" s="71">
        <v>0</v>
      </c>
      <c r="E272" s="71">
        <v>0</v>
      </c>
    </row>
    <row r="273" spans="1:5" x14ac:dyDescent="0.2">
      <c r="A273" s="43" t="s">
        <v>299</v>
      </c>
      <c r="B273" s="6" t="s">
        <v>158</v>
      </c>
      <c r="C273" s="71">
        <v>0</v>
      </c>
      <c r="D273" s="71">
        <v>0</v>
      </c>
      <c r="E273" s="71">
        <v>0</v>
      </c>
    </row>
    <row r="274" spans="1:5" x14ac:dyDescent="0.2">
      <c r="A274" s="43" t="s">
        <v>299</v>
      </c>
      <c r="B274" s="6" t="s">
        <v>159</v>
      </c>
      <c r="C274" s="71">
        <v>0</v>
      </c>
      <c r="D274" s="71">
        <v>0</v>
      </c>
      <c r="E274" s="71">
        <v>0</v>
      </c>
    </row>
    <row r="275" spans="1:5" x14ac:dyDescent="0.2">
      <c r="A275" s="43" t="s">
        <v>299</v>
      </c>
      <c r="B275" s="6" t="s">
        <v>160</v>
      </c>
      <c r="C275" s="71">
        <v>0</v>
      </c>
      <c r="D275" s="71">
        <v>0</v>
      </c>
      <c r="E275" s="71">
        <v>0</v>
      </c>
    </row>
    <row r="276" spans="1:5" x14ac:dyDescent="0.2">
      <c r="A276" s="43" t="s">
        <v>299</v>
      </c>
      <c r="B276" s="6" t="s">
        <v>161</v>
      </c>
      <c r="C276" s="71">
        <v>0</v>
      </c>
      <c r="D276" s="71">
        <v>0</v>
      </c>
      <c r="E276" s="71">
        <v>0</v>
      </c>
    </row>
    <row r="277" spans="1:5" x14ac:dyDescent="0.2">
      <c r="A277" s="43" t="s">
        <v>299</v>
      </c>
      <c r="B277" s="6" t="s">
        <v>162</v>
      </c>
      <c r="C277" s="71">
        <v>0</v>
      </c>
      <c r="D277" s="71">
        <v>0</v>
      </c>
      <c r="E277" s="71">
        <v>0</v>
      </c>
    </row>
    <row r="278" spans="1:5" x14ac:dyDescent="0.2">
      <c r="A278" s="43" t="s">
        <v>90</v>
      </c>
      <c r="B278" s="6" t="s">
        <v>151</v>
      </c>
      <c r="C278" s="71">
        <v>0</v>
      </c>
      <c r="D278" s="71">
        <v>0</v>
      </c>
      <c r="E278" s="71">
        <v>0</v>
      </c>
    </row>
    <row r="279" spans="1:5" x14ac:dyDescent="0.2">
      <c r="A279" s="43" t="s">
        <v>90</v>
      </c>
      <c r="B279" s="6" t="s">
        <v>152</v>
      </c>
      <c r="C279" s="71">
        <v>0</v>
      </c>
      <c r="D279" s="71">
        <v>0</v>
      </c>
      <c r="E279" s="71">
        <v>1</v>
      </c>
    </row>
    <row r="280" spans="1:5" x14ac:dyDescent="0.2">
      <c r="A280" s="43" t="s">
        <v>90</v>
      </c>
      <c r="B280" s="6" t="s">
        <v>153</v>
      </c>
      <c r="C280" s="71">
        <v>0</v>
      </c>
      <c r="D280" s="71">
        <v>0</v>
      </c>
      <c r="E280" s="71">
        <v>1</v>
      </c>
    </row>
    <row r="281" spans="1:5" x14ac:dyDescent="0.2">
      <c r="A281" s="43" t="s">
        <v>90</v>
      </c>
      <c r="B281" s="6" t="s">
        <v>154</v>
      </c>
      <c r="C281" s="71">
        <v>0</v>
      </c>
      <c r="D281" s="71">
        <v>0</v>
      </c>
      <c r="E281" s="71">
        <v>0</v>
      </c>
    </row>
    <row r="282" spans="1:5" x14ac:dyDescent="0.2">
      <c r="A282" s="43" t="s">
        <v>90</v>
      </c>
      <c r="B282" s="6" t="s">
        <v>155</v>
      </c>
      <c r="C282" s="71">
        <v>0</v>
      </c>
      <c r="D282" s="71">
        <v>0</v>
      </c>
      <c r="E282" s="71">
        <v>0</v>
      </c>
    </row>
    <row r="283" spans="1:5" x14ac:dyDescent="0.2">
      <c r="A283" s="43" t="s">
        <v>90</v>
      </c>
      <c r="B283" s="6" t="s">
        <v>156</v>
      </c>
      <c r="C283" s="71">
        <v>0</v>
      </c>
      <c r="D283" s="71">
        <v>0</v>
      </c>
      <c r="E283" s="71">
        <v>1</v>
      </c>
    </row>
    <row r="284" spans="1:5" x14ac:dyDescent="0.2">
      <c r="A284" s="43" t="s">
        <v>90</v>
      </c>
      <c r="B284" s="6" t="s">
        <v>157</v>
      </c>
      <c r="C284" s="71">
        <v>0</v>
      </c>
      <c r="D284" s="71">
        <v>0</v>
      </c>
      <c r="E284" s="71">
        <v>0</v>
      </c>
    </row>
    <row r="285" spans="1:5" x14ac:dyDescent="0.2">
      <c r="A285" s="43" t="s">
        <v>90</v>
      </c>
      <c r="B285" s="6" t="s">
        <v>158</v>
      </c>
      <c r="C285" s="71">
        <v>0</v>
      </c>
      <c r="D285" s="71">
        <v>0</v>
      </c>
      <c r="E285" s="71">
        <v>0</v>
      </c>
    </row>
    <row r="286" spans="1:5" x14ac:dyDescent="0.2">
      <c r="A286" s="43" t="s">
        <v>90</v>
      </c>
      <c r="B286" s="6" t="s">
        <v>159</v>
      </c>
      <c r="C286" s="71">
        <v>0</v>
      </c>
      <c r="D286" s="71">
        <v>0</v>
      </c>
      <c r="E286" s="71">
        <v>0</v>
      </c>
    </row>
    <row r="287" spans="1:5" x14ac:dyDescent="0.2">
      <c r="A287" s="43" t="s">
        <v>90</v>
      </c>
      <c r="B287" s="6" t="s">
        <v>160</v>
      </c>
      <c r="C287" s="71">
        <v>0</v>
      </c>
      <c r="D287" s="71">
        <v>0</v>
      </c>
      <c r="E287" s="71">
        <v>0</v>
      </c>
    </row>
    <row r="288" spans="1:5" x14ac:dyDescent="0.2">
      <c r="A288" s="43" t="s">
        <v>90</v>
      </c>
      <c r="B288" s="6" t="s">
        <v>161</v>
      </c>
      <c r="C288" s="71">
        <v>0</v>
      </c>
      <c r="D288" s="71">
        <v>0</v>
      </c>
      <c r="E288" s="71">
        <v>0</v>
      </c>
    </row>
    <row r="289" spans="1:5" x14ac:dyDescent="0.2">
      <c r="A289" s="43" t="s">
        <v>90</v>
      </c>
      <c r="B289" s="6" t="s">
        <v>162</v>
      </c>
      <c r="C289" s="71">
        <v>0</v>
      </c>
      <c r="D289" s="71">
        <v>0</v>
      </c>
      <c r="E289" s="71">
        <v>0</v>
      </c>
    </row>
    <row r="290" spans="1:5" x14ac:dyDescent="0.2">
      <c r="A290" s="43" t="s">
        <v>54</v>
      </c>
      <c r="B290" s="6" t="s">
        <v>151</v>
      </c>
      <c r="C290" s="71">
        <v>0</v>
      </c>
      <c r="D290" s="71">
        <v>0</v>
      </c>
      <c r="E290" s="71">
        <v>1</v>
      </c>
    </row>
    <row r="291" spans="1:5" x14ac:dyDescent="0.2">
      <c r="A291" s="43" t="s">
        <v>54</v>
      </c>
      <c r="B291" s="6" t="s">
        <v>152</v>
      </c>
      <c r="C291" s="71">
        <v>0</v>
      </c>
      <c r="D291" s="71">
        <v>0</v>
      </c>
      <c r="E291" s="71">
        <v>0</v>
      </c>
    </row>
    <row r="292" spans="1:5" x14ac:dyDescent="0.2">
      <c r="A292" s="43" t="s">
        <v>54</v>
      </c>
      <c r="B292" s="6" t="s">
        <v>153</v>
      </c>
      <c r="C292" s="71">
        <v>1</v>
      </c>
      <c r="D292" s="71">
        <v>0</v>
      </c>
      <c r="E292" s="71">
        <v>8</v>
      </c>
    </row>
    <row r="293" spans="1:5" x14ac:dyDescent="0.2">
      <c r="A293" s="43" t="s">
        <v>54</v>
      </c>
      <c r="B293" s="6" t="s">
        <v>154</v>
      </c>
      <c r="C293" s="71">
        <v>0</v>
      </c>
      <c r="D293" s="71">
        <v>0</v>
      </c>
      <c r="E293" s="71">
        <v>0</v>
      </c>
    </row>
    <row r="294" spans="1:5" x14ac:dyDescent="0.2">
      <c r="A294" s="43" t="s">
        <v>54</v>
      </c>
      <c r="B294" s="6" t="s">
        <v>155</v>
      </c>
      <c r="C294" s="71">
        <v>0</v>
      </c>
      <c r="D294" s="71">
        <v>0</v>
      </c>
      <c r="E294" s="71">
        <v>0</v>
      </c>
    </row>
    <row r="295" spans="1:5" x14ac:dyDescent="0.2">
      <c r="A295" s="43" t="s">
        <v>54</v>
      </c>
      <c r="B295" s="6" t="s">
        <v>156</v>
      </c>
      <c r="C295" s="71">
        <v>0</v>
      </c>
      <c r="D295" s="71">
        <v>0</v>
      </c>
      <c r="E295" s="71">
        <v>1</v>
      </c>
    </row>
    <row r="296" spans="1:5" x14ac:dyDescent="0.2">
      <c r="A296" s="43" t="s">
        <v>54</v>
      </c>
      <c r="B296" s="6" t="s">
        <v>157</v>
      </c>
      <c r="C296" s="71">
        <v>0</v>
      </c>
      <c r="D296" s="71">
        <v>0</v>
      </c>
      <c r="E296" s="71">
        <v>0</v>
      </c>
    </row>
    <row r="297" spans="1:5" x14ac:dyDescent="0.2">
      <c r="A297" s="43" t="s">
        <v>54</v>
      </c>
      <c r="B297" s="6" t="s">
        <v>158</v>
      </c>
      <c r="C297" s="71">
        <v>0</v>
      </c>
      <c r="D297" s="71">
        <v>0</v>
      </c>
      <c r="E297" s="71">
        <v>0</v>
      </c>
    </row>
    <row r="298" spans="1:5" x14ac:dyDescent="0.2">
      <c r="A298" s="43" t="s">
        <v>54</v>
      </c>
      <c r="B298" s="6" t="s">
        <v>159</v>
      </c>
      <c r="C298" s="71">
        <v>0</v>
      </c>
      <c r="D298" s="71">
        <v>0</v>
      </c>
      <c r="E298" s="71">
        <v>0</v>
      </c>
    </row>
    <row r="299" spans="1:5" x14ac:dyDescent="0.2">
      <c r="A299" s="43" t="s">
        <v>54</v>
      </c>
      <c r="B299" s="6" t="s">
        <v>160</v>
      </c>
      <c r="C299" s="71">
        <v>0</v>
      </c>
      <c r="D299" s="71">
        <v>0</v>
      </c>
      <c r="E299" s="71">
        <v>0</v>
      </c>
    </row>
    <row r="300" spans="1:5" x14ac:dyDescent="0.2">
      <c r="A300" s="43" t="s">
        <v>54</v>
      </c>
      <c r="B300" s="6" t="s">
        <v>161</v>
      </c>
      <c r="C300" s="71">
        <v>0</v>
      </c>
      <c r="D300" s="71">
        <v>0</v>
      </c>
      <c r="E300" s="71">
        <v>0</v>
      </c>
    </row>
    <row r="301" spans="1:5" x14ac:dyDescent="0.2">
      <c r="A301" s="43" t="s">
        <v>54</v>
      </c>
      <c r="B301" s="6" t="s">
        <v>162</v>
      </c>
      <c r="C301" s="71">
        <v>0</v>
      </c>
      <c r="D301" s="71">
        <v>0</v>
      </c>
      <c r="E301" s="71">
        <v>0</v>
      </c>
    </row>
    <row r="302" spans="1:5" x14ac:dyDescent="0.2">
      <c r="A302" s="43" t="s">
        <v>300</v>
      </c>
      <c r="B302" s="6" t="s">
        <v>151</v>
      </c>
      <c r="C302" s="71">
        <v>0</v>
      </c>
      <c r="D302" s="71">
        <v>0</v>
      </c>
      <c r="E302" s="71">
        <v>0</v>
      </c>
    </row>
    <row r="303" spans="1:5" x14ac:dyDescent="0.2">
      <c r="A303" s="43" t="s">
        <v>300</v>
      </c>
      <c r="B303" s="6" t="s">
        <v>152</v>
      </c>
      <c r="C303" s="71">
        <v>0</v>
      </c>
      <c r="D303" s="71">
        <v>0</v>
      </c>
      <c r="E303" s="71">
        <v>0</v>
      </c>
    </row>
    <row r="304" spans="1:5" x14ac:dyDescent="0.2">
      <c r="A304" s="43" t="s">
        <v>300</v>
      </c>
      <c r="B304" s="6" t="s">
        <v>153</v>
      </c>
      <c r="C304" s="71">
        <v>0</v>
      </c>
      <c r="D304" s="71">
        <v>0</v>
      </c>
      <c r="E304" s="71">
        <v>0</v>
      </c>
    </row>
    <row r="305" spans="1:5" x14ac:dyDescent="0.2">
      <c r="A305" s="43" t="s">
        <v>300</v>
      </c>
      <c r="B305" s="6" t="s">
        <v>154</v>
      </c>
      <c r="C305" s="71">
        <v>0</v>
      </c>
      <c r="D305" s="71">
        <v>0</v>
      </c>
      <c r="E305" s="71">
        <v>0</v>
      </c>
    </row>
    <row r="306" spans="1:5" x14ac:dyDescent="0.2">
      <c r="A306" s="43" t="s">
        <v>300</v>
      </c>
      <c r="B306" s="6" t="s">
        <v>155</v>
      </c>
      <c r="C306" s="71">
        <v>0</v>
      </c>
      <c r="D306" s="71">
        <v>0</v>
      </c>
      <c r="E306" s="71">
        <v>0</v>
      </c>
    </row>
    <row r="307" spans="1:5" x14ac:dyDescent="0.2">
      <c r="A307" s="43" t="s">
        <v>300</v>
      </c>
      <c r="B307" s="6" t="s">
        <v>156</v>
      </c>
      <c r="C307" s="71">
        <v>0</v>
      </c>
      <c r="D307" s="71">
        <v>0</v>
      </c>
      <c r="E307" s="71">
        <v>0</v>
      </c>
    </row>
    <row r="308" spans="1:5" x14ac:dyDescent="0.2">
      <c r="A308" s="43" t="s">
        <v>300</v>
      </c>
      <c r="B308" s="6" t="s">
        <v>157</v>
      </c>
      <c r="C308" s="71">
        <v>0</v>
      </c>
      <c r="D308" s="71">
        <v>0</v>
      </c>
      <c r="E308" s="71">
        <v>2</v>
      </c>
    </row>
    <row r="309" spans="1:5" x14ac:dyDescent="0.2">
      <c r="A309" s="43" t="s">
        <v>300</v>
      </c>
      <c r="B309" s="6" t="s">
        <v>158</v>
      </c>
      <c r="C309" s="71">
        <v>0</v>
      </c>
      <c r="D309" s="71">
        <v>0</v>
      </c>
      <c r="E309" s="71">
        <v>0</v>
      </c>
    </row>
    <row r="310" spans="1:5" x14ac:dyDescent="0.2">
      <c r="A310" s="43" t="s">
        <v>300</v>
      </c>
      <c r="B310" s="6" t="s">
        <v>159</v>
      </c>
      <c r="C310" s="71">
        <v>0</v>
      </c>
      <c r="D310" s="71">
        <v>0</v>
      </c>
      <c r="E310" s="71">
        <v>0</v>
      </c>
    </row>
    <row r="311" spans="1:5" x14ac:dyDescent="0.2">
      <c r="A311" s="43" t="s">
        <v>300</v>
      </c>
      <c r="B311" s="6" t="s">
        <v>160</v>
      </c>
      <c r="C311" s="71">
        <v>0</v>
      </c>
      <c r="D311" s="71">
        <v>0</v>
      </c>
      <c r="E311" s="71">
        <v>0</v>
      </c>
    </row>
    <row r="312" spans="1:5" x14ac:dyDescent="0.2">
      <c r="A312" s="43" t="s">
        <v>300</v>
      </c>
      <c r="B312" s="6" t="s">
        <v>161</v>
      </c>
      <c r="C312" s="71">
        <v>0</v>
      </c>
      <c r="D312" s="71">
        <v>0</v>
      </c>
      <c r="E312" s="71">
        <v>0</v>
      </c>
    </row>
    <row r="313" spans="1:5" x14ac:dyDescent="0.2">
      <c r="A313" s="43" t="s">
        <v>300</v>
      </c>
      <c r="B313" s="6" t="s">
        <v>162</v>
      </c>
      <c r="C313" s="71">
        <v>0</v>
      </c>
      <c r="D313" s="71">
        <v>0</v>
      </c>
      <c r="E313" s="71">
        <v>0</v>
      </c>
    </row>
    <row r="314" spans="1:5" x14ac:dyDescent="0.2">
      <c r="A314" s="43" t="s">
        <v>147</v>
      </c>
      <c r="B314" s="6" t="s">
        <v>151</v>
      </c>
      <c r="C314" s="71">
        <v>0</v>
      </c>
      <c r="D314" s="71">
        <v>0</v>
      </c>
      <c r="E314" s="71">
        <v>0</v>
      </c>
    </row>
    <row r="315" spans="1:5" x14ac:dyDescent="0.2">
      <c r="A315" s="43" t="s">
        <v>147</v>
      </c>
      <c r="B315" s="6" t="s">
        <v>152</v>
      </c>
      <c r="C315" s="71">
        <v>0</v>
      </c>
      <c r="D315" s="71">
        <v>0</v>
      </c>
      <c r="E315" s="71">
        <v>0</v>
      </c>
    </row>
    <row r="316" spans="1:5" x14ac:dyDescent="0.2">
      <c r="A316" s="43" t="s">
        <v>147</v>
      </c>
      <c r="B316" s="6" t="s">
        <v>153</v>
      </c>
      <c r="C316" s="71">
        <v>0</v>
      </c>
      <c r="D316" s="71">
        <v>0</v>
      </c>
      <c r="E316" s="71">
        <v>0</v>
      </c>
    </row>
    <row r="317" spans="1:5" x14ac:dyDescent="0.2">
      <c r="A317" s="43" t="s">
        <v>147</v>
      </c>
      <c r="B317" s="6" t="s">
        <v>154</v>
      </c>
      <c r="C317" s="71">
        <v>0</v>
      </c>
      <c r="D317" s="71">
        <v>0</v>
      </c>
      <c r="E317" s="71">
        <v>0</v>
      </c>
    </row>
    <row r="318" spans="1:5" x14ac:dyDescent="0.2">
      <c r="A318" s="43" t="s">
        <v>147</v>
      </c>
      <c r="B318" s="6" t="s">
        <v>155</v>
      </c>
      <c r="C318" s="71">
        <v>0</v>
      </c>
      <c r="D318" s="71">
        <v>0</v>
      </c>
      <c r="E318" s="71">
        <v>0</v>
      </c>
    </row>
    <row r="319" spans="1:5" x14ac:dyDescent="0.2">
      <c r="A319" s="43" t="s">
        <v>147</v>
      </c>
      <c r="B319" s="6" t="s">
        <v>156</v>
      </c>
      <c r="C319" s="71">
        <v>0</v>
      </c>
      <c r="D319" s="71">
        <v>0</v>
      </c>
      <c r="E319" s="71">
        <v>0</v>
      </c>
    </row>
    <row r="320" spans="1:5" x14ac:dyDescent="0.2">
      <c r="A320" s="43" t="s">
        <v>147</v>
      </c>
      <c r="B320" s="6" t="s">
        <v>157</v>
      </c>
      <c r="C320" s="71">
        <v>0</v>
      </c>
      <c r="D320" s="71">
        <v>0</v>
      </c>
      <c r="E320" s="71">
        <v>0</v>
      </c>
    </row>
    <row r="321" spans="1:5" x14ac:dyDescent="0.2">
      <c r="A321" s="43" t="s">
        <v>147</v>
      </c>
      <c r="B321" s="6" t="s">
        <v>158</v>
      </c>
      <c r="C321" s="71">
        <v>0</v>
      </c>
      <c r="D321" s="71">
        <v>0</v>
      </c>
      <c r="E321" s="71">
        <v>0</v>
      </c>
    </row>
    <row r="322" spans="1:5" x14ac:dyDescent="0.2">
      <c r="A322" s="43" t="s">
        <v>147</v>
      </c>
      <c r="B322" s="6" t="s">
        <v>159</v>
      </c>
      <c r="C322" s="71">
        <v>0</v>
      </c>
      <c r="D322" s="71">
        <v>0</v>
      </c>
      <c r="E322" s="71">
        <v>0</v>
      </c>
    </row>
    <row r="323" spans="1:5" x14ac:dyDescent="0.2">
      <c r="A323" s="43" t="s">
        <v>147</v>
      </c>
      <c r="B323" s="6" t="s">
        <v>160</v>
      </c>
      <c r="C323" s="71">
        <v>0</v>
      </c>
      <c r="D323" s="71">
        <v>0</v>
      </c>
      <c r="E323" s="71">
        <v>0</v>
      </c>
    </row>
    <row r="324" spans="1:5" x14ac:dyDescent="0.2">
      <c r="A324" s="43" t="s">
        <v>147</v>
      </c>
      <c r="B324" s="6" t="s">
        <v>161</v>
      </c>
      <c r="C324" s="71">
        <v>0</v>
      </c>
      <c r="D324" s="71">
        <v>0</v>
      </c>
      <c r="E324" s="71">
        <v>0</v>
      </c>
    </row>
    <row r="325" spans="1:5" x14ac:dyDescent="0.2">
      <c r="A325" s="43" t="s">
        <v>147</v>
      </c>
      <c r="B325" s="6" t="s">
        <v>162</v>
      </c>
      <c r="C325" s="71">
        <v>0</v>
      </c>
      <c r="D325" s="71">
        <v>0</v>
      </c>
      <c r="E325" s="71">
        <v>0</v>
      </c>
    </row>
    <row r="326" spans="1:5" x14ac:dyDescent="0.2">
      <c r="A326" s="43" t="s">
        <v>71</v>
      </c>
      <c r="B326" s="6" t="s">
        <v>151</v>
      </c>
      <c r="C326" s="71">
        <v>0</v>
      </c>
      <c r="D326" s="71">
        <v>0</v>
      </c>
      <c r="E326" s="71">
        <v>0</v>
      </c>
    </row>
    <row r="327" spans="1:5" x14ac:dyDescent="0.2">
      <c r="A327" s="43" t="s">
        <v>71</v>
      </c>
      <c r="B327" s="6" t="s">
        <v>152</v>
      </c>
      <c r="C327" s="71">
        <v>0</v>
      </c>
      <c r="D327" s="71">
        <v>0</v>
      </c>
      <c r="E327" s="71">
        <v>0</v>
      </c>
    </row>
    <row r="328" spans="1:5" x14ac:dyDescent="0.2">
      <c r="A328" s="43" t="s">
        <v>71</v>
      </c>
      <c r="B328" s="6" t="s">
        <v>153</v>
      </c>
      <c r="C328" s="71">
        <v>0</v>
      </c>
      <c r="D328" s="71">
        <v>0</v>
      </c>
      <c r="E328" s="71">
        <v>0</v>
      </c>
    </row>
    <row r="329" spans="1:5" x14ac:dyDescent="0.2">
      <c r="A329" s="43" t="s">
        <v>71</v>
      </c>
      <c r="B329" s="6" t="s">
        <v>154</v>
      </c>
      <c r="C329" s="71">
        <v>0</v>
      </c>
      <c r="D329" s="71">
        <v>0</v>
      </c>
      <c r="E329" s="71">
        <v>0</v>
      </c>
    </row>
    <row r="330" spans="1:5" x14ac:dyDescent="0.2">
      <c r="A330" s="43" t="s">
        <v>71</v>
      </c>
      <c r="B330" s="6" t="s">
        <v>155</v>
      </c>
      <c r="C330" s="71">
        <v>0</v>
      </c>
      <c r="D330" s="71">
        <v>0</v>
      </c>
      <c r="E330" s="71">
        <v>0</v>
      </c>
    </row>
    <row r="331" spans="1:5" x14ac:dyDescent="0.2">
      <c r="A331" s="43" t="s">
        <v>71</v>
      </c>
      <c r="B331" s="6" t="s">
        <v>156</v>
      </c>
      <c r="C331" s="71">
        <v>0</v>
      </c>
      <c r="D331" s="71">
        <v>0</v>
      </c>
      <c r="E331" s="71">
        <v>0</v>
      </c>
    </row>
    <row r="332" spans="1:5" x14ac:dyDescent="0.2">
      <c r="A332" s="43" t="s">
        <v>71</v>
      </c>
      <c r="B332" s="6" t="s">
        <v>157</v>
      </c>
      <c r="C332" s="71">
        <v>0</v>
      </c>
      <c r="D332" s="71">
        <v>0</v>
      </c>
      <c r="E332" s="71">
        <v>0</v>
      </c>
    </row>
    <row r="333" spans="1:5" x14ac:dyDescent="0.2">
      <c r="A333" s="43" t="s">
        <v>71</v>
      </c>
      <c r="B333" s="6" t="s">
        <v>158</v>
      </c>
      <c r="C333" s="71">
        <v>0</v>
      </c>
      <c r="D333" s="71">
        <v>0</v>
      </c>
      <c r="E333" s="71">
        <v>0</v>
      </c>
    </row>
    <row r="334" spans="1:5" x14ac:dyDescent="0.2">
      <c r="A334" s="43" t="s">
        <v>71</v>
      </c>
      <c r="B334" s="6" t="s">
        <v>159</v>
      </c>
      <c r="C334" s="71">
        <v>0</v>
      </c>
      <c r="D334" s="71">
        <v>0</v>
      </c>
      <c r="E334" s="71">
        <v>0</v>
      </c>
    </row>
    <row r="335" spans="1:5" x14ac:dyDescent="0.2">
      <c r="A335" s="43" t="s">
        <v>71</v>
      </c>
      <c r="B335" s="6" t="s">
        <v>160</v>
      </c>
      <c r="C335" s="71">
        <v>0</v>
      </c>
      <c r="D335" s="71">
        <v>0</v>
      </c>
      <c r="E335" s="71">
        <v>0</v>
      </c>
    </row>
    <row r="336" spans="1:5" x14ac:dyDescent="0.2">
      <c r="A336" s="43" t="s">
        <v>71</v>
      </c>
      <c r="B336" s="6" t="s">
        <v>161</v>
      </c>
      <c r="C336" s="71">
        <v>0</v>
      </c>
      <c r="D336" s="71">
        <v>0</v>
      </c>
      <c r="E336" s="71">
        <v>0</v>
      </c>
    </row>
    <row r="337" spans="1:5" x14ac:dyDescent="0.2">
      <c r="A337" s="43" t="s">
        <v>71</v>
      </c>
      <c r="B337" s="6" t="s">
        <v>162</v>
      </c>
      <c r="C337" s="71">
        <v>0</v>
      </c>
      <c r="D337" s="71">
        <v>0</v>
      </c>
      <c r="E337" s="71">
        <v>0</v>
      </c>
    </row>
    <row r="338" spans="1:5" x14ac:dyDescent="0.2">
      <c r="A338" s="43" t="s">
        <v>75</v>
      </c>
      <c r="B338" s="6" t="s">
        <v>151</v>
      </c>
      <c r="C338" s="71">
        <v>0</v>
      </c>
      <c r="D338" s="71">
        <v>0</v>
      </c>
      <c r="E338" s="71">
        <v>2</v>
      </c>
    </row>
    <row r="339" spans="1:5" x14ac:dyDescent="0.2">
      <c r="A339" s="43" t="s">
        <v>75</v>
      </c>
      <c r="B339" s="6" t="s">
        <v>152</v>
      </c>
      <c r="C339" s="71">
        <v>0</v>
      </c>
      <c r="D339" s="71">
        <v>0</v>
      </c>
      <c r="E339" s="71">
        <v>2</v>
      </c>
    </row>
    <row r="340" spans="1:5" x14ac:dyDescent="0.2">
      <c r="A340" s="43" t="s">
        <v>75</v>
      </c>
      <c r="B340" s="6" t="s">
        <v>153</v>
      </c>
      <c r="C340" s="71">
        <v>0</v>
      </c>
      <c r="D340" s="71">
        <v>0</v>
      </c>
      <c r="E340" s="71">
        <v>2</v>
      </c>
    </row>
    <row r="341" spans="1:5" x14ac:dyDescent="0.2">
      <c r="A341" s="43" t="s">
        <v>75</v>
      </c>
      <c r="B341" s="6" t="s">
        <v>154</v>
      </c>
      <c r="C341" s="71">
        <v>0</v>
      </c>
      <c r="D341" s="71">
        <v>0</v>
      </c>
      <c r="E341" s="71">
        <v>2</v>
      </c>
    </row>
    <row r="342" spans="1:5" x14ac:dyDescent="0.2">
      <c r="A342" s="43" t="s">
        <v>75</v>
      </c>
      <c r="B342" s="6" t="s">
        <v>155</v>
      </c>
      <c r="C342" s="71">
        <v>0</v>
      </c>
      <c r="D342" s="71">
        <v>0</v>
      </c>
      <c r="E342" s="71">
        <v>2</v>
      </c>
    </row>
    <row r="343" spans="1:5" x14ac:dyDescent="0.2">
      <c r="A343" s="43" t="s">
        <v>75</v>
      </c>
      <c r="B343" s="6" t="s">
        <v>156</v>
      </c>
      <c r="C343" s="71">
        <v>0</v>
      </c>
      <c r="D343" s="71">
        <v>0</v>
      </c>
      <c r="E343" s="71">
        <v>3</v>
      </c>
    </row>
    <row r="344" spans="1:5" x14ac:dyDescent="0.2">
      <c r="A344" s="43" t="s">
        <v>75</v>
      </c>
      <c r="B344" s="6" t="s">
        <v>157</v>
      </c>
      <c r="C344" s="71">
        <v>0</v>
      </c>
      <c r="D344" s="71">
        <v>0</v>
      </c>
      <c r="E344" s="71">
        <v>0</v>
      </c>
    </row>
    <row r="345" spans="1:5" x14ac:dyDescent="0.2">
      <c r="A345" s="43" t="s">
        <v>75</v>
      </c>
      <c r="B345" s="6" t="s">
        <v>158</v>
      </c>
      <c r="C345" s="71">
        <v>0</v>
      </c>
      <c r="D345" s="71">
        <v>0</v>
      </c>
      <c r="E345" s="71">
        <v>1</v>
      </c>
    </row>
    <row r="346" spans="1:5" x14ac:dyDescent="0.2">
      <c r="A346" s="43" t="s">
        <v>75</v>
      </c>
      <c r="B346" s="6" t="s">
        <v>159</v>
      </c>
      <c r="C346" s="71">
        <v>0</v>
      </c>
      <c r="D346" s="71">
        <v>0</v>
      </c>
      <c r="E346" s="71">
        <v>0</v>
      </c>
    </row>
    <row r="347" spans="1:5" x14ac:dyDescent="0.2">
      <c r="A347" s="43" t="s">
        <v>75</v>
      </c>
      <c r="B347" s="6" t="s">
        <v>160</v>
      </c>
      <c r="C347" s="71">
        <v>0</v>
      </c>
      <c r="D347" s="71">
        <v>0</v>
      </c>
      <c r="E347" s="71">
        <v>0</v>
      </c>
    </row>
    <row r="348" spans="1:5" x14ac:dyDescent="0.2">
      <c r="A348" s="43" t="s">
        <v>75</v>
      </c>
      <c r="B348" s="6" t="s">
        <v>161</v>
      </c>
      <c r="C348" s="71">
        <v>0</v>
      </c>
      <c r="D348" s="71">
        <v>0</v>
      </c>
      <c r="E348" s="71">
        <v>0</v>
      </c>
    </row>
    <row r="349" spans="1:5" x14ac:dyDescent="0.2">
      <c r="A349" s="43" t="s">
        <v>75</v>
      </c>
      <c r="B349" s="6" t="s">
        <v>162</v>
      </c>
      <c r="C349" s="71">
        <v>0</v>
      </c>
      <c r="D349" s="71">
        <v>0</v>
      </c>
      <c r="E349" s="71">
        <v>0</v>
      </c>
    </row>
    <row r="350" spans="1:5" x14ac:dyDescent="0.2">
      <c r="A350" s="43" t="s">
        <v>46</v>
      </c>
      <c r="B350" s="6" t="s">
        <v>151</v>
      </c>
      <c r="C350" s="71">
        <v>0</v>
      </c>
      <c r="D350" s="71">
        <v>0</v>
      </c>
      <c r="E350" s="71">
        <v>0</v>
      </c>
    </row>
    <row r="351" spans="1:5" x14ac:dyDescent="0.2">
      <c r="A351" s="43" t="s">
        <v>46</v>
      </c>
      <c r="B351" s="6" t="s">
        <v>152</v>
      </c>
      <c r="C351" s="71">
        <v>0</v>
      </c>
      <c r="D351" s="71">
        <v>0</v>
      </c>
      <c r="E351" s="71">
        <v>0</v>
      </c>
    </row>
    <row r="352" spans="1:5" x14ac:dyDescent="0.2">
      <c r="A352" s="43" t="s">
        <v>46</v>
      </c>
      <c r="B352" s="6" t="s">
        <v>153</v>
      </c>
      <c r="C352" s="71">
        <v>0</v>
      </c>
      <c r="D352" s="71">
        <v>0</v>
      </c>
      <c r="E352" s="71">
        <v>0</v>
      </c>
    </row>
    <row r="353" spans="1:5" x14ac:dyDescent="0.2">
      <c r="A353" s="43" t="s">
        <v>46</v>
      </c>
      <c r="B353" s="6" t="s">
        <v>154</v>
      </c>
      <c r="C353" s="71">
        <v>0</v>
      </c>
      <c r="D353" s="71">
        <v>0</v>
      </c>
      <c r="E353" s="71">
        <v>0</v>
      </c>
    </row>
    <row r="354" spans="1:5" x14ac:dyDescent="0.2">
      <c r="A354" s="43" t="s">
        <v>46</v>
      </c>
      <c r="B354" s="6" t="s">
        <v>155</v>
      </c>
      <c r="C354" s="71">
        <v>0</v>
      </c>
      <c r="D354" s="71">
        <v>0</v>
      </c>
      <c r="E354" s="71">
        <v>0</v>
      </c>
    </row>
    <row r="355" spans="1:5" x14ac:dyDescent="0.2">
      <c r="A355" s="43" t="s">
        <v>46</v>
      </c>
      <c r="B355" s="6" t="s">
        <v>156</v>
      </c>
      <c r="C355" s="71">
        <v>0</v>
      </c>
      <c r="D355" s="71">
        <v>0</v>
      </c>
      <c r="E355" s="71">
        <v>0</v>
      </c>
    </row>
    <row r="356" spans="1:5" x14ac:dyDescent="0.2">
      <c r="A356" s="43" t="s">
        <v>46</v>
      </c>
      <c r="B356" s="6" t="s">
        <v>157</v>
      </c>
      <c r="C356" s="71">
        <v>0</v>
      </c>
      <c r="D356" s="71">
        <v>0</v>
      </c>
      <c r="E356" s="71">
        <v>0</v>
      </c>
    </row>
    <row r="357" spans="1:5" x14ac:dyDescent="0.2">
      <c r="A357" s="43" t="s">
        <v>46</v>
      </c>
      <c r="B357" s="6" t="s">
        <v>158</v>
      </c>
      <c r="C357" s="71">
        <v>0</v>
      </c>
      <c r="D357" s="71">
        <v>0</v>
      </c>
      <c r="E357" s="71">
        <v>0</v>
      </c>
    </row>
    <row r="358" spans="1:5" x14ac:dyDescent="0.2">
      <c r="A358" s="43" t="s">
        <v>46</v>
      </c>
      <c r="B358" s="6" t="s">
        <v>159</v>
      </c>
      <c r="C358" s="71">
        <v>0</v>
      </c>
      <c r="D358" s="71">
        <v>0</v>
      </c>
      <c r="E358" s="71">
        <v>0</v>
      </c>
    </row>
    <row r="359" spans="1:5" x14ac:dyDescent="0.2">
      <c r="A359" s="43" t="s">
        <v>46</v>
      </c>
      <c r="B359" s="6" t="s">
        <v>160</v>
      </c>
      <c r="C359" s="71">
        <v>0</v>
      </c>
      <c r="D359" s="71">
        <v>0</v>
      </c>
      <c r="E359" s="71">
        <v>0</v>
      </c>
    </row>
    <row r="360" spans="1:5" x14ac:dyDescent="0.2">
      <c r="A360" s="43" t="s">
        <v>46</v>
      </c>
      <c r="B360" s="6" t="s">
        <v>161</v>
      </c>
      <c r="C360" s="71">
        <v>0</v>
      </c>
      <c r="D360" s="71">
        <v>0</v>
      </c>
      <c r="E360" s="71">
        <v>0</v>
      </c>
    </row>
    <row r="361" spans="1:5" x14ac:dyDescent="0.2">
      <c r="A361" s="43" t="s">
        <v>46</v>
      </c>
      <c r="B361" s="6" t="s">
        <v>162</v>
      </c>
      <c r="C361" s="71">
        <v>0</v>
      </c>
      <c r="D361" s="71">
        <v>0</v>
      </c>
      <c r="E361" s="71">
        <v>0</v>
      </c>
    </row>
    <row r="362" spans="1:5" x14ac:dyDescent="0.2">
      <c r="A362" s="43" t="s">
        <v>36</v>
      </c>
      <c r="B362" s="6" t="s">
        <v>151</v>
      </c>
      <c r="C362" s="71">
        <v>0</v>
      </c>
      <c r="D362" s="71">
        <v>0</v>
      </c>
      <c r="E362" s="71">
        <v>0</v>
      </c>
    </row>
    <row r="363" spans="1:5" x14ac:dyDescent="0.2">
      <c r="A363" s="43" t="s">
        <v>36</v>
      </c>
      <c r="B363" s="6" t="s">
        <v>152</v>
      </c>
      <c r="C363" s="71">
        <v>0</v>
      </c>
      <c r="D363" s="71">
        <v>0</v>
      </c>
      <c r="E363" s="71">
        <v>0</v>
      </c>
    </row>
    <row r="364" spans="1:5" x14ac:dyDescent="0.2">
      <c r="A364" s="43" t="s">
        <v>36</v>
      </c>
      <c r="B364" s="6" t="s">
        <v>153</v>
      </c>
      <c r="C364" s="71">
        <v>0</v>
      </c>
      <c r="D364" s="71">
        <v>0</v>
      </c>
      <c r="E364" s="71">
        <v>0</v>
      </c>
    </row>
    <row r="365" spans="1:5" x14ac:dyDescent="0.2">
      <c r="A365" s="43" t="s">
        <v>36</v>
      </c>
      <c r="B365" s="6" t="s">
        <v>154</v>
      </c>
      <c r="C365" s="71">
        <v>0</v>
      </c>
      <c r="D365" s="71">
        <v>0</v>
      </c>
      <c r="E365" s="71">
        <v>0</v>
      </c>
    </row>
    <row r="366" spans="1:5" x14ac:dyDescent="0.2">
      <c r="A366" s="43" t="s">
        <v>36</v>
      </c>
      <c r="B366" s="6" t="s">
        <v>155</v>
      </c>
      <c r="C366" s="71">
        <v>0</v>
      </c>
      <c r="D366" s="71">
        <v>0</v>
      </c>
      <c r="E366" s="71">
        <v>0</v>
      </c>
    </row>
    <row r="367" spans="1:5" x14ac:dyDescent="0.2">
      <c r="A367" s="43" t="s">
        <v>36</v>
      </c>
      <c r="B367" s="6" t="s">
        <v>156</v>
      </c>
      <c r="C367" s="71">
        <v>0</v>
      </c>
      <c r="D367" s="71">
        <v>0</v>
      </c>
      <c r="E367" s="71">
        <v>0</v>
      </c>
    </row>
    <row r="368" spans="1:5" x14ac:dyDescent="0.2">
      <c r="A368" s="43" t="s">
        <v>36</v>
      </c>
      <c r="B368" s="6" t="s">
        <v>157</v>
      </c>
      <c r="C368" s="71">
        <v>0</v>
      </c>
      <c r="D368" s="71">
        <v>0</v>
      </c>
      <c r="E368" s="71">
        <v>0</v>
      </c>
    </row>
    <row r="369" spans="1:5" x14ac:dyDescent="0.2">
      <c r="A369" s="43" t="s">
        <v>36</v>
      </c>
      <c r="B369" s="6" t="s">
        <v>158</v>
      </c>
      <c r="C369" s="71">
        <v>0</v>
      </c>
      <c r="D369" s="71">
        <v>0</v>
      </c>
      <c r="E369" s="71">
        <v>0</v>
      </c>
    </row>
    <row r="370" spans="1:5" x14ac:dyDescent="0.2">
      <c r="A370" s="43" t="s">
        <v>36</v>
      </c>
      <c r="B370" s="6" t="s">
        <v>159</v>
      </c>
      <c r="C370" s="71">
        <v>0</v>
      </c>
      <c r="D370" s="71">
        <v>0</v>
      </c>
      <c r="E370" s="71">
        <v>0</v>
      </c>
    </row>
    <row r="371" spans="1:5" x14ac:dyDescent="0.2">
      <c r="A371" s="43" t="s">
        <v>36</v>
      </c>
      <c r="B371" s="6" t="s">
        <v>160</v>
      </c>
      <c r="C371" s="71">
        <v>0</v>
      </c>
      <c r="D371" s="71">
        <v>0</v>
      </c>
      <c r="E371" s="71">
        <v>0</v>
      </c>
    </row>
    <row r="372" spans="1:5" x14ac:dyDescent="0.2">
      <c r="A372" s="43" t="s">
        <v>36</v>
      </c>
      <c r="B372" s="6" t="s">
        <v>161</v>
      </c>
      <c r="C372" s="71">
        <v>0</v>
      </c>
      <c r="D372" s="71">
        <v>0</v>
      </c>
      <c r="E372" s="71">
        <v>0</v>
      </c>
    </row>
    <row r="373" spans="1:5" x14ac:dyDescent="0.2">
      <c r="A373" s="43" t="s">
        <v>36</v>
      </c>
      <c r="B373" s="6" t="s">
        <v>162</v>
      </c>
      <c r="C373" s="71">
        <v>0</v>
      </c>
      <c r="D373" s="71">
        <v>0</v>
      </c>
      <c r="E373" s="71">
        <v>0</v>
      </c>
    </row>
    <row r="374" spans="1:5" x14ac:dyDescent="0.2">
      <c r="A374" s="43" t="s">
        <v>82</v>
      </c>
      <c r="B374" s="6" t="s">
        <v>151</v>
      </c>
      <c r="C374" s="71">
        <v>0</v>
      </c>
      <c r="D374" s="71">
        <v>0</v>
      </c>
      <c r="E374" s="71">
        <v>0</v>
      </c>
    </row>
    <row r="375" spans="1:5" x14ac:dyDescent="0.2">
      <c r="A375" s="43" t="s">
        <v>82</v>
      </c>
      <c r="B375" s="6" t="s">
        <v>152</v>
      </c>
      <c r="C375" s="71">
        <v>0</v>
      </c>
      <c r="D375" s="71">
        <v>0</v>
      </c>
      <c r="E375" s="71">
        <v>0</v>
      </c>
    </row>
    <row r="376" spans="1:5" x14ac:dyDescent="0.2">
      <c r="A376" s="43" t="s">
        <v>82</v>
      </c>
      <c r="B376" s="6" t="s">
        <v>153</v>
      </c>
      <c r="C376" s="71">
        <v>0</v>
      </c>
      <c r="D376" s="71">
        <v>3</v>
      </c>
      <c r="E376" s="71">
        <v>0</v>
      </c>
    </row>
    <row r="377" spans="1:5" x14ac:dyDescent="0.2">
      <c r="A377" s="43" t="s">
        <v>82</v>
      </c>
      <c r="B377" s="6" t="s">
        <v>154</v>
      </c>
      <c r="C377" s="71">
        <v>0</v>
      </c>
      <c r="D377" s="71">
        <v>0</v>
      </c>
      <c r="E377" s="71">
        <v>0</v>
      </c>
    </row>
    <row r="378" spans="1:5" x14ac:dyDescent="0.2">
      <c r="A378" s="43" t="s">
        <v>82</v>
      </c>
      <c r="B378" s="6" t="s">
        <v>155</v>
      </c>
      <c r="C378" s="71">
        <v>0</v>
      </c>
      <c r="D378" s="71">
        <v>0</v>
      </c>
      <c r="E378" s="71">
        <v>0</v>
      </c>
    </row>
    <row r="379" spans="1:5" x14ac:dyDescent="0.2">
      <c r="A379" s="43" t="s">
        <v>82</v>
      </c>
      <c r="B379" s="6" t="s">
        <v>156</v>
      </c>
      <c r="C379" s="71">
        <v>0</v>
      </c>
      <c r="D379" s="71">
        <v>0</v>
      </c>
      <c r="E379" s="71">
        <v>1</v>
      </c>
    </row>
    <row r="380" spans="1:5" x14ac:dyDescent="0.2">
      <c r="A380" s="43" t="s">
        <v>82</v>
      </c>
      <c r="B380" s="6" t="s">
        <v>157</v>
      </c>
      <c r="C380" s="71">
        <v>0</v>
      </c>
      <c r="D380" s="71">
        <v>0</v>
      </c>
      <c r="E380" s="71">
        <v>0</v>
      </c>
    </row>
    <row r="381" spans="1:5" x14ac:dyDescent="0.2">
      <c r="A381" s="43" t="s">
        <v>82</v>
      </c>
      <c r="B381" s="6" t="s">
        <v>158</v>
      </c>
      <c r="C381" s="71">
        <v>0</v>
      </c>
      <c r="D381" s="71">
        <v>0</v>
      </c>
      <c r="E381" s="71">
        <v>0</v>
      </c>
    </row>
    <row r="382" spans="1:5" x14ac:dyDescent="0.2">
      <c r="A382" s="43" t="s">
        <v>82</v>
      </c>
      <c r="B382" s="6" t="s">
        <v>159</v>
      </c>
      <c r="C382" s="71">
        <v>0</v>
      </c>
      <c r="D382" s="71">
        <v>0</v>
      </c>
      <c r="E382" s="71">
        <v>0</v>
      </c>
    </row>
    <row r="383" spans="1:5" x14ac:dyDescent="0.2">
      <c r="A383" s="43" t="s">
        <v>82</v>
      </c>
      <c r="B383" s="6" t="s">
        <v>160</v>
      </c>
      <c r="C383" s="71">
        <v>0</v>
      </c>
      <c r="D383" s="71">
        <v>0</v>
      </c>
      <c r="E383" s="71">
        <v>0</v>
      </c>
    </row>
    <row r="384" spans="1:5" x14ac:dyDescent="0.2">
      <c r="A384" s="43" t="s">
        <v>82</v>
      </c>
      <c r="B384" s="6" t="s">
        <v>161</v>
      </c>
      <c r="C384" s="71">
        <v>0</v>
      </c>
      <c r="D384" s="71">
        <v>0</v>
      </c>
      <c r="E384" s="71">
        <v>0</v>
      </c>
    </row>
    <row r="385" spans="1:5" x14ac:dyDescent="0.2">
      <c r="A385" s="43" t="s">
        <v>82</v>
      </c>
      <c r="B385" s="6" t="s">
        <v>162</v>
      </c>
      <c r="C385" s="71">
        <v>0</v>
      </c>
      <c r="D385" s="71">
        <v>0</v>
      </c>
      <c r="E385" s="71">
        <v>0</v>
      </c>
    </row>
    <row r="386" spans="1:5" x14ac:dyDescent="0.2">
      <c r="A386" s="43" t="s">
        <v>64</v>
      </c>
      <c r="B386" s="6" t="s">
        <v>151</v>
      </c>
      <c r="C386" s="71">
        <v>0</v>
      </c>
      <c r="D386" s="71">
        <v>0</v>
      </c>
      <c r="E386" s="71">
        <v>0</v>
      </c>
    </row>
    <row r="387" spans="1:5" x14ac:dyDescent="0.2">
      <c r="A387" s="43" t="s">
        <v>64</v>
      </c>
      <c r="B387" s="6" t="s">
        <v>152</v>
      </c>
      <c r="C387" s="71">
        <v>0</v>
      </c>
      <c r="D387" s="71">
        <v>0</v>
      </c>
      <c r="E387" s="71">
        <v>0</v>
      </c>
    </row>
    <row r="388" spans="1:5" x14ac:dyDescent="0.2">
      <c r="A388" s="43" t="s">
        <v>64</v>
      </c>
      <c r="B388" s="6" t="s">
        <v>153</v>
      </c>
      <c r="C388" s="71">
        <v>0</v>
      </c>
      <c r="D388" s="71">
        <v>0</v>
      </c>
      <c r="E388" s="71">
        <v>0</v>
      </c>
    </row>
    <row r="389" spans="1:5" x14ac:dyDescent="0.2">
      <c r="A389" s="43" t="s">
        <v>64</v>
      </c>
      <c r="B389" s="6" t="s">
        <v>154</v>
      </c>
      <c r="C389" s="71">
        <v>0</v>
      </c>
      <c r="D389" s="71">
        <v>0</v>
      </c>
      <c r="E389" s="71">
        <v>0</v>
      </c>
    </row>
    <row r="390" spans="1:5" x14ac:dyDescent="0.2">
      <c r="A390" s="43" t="s">
        <v>64</v>
      </c>
      <c r="B390" s="6" t="s">
        <v>155</v>
      </c>
      <c r="C390" s="71">
        <v>0</v>
      </c>
      <c r="D390" s="71">
        <v>0</v>
      </c>
      <c r="E390" s="71">
        <v>0</v>
      </c>
    </row>
    <row r="391" spans="1:5" x14ac:dyDescent="0.2">
      <c r="A391" s="43" t="s">
        <v>64</v>
      </c>
      <c r="B391" s="6" t="s">
        <v>156</v>
      </c>
      <c r="C391" s="71">
        <v>0</v>
      </c>
      <c r="D391" s="71">
        <v>0</v>
      </c>
      <c r="E391" s="71">
        <v>0</v>
      </c>
    </row>
    <row r="392" spans="1:5" x14ac:dyDescent="0.2">
      <c r="A392" s="43" t="s">
        <v>64</v>
      </c>
      <c r="B392" s="6" t="s">
        <v>157</v>
      </c>
      <c r="C392" s="71">
        <v>0</v>
      </c>
      <c r="D392" s="71">
        <v>0</v>
      </c>
      <c r="E392" s="71">
        <v>0</v>
      </c>
    </row>
    <row r="393" spans="1:5" x14ac:dyDescent="0.2">
      <c r="A393" s="43" t="s">
        <v>64</v>
      </c>
      <c r="B393" s="6" t="s">
        <v>158</v>
      </c>
      <c r="C393" s="71">
        <v>0</v>
      </c>
      <c r="D393" s="71">
        <v>0</v>
      </c>
      <c r="E393" s="71">
        <v>0</v>
      </c>
    </row>
    <row r="394" spans="1:5" x14ac:dyDescent="0.2">
      <c r="A394" s="43" t="s">
        <v>64</v>
      </c>
      <c r="B394" s="6" t="s">
        <v>159</v>
      </c>
      <c r="C394" s="71">
        <v>0</v>
      </c>
      <c r="D394" s="71">
        <v>0</v>
      </c>
      <c r="E394" s="71">
        <v>0</v>
      </c>
    </row>
    <row r="395" spans="1:5" x14ac:dyDescent="0.2">
      <c r="A395" s="43" t="s">
        <v>64</v>
      </c>
      <c r="B395" s="6" t="s">
        <v>160</v>
      </c>
      <c r="C395" s="71">
        <v>0</v>
      </c>
      <c r="D395" s="71">
        <v>0</v>
      </c>
      <c r="E395" s="71">
        <v>0</v>
      </c>
    </row>
    <row r="396" spans="1:5" x14ac:dyDescent="0.2">
      <c r="A396" s="43" t="s">
        <v>64</v>
      </c>
      <c r="B396" s="6" t="s">
        <v>161</v>
      </c>
      <c r="C396" s="71">
        <v>0</v>
      </c>
      <c r="D396" s="71">
        <v>0</v>
      </c>
      <c r="E396" s="71">
        <v>0</v>
      </c>
    </row>
    <row r="397" spans="1:5" x14ac:dyDescent="0.2">
      <c r="A397" s="43" t="s">
        <v>64</v>
      </c>
      <c r="B397" s="6" t="s">
        <v>162</v>
      </c>
      <c r="C397" s="71">
        <v>0</v>
      </c>
      <c r="D397" s="71">
        <v>0</v>
      </c>
      <c r="E397" s="71">
        <v>0</v>
      </c>
    </row>
    <row r="398" spans="1:5" x14ac:dyDescent="0.2">
      <c r="A398" s="43" t="s">
        <v>135</v>
      </c>
      <c r="B398" s="6" t="s">
        <v>151</v>
      </c>
      <c r="C398" s="71">
        <v>0</v>
      </c>
      <c r="D398" s="71">
        <v>0</v>
      </c>
      <c r="E398" s="71">
        <v>0</v>
      </c>
    </row>
    <row r="399" spans="1:5" x14ac:dyDescent="0.2">
      <c r="A399" s="43" t="s">
        <v>135</v>
      </c>
      <c r="B399" s="6" t="s">
        <v>152</v>
      </c>
      <c r="C399" s="71">
        <v>0</v>
      </c>
      <c r="D399" s="71">
        <v>0</v>
      </c>
      <c r="E399" s="71">
        <v>0</v>
      </c>
    </row>
    <row r="400" spans="1:5" x14ac:dyDescent="0.2">
      <c r="A400" s="43" t="s">
        <v>135</v>
      </c>
      <c r="B400" s="6" t="s">
        <v>153</v>
      </c>
      <c r="C400" s="71">
        <v>0</v>
      </c>
      <c r="D400" s="71">
        <v>0</v>
      </c>
      <c r="E400" s="71">
        <v>0</v>
      </c>
    </row>
    <row r="401" spans="1:5" x14ac:dyDescent="0.2">
      <c r="A401" s="43" t="s">
        <v>135</v>
      </c>
      <c r="B401" s="6" t="s">
        <v>154</v>
      </c>
      <c r="C401" s="71">
        <v>0</v>
      </c>
      <c r="D401" s="71">
        <v>0</v>
      </c>
      <c r="E401" s="71">
        <v>0</v>
      </c>
    </row>
    <row r="402" spans="1:5" x14ac:dyDescent="0.2">
      <c r="A402" s="43" t="s">
        <v>135</v>
      </c>
      <c r="B402" s="6" t="s">
        <v>155</v>
      </c>
      <c r="C402" s="71">
        <v>0</v>
      </c>
      <c r="D402" s="71">
        <v>0</v>
      </c>
      <c r="E402" s="71">
        <v>0</v>
      </c>
    </row>
    <row r="403" spans="1:5" x14ac:dyDescent="0.2">
      <c r="A403" s="43" t="s">
        <v>135</v>
      </c>
      <c r="B403" s="6" t="s">
        <v>156</v>
      </c>
      <c r="C403" s="71">
        <v>0</v>
      </c>
      <c r="D403" s="71">
        <v>0</v>
      </c>
      <c r="E403" s="71">
        <v>0</v>
      </c>
    </row>
    <row r="404" spans="1:5" x14ac:dyDescent="0.2">
      <c r="A404" s="43" t="s">
        <v>135</v>
      </c>
      <c r="B404" s="6" t="s">
        <v>157</v>
      </c>
      <c r="C404" s="71">
        <v>0</v>
      </c>
      <c r="D404" s="71">
        <v>0</v>
      </c>
      <c r="E404" s="71">
        <v>0</v>
      </c>
    </row>
    <row r="405" spans="1:5" x14ac:dyDescent="0.2">
      <c r="A405" s="43" t="s">
        <v>135</v>
      </c>
      <c r="B405" s="6" t="s">
        <v>158</v>
      </c>
      <c r="C405" s="71">
        <v>0</v>
      </c>
      <c r="D405" s="71">
        <v>0</v>
      </c>
      <c r="E405" s="71">
        <v>0</v>
      </c>
    </row>
    <row r="406" spans="1:5" x14ac:dyDescent="0.2">
      <c r="A406" s="43" t="s">
        <v>135</v>
      </c>
      <c r="B406" s="6" t="s">
        <v>159</v>
      </c>
      <c r="C406" s="71">
        <v>0</v>
      </c>
      <c r="D406" s="71">
        <v>0</v>
      </c>
      <c r="E406" s="71">
        <v>0</v>
      </c>
    </row>
    <row r="407" spans="1:5" x14ac:dyDescent="0.2">
      <c r="A407" s="43" t="s">
        <v>135</v>
      </c>
      <c r="B407" s="6" t="s">
        <v>160</v>
      </c>
      <c r="C407" s="71">
        <v>0</v>
      </c>
      <c r="D407" s="71">
        <v>0</v>
      </c>
      <c r="E407" s="71">
        <v>0</v>
      </c>
    </row>
    <row r="408" spans="1:5" x14ac:dyDescent="0.2">
      <c r="A408" s="43" t="s">
        <v>135</v>
      </c>
      <c r="B408" s="6" t="s">
        <v>161</v>
      </c>
      <c r="C408" s="71">
        <v>0</v>
      </c>
      <c r="D408" s="71">
        <v>0</v>
      </c>
      <c r="E408" s="71">
        <v>0</v>
      </c>
    </row>
    <row r="409" spans="1:5" x14ac:dyDescent="0.2">
      <c r="A409" s="43" t="s">
        <v>135</v>
      </c>
      <c r="B409" s="6" t="s">
        <v>162</v>
      </c>
      <c r="C409" s="71">
        <v>0</v>
      </c>
      <c r="D409" s="71">
        <v>0</v>
      </c>
      <c r="E409" s="71">
        <v>0</v>
      </c>
    </row>
    <row r="410" spans="1:5" x14ac:dyDescent="0.2">
      <c r="A410" s="43" t="s">
        <v>103</v>
      </c>
      <c r="B410" s="6" t="s">
        <v>151</v>
      </c>
      <c r="C410" s="71">
        <v>0</v>
      </c>
      <c r="D410" s="71">
        <v>0</v>
      </c>
      <c r="E410" s="71">
        <v>0</v>
      </c>
    </row>
    <row r="411" spans="1:5" x14ac:dyDescent="0.2">
      <c r="A411" s="43" t="s">
        <v>103</v>
      </c>
      <c r="B411" s="6" t="s">
        <v>152</v>
      </c>
      <c r="C411" s="71">
        <v>0</v>
      </c>
      <c r="D411" s="71">
        <v>0</v>
      </c>
      <c r="E411" s="71">
        <v>0</v>
      </c>
    </row>
    <row r="412" spans="1:5" x14ac:dyDescent="0.2">
      <c r="A412" s="43" t="s">
        <v>103</v>
      </c>
      <c r="B412" s="6" t="s">
        <v>153</v>
      </c>
      <c r="C412" s="71">
        <v>0</v>
      </c>
      <c r="D412" s="71">
        <v>0</v>
      </c>
      <c r="E412" s="71">
        <v>1</v>
      </c>
    </row>
    <row r="413" spans="1:5" x14ac:dyDescent="0.2">
      <c r="A413" s="43" t="s">
        <v>103</v>
      </c>
      <c r="B413" s="6" t="s">
        <v>154</v>
      </c>
      <c r="C413" s="71">
        <v>0</v>
      </c>
      <c r="D413" s="71">
        <v>0</v>
      </c>
      <c r="E413" s="71">
        <v>0</v>
      </c>
    </row>
    <row r="414" spans="1:5" x14ac:dyDescent="0.2">
      <c r="A414" s="43" t="s">
        <v>103</v>
      </c>
      <c r="B414" s="6" t="s">
        <v>155</v>
      </c>
      <c r="C414" s="71">
        <v>0</v>
      </c>
      <c r="D414" s="71">
        <v>0</v>
      </c>
      <c r="E414" s="71">
        <v>0</v>
      </c>
    </row>
    <row r="415" spans="1:5" x14ac:dyDescent="0.2">
      <c r="A415" s="43" t="s">
        <v>103</v>
      </c>
      <c r="B415" s="6" t="s">
        <v>156</v>
      </c>
      <c r="C415" s="71">
        <v>0</v>
      </c>
      <c r="D415" s="71">
        <v>0</v>
      </c>
      <c r="E415" s="71">
        <v>0</v>
      </c>
    </row>
    <row r="416" spans="1:5" x14ac:dyDescent="0.2">
      <c r="A416" s="43" t="s">
        <v>103</v>
      </c>
      <c r="B416" s="6" t="s">
        <v>157</v>
      </c>
      <c r="C416" s="71">
        <v>0</v>
      </c>
      <c r="D416" s="71">
        <v>0</v>
      </c>
      <c r="E416" s="71">
        <v>0</v>
      </c>
    </row>
    <row r="417" spans="1:5" x14ac:dyDescent="0.2">
      <c r="A417" s="43" t="s">
        <v>103</v>
      </c>
      <c r="B417" s="6" t="s">
        <v>158</v>
      </c>
      <c r="C417" s="71">
        <v>0</v>
      </c>
      <c r="D417" s="71">
        <v>0</v>
      </c>
      <c r="E417" s="71">
        <v>0</v>
      </c>
    </row>
    <row r="418" spans="1:5" x14ac:dyDescent="0.2">
      <c r="A418" s="43" t="s">
        <v>103</v>
      </c>
      <c r="B418" s="6" t="s">
        <v>159</v>
      </c>
      <c r="C418" s="71">
        <v>0</v>
      </c>
      <c r="D418" s="71">
        <v>0</v>
      </c>
      <c r="E418" s="71">
        <v>0</v>
      </c>
    </row>
    <row r="419" spans="1:5" x14ac:dyDescent="0.2">
      <c r="A419" s="43" t="s">
        <v>103</v>
      </c>
      <c r="B419" s="6" t="s">
        <v>160</v>
      </c>
      <c r="C419" s="71">
        <v>0</v>
      </c>
      <c r="D419" s="71">
        <v>0</v>
      </c>
      <c r="E419" s="71">
        <v>0</v>
      </c>
    </row>
    <row r="420" spans="1:5" x14ac:dyDescent="0.2">
      <c r="A420" s="43" t="s">
        <v>103</v>
      </c>
      <c r="B420" s="6" t="s">
        <v>161</v>
      </c>
      <c r="C420" s="71">
        <v>0</v>
      </c>
      <c r="D420" s="71">
        <v>0</v>
      </c>
      <c r="E420" s="71">
        <v>0</v>
      </c>
    </row>
    <row r="421" spans="1:5" x14ac:dyDescent="0.2">
      <c r="A421" s="43" t="s">
        <v>103</v>
      </c>
      <c r="B421" s="6" t="s">
        <v>162</v>
      </c>
      <c r="C421" s="71">
        <v>0</v>
      </c>
      <c r="D421" s="71">
        <v>0</v>
      </c>
      <c r="E421" s="71">
        <v>0</v>
      </c>
    </row>
    <row r="422" spans="1:5" x14ac:dyDescent="0.2">
      <c r="A422" s="43" t="s">
        <v>85</v>
      </c>
      <c r="B422" s="6" t="s">
        <v>151</v>
      </c>
      <c r="C422" s="71">
        <v>0</v>
      </c>
      <c r="D422" s="71">
        <v>0</v>
      </c>
      <c r="E422" s="71">
        <v>0</v>
      </c>
    </row>
    <row r="423" spans="1:5" x14ac:dyDescent="0.2">
      <c r="A423" s="43" t="s">
        <v>85</v>
      </c>
      <c r="B423" s="6" t="s">
        <v>152</v>
      </c>
      <c r="C423" s="71">
        <v>0</v>
      </c>
      <c r="D423" s="71">
        <v>0</v>
      </c>
      <c r="E423" s="71">
        <v>0</v>
      </c>
    </row>
    <row r="424" spans="1:5" x14ac:dyDescent="0.2">
      <c r="A424" s="43" t="s">
        <v>85</v>
      </c>
      <c r="B424" s="6" t="s">
        <v>153</v>
      </c>
      <c r="C424" s="71">
        <v>0</v>
      </c>
      <c r="D424" s="71">
        <v>0</v>
      </c>
      <c r="E424" s="71">
        <v>0</v>
      </c>
    </row>
    <row r="425" spans="1:5" x14ac:dyDescent="0.2">
      <c r="A425" s="43" t="s">
        <v>85</v>
      </c>
      <c r="B425" s="6" t="s">
        <v>154</v>
      </c>
      <c r="C425" s="71">
        <v>0</v>
      </c>
      <c r="D425" s="71">
        <v>0</v>
      </c>
      <c r="E425" s="71">
        <v>0</v>
      </c>
    </row>
    <row r="426" spans="1:5" x14ac:dyDescent="0.2">
      <c r="A426" s="43" t="s">
        <v>85</v>
      </c>
      <c r="B426" s="6" t="s">
        <v>155</v>
      </c>
      <c r="C426" s="71">
        <v>0</v>
      </c>
      <c r="D426" s="71">
        <v>0</v>
      </c>
      <c r="E426" s="71">
        <v>0</v>
      </c>
    </row>
    <row r="427" spans="1:5" x14ac:dyDescent="0.2">
      <c r="A427" s="43" t="s">
        <v>85</v>
      </c>
      <c r="B427" s="6" t="s">
        <v>156</v>
      </c>
      <c r="C427" s="71">
        <v>0</v>
      </c>
      <c r="D427" s="71">
        <v>0</v>
      </c>
      <c r="E427" s="71">
        <v>0</v>
      </c>
    </row>
    <row r="428" spans="1:5" x14ac:dyDescent="0.2">
      <c r="A428" s="43" t="s">
        <v>85</v>
      </c>
      <c r="B428" s="6" t="s">
        <v>157</v>
      </c>
      <c r="C428" s="71">
        <v>0</v>
      </c>
      <c r="D428" s="71">
        <v>0</v>
      </c>
      <c r="E428" s="71">
        <v>0</v>
      </c>
    </row>
    <row r="429" spans="1:5" x14ac:dyDescent="0.2">
      <c r="A429" s="43" t="s">
        <v>85</v>
      </c>
      <c r="B429" s="6" t="s">
        <v>158</v>
      </c>
      <c r="C429" s="71">
        <v>0</v>
      </c>
      <c r="D429" s="71">
        <v>0</v>
      </c>
      <c r="E429" s="71">
        <v>0</v>
      </c>
    </row>
    <row r="430" spans="1:5" x14ac:dyDescent="0.2">
      <c r="A430" s="43" t="s">
        <v>85</v>
      </c>
      <c r="B430" s="6" t="s">
        <v>159</v>
      </c>
      <c r="C430" s="71">
        <v>0</v>
      </c>
      <c r="D430" s="71">
        <v>0</v>
      </c>
      <c r="E430" s="71">
        <v>0</v>
      </c>
    </row>
    <row r="431" spans="1:5" x14ac:dyDescent="0.2">
      <c r="A431" s="43" t="s">
        <v>85</v>
      </c>
      <c r="B431" s="6" t="s">
        <v>160</v>
      </c>
      <c r="C431" s="71">
        <v>0</v>
      </c>
      <c r="D431" s="71">
        <v>0</v>
      </c>
      <c r="E431" s="71">
        <v>0</v>
      </c>
    </row>
    <row r="432" spans="1:5" x14ac:dyDescent="0.2">
      <c r="A432" s="43" t="s">
        <v>85</v>
      </c>
      <c r="B432" s="6" t="s">
        <v>161</v>
      </c>
      <c r="C432" s="71">
        <v>0</v>
      </c>
      <c r="D432" s="71">
        <v>0</v>
      </c>
      <c r="E432" s="71">
        <v>0</v>
      </c>
    </row>
    <row r="433" spans="1:5" x14ac:dyDescent="0.2">
      <c r="A433" s="43" t="s">
        <v>85</v>
      </c>
      <c r="B433" s="6" t="s">
        <v>162</v>
      </c>
      <c r="C433" s="71">
        <v>0</v>
      </c>
      <c r="D433" s="71">
        <v>0</v>
      </c>
      <c r="E433" s="71">
        <v>0</v>
      </c>
    </row>
    <row r="434" spans="1:5" x14ac:dyDescent="0.2">
      <c r="A434" s="43" t="s">
        <v>121</v>
      </c>
      <c r="B434" s="6" t="s">
        <v>151</v>
      </c>
      <c r="C434" s="71">
        <v>0</v>
      </c>
      <c r="D434" s="71">
        <v>0</v>
      </c>
      <c r="E434" s="71">
        <v>1</v>
      </c>
    </row>
    <row r="435" spans="1:5" x14ac:dyDescent="0.2">
      <c r="A435" s="43" t="s">
        <v>121</v>
      </c>
      <c r="B435" s="6" t="s">
        <v>152</v>
      </c>
      <c r="C435" s="71">
        <v>0</v>
      </c>
      <c r="D435" s="71">
        <v>0</v>
      </c>
      <c r="E435" s="71">
        <v>0</v>
      </c>
    </row>
    <row r="436" spans="1:5" x14ac:dyDescent="0.2">
      <c r="A436" s="43" t="s">
        <v>121</v>
      </c>
      <c r="B436" s="6" t="s">
        <v>153</v>
      </c>
      <c r="C436" s="71">
        <v>0</v>
      </c>
      <c r="D436" s="71">
        <v>0</v>
      </c>
      <c r="E436" s="71">
        <v>0</v>
      </c>
    </row>
    <row r="437" spans="1:5" x14ac:dyDescent="0.2">
      <c r="A437" s="43" t="s">
        <v>121</v>
      </c>
      <c r="B437" s="6" t="s">
        <v>154</v>
      </c>
      <c r="C437" s="71">
        <v>0</v>
      </c>
      <c r="D437" s="71">
        <v>0</v>
      </c>
      <c r="E437" s="71">
        <v>0</v>
      </c>
    </row>
    <row r="438" spans="1:5" x14ac:dyDescent="0.2">
      <c r="A438" s="43" t="s">
        <v>121</v>
      </c>
      <c r="B438" s="6" t="s">
        <v>155</v>
      </c>
      <c r="C438" s="71">
        <v>0</v>
      </c>
      <c r="D438" s="71">
        <v>0</v>
      </c>
      <c r="E438" s="71">
        <v>0</v>
      </c>
    </row>
    <row r="439" spans="1:5" x14ac:dyDescent="0.2">
      <c r="A439" s="43" t="s">
        <v>121</v>
      </c>
      <c r="B439" s="6" t="s">
        <v>156</v>
      </c>
      <c r="C439" s="71">
        <v>0</v>
      </c>
      <c r="D439" s="71">
        <v>0</v>
      </c>
      <c r="E439" s="71">
        <v>1</v>
      </c>
    </row>
    <row r="440" spans="1:5" x14ac:dyDescent="0.2">
      <c r="A440" s="43" t="s">
        <v>121</v>
      </c>
      <c r="B440" s="6" t="s">
        <v>157</v>
      </c>
      <c r="C440" s="71">
        <v>0</v>
      </c>
      <c r="D440" s="71">
        <v>0</v>
      </c>
      <c r="E440" s="71">
        <v>0</v>
      </c>
    </row>
    <row r="441" spans="1:5" x14ac:dyDescent="0.2">
      <c r="A441" s="43" t="s">
        <v>121</v>
      </c>
      <c r="B441" s="6" t="s">
        <v>158</v>
      </c>
      <c r="C441" s="71">
        <v>0</v>
      </c>
      <c r="D441" s="71">
        <v>0</v>
      </c>
      <c r="E441" s="71">
        <v>2</v>
      </c>
    </row>
    <row r="442" spans="1:5" x14ac:dyDescent="0.2">
      <c r="A442" s="43" t="s">
        <v>121</v>
      </c>
      <c r="B442" s="6" t="s">
        <v>159</v>
      </c>
      <c r="C442" s="71">
        <v>0</v>
      </c>
      <c r="D442" s="71">
        <v>0</v>
      </c>
      <c r="E442" s="71">
        <v>1</v>
      </c>
    </row>
    <row r="443" spans="1:5" x14ac:dyDescent="0.2">
      <c r="A443" s="43" t="s">
        <v>121</v>
      </c>
      <c r="B443" s="6" t="s">
        <v>160</v>
      </c>
      <c r="C443" s="71">
        <v>0</v>
      </c>
      <c r="D443" s="71">
        <v>0</v>
      </c>
      <c r="E443" s="71">
        <v>0</v>
      </c>
    </row>
    <row r="444" spans="1:5" x14ac:dyDescent="0.2">
      <c r="A444" s="43" t="s">
        <v>121</v>
      </c>
      <c r="B444" s="6" t="s">
        <v>161</v>
      </c>
      <c r="C444" s="71">
        <v>0</v>
      </c>
      <c r="D444" s="71">
        <v>0</v>
      </c>
      <c r="E444" s="71">
        <v>0</v>
      </c>
    </row>
    <row r="445" spans="1:5" x14ac:dyDescent="0.2">
      <c r="A445" s="43" t="s">
        <v>121</v>
      </c>
      <c r="B445" s="6" t="s">
        <v>162</v>
      </c>
      <c r="C445" s="71">
        <v>0</v>
      </c>
      <c r="D445" s="71">
        <v>0</v>
      </c>
      <c r="E445" s="71">
        <v>0</v>
      </c>
    </row>
    <row r="446" spans="1:5" x14ac:dyDescent="0.2">
      <c r="A446" s="43" t="s">
        <v>314</v>
      </c>
      <c r="B446" s="6" t="s">
        <v>151</v>
      </c>
      <c r="C446" s="71">
        <v>0</v>
      </c>
      <c r="D446" s="71">
        <v>0</v>
      </c>
      <c r="E446" s="71">
        <v>0</v>
      </c>
    </row>
    <row r="447" spans="1:5" x14ac:dyDescent="0.2">
      <c r="A447" s="43" t="s">
        <v>314</v>
      </c>
      <c r="B447" s="6" t="s">
        <v>152</v>
      </c>
      <c r="C447" s="71">
        <v>0</v>
      </c>
      <c r="D447" s="71">
        <v>0</v>
      </c>
      <c r="E447" s="71">
        <v>0</v>
      </c>
    </row>
    <row r="448" spans="1:5" x14ac:dyDescent="0.2">
      <c r="A448" s="43" t="s">
        <v>314</v>
      </c>
      <c r="B448" s="6" t="s">
        <v>153</v>
      </c>
      <c r="C448" s="71">
        <v>0</v>
      </c>
      <c r="D448" s="71">
        <v>0</v>
      </c>
      <c r="E448" s="71">
        <v>0</v>
      </c>
    </row>
    <row r="449" spans="1:5" x14ac:dyDescent="0.2">
      <c r="A449" s="43" t="s">
        <v>314</v>
      </c>
      <c r="B449" s="6" t="s">
        <v>154</v>
      </c>
      <c r="C449" s="71">
        <v>0</v>
      </c>
      <c r="D449" s="71">
        <v>0</v>
      </c>
      <c r="E449" s="71">
        <v>0</v>
      </c>
    </row>
    <row r="450" spans="1:5" x14ac:dyDescent="0.2">
      <c r="A450" s="43" t="s">
        <v>314</v>
      </c>
      <c r="B450" s="6" t="s">
        <v>155</v>
      </c>
      <c r="C450" s="71">
        <v>0</v>
      </c>
      <c r="D450" s="71">
        <v>0</v>
      </c>
      <c r="E450" s="71">
        <v>0</v>
      </c>
    </row>
    <row r="451" spans="1:5" x14ac:dyDescent="0.2">
      <c r="A451" s="43" t="s">
        <v>314</v>
      </c>
      <c r="B451" s="6" t="s">
        <v>156</v>
      </c>
      <c r="C451" s="71">
        <v>0</v>
      </c>
      <c r="D451" s="71">
        <v>0</v>
      </c>
      <c r="E451" s="71">
        <v>0</v>
      </c>
    </row>
    <row r="452" spans="1:5" x14ac:dyDescent="0.2">
      <c r="A452" s="43" t="s">
        <v>314</v>
      </c>
      <c r="B452" s="6" t="s">
        <v>157</v>
      </c>
      <c r="C452" s="71">
        <v>0</v>
      </c>
      <c r="D452" s="71">
        <v>0</v>
      </c>
      <c r="E452" s="71">
        <v>0</v>
      </c>
    </row>
    <row r="453" spans="1:5" x14ac:dyDescent="0.2">
      <c r="A453" s="43" t="s">
        <v>314</v>
      </c>
      <c r="B453" s="6" t="s">
        <v>158</v>
      </c>
      <c r="C453" s="71">
        <v>0</v>
      </c>
      <c r="D453" s="71">
        <v>0</v>
      </c>
      <c r="E453" s="71">
        <v>0</v>
      </c>
    </row>
    <row r="454" spans="1:5" x14ac:dyDescent="0.2">
      <c r="A454" s="43" t="s">
        <v>314</v>
      </c>
      <c r="B454" s="6" t="s">
        <v>159</v>
      </c>
      <c r="C454" s="71">
        <v>0</v>
      </c>
      <c r="D454" s="71">
        <v>0</v>
      </c>
      <c r="E454" s="71">
        <v>0</v>
      </c>
    </row>
    <row r="455" spans="1:5" x14ac:dyDescent="0.2">
      <c r="A455" s="43" t="s">
        <v>314</v>
      </c>
      <c r="B455" s="6" t="s">
        <v>160</v>
      </c>
      <c r="C455" s="71">
        <v>0</v>
      </c>
      <c r="D455" s="71">
        <v>0</v>
      </c>
      <c r="E455" s="71">
        <v>0</v>
      </c>
    </row>
    <row r="456" spans="1:5" x14ac:dyDescent="0.2">
      <c r="A456" s="43" t="s">
        <v>314</v>
      </c>
      <c r="B456" s="6" t="s">
        <v>161</v>
      </c>
      <c r="C456" s="71">
        <v>0</v>
      </c>
      <c r="D456" s="71">
        <v>0</v>
      </c>
      <c r="E456" s="71">
        <v>0</v>
      </c>
    </row>
    <row r="457" spans="1:5" x14ac:dyDescent="0.2">
      <c r="A457" s="43" t="s">
        <v>314</v>
      </c>
      <c r="B457" s="6" t="s">
        <v>162</v>
      </c>
      <c r="C457" s="71">
        <v>0</v>
      </c>
      <c r="D457" s="71">
        <v>0</v>
      </c>
      <c r="E457" s="71">
        <v>0</v>
      </c>
    </row>
    <row r="458" spans="1:5" x14ac:dyDescent="0.2">
      <c r="A458" s="43" t="s">
        <v>315</v>
      </c>
      <c r="B458" s="6" t="s">
        <v>151</v>
      </c>
      <c r="C458" s="71">
        <v>0</v>
      </c>
      <c r="D458" s="71">
        <v>0</v>
      </c>
      <c r="E458" s="71">
        <v>0</v>
      </c>
    </row>
    <row r="459" spans="1:5" x14ac:dyDescent="0.2">
      <c r="A459" s="43" t="s">
        <v>315</v>
      </c>
      <c r="B459" s="6" t="s">
        <v>152</v>
      </c>
      <c r="C459" s="71">
        <v>0</v>
      </c>
      <c r="D459" s="71">
        <v>0</v>
      </c>
      <c r="E459" s="71">
        <v>0</v>
      </c>
    </row>
    <row r="460" spans="1:5" x14ac:dyDescent="0.2">
      <c r="A460" s="43" t="s">
        <v>315</v>
      </c>
      <c r="B460" s="6" t="s">
        <v>153</v>
      </c>
      <c r="C460" s="71">
        <v>0</v>
      </c>
      <c r="D460" s="71">
        <v>0</v>
      </c>
      <c r="E460" s="71">
        <v>0</v>
      </c>
    </row>
    <row r="461" spans="1:5" x14ac:dyDescent="0.2">
      <c r="A461" s="43" t="s">
        <v>315</v>
      </c>
      <c r="B461" s="6" t="s">
        <v>154</v>
      </c>
      <c r="C461" s="71">
        <v>0</v>
      </c>
      <c r="D461" s="71">
        <v>0</v>
      </c>
      <c r="E461" s="71">
        <v>0</v>
      </c>
    </row>
    <row r="462" spans="1:5" x14ac:dyDescent="0.2">
      <c r="A462" s="43" t="s">
        <v>315</v>
      </c>
      <c r="B462" s="6" t="s">
        <v>155</v>
      </c>
      <c r="C462" s="71">
        <v>0</v>
      </c>
      <c r="D462" s="71">
        <v>0</v>
      </c>
      <c r="E462" s="71">
        <v>0</v>
      </c>
    </row>
    <row r="463" spans="1:5" x14ac:dyDescent="0.2">
      <c r="A463" s="43" t="s">
        <v>315</v>
      </c>
      <c r="B463" s="6" t="s">
        <v>156</v>
      </c>
      <c r="C463" s="71">
        <v>0</v>
      </c>
      <c r="D463" s="71">
        <v>0</v>
      </c>
      <c r="E463" s="71">
        <v>0</v>
      </c>
    </row>
    <row r="464" spans="1:5" x14ac:dyDescent="0.2">
      <c r="A464" s="43" t="s">
        <v>315</v>
      </c>
      <c r="B464" s="6" t="s">
        <v>157</v>
      </c>
      <c r="C464" s="71">
        <v>0</v>
      </c>
      <c r="D464" s="71">
        <v>0</v>
      </c>
      <c r="E464" s="71">
        <v>0</v>
      </c>
    </row>
    <row r="465" spans="1:5" x14ac:dyDescent="0.2">
      <c r="A465" s="43" t="s">
        <v>315</v>
      </c>
      <c r="B465" s="6" t="s">
        <v>158</v>
      </c>
      <c r="C465" s="71">
        <v>0</v>
      </c>
      <c r="D465" s="71">
        <v>0</v>
      </c>
      <c r="E465" s="71">
        <v>0</v>
      </c>
    </row>
    <row r="466" spans="1:5" x14ac:dyDescent="0.2">
      <c r="A466" s="43" t="s">
        <v>315</v>
      </c>
      <c r="B466" s="6" t="s">
        <v>159</v>
      </c>
      <c r="C466" s="71">
        <v>0</v>
      </c>
      <c r="D466" s="71">
        <v>0</v>
      </c>
      <c r="E466" s="71">
        <v>0</v>
      </c>
    </row>
    <row r="467" spans="1:5" x14ac:dyDescent="0.2">
      <c r="A467" s="43" t="s">
        <v>315</v>
      </c>
      <c r="B467" s="6" t="s">
        <v>160</v>
      </c>
      <c r="C467" s="71">
        <v>0</v>
      </c>
      <c r="D467" s="71">
        <v>0</v>
      </c>
      <c r="E467" s="71">
        <v>0</v>
      </c>
    </row>
    <row r="468" spans="1:5" x14ac:dyDescent="0.2">
      <c r="A468" s="43" t="s">
        <v>315</v>
      </c>
      <c r="B468" s="6" t="s">
        <v>161</v>
      </c>
      <c r="C468" s="71">
        <v>0</v>
      </c>
      <c r="D468" s="71">
        <v>0</v>
      </c>
      <c r="E468" s="71">
        <v>0</v>
      </c>
    </row>
    <row r="469" spans="1:5" x14ac:dyDescent="0.2">
      <c r="A469" s="43" t="s">
        <v>315</v>
      </c>
      <c r="B469" s="6" t="s">
        <v>162</v>
      </c>
      <c r="C469" s="71">
        <v>0</v>
      </c>
      <c r="D469" s="71">
        <v>0</v>
      </c>
      <c r="E469" s="71">
        <v>0</v>
      </c>
    </row>
    <row r="470" spans="1:5" x14ac:dyDescent="0.2">
      <c r="A470" s="43" t="s">
        <v>116</v>
      </c>
      <c r="B470" s="6" t="s">
        <v>151</v>
      </c>
      <c r="C470" s="71">
        <v>0</v>
      </c>
      <c r="D470" s="71">
        <v>0</v>
      </c>
      <c r="E470" s="71">
        <v>1</v>
      </c>
    </row>
    <row r="471" spans="1:5" x14ac:dyDescent="0.2">
      <c r="A471" s="43" t="s">
        <v>116</v>
      </c>
      <c r="B471" s="6" t="s">
        <v>152</v>
      </c>
      <c r="C471" s="71">
        <v>0</v>
      </c>
      <c r="D471" s="71">
        <v>0</v>
      </c>
      <c r="E471" s="71">
        <v>0</v>
      </c>
    </row>
    <row r="472" spans="1:5" x14ac:dyDescent="0.2">
      <c r="A472" s="43" t="s">
        <v>116</v>
      </c>
      <c r="B472" s="6" t="s">
        <v>153</v>
      </c>
      <c r="C472" s="71">
        <v>0</v>
      </c>
      <c r="D472" s="71">
        <v>0</v>
      </c>
      <c r="E472" s="71">
        <v>0</v>
      </c>
    </row>
    <row r="473" spans="1:5" x14ac:dyDescent="0.2">
      <c r="A473" s="43" t="s">
        <v>116</v>
      </c>
      <c r="B473" s="6" t="s">
        <v>154</v>
      </c>
      <c r="C473" s="71">
        <v>0</v>
      </c>
      <c r="D473" s="71">
        <v>0</v>
      </c>
      <c r="E473" s="71">
        <v>0</v>
      </c>
    </row>
    <row r="474" spans="1:5" x14ac:dyDescent="0.2">
      <c r="A474" s="43" t="s">
        <v>116</v>
      </c>
      <c r="B474" s="6" t="s">
        <v>155</v>
      </c>
      <c r="C474" s="71">
        <v>0</v>
      </c>
      <c r="D474" s="71">
        <v>0</v>
      </c>
      <c r="E474" s="71">
        <v>1</v>
      </c>
    </row>
    <row r="475" spans="1:5" x14ac:dyDescent="0.2">
      <c r="A475" s="43" t="s">
        <v>116</v>
      </c>
      <c r="B475" s="6" t="s">
        <v>156</v>
      </c>
      <c r="C475" s="71">
        <v>0</v>
      </c>
      <c r="D475" s="71">
        <v>0</v>
      </c>
      <c r="E475" s="71">
        <v>1</v>
      </c>
    </row>
    <row r="476" spans="1:5" x14ac:dyDescent="0.2">
      <c r="A476" s="43" t="s">
        <v>116</v>
      </c>
      <c r="B476" s="6" t="s">
        <v>157</v>
      </c>
      <c r="C476" s="71">
        <v>0</v>
      </c>
      <c r="D476" s="71">
        <v>0</v>
      </c>
      <c r="E476" s="71">
        <v>0</v>
      </c>
    </row>
    <row r="477" spans="1:5" x14ac:dyDescent="0.2">
      <c r="A477" s="43" t="s">
        <v>116</v>
      </c>
      <c r="B477" s="6" t="s">
        <v>158</v>
      </c>
      <c r="C477" s="71">
        <v>0</v>
      </c>
      <c r="D477" s="71">
        <v>0</v>
      </c>
      <c r="E477" s="71">
        <v>0</v>
      </c>
    </row>
    <row r="478" spans="1:5" x14ac:dyDescent="0.2">
      <c r="A478" s="43" t="s">
        <v>116</v>
      </c>
      <c r="B478" s="6" t="s">
        <v>159</v>
      </c>
      <c r="C478" s="71">
        <v>0</v>
      </c>
      <c r="D478" s="71">
        <v>0</v>
      </c>
      <c r="E478" s="71">
        <v>0</v>
      </c>
    </row>
    <row r="479" spans="1:5" x14ac:dyDescent="0.2">
      <c r="A479" s="43" t="s">
        <v>116</v>
      </c>
      <c r="B479" s="6" t="s">
        <v>160</v>
      </c>
      <c r="C479" s="71">
        <v>0</v>
      </c>
      <c r="D479" s="71">
        <v>0</v>
      </c>
      <c r="E479" s="71">
        <v>0</v>
      </c>
    </row>
    <row r="480" spans="1:5" x14ac:dyDescent="0.2">
      <c r="A480" s="43" t="s">
        <v>116</v>
      </c>
      <c r="B480" s="6" t="s">
        <v>161</v>
      </c>
      <c r="C480" s="71">
        <v>0</v>
      </c>
      <c r="D480" s="71">
        <v>0</v>
      </c>
      <c r="E480" s="71">
        <v>0</v>
      </c>
    </row>
    <row r="481" spans="1:5" x14ac:dyDescent="0.2">
      <c r="A481" s="43" t="s">
        <v>116</v>
      </c>
      <c r="B481" s="6" t="s">
        <v>162</v>
      </c>
      <c r="C481" s="71">
        <v>0</v>
      </c>
      <c r="D481" s="71">
        <v>0</v>
      </c>
      <c r="E481" s="71">
        <v>0</v>
      </c>
    </row>
    <row r="482" spans="1:5" x14ac:dyDescent="0.2">
      <c r="A482" s="43" t="s">
        <v>86</v>
      </c>
      <c r="B482" s="6" t="s">
        <v>151</v>
      </c>
      <c r="C482" s="71">
        <v>0</v>
      </c>
      <c r="D482" s="71">
        <v>0</v>
      </c>
      <c r="E482" s="71">
        <v>0</v>
      </c>
    </row>
    <row r="483" spans="1:5" x14ac:dyDescent="0.2">
      <c r="A483" s="43" t="s">
        <v>86</v>
      </c>
      <c r="B483" s="6" t="s">
        <v>152</v>
      </c>
      <c r="C483" s="71">
        <v>0</v>
      </c>
      <c r="D483" s="71">
        <v>0</v>
      </c>
      <c r="E483" s="71">
        <v>0</v>
      </c>
    </row>
    <row r="484" spans="1:5" x14ac:dyDescent="0.2">
      <c r="A484" s="43" t="s">
        <v>86</v>
      </c>
      <c r="B484" s="6" t="s">
        <v>153</v>
      </c>
      <c r="C484" s="71">
        <v>0</v>
      </c>
      <c r="D484" s="71">
        <v>0</v>
      </c>
      <c r="E484" s="71">
        <v>0</v>
      </c>
    </row>
    <row r="485" spans="1:5" x14ac:dyDescent="0.2">
      <c r="A485" s="43" t="s">
        <v>86</v>
      </c>
      <c r="B485" s="6" t="s">
        <v>154</v>
      </c>
      <c r="C485" s="71">
        <v>0</v>
      </c>
      <c r="D485" s="71">
        <v>0</v>
      </c>
      <c r="E485" s="71">
        <v>0</v>
      </c>
    </row>
    <row r="486" spans="1:5" x14ac:dyDescent="0.2">
      <c r="A486" s="43" t="s">
        <v>86</v>
      </c>
      <c r="B486" s="6" t="s">
        <v>155</v>
      </c>
      <c r="C486" s="71">
        <v>0</v>
      </c>
      <c r="D486" s="71">
        <v>0</v>
      </c>
      <c r="E486" s="71">
        <v>0</v>
      </c>
    </row>
    <row r="487" spans="1:5" x14ac:dyDescent="0.2">
      <c r="A487" s="43" t="s">
        <v>86</v>
      </c>
      <c r="B487" s="6" t="s">
        <v>156</v>
      </c>
      <c r="C487" s="71">
        <v>0</v>
      </c>
      <c r="D487" s="71">
        <v>0</v>
      </c>
      <c r="E487" s="71">
        <v>0</v>
      </c>
    </row>
    <row r="488" spans="1:5" x14ac:dyDescent="0.2">
      <c r="A488" s="43" t="s">
        <v>86</v>
      </c>
      <c r="B488" s="6" t="s">
        <v>157</v>
      </c>
      <c r="C488" s="71">
        <v>0</v>
      </c>
      <c r="D488" s="71">
        <v>0</v>
      </c>
      <c r="E488" s="71">
        <v>0</v>
      </c>
    </row>
    <row r="489" spans="1:5" x14ac:dyDescent="0.2">
      <c r="A489" s="43" t="s">
        <v>86</v>
      </c>
      <c r="B489" s="6" t="s">
        <v>158</v>
      </c>
      <c r="C489" s="71">
        <v>0</v>
      </c>
      <c r="D489" s="71">
        <v>0</v>
      </c>
      <c r="E489" s="71">
        <v>0</v>
      </c>
    </row>
    <row r="490" spans="1:5" x14ac:dyDescent="0.2">
      <c r="A490" s="43" t="s">
        <v>86</v>
      </c>
      <c r="B490" s="6" t="s">
        <v>159</v>
      </c>
      <c r="C490" s="71">
        <v>0</v>
      </c>
      <c r="D490" s="71">
        <v>0</v>
      </c>
      <c r="E490" s="71">
        <v>0</v>
      </c>
    </row>
    <row r="491" spans="1:5" x14ac:dyDescent="0.2">
      <c r="A491" s="43" t="s">
        <v>86</v>
      </c>
      <c r="B491" s="6" t="s">
        <v>160</v>
      </c>
      <c r="C491" s="71">
        <v>0</v>
      </c>
      <c r="D491" s="71">
        <v>0</v>
      </c>
      <c r="E491" s="71">
        <v>0</v>
      </c>
    </row>
    <row r="492" spans="1:5" x14ac:dyDescent="0.2">
      <c r="A492" s="43" t="s">
        <v>86</v>
      </c>
      <c r="B492" s="6" t="s">
        <v>161</v>
      </c>
      <c r="C492" s="71">
        <v>0</v>
      </c>
      <c r="D492" s="71">
        <v>0</v>
      </c>
      <c r="E492" s="71">
        <v>0</v>
      </c>
    </row>
    <row r="493" spans="1:5" x14ac:dyDescent="0.2">
      <c r="A493" s="43" t="s">
        <v>86</v>
      </c>
      <c r="B493" s="6" t="s">
        <v>162</v>
      </c>
      <c r="C493" s="71">
        <v>0</v>
      </c>
      <c r="D493" s="71">
        <v>0</v>
      </c>
      <c r="E493" s="71">
        <v>0</v>
      </c>
    </row>
    <row r="494" spans="1:5" x14ac:dyDescent="0.2">
      <c r="A494" s="43" t="s">
        <v>102</v>
      </c>
      <c r="B494" s="6" t="s">
        <v>151</v>
      </c>
      <c r="C494" s="71">
        <v>0</v>
      </c>
      <c r="D494" s="71">
        <v>0</v>
      </c>
      <c r="E494" s="71">
        <v>0</v>
      </c>
    </row>
    <row r="495" spans="1:5" x14ac:dyDescent="0.2">
      <c r="A495" s="43" t="s">
        <v>102</v>
      </c>
      <c r="B495" s="6" t="s">
        <v>152</v>
      </c>
      <c r="C495" s="71">
        <v>0</v>
      </c>
      <c r="D495" s="71">
        <v>0</v>
      </c>
      <c r="E495" s="71">
        <v>0</v>
      </c>
    </row>
    <row r="496" spans="1:5" x14ac:dyDescent="0.2">
      <c r="A496" s="43" t="s">
        <v>102</v>
      </c>
      <c r="B496" s="6" t="s">
        <v>153</v>
      </c>
      <c r="C496" s="71">
        <v>0</v>
      </c>
      <c r="D496" s="71">
        <v>0</v>
      </c>
      <c r="E496" s="71">
        <v>0</v>
      </c>
    </row>
    <row r="497" spans="1:5" x14ac:dyDescent="0.2">
      <c r="A497" s="43" t="s">
        <v>102</v>
      </c>
      <c r="B497" s="6" t="s">
        <v>154</v>
      </c>
      <c r="C497" s="71">
        <v>0</v>
      </c>
      <c r="D497" s="71">
        <v>0</v>
      </c>
      <c r="E497" s="71">
        <v>0</v>
      </c>
    </row>
    <row r="498" spans="1:5" x14ac:dyDescent="0.2">
      <c r="A498" s="43" t="s">
        <v>102</v>
      </c>
      <c r="B498" s="6" t="s">
        <v>155</v>
      </c>
      <c r="C498" s="71">
        <v>0</v>
      </c>
      <c r="D498" s="71">
        <v>0</v>
      </c>
      <c r="E498" s="71">
        <v>0</v>
      </c>
    </row>
    <row r="499" spans="1:5" x14ac:dyDescent="0.2">
      <c r="A499" s="43" t="s">
        <v>102</v>
      </c>
      <c r="B499" s="6" t="s">
        <v>156</v>
      </c>
      <c r="C499" s="71">
        <v>0</v>
      </c>
      <c r="D499" s="71">
        <v>0</v>
      </c>
      <c r="E499" s="71">
        <v>0</v>
      </c>
    </row>
    <row r="500" spans="1:5" x14ac:dyDescent="0.2">
      <c r="A500" s="43" t="s">
        <v>102</v>
      </c>
      <c r="B500" s="6" t="s">
        <v>157</v>
      </c>
      <c r="C500" s="71">
        <v>0</v>
      </c>
      <c r="D500" s="71">
        <v>0</v>
      </c>
      <c r="E500" s="71">
        <v>0</v>
      </c>
    </row>
    <row r="501" spans="1:5" x14ac:dyDescent="0.2">
      <c r="A501" s="43" t="s">
        <v>102</v>
      </c>
      <c r="B501" s="6" t="s">
        <v>158</v>
      </c>
      <c r="C501" s="71">
        <v>0</v>
      </c>
      <c r="D501" s="71">
        <v>0</v>
      </c>
      <c r="E501" s="71">
        <v>0</v>
      </c>
    </row>
    <row r="502" spans="1:5" x14ac:dyDescent="0.2">
      <c r="A502" s="43" t="s">
        <v>102</v>
      </c>
      <c r="B502" s="6" t="s">
        <v>159</v>
      </c>
      <c r="C502" s="71">
        <v>0</v>
      </c>
      <c r="D502" s="71">
        <v>0</v>
      </c>
      <c r="E502" s="71">
        <v>0</v>
      </c>
    </row>
    <row r="503" spans="1:5" x14ac:dyDescent="0.2">
      <c r="A503" s="43" t="s">
        <v>102</v>
      </c>
      <c r="B503" s="6" t="s">
        <v>160</v>
      </c>
      <c r="C503" s="71">
        <v>0</v>
      </c>
      <c r="D503" s="71">
        <v>0</v>
      </c>
      <c r="E503" s="71">
        <v>0</v>
      </c>
    </row>
    <row r="504" spans="1:5" x14ac:dyDescent="0.2">
      <c r="A504" s="43" t="s">
        <v>102</v>
      </c>
      <c r="B504" s="6" t="s">
        <v>161</v>
      </c>
      <c r="C504" s="71">
        <v>0</v>
      </c>
      <c r="D504" s="71">
        <v>0</v>
      </c>
      <c r="E504" s="71">
        <v>0</v>
      </c>
    </row>
    <row r="505" spans="1:5" x14ac:dyDescent="0.2">
      <c r="A505" s="43" t="s">
        <v>102</v>
      </c>
      <c r="B505" s="6" t="s">
        <v>162</v>
      </c>
      <c r="C505" s="71">
        <v>0</v>
      </c>
      <c r="D505" s="71">
        <v>0</v>
      </c>
      <c r="E505" s="71">
        <v>0</v>
      </c>
    </row>
    <row r="506" spans="1:5" x14ac:dyDescent="0.2">
      <c r="A506" s="43" t="s">
        <v>106</v>
      </c>
      <c r="B506" s="6" t="s">
        <v>151</v>
      </c>
      <c r="C506" s="71">
        <v>0</v>
      </c>
      <c r="D506" s="71">
        <v>0</v>
      </c>
      <c r="E506" s="71">
        <v>0</v>
      </c>
    </row>
    <row r="507" spans="1:5" x14ac:dyDescent="0.2">
      <c r="A507" s="43" t="s">
        <v>106</v>
      </c>
      <c r="B507" s="6" t="s">
        <v>152</v>
      </c>
      <c r="C507" s="71">
        <v>0</v>
      </c>
      <c r="D507" s="71">
        <v>0</v>
      </c>
      <c r="E507" s="71">
        <v>0</v>
      </c>
    </row>
    <row r="508" spans="1:5" x14ac:dyDescent="0.2">
      <c r="A508" s="43" t="s">
        <v>106</v>
      </c>
      <c r="B508" s="6" t="s">
        <v>153</v>
      </c>
      <c r="C508" s="71">
        <v>0</v>
      </c>
      <c r="D508" s="71">
        <v>0</v>
      </c>
      <c r="E508" s="71">
        <v>1</v>
      </c>
    </row>
    <row r="509" spans="1:5" x14ac:dyDescent="0.2">
      <c r="A509" s="43" t="s">
        <v>106</v>
      </c>
      <c r="B509" s="6" t="s">
        <v>154</v>
      </c>
      <c r="C509" s="71">
        <v>0</v>
      </c>
      <c r="D509" s="71">
        <v>0</v>
      </c>
      <c r="E509" s="71">
        <v>0</v>
      </c>
    </row>
    <row r="510" spans="1:5" x14ac:dyDescent="0.2">
      <c r="A510" s="43" t="s">
        <v>106</v>
      </c>
      <c r="B510" s="6" t="s">
        <v>155</v>
      </c>
      <c r="C510" s="71">
        <v>0</v>
      </c>
      <c r="D510" s="71">
        <v>0</v>
      </c>
      <c r="E510" s="71">
        <v>0</v>
      </c>
    </row>
    <row r="511" spans="1:5" x14ac:dyDescent="0.2">
      <c r="A511" s="43" t="s">
        <v>106</v>
      </c>
      <c r="B511" s="6" t="s">
        <v>156</v>
      </c>
      <c r="C511" s="71">
        <v>0</v>
      </c>
      <c r="D511" s="71">
        <v>0</v>
      </c>
      <c r="E511" s="71">
        <v>0</v>
      </c>
    </row>
    <row r="512" spans="1:5" x14ac:dyDescent="0.2">
      <c r="A512" s="43" t="s">
        <v>106</v>
      </c>
      <c r="B512" s="6" t="s">
        <v>157</v>
      </c>
      <c r="C512" s="71">
        <v>0</v>
      </c>
      <c r="D512" s="71">
        <v>0</v>
      </c>
      <c r="E512" s="71">
        <v>0</v>
      </c>
    </row>
    <row r="513" spans="1:5" x14ac:dyDescent="0.2">
      <c r="A513" s="43" t="s">
        <v>106</v>
      </c>
      <c r="B513" s="6" t="s">
        <v>158</v>
      </c>
      <c r="C513" s="71">
        <v>0</v>
      </c>
      <c r="D513" s="71">
        <v>0</v>
      </c>
      <c r="E513" s="71">
        <v>0</v>
      </c>
    </row>
    <row r="514" spans="1:5" x14ac:dyDescent="0.2">
      <c r="A514" s="43" t="s">
        <v>106</v>
      </c>
      <c r="B514" s="6" t="s">
        <v>159</v>
      </c>
      <c r="C514" s="71">
        <v>0</v>
      </c>
      <c r="D514" s="71">
        <v>0</v>
      </c>
      <c r="E514" s="71">
        <v>0</v>
      </c>
    </row>
    <row r="515" spans="1:5" x14ac:dyDescent="0.2">
      <c r="A515" s="43" t="s">
        <v>106</v>
      </c>
      <c r="B515" s="6" t="s">
        <v>160</v>
      </c>
      <c r="C515" s="71">
        <v>0</v>
      </c>
      <c r="D515" s="71">
        <v>0</v>
      </c>
      <c r="E515" s="71">
        <v>0</v>
      </c>
    </row>
    <row r="516" spans="1:5" x14ac:dyDescent="0.2">
      <c r="A516" s="43" t="s">
        <v>106</v>
      </c>
      <c r="B516" s="6" t="s">
        <v>161</v>
      </c>
      <c r="C516" s="71">
        <v>0</v>
      </c>
      <c r="D516" s="71">
        <v>0</v>
      </c>
      <c r="E516" s="71">
        <v>0</v>
      </c>
    </row>
    <row r="517" spans="1:5" x14ac:dyDescent="0.2">
      <c r="A517" s="43" t="s">
        <v>106</v>
      </c>
      <c r="B517" s="6" t="s">
        <v>162</v>
      </c>
      <c r="C517" s="71">
        <v>0</v>
      </c>
      <c r="D517" s="71">
        <v>0</v>
      </c>
      <c r="E517" s="71">
        <v>0</v>
      </c>
    </row>
    <row r="518" spans="1:5" x14ac:dyDescent="0.2">
      <c r="A518" s="43" t="s">
        <v>31</v>
      </c>
      <c r="B518" s="6" t="s">
        <v>151</v>
      </c>
      <c r="C518" s="71">
        <v>0</v>
      </c>
      <c r="D518" s="71">
        <v>0</v>
      </c>
      <c r="E518" s="71">
        <v>0</v>
      </c>
    </row>
    <row r="519" spans="1:5" x14ac:dyDescent="0.2">
      <c r="A519" s="43" t="s">
        <v>31</v>
      </c>
      <c r="B519" s="6" t="s">
        <v>152</v>
      </c>
      <c r="C519" s="71">
        <v>0</v>
      </c>
      <c r="D519" s="71">
        <v>0</v>
      </c>
      <c r="E519" s="71">
        <v>0</v>
      </c>
    </row>
    <row r="520" spans="1:5" x14ac:dyDescent="0.2">
      <c r="A520" s="43" t="s">
        <v>31</v>
      </c>
      <c r="B520" s="6" t="s">
        <v>153</v>
      </c>
      <c r="C520" s="71">
        <v>0</v>
      </c>
      <c r="D520" s="71">
        <v>0</v>
      </c>
      <c r="E520" s="71">
        <v>0</v>
      </c>
    </row>
    <row r="521" spans="1:5" x14ac:dyDescent="0.2">
      <c r="A521" s="43" t="s">
        <v>31</v>
      </c>
      <c r="B521" s="6" t="s">
        <v>154</v>
      </c>
      <c r="C521" s="71">
        <v>0</v>
      </c>
      <c r="D521" s="71">
        <v>0</v>
      </c>
      <c r="E521" s="71">
        <v>0</v>
      </c>
    </row>
    <row r="522" spans="1:5" x14ac:dyDescent="0.2">
      <c r="A522" s="43" t="s">
        <v>31</v>
      </c>
      <c r="B522" s="6" t="s">
        <v>155</v>
      </c>
      <c r="C522" s="71">
        <v>0</v>
      </c>
      <c r="D522" s="71">
        <v>0</v>
      </c>
      <c r="E522" s="71">
        <v>0</v>
      </c>
    </row>
    <row r="523" spans="1:5" x14ac:dyDescent="0.2">
      <c r="A523" s="43" t="s">
        <v>31</v>
      </c>
      <c r="B523" s="6" t="s">
        <v>156</v>
      </c>
      <c r="C523" s="71">
        <v>0</v>
      </c>
      <c r="D523" s="71">
        <v>0</v>
      </c>
      <c r="E523" s="71">
        <v>0</v>
      </c>
    </row>
    <row r="524" spans="1:5" x14ac:dyDescent="0.2">
      <c r="A524" s="43" t="s">
        <v>31</v>
      </c>
      <c r="B524" s="6" t="s">
        <v>157</v>
      </c>
      <c r="C524" s="71">
        <v>0</v>
      </c>
      <c r="D524" s="71">
        <v>0</v>
      </c>
      <c r="E524" s="71">
        <v>0</v>
      </c>
    </row>
    <row r="525" spans="1:5" x14ac:dyDescent="0.2">
      <c r="A525" s="43" t="s">
        <v>31</v>
      </c>
      <c r="B525" s="6" t="s">
        <v>158</v>
      </c>
      <c r="C525" s="71">
        <v>0</v>
      </c>
      <c r="D525" s="71">
        <v>0</v>
      </c>
      <c r="E525" s="71">
        <v>2</v>
      </c>
    </row>
    <row r="526" spans="1:5" x14ac:dyDescent="0.2">
      <c r="A526" s="43" t="s">
        <v>31</v>
      </c>
      <c r="B526" s="6" t="s">
        <v>159</v>
      </c>
      <c r="C526" s="71">
        <v>0</v>
      </c>
      <c r="D526" s="71">
        <v>0</v>
      </c>
      <c r="E526" s="71">
        <v>0</v>
      </c>
    </row>
    <row r="527" spans="1:5" x14ac:dyDescent="0.2">
      <c r="A527" s="43" t="s">
        <v>31</v>
      </c>
      <c r="B527" s="6" t="s">
        <v>160</v>
      </c>
      <c r="C527" s="71">
        <v>0</v>
      </c>
      <c r="D527" s="71">
        <v>0</v>
      </c>
      <c r="E527" s="71">
        <v>0</v>
      </c>
    </row>
    <row r="528" spans="1:5" x14ac:dyDescent="0.2">
      <c r="A528" s="43" t="s">
        <v>31</v>
      </c>
      <c r="B528" s="6" t="s">
        <v>161</v>
      </c>
      <c r="C528" s="71">
        <v>0</v>
      </c>
      <c r="D528" s="71">
        <v>0</v>
      </c>
      <c r="E528" s="71">
        <v>0</v>
      </c>
    </row>
    <row r="529" spans="1:5" x14ac:dyDescent="0.2">
      <c r="A529" s="43" t="s">
        <v>31</v>
      </c>
      <c r="B529" s="6" t="s">
        <v>162</v>
      </c>
      <c r="C529" s="71">
        <v>0</v>
      </c>
      <c r="D529" s="71">
        <v>0</v>
      </c>
      <c r="E529" s="71">
        <v>0</v>
      </c>
    </row>
    <row r="530" spans="1:5" x14ac:dyDescent="0.2">
      <c r="A530" s="43" t="s">
        <v>143</v>
      </c>
      <c r="B530" s="6" t="s">
        <v>151</v>
      </c>
      <c r="C530" s="71">
        <v>0</v>
      </c>
      <c r="D530" s="71">
        <v>0</v>
      </c>
      <c r="E530" s="71">
        <v>1</v>
      </c>
    </row>
    <row r="531" spans="1:5" x14ac:dyDescent="0.2">
      <c r="A531" s="43" t="s">
        <v>143</v>
      </c>
      <c r="B531" s="6" t="s">
        <v>152</v>
      </c>
      <c r="C531" s="71">
        <v>0</v>
      </c>
      <c r="D531" s="71">
        <v>0</v>
      </c>
      <c r="E531" s="71">
        <v>1</v>
      </c>
    </row>
    <row r="532" spans="1:5" x14ac:dyDescent="0.2">
      <c r="A532" s="43" t="s">
        <v>143</v>
      </c>
      <c r="B532" s="6" t="s">
        <v>153</v>
      </c>
      <c r="C532" s="71">
        <v>0</v>
      </c>
      <c r="D532" s="71">
        <v>0</v>
      </c>
      <c r="E532" s="71">
        <v>1</v>
      </c>
    </row>
    <row r="533" spans="1:5" x14ac:dyDescent="0.2">
      <c r="A533" s="43" t="s">
        <v>143</v>
      </c>
      <c r="B533" s="6" t="s">
        <v>154</v>
      </c>
      <c r="C533" s="71">
        <v>0</v>
      </c>
      <c r="D533" s="71">
        <v>0</v>
      </c>
      <c r="E533" s="71">
        <v>0</v>
      </c>
    </row>
    <row r="534" spans="1:5" x14ac:dyDescent="0.2">
      <c r="A534" s="43" t="s">
        <v>143</v>
      </c>
      <c r="B534" s="6" t="s">
        <v>155</v>
      </c>
      <c r="C534" s="71">
        <v>0</v>
      </c>
      <c r="D534" s="71">
        <v>0</v>
      </c>
      <c r="E534" s="71">
        <v>1</v>
      </c>
    </row>
    <row r="535" spans="1:5" x14ac:dyDescent="0.2">
      <c r="A535" s="43" t="s">
        <v>143</v>
      </c>
      <c r="B535" s="6" t="s">
        <v>156</v>
      </c>
      <c r="C535" s="71">
        <v>0</v>
      </c>
      <c r="D535" s="71">
        <v>0</v>
      </c>
      <c r="E535" s="71">
        <v>2</v>
      </c>
    </row>
    <row r="536" spans="1:5" x14ac:dyDescent="0.2">
      <c r="A536" s="43" t="s">
        <v>143</v>
      </c>
      <c r="B536" s="6" t="s">
        <v>157</v>
      </c>
      <c r="C536" s="71">
        <v>0</v>
      </c>
      <c r="D536" s="71">
        <v>0</v>
      </c>
      <c r="E536" s="71">
        <v>0</v>
      </c>
    </row>
    <row r="537" spans="1:5" x14ac:dyDescent="0.2">
      <c r="A537" s="43" t="s">
        <v>143</v>
      </c>
      <c r="B537" s="6" t="s">
        <v>158</v>
      </c>
      <c r="C537" s="71">
        <v>0</v>
      </c>
      <c r="D537" s="71">
        <v>0</v>
      </c>
      <c r="E537" s="71">
        <v>0</v>
      </c>
    </row>
    <row r="538" spans="1:5" x14ac:dyDescent="0.2">
      <c r="A538" s="43" t="s">
        <v>143</v>
      </c>
      <c r="B538" s="6" t="s">
        <v>159</v>
      </c>
      <c r="C538" s="71">
        <v>0</v>
      </c>
      <c r="D538" s="71">
        <v>0</v>
      </c>
      <c r="E538" s="71">
        <v>0</v>
      </c>
    </row>
    <row r="539" spans="1:5" x14ac:dyDescent="0.2">
      <c r="A539" s="43" t="s">
        <v>143</v>
      </c>
      <c r="B539" s="6" t="s">
        <v>160</v>
      </c>
      <c r="C539" s="71">
        <v>0</v>
      </c>
      <c r="D539" s="71">
        <v>0</v>
      </c>
      <c r="E539" s="71">
        <v>0</v>
      </c>
    </row>
    <row r="540" spans="1:5" x14ac:dyDescent="0.2">
      <c r="A540" s="43" t="s">
        <v>143</v>
      </c>
      <c r="B540" s="6" t="s">
        <v>161</v>
      </c>
      <c r="C540" s="71">
        <v>0</v>
      </c>
      <c r="D540" s="71">
        <v>0</v>
      </c>
      <c r="E540" s="71">
        <v>0</v>
      </c>
    </row>
    <row r="541" spans="1:5" x14ac:dyDescent="0.2">
      <c r="A541" s="43" t="s">
        <v>143</v>
      </c>
      <c r="B541" s="6" t="s">
        <v>162</v>
      </c>
      <c r="C541" s="71">
        <v>0</v>
      </c>
      <c r="D541" s="71">
        <v>0</v>
      </c>
      <c r="E541" s="71">
        <v>0</v>
      </c>
    </row>
    <row r="542" spans="1:5" x14ac:dyDescent="0.2">
      <c r="A542" s="43" t="s">
        <v>70</v>
      </c>
      <c r="B542" s="6" t="s">
        <v>151</v>
      </c>
      <c r="C542" s="71">
        <v>0</v>
      </c>
      <c r="D542" s="71">
        <v>0</v>
      </c>
      <c r="E542" s="71">
        <v>0</v>
      </c>
    </row>
    <row r="543" spans="1:5" x14ac:dyDescent="0.2">
      <c r="A543" s="43" t="s">
        <v>70</v>
      </c>
      <c r="B543" s="6" t="s">
        <v>152</v>
      </c>
      <c r="C543" s="71">
        <v>0</v>
      </c>
      <c r="D543" s="71">
        <v>0</v>
      </c>
      <c r="E543" s="71">
        <v>0</v>
      </c>
    </row>
    <row r="544" spans="1:5" x14ac:dyDescent="0.2">
      <c r="A544" s="43" t="s">
        <v>70</v>
      </c>
      <c r="B544" s="6" t="s">
        <v>153</v>
      </c>
      <c r="C544" s="71">
        <v>0</v>
      </c>
      <c r="D544" s="71">
        <v>0</v>
      </c>
      <c r="E544" s="71">
        <v>0</v>
      </c>
    </row>
    <row r="545" spans="1:5" x14ac:dyDescent="0.2">
      <c r="A545" s="43" t="s">
        <v>70</v>
      </c>
      <c r="B545" s="6" t="s">
        <v>154</v>
      </c>
      <c r="C545" s="71">
        <v>0</v>
      </c>
      <c r="D545" s="71">
        <v>0</v>
      </c>
      <c r="E545" s="71">
        <v>0</v>
      </c>
    </row>
    <row r="546" spans="1:5" x14ac:dyDescent="0.2">
      <c r="A546" s="43" t="s">
        <v>70</v>
      </c>
      <c r="B546" s="6" t="s">
        <v>155</v>
      </c>
      <c r="C546" s="71">
        <v>0</v>
      </c>
      <c r="D546" s="71">
        <v>0</v>
      </c>
      <c r="E546" s="71">
        <v>0</v>
      </c>
    </row>
    <row r="547" spans="1:5" x14ac:dyDescent="0.2">
      <c r="A547" s="43" t="s">
        <v>70</v>
      </c>
      <c r="B547" s="6" t="s">
        <v>156</v>
      </c>
      <c r="C547" s="71">
        <v>0</v>
      </c>
      <c r="D547" s="71">
        <v>0</v>
      </c>
      <c r="E547" s="71">
        <v>0</v>
      </c>
    </row>
    <row r="548" spans="1:5" x14ac:dyDescent="0.2">
      <c r="A548" s="43" t="s">
        <v>70</v>
      </c>
      <c r="B548" s="6" t="s">
        <v>157</v>
      </c>
      <c r="C548" s="71">
        <v>0</v>
      </c>
      <c r="D548" s="71">
        <v>0</v>
      </c>
      <c r="E548" s="71">
        <v>0</v>
      </c>
    </row>
    <row r="549" spans="1:5" x14ac:dyDescent="0.2">
      <c r="A549" s="43" t="s">
        <v>70</v>
      </c>
      <c r="B549" s="6" t="s">
        <v>158</v>
      </c>
      <c r="C549" s="71">
        <v>0</v>
      </c>
      <c r="D549" s="71">
        <v>0</v>
      </c>
      <c r="E549" s="71">
        <v>0</v>
      </c>
    </row>
    <row r="550" spans="1:5" x14ac:dyDescent="0.2">
      <c r="A550" s="43" t="s">
        <v>70</v>
      </c>
      <c r="B550" s="6" t="s">
        <v>159</v>
      </c>
      <c r="C550" s="71">
        <v>0</v>
      </c>
      <c r="D550" s="71">
        <v>0</v>
      </c>
      <c r="E550" s="71">
        <v>0</v>
      </c>
    </row>
    <row r="551" spans="1:5" x14ac:dyDescent="0.2">
      <c r="A551" s="43" t="s">
        <v>70</v>
      </c>
      <c r="B551" s="6" t="s">
        <v>160</v>
      </c>
      <c r="C551" s="71">
        <v>0</v>
      </c>
      <c r="D551" s="71">
        <v>0</v>
      </c>
      <c r="E551" s="71">
        <v>0</v>
      </c>
    </row>
    <row r="552" spans="1:5" x14ac:dyDescent="0.2">
      <c r="A552" s="43" t="s">
        <v>70</v>
      </c>
      <c r="B552" s="6" t="s">
        <v>161</v>
      </c>
      <c r="C552" s="71">
        <v>0</v>
      </c>
      <c r="D552" s="71">
        <v>0</v>
      </c>
      <c r="E552" s="71">
        <v>0</v>
      </c>
    </row>
    <row r="553" spans="1:5" x14ac:dyDescent="0.2">
      <c r="A553" s="43" t="s">
        <v>70</v>
      </c>
      <c r="B553" s="6" t="s">
        <v>162</v>
      </c>
      <c r="C553" s="71">
        <v>0</v>
      </c>
      <c r="D553" s="71">
        <v>0</v>
      </c>
      <c r="E553" s="71">
        <v>0</v>
      </c>
    </row>
    <row r="554" spans="1:5" x14ac:dyDescent="0.2">
      <c r="A554" s="43" t="s">
        <v>80</v>
      </c>
      <c r="B554" s="6" t="s">
        <v>151</v>
      </c>
      <c r="C554" s="71">
        <v>0</v>
      </c>
      <c r="D554" s="71">
        <v>0</v>
      </c>
      <c r="E554" s="71">
        <v>0</v>
      </c>
    </row>
    <row r="555" spans="1:5" x14ac:dyDescent="0.2">
      <c r="A555" s="43" t="s">
        <v>80</v>
      </c>
      <c r="B555" s="6" t="s">
        <v>152</v>
      </c>
      <c r="C555" s="71">
        <v>0</v>
      </c>
      <c r="D555" s="71">
        <v>0</v>
      </c>
      <c r="E555" s="71">
        <v>0</v>
      </c>
    </row>
    <row r="556" spans="1:5" x14ac:dyDescent="0.2">
      <c r="A556" s="43" t="s">
        <v>80</v>
      </c>
      <c r="B556" s="6" t="s">
        <v>153</v>
      </c>
      <c r="C556" s="71">
        <v>0</v>
      </c>
      <c r="D556" s="71">
        <v>0</v>
      </c>
      <c r="E556" s="71">
        <v>0</v>
      </c>
    </row>
    <row r="557" spans="1:5" x14ac:dyDescent="0.2">
      <c r="A557" s="43" t="s">
        <v>80</v>
      </c>
      <c r="B557" s="6" t="s">
        <v>154</v>
      </c>
      <c r="C557" s="71">
        <v>0</v>
      </c>
      <c r="D557" s="71">
        <v>0</v>
      </c>
      <c r="E557" s="71">
        <v>0</v>
      </c>
    </row>
    <row r="558" spans="1:5" x14ac:dyDescent="0.2">
      <c r="A558" s="43" t="s">
        <v>80</v>
      </c>
      <c r="B558" s="6" t="s">
        <v>155</v>
      </c>
      <c r="C558" s="71">
        <v>0</v>
      </c>
      <c r="D558" s="71">
        <v>0</v>
      </c>
      <c r="E558" s="71">
        <v>0</v>
      </c>
    </row>
    <row r="559" spans="1:5" x14ac:dyDescent="0.2">
      <c r="A559" s="43" t="s">
        <v>80</v>
      </c>
      <c r="B559" s="6" t="s">
        <v>156</v>
      </c>
      <c r="C559" s="71">
        <v>0</v>
      </c>
      <c r="D559" s="71">
        <v>0</v>
      </c>
      <c r="E559" s="71">
        <v>0</v>
      </c>
    </row>
    <row r="560" spans="1:5" x14ac:dyDescent="0.2">
      <c r="A560" s="43" t="s">
        <v>80</v>
      </c>
      <c r="B560" s="6" t="s">
        <v>157</v>
      </c>
      <c r="C560" s="71">
        <v>0</v>
      </c>
      <c r="D560" s="71">
        <v>0</v>
      </c>
      <c r="E560" s="71">
        <v>0</v>
      </c>
    </row>
    <row r="561" spans="1:5" x14ac:dyDescent="0.2">
      <c r="A561" s="43" t="s">
        <v>80</v>
      </c>
      <c r="B561" s="6" t="s">
        <v>158</v>
      </c>
      <c r="C561" s="71">
        <v>0</v>
      </c>
      <c r="D561" s="71">
        <v>0</v>
      </c>
      <c r="E561" s="71">
        <v>0</v>
      </c>
    </row>
    <row r="562" spans="1:5" x14ac:dyDescent="0.2">
      <c r="A562" s="43" t="s">
        <v>80</v>
      </c>
      <c r="B562" s="6" t="s">
        <v>159</v>
      </c>
      <c r="C562" s="71">
        <v>0</v>
      </c>
      <c r="D562" s="71">
        <v>0</v>
      </c>
      <c r="E562" s="71">
        <v>0</v>
      </c>
    </row>
    <row r="563" spans="1:5" x14ac:dyDescent="0.2">
      <c r="A563" s="43" t="s">
        <v>80</v>
      </c>
      <c r="B563" s="6" t="s">
        <v>160</v>
      </c>
      <c r="C563" s="71">
        <v>0</v>
      </c>
      <c r="D563" s="71">
        <v>0</v>
      </c>
      <c r="E563" s="71">
        <v>0</v>
      </c>
    </row>
    <row r="564" spans="1:5" x14ac:dyDescent="0.2">
      <c r="A564" s="43" t="s">
        <v>80</v>
      </c>
      <c r="B564" s="6" t="s">
        <v>161</v>
      </c>
      <c r="C564" s="71">
        <v>0</v>
      </c>
      <c r="D564" s="71">
        <v>0</v>
      </c>
      <c r="E564" s="71">
        <v>0</v>
      </c>
    </row>
    <row r="565" spans="1:5" x14ac:dyDescent="0.2">
      <c r="A565" s="43" t="s">
        <v>80</v>
      </c>
      <c r="B565" s="6" t="s">
        <v>162</v>
      </c>
      <c r="C565" s="71">
        <v>0</v>
      </c>
      <c r="D565" s="71">
        <v>0</v>
      </c>
      <c r="E565" s="71">
        <v>0</v>
      </c>
    </row>
    <row r="566" spans="1:5" x14ac:dyDescent="0.2">
      <c r="A566" s="43" t="s">
        <v>77</v>
      </c>
      <c r="B566" s="6" t="s">
        <v>151</v>
      </c>
      <c r="C566" s="71">
        <v>0</v>
      </c>
      <c r="D566" s="71">
        <v>0</v>
      </c>
      <c r="E566" s="71">
        <v>0</v>
      </c>
    </row>
    <row r="567" spans="1:5" x14ac:dyDescent="0.2">
      <c r="A567" s="43" t="s">
        <v>77</v>
      </c>
      <c r="B567" s="6" t="s">
        <v>152</v>
      </c>
      <c r="C567" s="71">
        <v>0</v>
      </c>
      <c r="D567" s="71">
        <v>0</v>
      </c>
      <c r="E567" s="71">
        <v>0</v>
      </c>
    </row>
    <row r="568" spans="1:5" x14ac:dyDescent="0.2">
      <c r="A568" s="43" t="s">
        <v>77</v>
      </c>
      <c r="B568" s="6" t="s">
        <v>153</v>
      </c>
      <c r="C568" s="71">
        <v>0</v>
      </c>
      <c r="D568" s="71">
        <v>0</v>
      </c>
      <c r="E568" s="71">
        <v>0</v>
      </c>
    </row>
    <row r="569" spans="1:5" x14ac:dyDescent="0.2">
      <c r="A569" s="43" t="s">
        <v>77</v>
      </c>
      <c r="B569" s="6" t="s">
        <v>154</v>
      </c>
      <c r="C569" s="71">
        <v>0</v>
      </c>
      <c r="D569" s="71">
        <v>0</v>
      </c>
      <c r="E569" s="71">
        <v>1</v>
      </c>
    </row>
    <row r="570" spans="1:5" x14ac:dyDescent="0.2">
      <c r="A570" s="43" t="s">
        <v>77</v>
      </c>
      <c r="B570" s="6" t="s">
        <v>155</v>
      </c>
      <c r="C570" s="71">
        <v>0</v>
      </c>
      <c r="D570" s="71">
        <v>0</v>
      </c>
      <c r="E570" s="71">
        <v>0</v>
      </c>
    </row>
    <row r="571" spans="1:5" x14ac:dyDescent="0.2">
      <c r="A571" s="43" t="s">
        <v>77</v>
      </c>
      <c r="B571" s="6" t="s">
        <v>156</v>
      </c>
      <c r="C571" s="71">
        <v>0</v>
      </c>
      <c r="D571" s="71">
        <v>0</v>
      </c>
      <c r="E571" s="71">
        <v>0</v>
      </c>
    </row>
    <row r="572" spans="1:5" x14ac:dyDescent="0.2">
      <c r="A572" s="43" t="s">
        <v>77</v>
      </c>
      <c r="B572" s="6" t="s">
        <v>157</v>
      </c>
      <c r="C572" s="71">
        <v>0</v>
      </c>
      <c r="D572" s="71">
        <v>0</v>
      </c>
      <c r="E572" s="71">
        <v>0</v>
      </c>
    </row>
    <row r="573" spans="1:5" x14ac:dyDescent="0.2">
      <c r="A573" s="43" t="s">
        <v>77</v>
      </c>
      <c r="B573" s="6" t="s">
        <v>158</v>
      </c>
      <c r="C573" s="71">
        <v>0</v>
      </c>
      <c r="D573" s="71">
        <v>0</v>
      </c>
      <c r="E573" s="71">
        <v>0</v>
      </c>
    </row>
    <row r="574" spans="1:5" x14ac:dyDescent="0.2">
      <c r="A574" s="43" t="s">
        <v>77</v>
      </c>
      <c r="B574" s="6" t="s">
        <v>159</v>
      </c>
      <c r="C574" s="71">
        <v>0</v>
      </c>
      <c r="D574" s="71">
        <v>0</v>
      </c>
      <c r="E574" s="71">
        <v>0</v>
      </c>
    </row>
    <row r="575" spans="1:5" x14ac:dyDescent="0.2">
      <c r="A575" s="43" t="s">
        <v>77</v>
      </c>
      <c r="B575" s="6" t="s">
        <v>160</v>
      </c>
      <c r="C575" s="71">
        <v>0</v>
      </c>
      <c r="D575" s="71">
        <v>0</v>
      </c>
      <c r="E575" s="71">
        <v>0</v>
      </c>
    </row>
    <row r="576" spans="1:5" x14ac:dyDescent="0.2">
      <c r="A576" s="43" t="s">
        <v>77</v>
      </c>
      <c r="B576" s="6" t="s">
        <v>161</v>
      </c>
      <c r="C576" s="71">
        <v>0</v>
      </c>
      <c r="D576" s="71">
        <v>0</v>
      </c>
      <c r="E576" s="71">
        <v>0</v>
      </c>
    </row>
    <row r="577" spans="1:5" x14ac:dyDescent="0.2">
      <c r="A577" s="43" t="s">
        <v>77</v>
      </c>
      <c r="B577" s="6" t="s">
        <v>162</v>
      </c>
      <c r="C577" s="71">
        <v>0</v>
      </c>
      <c r="D577" s="71">
        <v>0</v>
      </c>
      <c r="E577" s="71">
        <v>0</v>
      </c>
    </row>
    <row r="578" spans="1:5" x14ac:dyDescent="0.2">
      <c r="A578" s="43" t="s">
        <v>52</v>
      </c>
      <c r="B578" s="6" t="s">
        <v>151</v>
      </c>
      <c r="C578" s="71">
        <v>0</v>
      </c>
      <c r="D578" s="71">
        <v>0</v>
      </c>
      <c r="E578" s="71">
        <v>0</v>
      </c>
    </row>
    <row r="579" spans="1:5" x14ac:dyDescent="0.2">
      <c r="A579" s="43" t="s">
        <v>52</v>
      </c>
      <c r="B579" s="6" t="s">
        <v>152</v>
      </c>
      <c r="C579" s="71">
        <v>0</v>
      </c>
      <c r="D579" s="71">
        <v>0</v>
      </c>
      <c r="E579" s="71">
        <v>0</v>
      </c>
    </row>
    <row r="580" spans="1:5" x14ac:dyDescent="0.2">
      <c r="A580" s="43" t="s">
        <v>52</v>
      </c>
      <c r="B580" s="6" t="s">
        <v>153</v>
      </c>
      <c r="C580" s="71">
        <v>0</v>
      </c>
      <c r="D580" s="71">
        <v>0</v>
      </c>
      <c r="E580" s="71">
        <v>0</v>
      </c>
    </row>
    <row r="581" spans="1:5" x14ac:dyDescent="0.2">
      <c r="A581" s="43" t="s">
        <v>52</v>
      </c>
      <c r="B581" s="6" t="s">
        <v>154</v>
      </c>
      <c r="C581" s="71">
        <v>0</v>
      </c>
      <c r="D581" s="71">
        <v>0</v>
      </c>
      <c r="E581" s="71">
        <v>0</v>
      </c>
    </row>
    <row r="582" spans="1:5" x14ac:dyDescent="0.2">
      <c r="A582" s="43" t="s">
        <v>52</v>
      </c>
      <c r="B582" s="6" t="s">
        <v>155</v>
      </c>
      <c r="C582" s="71">
        <v>0</v>
      </c>
      <c r="D582" s="71">
        <v>0</v>
      </c>
      <c r="E582" s="71">
        <v>0</v>
      </c>
    </row>
    <row r="583" spans="1:5" x14ac:dyDescent="0.2">
      <c r="A583" s="43" t="s">
        <v>52</v>
      </c>
      <c r="B583" s="6" t="s">
        <v>156</v>
      </c>
      <c r="C583" s="71">
        <v>0</v>
      </c>
      <c r="D583" s="71">
        <v>0</v>
      </c>
      <c r="E583" s="71">
        <v>0</v>
      </c>
    </row>
    <row r="584" spans="1:5" x14ac:dyDescent="0.2">
      <c r="A584" s="43" t="s">
        <v>52</v>
      </c>
      <c r="B584" s="6" t="s">
        <v>157</v>
      </c>
      <c r="C584" s="71">
        <v>0</v>
      </c>
      <c r="D584" s="71">
        <v>0</v>
      </c>
      <c r="E584" s="71">
        <v>0</v>
      </c>
    </row>
    <row r="585" spans="1:5" x14ac:dyDescent="0.2">
      <c r="A585" s="43" t="s">
        <v>52</v>
      </c>
      <c r="B585" s="6" t="s">
        <v>158</v>
      </c>
      <c r="C585" s="71">
        <v>0</v>
      </c>
      <c r="D585" s="71">
        <v>0</v>
      </c>
      <c r="E585" s="71">
        <v>0</v>
      </c>
    </row>
    <row r="586" spans="1:5" x14ac:dyDescent="0.2">
      <c r="A586" s="43" t="s">
        <v>52</v>
      </c>
      <c r="B586" s="6" t="s">
        <v>159</v>
      </c>
      <c r="C586" s="71">
        <v>0</v>
      </c>
      <c r="D586" s="71">
        <v>0</v>
      </c>
      <c r="E586" s="71">
        <v>0</v>
      </c>
    </row>
    <row r="587" spans="1:5" x14ac:dyDescent="0.2">
      <c r="A587" s="43" t="s">
        <v>52</v>
      </c>
      <c r="B587" s="6" t="s">
        <v>160</v>
      </c>
      <c r="C587" s="71">
        <v>0</v>
      </c>
      <c r="D587" s="71">
        <v>0</v>
      </c>
      <c r="E587" s="71">
        <v>0</v>
      </c>
    </row>
    <row r="588" spans="1:5" x14ac:dyDescent="0.2">
      <c r="A588" s="43" t="s">
        <v>52</v>
      </c>
      <c r="B588" s="6" t="s">
        <v>161</v>
      </c>
      <c r="C588" s="71">
        <v>0</v>
      </c>
      <c r="D588" s="71">
        <v>0</v>
      </c>
      <c r="E588" s="71">
        <v>0</v>
      </c>
    </row>
    <row r="589" spans="1:5" x14ac:dyDescent="0.2">
      <c r="A589" s="43" t="s">
        <v>52</v>
      </c>
      <c r="B589" s="6" t="s">
        <v>162</v>
      </c>
      <c r="C589" s="71">
        <v>0</v>
      </c>
      <c r="D589" s="71">
        <v>0</v>
      </c>
      <c r="E589" s="71">
        <v>0</v>
      </c>
    </row>
    <row r="590" spans="1:5" x14ac:dyDescent="0.2">
      <c r="A590" s="43" t="s">
        <v>105</v>
      </c>
      <c r="B590" s="6" t="s">
        <v>151</v>
      </c>
      <c r="C590" s="71">
        <v>0</v>
      </c>
      <c r="D590" s="71">
        <v>0</v>
      </c>
      <c r="E590" s="71">
        <v>0</v>
      </c>
    </row>
    <row r="591" spans="1:5" x14ac:dyDescent="0.2">
      <c r="A591" s="43" t="s">
        <v>105</v>
      </c>
      <c r="B591" s="6" t="s">
        <v>152</v>
      </c>
      <c r="C591" s="71">
        <v>0</v>
      </c>
      <c r="D591" s="71">
        <v>0</v>
      </c>
      <c r="E591" s="71">
        <v>0</v>
      </c>
    </row>
    <row r="592" spans="1:5" x14ac:dyDescent="0.2">
      <c r="A592" s="43" t="s">
        <v>105</v>
      </c>
      <c r="B592" s="6" t="s">
        <v>153</v>
      </c>
      <c r="C592" s="71">
        <v>0</v>
      </c>
      <c r="D592" s="71">
        <v>0</v>
      </c>
      <c r="E592" s="71">
        <v>0</v>
      </c>
    </row>
    <row r="593" spans="1:5" x14ac:dyDescent="0.2">
      <c r="A593" s="43" t="s">
        <v>105</v>
      </c>
      <c r="B593" s="6" t="s">
        <v>154</v>
      </c>
      <c r="C593" s="71">
        <v>0</v>
      </c>
      <c r="D593" s="71">
        <v>0</v>
      </c>
      <c r="E593" s="71">
        <v>0</v>
      </c>
    </row>
    <row r="594" spans="1:5" x14ac:dyDescent="0.2">
      <c r="A594" s="43" t="s">
        <v>105</v>
      </c>
      <c r="B594" s="6" t="s">
        <v>155</v>
      </c>
      <c r="C594" s="71">
        <v>0</v>
      </c>
      <c r="D594" s="71">
        <v>0</v>
      </c>
      <c r="E594" s="71">
        <v>0</v>
      </c>
    </row>
    <row r="595" spans="1:5" x14ac:dyDescent="0.2">
      <c r="A595" s="43" t="s">
        <v>105</v>
      </c>
      <c r="B595" s="6" t="s">
        <v>156</v>
      </c>
      <c r="C595" s="71">
        <v>0</v>
      </c>
      <c r="D595" s="71">
        <v>0</v>
      </c>
      <c r="E595" s="71">
        <v>0</v>
      </c>
    </row>
    <row r="596" spans="1:5" x14ac:dyDescent="0.2">
      <c r="A596" s="43" t="s">
        <v>105</v>
      </c>
      <c r="B596" s="6" t="s">
        <v>157</v>
      </c>
      <c r="C596" s="71">
        <v>0</v>
      </c>
      <c r="D596" s="71">
        <v>0</v>
      </c>
      <c r="E596" s="71">
        <v>0</v>
      </c>
    </row>
    <row r="597" spans="1:5" x14ac:dyDescent="0.2">
      <c r="A597" s="43" t="s">
        <v>105</v>
      </c>
      <c r="B597" s="6" t="s">
        <v>158</v>
      </c>
      <c r="C597" s="71">
        <v>0</v>
      </c>
      <c r="D597" s="71">
        <v>0</v>
      </c>
      <c r="E597" s="71">
        <v>0</v>
      </c>
    </row>
    <row r="598" spans="1:5" x14ac:dyDescent="0.2">
      <c r="A598" s="43" t="s">
        <v>105</v>
      </c>
      <c r="B598" s="6" t="s">
        <v>159</v>
      </c>
      <c r="C598" s="71">
        <v>0</v>
      </c>
      <c r="D598" s="71">
        <v>0</v>
      </c>
      <c r="E598" s="71">
        <v>0</v>
      </c>
    </row>
    <row r="599" spans="1:5" x14ac:dyDescent="0.2">
      <c r="A599" s="43" t="s">
        <v>105</v>
      </c>
      <c r="B599" s="6" t="s">
        <v>160</v>
      </c>
      <c r="C599" s="71">
        <v>0</v>
      </c>
      <c r="D599" s="71">
        <v>0</v>
      </c>
      <c r="E599" s="71">
        <v>0</v>
      </c>
    </row>
    <row r="600" spans="1:5" x14ac:dyDescent="0.2">
      <c r="A600" s="43" t="s">
        <v>105</v>
      </c>
      <c r="B600" s="6" t="s">
        <v>161</v>
      </c>
      <c r="C600" s="71">
        <v>0</v>
      </c>
      <c r="D600" s="71">
        <v>0</v>
      </c>
      <c r="E600" s="71">
        <v>0</v>
      </c>
    </row>
    <row r="601" spans="1:5" x14ac:dyDescent="0.2">
      <c r="A601" s="43" t="s">
        <v>105</v>
      </c>
      <c r="B601" s="6" t="s">
        <v>162</v>
      </c>
      <c r="C601" s="71">
        <v>0</v>
      </c>
      <c r="D601" s="71">
        <v>0</v>
      </c>
      <c r="E601" s="71">
        <v>0</v>
      </c>
    </row>
    <row r="602" spans="1:5" x14ac:dyDescent="0.2">
      <c r="A602" s="43" t="s">
        <v>98</v>
      </c>
      <c r="B602" s="6" t="s">
        <v>151</v>
      </c>
      <c r="C602" s="71">
        <v>1</v>
      </c>
      <c r="D602" s="71">
        <v>0</v>
      </c>
      <c r="E602" s="71">
        <v>2</v>
      </c>
    </row>
    <row r="603" spans="1:5" x14ac:dyDescent="0.2">
      <c r="A603" s="43" t="s">
        <v>98</v>
      </c>
      <c r="B603" s="6" t="s">
        <v>152</v>
      </c>
      <c r="C603" s="71">
        <v>0</v>
      </c>
      <c r="D603" s="71">
        <v>0</v>
      </c>
      <c r="E603" s="71">
        <v>0</v>
      </c>
    </row>
    <row r="604" spans="1:5" x14ac:dyDescent="0.2">
      <c r="A604" s="43" t="s">
        <v>98</v>
      </c>
      <c r="B604" s="6" t="s">
        <v>153</v>
      </c>
      <c r="C604" s="71">
        <v>0</v>
      </c>
      <c r="D604" s="71">
        <v>0</v>
      </c>
      <c r="E604" s="71">
        <v>0</v>
      </c>
    </row>
    <row r="605" spans="1:5" x14ac:dyDescent="0.2">
      <c r="A605" s="43" t="s">
        <v>98</v>
      </c>
      <c r="B605" s="6" t="s">
        <v>154</v>
      </c>
      <c r="C605" s="71">
        <v>0</v>
      </c>
      <c r="D605" s="71">
        <v>0</v>
      </c>
      <c r="E605" s="71">
        <v>1</v>
      </c>
    </row>
    <row r="606" spans="1:5" x14ac:dyDescent="0.2">
      <c r="A606" s="43" t="s">
        <v>98</v>
      </c>
      <c r="B606" s="6" t="s">
        <v>155</v>
      </c>
      <c r="C606" s="71">
        <v>0</v>
      </c>
      <c r="D606" s="71">
        <v>0</v>
      </c>
      <c r="E606" s="71">
        <v>4</v>
      </c>
    </row>
    <row r="607" spans="1:5" x14ac:dyDescent="0.2">
      <c r="A607" s="43" t="s">
        <v>98</v>
      </c>
      <c r="B607" s="6" t="s">
        <v>156</v>
      </c>
      <c r="C607" s="71">
        <v>0</v>
      </c>
      <c r="D607" s="71">
        <v>0</v>
      </c>
      <c r="E607" s="71">
        <v>2</v>
      </c>
    </row>
    <row r="608" spans="1:5" x14ac:dyDescent="0.2">
      <c r="A608" s="43" t="s">
        <v>98</v>
      </c>
      <c r="B608" s="6" t="s">
        <v>157</v>
      </c>
      <c r="C608" s="71">
        <v>0</v>
      </c>
      <c r="D608" s="71">
        <v>0</v>
      </c>
      <c r="E608" s="71">
        <v>4</v>
      </c>
    </row>
    <row r="609" spans="1:5" x14ac:dyDescent="0.2">
      <c r="A609" s="43" t="s">
        <v>98</v>
      </c>
      <c r="B609" s="6" t="s">
        <v>158</v>
      </c>
      <c r="C609" s="71">
        <v>0</v>
      </c>
      <c r="D609" s="71">
        <v>0</v>
      </c>
      <c r="E609" s="71">
        <v>0</v>
      </c>
    </row>
    <row r="610" spans="1:5" x14ac:dyDescent="0.2">
      <c r="A610" s="43" t="s">
        <v>98</v>
      </c>
      <c r="B610" s="6" t="s">
        <v>159</v>
      </c>
      <c r="C610" s="71">
        <v>0</v>
      </c>
      <c r="D610" s="71">
        <v>0</v>
      </c>
      <c r="E610" s="71">
        <v>0</v>
      </c>
    </row>
    <row r="611" spans="1:5" x14ac:dyDescent="0.2">
      <c r="A611" s="43" t="s">
        <v>98</v>
      </c>
      <c r="B611" s="6" t="s">
        <v>160</v>
      </c>
      <c r="C611" s="71">
        <v>0</v>
      </c>
      <c r="D611" s="71">
        <v>0</v>
      </c>
      <c r="E611" s="71">
        <v>0</v>
      </c>
    </row>
    <row r="612" spans="1:5" x14ac:dyDescent="0.2">
      <c r="A612" s="43" t="s">
        <v>98</v>
      </c>
      <c r="B612" s="6" t="s">
        <v>161</v>
      </c>
      <c r="C612" s="71">
        <v>0</v>
      </c>
      <c r="D612" s="71">
        <v>0</v>
      </c>
      <c r="E612" s="71">
        <v>0</v>
      </c>
    </row>
    <row r="613" spans="1:5" x14ac:dyDescent="0.2">
      <c r="A613" s="43" t="s">
        <v>98</v>
      </c>
      <c r="B613" s="6" t="s">
        <v>162</v>
      </c>
      <c r="C613" s="71">
        <v>0</v>
      </c>
      <c r="D613" s="71">
        <v>0</v>
      </c>
      <c r="E613" s="71">
        <v>0</v>
      </c>
    </row>
    <row r="614" spans="1:5" x14ac:dyDescent="0.2">
      <c r="A614" s="43" t="s">
        <v>109</v>
      </c>
      <c r="B614" s="6" t="s">
        <v>151</v>
      </c>
      <c r="C614" s="71">
        <v>0</v>
      </c>
      <c r="D614" s="71">
        <v>0</v>
      </c>
      <c r="E614" s="71">
        <v>0</v>
      </c>
    </row>
    <row r="615" spans="1:5" x14ac:dyDescent="0.2">
      <c r="A615" s="43" t="s">
        <v>109</v>
      </c>
      <c r="B615" s="6" t="s">
        <v>152</v>
      </c>
      <c r="C615" s="71">
        <v>0</v>
      </c>
      <c r="D615" s="71">
        <v>0</v>
      </c>
      <c r="E615" s="71">
        <v>0</v>
      </c>
    </row>
    <row r="616" spans="1:5" x14ac:dyDescent="0.2">
      <c r="A616" s="43" t="s">
        <v>109</v>
      </c>
      <c r="B616" s="6" t="s">
        <v>153</v>
      </c>
      <c r="C616" s="71">
        <v>0</v>
      </c>
      <c r="D616" s="71">
        <v>0</v>
      </c>
      <c r="E616" s="71">
        <v>0</v>
      </c>
    </row>
    <row r="617" spans="1:5" x14ac:dyDescent="0.2">
      <c r="A617" s="43" t="s">
        <v>109</v>
      </c>
      <c r="B617" s="6" t="s">
        <v>154</v>
      </c>
      <c r="C617" s="71">
        <v>0</v>
      </c>
      <c r="D617" s="71">
        <v>0</v>
      </c>
      <c r="E617" s="71">
        <v>0</v>
      </c>
    </row>
    <row r="618" spans="1:5" x14ac:dyDescent="0.2">
      <c r="A618" s="43" t="s">
        <v>109</v>
      </c>
      <c r="B618" s="6" t="s">
        <v>155</v>
      </c>
      <c r="C618" s="71">
        <v>0</v>
      </c>
      <c r="D618" s="71">
        <v>0</v>
      </c>
      <c r="E618" s="71">
        <v>0</v>
      </c>
    </row>
    <row r="619" spans="1:5" x14ac:dyDescent="0.2">
      <c r="A619" s="43" t="s">
        <v>109</v>
      </c>
      <c r="B619" s="6" t="s">
        <v>156</v>
      </c>
      <c r="C619" s="71">
        <v>0</v>
      </c>
      <c r="D619" s="71">
        <v>0</v>
      </c>
      <c r="E619" s="71">
        <v>0</v>
      </c>
    </row>
    <row r="620" spans="1:5" x14ac:dyDescent="0.2">
      <c r="A620" s="43" t="s">
        <v>109</v>
      </c>
      <c r="B620" s="6" t="s">
        <v>157</v>
      </c>
      <c r="C620" s="71">
        <v>0</v>
      </c>
      <c r="D620" s="71">
        <v>0</v>
      </c>
      <c r="E620" s="71">
        <v>0</v>
      </c>
    </row>
    <row r="621" spans="1:5" x14ac:dyDescent="0.2">
      <c r="A621" s="43" t="s">
        <v>109</v>
      </c>
      <c r="B621" s="6" t="s">
        <v>158</v>
      </c>
      <c r="C621" s="71">
        <v>0</v>
      </c>
      <c r="D621" s="71">
        <v>0</v>
      </c>
      <c r="E621" s="71">
        <v>0</v>
      </c>
    </row>
    <row r="622" spans="1:5" x14ac:dyDescent="0.2">
      <c r="A622" s="43" t="s">
        <v>109</v>
      </c>
      <c r="B622" s="6" t="s">
        <v>159</v>
      </c>
      <c r="C622" s="71">
        <v>0</v>
      </c>
      <c r="D622" s="71">
        <v>0</v>
      </c>
      <c r="E622" s="71">
        <v>0</v>
      </c>
    </row>
    <row r="623" spans="1:5" x14ac:dyDescent="0.2">
      <c r="A623" s="43" t="s">
        <v>109</v>
      </c>
      <c r="B623" s="6" t="s">
        <v>160</v>
      </c>
      <c r="C623" s="71">
        <v>0</v>
      </c>
      <c r="D623" s="71">
        <v>0</v>
      </c>
      <c r="E623" s="71">
        <v>0</v>
      </c>
    </row>
    <row r="624" spans="1:5" x14ac:dyDescent="0.2">
      <c r="A624" s="43" t="s">
        <v>109</v>
      </c>
      <c r="B624" s="6" t="s">
        <v>161</v>
      </c>
      <c r="C624" s="71">
        <v>0</v>
      </c>
      <c r="D624" s="71">
        <v>0</v>
      </c>
      <c r="E624" s="71">
        <v>0</v>
      </c>
    </row>
    <row r="625" spans="1:5" x14ac:dyDescent="0.2">
      <c r="A625" s="43" t="s">
        <v>109</v>
      </c>
      <c r="B625" s="6" t="s">
        <v>162</v>
      </c>
      <c r="C625" s="71">
        <v>0</v>
      </c>
      <c r="D625" s="71">
        <v>0</v>
      </c>
      <c r="E625" s="71">
        <v>0</v>
      </c>
    </row>
    <row r="626" spans="1:5" x14ac:dyDescent="0.2">
      <c r="A626" s="43" t="s">
        <v>111</v>
      </c>
      <c r="B626" s="6" t="s">
        <v>151</v>
      </c>
      <c r="C626" s="71">
        <v>0</v>
      </c>
      <c r="D626" s="71">
        <v>0</v>
      </c>
      <c r="E626" s="71">
        <v>0</v>
      </c>
    </row>
    <row r="627" spans="1:5" x14ac:dyDescent="0.2">
      <c r="A627" s="43" t="s">
        <v>111</v>
      </c>
      <c r="B627" s="6" t="s">
        <v>152</v>
      </c>
      <c r="C627" s="71">
        <v>0</v>
      </c>
      <c r="D627" s="71">
        <v>0</v>
      </c>
      <c r="E627" s="71">
        <v>0</v>
      </c>
    </row>
    <row r="628" spans="1:5" x14ac:dyDescent="0.2">
      <c r="A628" s="43" t="s">
        <v>111</v>
      </c>
      <c r="B628" s="6" t="s">
        <v>153</v>
      </c>
      <c r="C628" s="71">
        <v>0</v>
      </c>
      <c r="D628" s="71">
        <v>0</v>
      </c>
      <c r="E628" s="71">
        <v>0</v>
      </c>
    </row>
    <row r="629" spans="1:5" x14ac:dyDescent="0.2">
      <c r="A629" s="43" t="s">
        <v>111</v>
      </c>
      <c r="B629" s="6" t="s">
        <v>154</v>
      </c>
      <c r="C629" s="71">
        <v>0</v>
      </c>
      <c r="D629" s="71">
        <v>0</v>
      </c>
      <c r="E629" s="71">
        <v>0</v>
      </c>
    </row>
    <row r="630" spans="1:5" x14ac:dyDescent="0.2">
      <c r="A630" s="43" t="s">
        <v>111</v>
      </c>
      <c r="B630" s="6" t="s">
        <v>155</v>
      </c>
      <c r="C630" s="71">
        <v>0</v>
      </c>
      <c r="D630" s="71">
        <v>0</v>
      </c>
      <c r="E630" s="71">
        <v>2</v>
      </c>
    </row>
    <row r="631" spans="1:5" x14ac:dyDescent="0.2">
      <c r="A631" s="43" t="s">
        <v>111</v>
      </c>
      <c r="B631" s="6" t="s">
        <v>156</v>
      </c>
      <c r="C631" s="71">
        <v>0</v>
      </c>
      <c r="D631" s="71">
        <v>0</v>
      </c>
      <c r="E631" s="71">
        <v>1</v>
      </c>
    </row>
    <row r="632" spans="1:5" x14ac:dyDescent="0.2">
      <c r="A632" s="43" t="s">
        <v>111</v>
      </c>
      <c r="B632" s="6" t="s">
        <v>157</v>
      </c>
      <c r="C632" s="71">
        <v>0</v>
      </c>
      <c r="D632" s="71">
        <v>0</v>
      </c>
      <c r="E632" s="71">
        <v>0</v>
      </c>
    </row>
    <row r="633" spans="1:5" x14ac:dyDescent="0.2">
      <c r="A633" s="43" t="s">
        <v>111</v>
      </c>
      <c r="B633" s="6" t="s">
        <v>158</v>
      </c>
      <c r="C633" s="71">
        <v>0</v>
      </c>
      <c r="D633" s="71">
        <v>0</v>
      </c>
      <c r="E633" s="71">
        <v>0</v>
      </c>
    </row>
    <row r="634" spans="1:5" x14ac:dyDescent="0.2">
      <c r="A634" s="43" t="s">
        <v>111</v>
      </c>
      <c r="B634" s="6" t="s">
        <v>159</v>
      </c>
      <c r="C634" s="71">
        <v>0</v>
      </c>
      <c r="D634" s="71">
        <v>0</v>
      </c>
      <c r="E634" s="71">
        <v>0</v>
      </c>
    </row>
    <row r="635" spans="1:5" x14ac:dyDescent="0.2">
      <c r="A635" s="43" t="s">
        <v>111</v>
      </c>
      <c r="B635" s="6" t="s">
        <v>160</v>
      </c>
      <c r="C635" s="71">
        <v>0</v>
      </c>
      <c r="D635" s="71">
        <v>0</v>
      </c>
      <c r="E635" s="71">
        <v>0</v>
      </c>
    </row>
    <row r="636" spans="1:5" x14ac:dyDescent="0.2">
      <c r="A636" s="43" t="s">
        <v>111</v>
      </c>
      <c r="B636" s="6" t="s">
        <v>161</v>
      </c>
      <c r="C636" s="71">
        <v>0</v>
      </c>
      <c r="D636" s="71">
        <v>0</v>
      </c>
      <c r="E636" s="71">
        <v>0</v>
      </c>
    </row>
    <row r="637" spans="1:5" x14ac:dyDescent="0.2">
      <c r="A637" s="43" t="s">
        <v>111</v>
      </c>
      <c r="B637" s="6" t="s">
        <v>162</v>
      </c>
      <c r="C637" s="71">
        <v>0</v>
      </c>
      <c r="D637" s="71">
        <v>0</v>
      </c>
      <c r="E637" s="71">
        <v>0</v>
      </c>
    </row>
    <row r="638" spans="1:5" x14ac:dyDescent="0.2">
      <c r="A638" s="43" t="s">
        <v>96</v>
      </c>
      <c r="B638" s="6" t="s">
        <v>151</v>
      </c>
      <c r="C638" s="71">
        <v>0</v>
      </c>
      <c r="D638" s="71">
        <v>0</v>
      </c>
      <c r="E638" s="71">
        <v>0</v>
      </c>
    </row>
    <row r="639" spans="1:5" x14ac:dyDescent="0.2">
      <c r="A639" s="43" t="s">
        <v>96</v>
      </c>
      <c r="B639" s="6" t="s">
        <v>152</v>
      </c>
      <c r="C639" s="71">
        <v>0</v>
      </c>
      <c r="D639" s="71">
        <v>0</v>
      </c>
      <c r="E639" s="71">
        <v>0</v>
      </c>
    </row>
    <row r="640" spans="1:5" x14ac:dyDescent="0.2">
      <c r="A640" s="43" t="s">
        <v>96</v>
      </c>
      <c r="B640" s="6" t="s">
        <v>153</v>
      </c>
      <c r="C640" s="71">
        <v>0</v>
      </c>
      <c r="D640" s="71">
        <v>0</v>
      </c>
      <c r="E640" s="71">
        <v>0</v>
      </c>
    </row>
    <row r="641" spans="1:5" x14ac:dyDescent="0.2">
      <c r="A641" s="43" t="s">
        <v>96</v>
      </c>
      <c r="B641" s="6" t="s">
        <v>154</v>
      </c>
      <c r="C641" s="71">
        <v>0</v>
      </c>
      <c r="D641" s="71">
        <v>0</v>
      </c>
      <c r="E641" s="71">
        <v>0</v>
      </c>
    </row>
    <row r="642" spans="1:5" x14ac:dyDescent="0.2">
      <c r="A642" s="43" t="s">
        <v>96</v>
      </c>
      <c r="B642" s="6" t="s">
        <v>155</v>
      </c>
      <c r="C642" s="71">
        <v>0</v>
      </c>
      <c r="D642" s="71">
        <v>0</v>
      </c>
      <c r="E642" s="71">
        <v>0</v>
      </c>
    </row>
    <row r="643" spans="1:5" x14ac:dyDescent="0.2">
      <c r="A643" s="43" t="s">
        <v>96</v>
      </c>
      <c r="B643" s="6" t="s">
        <v>156</v>
      </c>
      <c r="C643" s="71">
        <v>0</v>
      </c>
      <c r="D643" s="71">
        <v>0</v>
      </c>
      <c r="E643" s="71">
        <v>0</v>
      </c>
    </row>
    <row r="644" spans="1:5" x14ac:dyDescent="0.2">
      <c r="A644" s="43" t="s">
        <v>96</v>
      </c>
      <c r="B644" s="6" t="s">
        <v>157</v>
      </c>
      <c r="C644" s="71">
        <v>0</v>
      </c>
      <c r="D644" s="71">
        <v>0</v>
      </c>
      <c r="E644" s="71">
        <v>0</v>
      </c>
    </row>
    <row r="645" spans="1:5" x14ac:dyDescent="0.2">
      <c r="A645" s="43" t="s">
        <v>96</v>
      </c>
      <c r="B645" s="6" t="s">
        <v>158</v>
      </c>
      <c r="C645" s="71">
        <v>0</v>
      </c>
      <c r="D645" s="71">
        <v>0</v>
      </c>
      <c r="E645" s="71">
        <v>1</v>
      </c>
    </row>
    <row r="646" spans="1:5" x14ac:dyDescent="0.2">
      <c r="A646" s="43" t="s">
        <v>96</v>
      </c>
      <c r="B646" s="6" t="s">
        <v>159</v>
      </c>
      <c r="C646" s="71">
        <v>0</v>
      </c>
      <c r="D646" s="71">
        <v>0</v>
      </c>
      <c r="E646" s="71">
        <v>0</v>
      </c>
    </row>
    <row r="647" spans="1:5" x14ac:dyDescent="0.2">
      <c r="A647" s="43" t="s">
        <v>96</v>
      </c>
      <c r="B647" s="6" t="s">
        <v>160</v>
      </c>
      <c r="C647" s="71">
        <v>0</v>
      </c>
      <c r="D647" s="71">
        <v>0</v>
      </c>
      <c r="E647" s="71">
        <v>0</v>
      </c>
    </row>
    <row r="648" spans="1:5" x14ac:dyDescent="0.2">
      <c r="A648" s="43" t="s">
        <v>96</v>
      </c>
      <c r="B648" s="6" t="s">
        <v>161</v>
      </c>
      <c r="C648" s="71">
        <v>0</v>
      </c>
      <c r="D648" s="71">
        <v>0</v>
      </c>
      <c r="E648" s="71">
        <v>0</v>
      </c>
    </row>
    <row r="649" spans="1:5" x14ac:dyDescent="0.2">
      <c r="A649" s="43" t="s">
        <v>96</v>
      </c>
      <c r="B649" s="6" t="s">
        <v>162</v>
      </c>
      <c r="C649" s="71">
        <v>0</v>
      </c>
      <c r="D649" s="71">
        <v>0</v>
      </c>
      <c r="E649" s="71">
        <v>0</v>
      </c>
    </row>
    <row r="650" spans="1:5" x14ac:dyDescent="0.2">
      <c r="A650" s="43" t="s">
        <v>66</v>
      </c>
      <c r="B650" s="6" t="s">
        <v>151</v>
      </c>
      <c r="C650" s="71">
        <v>0</v>
      </c>
      <c r="D650" s="71">
        <v>0</v>
      </c>
      <c r="E650" s="71">
        <v>0</v>
      </c>
    </row>
    <row r="651" spans="1:5" x14ac:dyDescent="0.2">
      <c r="A651" s="43" t="s">
        <v>66</v>
      </c>
      <c r="B651" s="6" t="s">
        <v>152</v>
      </c>
      <c r="C651" s="71">
        <v>0</v>
      </c>
      <c r="D651" s="71">
        <v>0</v>
      </c>
      <c r="E651" s="71">
        <v>1</v>
      </c>
    </row>
    <row r="652" spans="1:5" x14ac:dyDescent="0.2">
      <c r="A652" s="43" t="s">
        <v>66</v>
      </c>
      <c r="B652" s="6" t="s">
        <v>153</v>
      </c>
      <c r="C652" s="71">
        <v>0</v>
      </c>
      <c r="D652" s="71">
        <v>0</v>
      </c>
      <c r="E652" s="71">
        <v>0</v>
      </c>
    </row>
    <row r="653" spans="1:5" x14ac:dyDescent="0.2">
      <c r="A653" s="43" t="s">
        <v>66</v>
      </c>
      <c r="B653" s="6" t="s">
        <v>154</v>
      </c>
      <c r="C653" s="71">
        <v>0</v>
      </c>
      <c r="D653" s="71">
        <v>0</v>
      </c>
      <c r="E653" s="71">
        <v>0</v>
      </c>
    </row>
    <row r="654" spans="1:5" x14ac:dyDescent="0.2">
      <c r="A654" s="43" t="s">
        <v>66</v>
      </c>
      <c r="B654" s="6" t="s">
        <v>155</v>
      </c>
      <c r="C654" s="71">
        <v>0</v>
      </c>
      <c r="D654" s="71">
        <v>0</v>
      </c>
      <c r="E654" s="71">
        <v>0</v>
      </c>
    </row>
    <row r="655" spans="1:5" x14ac:dyDescent="0.2">
      <c r="A655" s="43" t="s">
        <v>66</v>
      </c>
      <c r="B655" s="6" t="s">
        <v>156</v>
      </c>
      <c r="C655" s="71">
        <v>0</v>
      </c>
      <c r="D655" s="71">
        <v>2</v>
      </c>
      <c r="E655" s="71">
        <v>4</v>
      </c>
    </row>
    <row r="656" spans="1:5" x14ac:dyDescent="0.2">
      <c r="A656" s="43" t="s">
        <v>66</v>
      </c>
      <c r="B656" s="6" t="s">
        <v>157</v>
      </c>
      <c r="C656" s="71">
        <v>0</v>
      </c>
      <c r="D656" s="71">
        <v>0</v>
      </c>
      <c r="E656" s="71">
        <v>0</v>
      </c>
    </row>
    <row r="657" spans="1:5" x14ac:dyDescent="0.2">
      <c r="A657" s="43" t="s">
        <v>66</v>
      </c>
      <c r="B657" s="6" t="s">
        <v>158</v>
      </c>
      <c r="C657" s="71">
        <v>0</v>
      </c>
      <c r="D657" s="71">
        <v>0</v>
      </c>
      <c r="E657" s="71">
        <v>0</v>
      </c>
    </row>
    <row r="658" spans="1:5" x14ac:dyDescent="0.2">
      <c r="A658" s="43" t="s">
        <v>66</v>
      </c>
      <c r="B658" s="6" t="s">
        <v>159</v>
      </c>
      <c r="C658" s="71">
        <v>0</v>
      </c>
      <c r="D658" s="71">
        <v>0</v>
      </c>
      <c r="E658" s="71">
        <v>0</v>
      </c>
    </row>
    <row r="659" spans="1:5" x14ac:dyDescent="0.2">
      <c r="A659" s="43" t="s">
        <v>66</v>
      </c>
      <c r="B659" s="6" t="s">
        <v>160</v>
      </c>
      <c r="C659" s="71">
        <v>0</v>
      </c>
      <c r="D659" s="71">
        <v>0</v>
      </c>
      <c r="E659" s="71">
        <v>0</v>
      </c>
    </row>
    <row r="660" spans="1:5" x14ac:dyDescent="0.2">
      <c r="A660" s="43" t="s">
        <v>66</v>
      </c>
      <c r="B660" s="6" t="s">
        <v>161</v>
      </c>
      <c r="C660" s="71">
        <v>0</v>
      </c>
      <c r="D660" s="71">
        <v>0</v>
      </c>
      <c r="E660" s="71">
        <v>0</v>
      </c>
    </row>
    <row r="661" spans="1:5" x14ac:dyDescent="0.2">
      <c r="A661" s="43" t="s">
        <v>66</v>
      </c>
      <c r="B661" s="6" t="s">
        <v>162</v>
      </c>
      <c r="C661" s="71">
        <v>0</v>
      </c>
      <c r="D661" s="71">
        <v>0</v>
      </c>
      <c r="E661" s="71">
        <v>0</v>
      </c>
    </row>
    <row r="662" spans="1:5" x14ac:dyDescent="0.2">
      <c r="A662" s="43" t="s">
        <v>146</v>
      </c>
      <c r="B662" s="6" t="s">
        <v>151</v>
      </c>
      <c r="C662" s="71">
        <v>0</v>
      </c>
      <c r="D662" s="71">
        <v>0</v>
      </c>
      <c r="E662" s="71">
        <v>0</v>
      </c>
    </row>
    <row r="663" spans="1:5" x14ac:dyDescent="0.2">
      <c r="A663" s="43" t="s">
        <v>146</v>
      </c>
      <c r="B663" s="6" t="s">
        <v>152</v>
      </c>
      <c r="C663" s="71">
        <v>0</v>
      </c>
      <c r="D663" s="71">
        <v>0</v>
      </c>
      <c r="E663" s="71">
        <v>0</v>
      </c>
    </row>
    <row r="664" spans="1:5" x14ac:dyDescent="0.2">
      <c r="A664" s="43" t="s">
        <v>146</v>
      </c>
      <c r="B664" s="6" t="s">
        <v>153</v>
      </c>
      <c r="C664" s="71">
        <v>0</v>
      </c>
      <c r="D664" s="71">
        <v>0</v>
      </c>
      <c r="E664" s="71">
        <v>0</v>
      </c>
    </row>
    <row r="665" spans="1:5" x14ac:dyDescent="0.2">
      <c r="A665" s="43" t="s">
        <v>146</v>
      </c>
      <c r="B665" s="6" t="s">
        <v>154</v>
      </c>
      <c r="C665" s="71">
        <v>0</v>
      </c>
      <c r="D665" s="71">
        <v>0</v>
      </c>
      <c r="E665" s="71">
        <v>0</v>
      </c>
    </row>
    <row r="666" spans="1:5" x14ac:dyDescent="0.2">
      <c r="A666" s="43" t="s">
        <v>146</v>
      </c>
      <c r="B666" s="6" t="s">
        <v>155</v>
      </c>
      <c r="C666" s="71">
        <v>0</v>
      </c>
      <c r="D666" s="71">
        <v>0</v>
      </c>
      <c r="E666" s="71">
        <v>0</v>
      </c>
    </row>
    <row r="667" spans="1:5" x14ac:dyDescent="0.2">
      <c r="A667" s="43" t="s">
        <v>146</v>
      </c>
      <c r="B667" s="6" t="s">
        <v>156</v>
      </c>
      <c r="C667" s="71">
        <v>0</v>
      </c>
      <c r="D667" s="71">
        <v>0</v>
      </c>
      <c r="E667" s="71">
        <v>0</v>
      </c>
    </row>
    <row r="668" spans="1:5" x14ac:dyDescent="0.2">
      <c r="A668" s="43" t="s">
        <v>146</v>
      </c>
      <c r="B668" s="6" t="s">
        <v>157</v>
      </c>
      <c r="C668" s="71">
        <v>0</v>
      </c>
      <c r="D668" s="71">
        <v>0</v>
      </c>
      <c r="E668" s="71">
        <v>0</v>
      </c>
    </row>
    <row r="669" spans="1:5" x14ac:dyDescent="0.2">
      <c r="A669" s="43" t="s">
        <v>146</v>
      </c>
      <c r="B669" s="6" t="s">
        <v>158</v>
      </c>
      <c r="C669" s="71">
        <v>0</v>
      </c>
      <c r="D669" s="71">
        <v>0</v>
      </c>
      <c r="E669" s="71">
        <v>0</v>
      </c>
    </row>
    <row r="670" spans="1:5" x14ac:dyDescent="0.2">
      <c r="A670" s="43" t="s">
        <v>146</v>
      </c>
      <c r="B670" s="6" t="s">
        <v>159</v>
      </c>
      <c r="C670" s="71">
        <v>0</v>
      </c>
      <c r="D670" s="71">
        <v>0</v>
      </c>
      <c r="E670" s="71">
        <v>0</v>
      </c>
    </row>
    <row r="671" spans="1:5" x14ac:dyDescent="0.2">
      <c r="A671" s="43" t="s">
        <v>146</v>
      </c>
      <c r="B671" s="6" t="s">
        <v>160</v>
      </c>
      <c r="C671" s="71">
        <v>0</v>
      </c>
      <c r="D671" s="71">
        <v>0</v>
      </c>
      <c r="E671" s="71">
        <v>0</v>
      </c>
    </row>
    <row r="672" spans="1:5" x14ac:dyDescent="0.2">
      <c r="A672" s="43" t="s">
        <v>146</v>
      </c>
      <c r="B672" s="6" t="s">
        <v>161</v>
      </c>
      <c r="C672" s="71">
        <v>0</v>
      </c>
      <c r="D672" s="71">
        <v>0</v>
      </c>
      <c r="E672" s="71">
        <v>0</v>
      </c>
    </row>
    <row r="673" spans="1:5" x14ac:dyDescent="0.2">
      <c r="A673" s="43" t="s">
        <v>146</v>
      </c>
      <c r="B673" s="6" t="s">
        <v>162</v>
      </c>
      <c r="C673" s="71">
        <v>0</v>
      </c>
      <c r="D673" s="71">
        <v>0</v>
      </c>
      <c r="E673" s="71">
        <v>0</v>
      </c>
    </row>
    <row r="674" spans="1:5" x14ac:dyDescent="0.2">
      <c r="A674" s="43" t="s">
        <v>131</v>
      </c>
      <c r="B674" s="6" t="s">
        <v>151</v>
      </c>
      <c r="C674" s="71">
        <v>0</v>
      </c>
      <c r="D674" s="71">
        <v>0</v>
      </c>
      <c r="E674" s="71">
        <v>1</v>
      </c>
    </row>
    <row r="675" spans="1:5" x14ac:dyDescent="0.2">
      <c r="A675" s="43" t="s">
        <v>131</v>
      </c>
      <c r="B675" s="6" t="s">
        <v>152</v>
      </c>
      <c r="C675" s="71">
        <v>0</v>
      </c>
      <c r="D675" s="71">
        <v>0</v>
      </c>
      <c r="E675" s="71">
        <v>1</v>
      </c>
    </row>
    <row r="676" spans="1:5" x14ac:dyDescent="0.2">
      <c r="A676" s="43" t="s">
        <v>131</v>
      </c>
      <c r="B676" s="6" t="s">
        <v>153</v>
      </c>
      <c r="C676" s="71">
        <v>0</v>
      </c>
      <c r="D676" s="71">
        <v>0</v>
      </c>
      <c r="E676" s="71">
        <v>1</v>
      </c>
    </row>
    <row r="677" spans="1:5" x14ac:dyDescent="0.2">
      <c r="A677" s="43" t="s">
        <v>131</v>
      </c>
      <c r="B677" s="6" t="s">
        <v>154</v>
      </c>
      <c r="C677" s="71">
        <v>0</v>
      </c>
      <c r="D677" s="71">
        <v>0</v>
      </c>
      <c r="E677" s="71">
        <v>0</v>
      </c>
    </row>
    <row r="678" spans="1:5" x14ac:dyDescent="0.2">
      <c r="A678" s="43" t="s">
        <v>131</v>
      </c>
      <c r="B678" s="6" t="s">
        <v>155</v>
      </c>
      <c r="C678" s="71">
        <v>0</v>
      </c>
      <c r="D678" s="71">
        <v>1</v>
      </c>
      <c r="E678" s="71">
        <v>0</v>
      </c>
    </row>
    <row r="679" spans="1:5" x14ac:dyDescent="0.2">
      <c r="A679" s="43" t="s">
        <v>131</v>
      </c>
      <c r="B679" s="6" t="s">
        <v>156</v>
      </c>
      <c r="C679" s="71">
        <v>0</v>
      </c>
      <c r="D679" s="71">
        <v>0</v>
      </c>
      <c r="E679" s="71">
        <v>0</v>
      </c>
    </row>
    <row r="680" spans="1:5" x14ac:dyDescent="0.2">
      <c r="A680" s="43" t="s">
        <v>131</v>
      </c>
      <c r="B680" s="6" t="s">
        <v>157</v>
      </c>
      <c r="C680" s="71">
        <v>0</v>
      </c>
      <c r="D680" s="71">
        <v>0</v>
      </c>
      <c r="E680" s="71">
        <v>0</v>
      </c>
    </row>
    <row r="681" spans="1:5" x14ac:dyDescent="0.2">
      <c r="A681" s="43" t="s">
        <v>131</v>
      </c>
      <c r="B681" s="6" t="s">
        <v>158</v>
      </c>
      <c r="C681" s="71">
        <v>0</v>
      </c>
      <c r="D681" s="71">
        <v>0</v>
      </c>
      <c r="E681" s="71">
        <v>0</v>
      </c>
    </row>
    <row r="682" spans="1:5" x14ac:dyDescent="0.2">
      <c r="A682" s="43" t="s">
        <v>131</v>
      </c>
      <c r="B682" s="6" t="s">
        <v>159</v>
      </c>
      <c r="C682" s="71">
        <v>0</v>
      </c>
      <c r="D682" s="71">
        <v>0</v>
      </c>
      <c r="E682" s="71">
        <v>0</v>
      </c>
    </row>
    <row r="683" spans="1:5" x14ac:dyDescent="0.2">
      <c r="A683" s="43" t="s">
        <v>131</v>
      </c>
      <c r="B683" s="6" t="s">
        <v>160</v>
      </c>
      <c r="C683" s="71">
        <v>0</v>
      </c>
      <c r="D683" s="71">
        <v>0</v>
      </c>
      <c r="E683" s="71">
        <v>0</v>
      </c>
    </row>
    <row r="684" spans="1:5" x14ac:dyDescent="0.2">
      <c r="A684" s="43" t="s">
        <v>131</v>
      </c>
      <c r="B684" s="6" t="s">
        <v>161</v>
      </c>
      <c r="C684" s="71">
        <v>0</v>
      </c>
      <c r="D684" s="71">
        <v>0</v>
      </c>
      <c r="E684" s="71">
        <v>0</v>
      </c>
    </row>
    <row r="685" spans="1:5" x14ac:dyDescent="0.2">
      <c r="A685" s="43" t="s">
        <v>131</v>
      </c>
      <c r="B685" s="6" t="s">
        <v>162</v>
      </c>
      <c r="C685" s="71">
        <v>0</v>
      </c>
      <c r="D685" s="71">
        <v>0</v>
      </c>
      <c r="E685" s="71">
        <v>0</v>
      </c>
    </row>
    <row r="686" spans="1:5" x14ac:dyDescent="0.2">
      <c r="A686" s="43" t="s">
        <v>301</v>
      </c>
      <c r="B686" s="6" t="s">
        <v>151</v>
      </c>
      <c r="C686" s="71">
        <v>0</v>
      </c>
      <c r="D686" s="71">
        <v>0</v>
      </c>
      <c r="E686" s="71">
        <v>0</v>
      </c>
    </row>
    <row r="687" spans="1:5" x14ac:dyDescent="0.2">
      <c r="A687" s="43" t="s">
        <v>301</v>
      </c>
      <c r="B687" s="6" t="s">
        <v>152</v>
      </c>
      <c r="C687" s="71">
        <v>0</v>
      </c>
      <c r="D687" s="71">
        <v>0</v>
      </c>
      <c r="E687" s="71">
        <v>0</v>
      </c>
    </row>
    <row r="688" spans="1:5" x14ac:dyDescent="0.2">
      <c r="A688" s="43" t="s">
        <v>301</v>
      </c>
      <c r="B688" s="6" t="s">
        <v>153</v>
      </c>
      <c r="C688" s="71">
        <v>0</v>
      </c>
      <c r="D688" s="71">
        <v>0</v>
      </c>
      <c r="E688" s="71">
        <v>0</v>
      </c>
    </row>
    <row r="689" spans="1:5" x14ac:dyDescent="0.2">
      <c r="A689" s="43" t="s">
        <v>301</v>
      </c>
      <c r="B689" s="6" t="s">
        <v>154</v>
      </c>
      <c r="C689" s="71">
        <v>0</v>
      </c>
      <c r="D689" s="71">
        <v>0</v>
      </c>
      <c r="E689" s="71">
        <v>0</v>
      </c>
    </row>
    <row r="690" spans="1:5" x14ac:dyDescent="0.2">
      <c r="A690" s="43" t="s">
        <v>301</v>
      </c>
      <c r="B690" s="6" t="s">
        <v>155</v>
      </c>
      <c r="C690" s="71">
        <v>0</v>
      </c>
      <c r="D690" s="71">
        <v>0</v>
      </c>
      <c r="E690" s="71">
        <v>0</v>
      </c>
    </row>
    <row r="691" spans="1:5" x14ac:dyDescent="0.2">
      <c r="A691" s="43" t="s">
        <v>301</v>
      </c>
      <c r="B691" s="6" t="s">
        <v>156</v>
      </c>
      <c r="C691" s="71">
        <v>0</v>
      </c>
      <c r="D691" s="71">
        <v>0</v>
      </c>
      <c r="E691" s="71">
        <v>0</v>
      </c>
    </row>
    <row r="692" spans="1:5" x14ac:dyDescent="0.2">
      <c r="A692" s="43" t="s">
        <v>301</v>
      </c>
      <c r="B692" s="6" t="s">
        <v>157</v>
      </c>
      <c r="C692" s="71">
        <v>0</v>
      </c>
      <c r="D692" s="71">
        <v>0</v>
      </c>
      <c r="E692" s="71">
        <v>0</v>
      </c>
    </row>
    <row r="693" spans="1:5" x14ac:dyDescent="0.2">
      <c r="A693" s="43" t="s">
        <v>301</v>
      </c>
      <c r="B693" s="6" t="s">
        <v>158</v>
      </c>
      <c r="C693" s="71">
        <v>0</v>
      </c>
      <c r="D693" s="71">
        <v>0</v>
      </c>
      <c r="E693" s="71">
        <v>1</v>
      </c>
    </row>
    <row r="694" spans="1:5" x14ac:dyDescent="0.2">
      <c r="A694" s="43" t="s">
        <v>301</v>
      </c>
      <c r="B694" s="6" t="s">
        <v>159</v>
      </c>
      <c r="C694" s="71">
        <v>0</v>
      </c>
      <c r="D694" s="71">
        <v>0</v>
      </c>
      <c r="E694" s="71">
        <v>0</v>
      </c>
    </row>
    <row r="695" spans="1:5" x14ac:dyDescent="0.2">
      <c r="A695" s="43" t="s">
        <v>301</v>
      </c>
      <c r="B695" s="6" t="s">
        <v>160</v>
      </c>
      <c r="C695" s="71">
        <v>0</v>
      </c>
      <c r="D695" s="71">
        <v>0</v>
      </c>
      <c r="E695" s="71">
        <v>0</v>
      </c>
    </row>
    <row r="696" spans="1:5" x14ac:dyDescent="0.2">
      <c r="A696" s="43" t="s">
        <v>301</v>
      </c>
      <c r="B696" s="6" t="s">
        <v>161</v>
      </c>
      <c r="C696" s="71">
        <v>0</v>
      </c>
      <c r="D696" s="71">
        <v>0</v>
      </c>
      <c r="E696" s="71">
        <v>0</v>
      </c>
    </row>
    <row r="697" spans="1:5" x14ac:dyDescent="0.2">
      <c r="A697" s="43" t="s">
        <v>301</v>
      </c>
      <c r="B697" s="6" t="s">
        <v>162</v>
      </c>
      <c r="C697" s="71">
        <v>0</v>
      </c>
      <c r="D697" s="71">
        <v>0</v>
      </c>
      <c r="E697" s="71">
        <v>0</v>
      </c>
    </row>
    <row r="698" spans="1:5" x14ac:dyDescent="0.2">
      <c r="A698" s="43" t="s">
        <v>42</v>
      </c>
      <c r="B698" s="6" t="s">
        <v>151</v>
      </c>
      <c r="C698" s="71">
        <v>0</v>
      </c>
      <c r="D698" s="71">
        <v>0</v>
      </c>
      <c r="E698" s="71">
        <v>0</v>
      </c>
    </row>
    <row r="699" spans="1:5" x14ac:dyDescent="0.2">
      <c r="A699" s="43" t="s">
        <v>42</v>
      </c>
      <c r="B699" s="6" t="s">
        <v>152</v>
      </c>
      <c r="C699" s="71">
        <v>0</v>
      </c>
      <c r="D699" s="71">
        <v>0</v>
      </c>
      <c r="E699" s="71">
        <v>0</v>
      </c>
    </row>
    <row r="700" spans="1:5" x14ac:dyDescent="0.2">
      <c r="A700" s="43" t="s">
        <v>42</v>
      </c>
      <c r="B700" s="6" t="s">
        <v>153</v>
      </c>
      <c r="C700" s="71">
        <v>0</v>
      </c>
      <c r="D700" s="71">
        <v>0</v>
      </c>
      <c r="E700" s="71">
        <v>0</v>
      </c>
    </row>
    <row r="701" spans="1:5" x14ac:dyDescent="0.2">
      <c r="A701" s="43" t="s">
        <v>42</v>
      </c>
      <c r="B701" s="6" t="s">
        <v>154</v>
      </c>
      <c r="C701" s="71">
        <v>0</v>
      </c>
      <c r="D701" s="71">
        <v>0</v>
      </c>
      <c r="E701" s="71">
        <v>0</v>
      </c>
    </row>
    <row r="702" spans="1:5" x14ac:dyDescent="0.2">
      <c r="A702" s="43" t="s">
        <v>42</v>
      </c>
      <c r="B702" s="6" t="s">
        <v>155</v>
      </c>
      <c r="C702" s="71">
        <v>0</v>
      </c>
      <c r="D702" s="71">
        <v>0</v>
      </c>
      <c r="E702" s="71">
        <v>1</v>
      </c>
    </row>
    <row r="703" spans="1:5" x14ac:dyDescent="0.2">
      <c r="A703" s="43" t="s">
        <v>42</v>
      </c>
      <c r="B703" s="6" t="s">
        <v>156</v>
      </c>
      <c r="C703" s="71">
        <v>0</v>
      </c>
      <c r="D703" s="71">
        <v>0</v>
      </c>
      <c r="E703" s="71">
        <v>0</v>
      </c>
    </row>
    <row r="704" spans="1:5" x14ac:dyDescent="0.2">
      <c r="A704" s="43" t="s">
        <v>42</v>
      </c>
      <c r="B704" s="6" t="s">
        <v>157</v>
      </c>
      <c r="C704" s="71">
        <v>0</v>
      </c>
      <c r="D704" s="71">
        <v>0</v>
      </c>
      <c r="E704" s="71">
        <v>1</v>
      </c>
    </row>
    <row r="705" spans="1:5" x14ac:dyDescent="0.2">
      <c r="A705" s="43" t="s">
        <v>42</v>
      </c>
      <c r="B705" s="6" t="s">
        <v>158</v>
      </c>
      <c r="C705" s="71">
        <v>0</v>
      </c>
      <c r="D705" s="71">
        <v>0</v>
      </c>
      <c r="E705" s="71">
        <v>0</v>
      </c>
    </row>
    <row r="706" spans="1:5" x14ac:dyDescent="0.2">
      <c r="A706" s="43" t="s">
        <v>42</v>
      </c>
      <c r="B706" s="6" t="s">
        <v>159</v>
      </c>
      <c r="C706" s="71">
        <v>0</v>
      </c>
      <c r="D706" s="71">
        <v>0</v>
      </c>
      <c r="E706" s="71">
        <v>0</v>
      </c>
    </row>
    <row r="707" spans="1:5" x14ac:dyDescent="0.2">
      <c r="A707" s="43" t="s">
        <v>42</v>
      </c>
      <c r="B707" s="6" t="s">
        <v>160</v>
      </c>
      <c r="C707" s="71">
        <v>0</v>
      </c>
      <c r="D707" s="71">
        <v>0</v>
      </c>
      <c r="E707" s="71">
        <v>0</v>
      </c>
    </row>
    <row r="708" spans="1:5" x14ac:dyDescent="0.2">
      <c r="A708" s="43" t="s">
        <v>42</v>
      </c>
      <c r="B708" s="6" t="s">
        <v>161</v>
      </c>
      <c r="C708" s="71">
        <v>0</v>
      </c>
      <c r="D708" s="71">
        <v>0</v>
      </c>
      <c r="E708" s="71">
        <v>0</v>
      </c>
    </row>
    <row r="709" spans="1:5" x14ac:dyDescent="0.2">
      <c r="A709" s="43" t="s">
        <v>42</v>
      </c>
      <c r="B709" s="6" t="s">
        <v>162</v>
      </c>
      <c r="C709" s="71">
        <v>0</v>
      </c>
      <c r="D709" s="71">
        <v>0</v>
      </c>
      <c r="E709" s="71">
        <v>0</v>
      </c>
    </row>
    <row r="710" spans="1:5" x14ac:dyDescent="0.2">
      <c r="A710" s="43" t="s">
        <v>108</v>
      </c>
      <c r="B710" s="6" t="s">
        <v>151</v>
      </c>
      <c r="C710" s="71">
        <v>0</v>
      </c>
      <c r="D710" s="71">
        <v>0</v>
      </c>
      <c r="E710" s="71">
        <v>0</v>
      </c>
    </row>
    <row r="711" spans="1:5" x14ac:dyDescent="0.2">
      <c r="A711" s="43" t="s">
        <v>108</v>
      </c>
      <c r="B711" s="6" t="s">
        <v>152</v>
      </c>
      <c r="C711" s="71">
        <v>0</v>
      </c>
      <c r="D711" s="71">
        <v>0</v>
      </c>
      <c r="E711" s="71">
        <v>0</v>
      </c>
    </row>
    <row r="712" spans="1:5" x14ac:dyDescent="0.2">
      <c r="A712" s="43" t="s">
        <v>108</v>
      </c>
      <c r="B712" s="6" t="s">
        <v>153</v>
      </c>
      <c r="C712" s="71">
        <v>0</v>
      </c>
      <c r="D712" s="71">
        <v>0</v>
      </c>
      <c r="E712" s="71">
        <v>0</v>
      </c>
    </row>
    <row r="713" spans="1:5" x14ac:dyDescent="0.2">
      <c r="A713" s="43" t="s">
        <v>108</v>
      </c>
      <c r="B713" s="6" t="s">
        <v>154</v>
      </c>
      <c r="C713" s="71">
        <v>0</v>
      </c>
      <c r="D713" s="71">
        <v>0</v>
      </c>
      <c r="E713" s="71">
        <v>0</v>
      </c>
    </row>
    <row r="714" spans="1:5" x14ac:dyDescent="0.2">
      <c r="A714" s="43" t="s">
        <v>108</v>
      </c>
      <c r="B714" s="6" t="s">
        <v>155</v>
      </c>
      <c r="C714" s="71">
        <v>0</v>
      </c>
      <c r="D714" s="71">
        <v>0</v>
      </c>
      <c r="E714" s="71">
        <v>0</v>
      </c>
    </row>
    <row r="715" spans="1:5" x14ac:dyDescent="0.2">
      <c r="A715" s="43" t="s">
        <v>108</v>
      </c>
      <c r="B715" s="6" t="s">
        <v>156</v>
      </c>
      <c r="C715" s="71">
        <v>0</v>
      </c>
      <c r="D715" s="71">
        <v>0</v>
      </c>
      <c r="E715" s="71">
        <v>0</v>
      </c>
    </row>
    <row r="716" spans="1:5" x14ac:dyDescent="0.2">
      <c r="A716" s="43" t="s">
        <v>108</v>
      </c>
      <c r="B716" s="6" t="s">
        <v>157</v>
      </c>
      <c r="C716" s="71">
        <v>0</v>
      </c>
      <c r="D716" s="71">
        <v>0</v>
      </c>
      <c r="E716" s="71">
        <v>0</v>
      </c>
    </row>
    <row r="717" spans="1:5" x14ac:dyDescent="0.2">
      <c r="A717" s="43" t="s">
        <v>108</v>
      </c>
      <c r="B717" s="6" t="s">
        <v>158</v>
      </c>
      <c r="C717" s="71">
        <v>0</v>
      </c>
      <c r="D717" s="71">
        <v>0</v>
      </c>
      <c r="E717" s="71">
        <v>0</v>
      </c>
    </row>
    <row r="718" spans="1:5" x14ac:dyDescent="0.2">
      <c r="A718" s="43" t="s">
        <v>108</v>
      </c>
      <c r="B718" s="6" t="s">
        <v>159</v>
      </c>
      <c r="C718" s="71">
        <v>0</v>
      </c>
      <c r="D718" s="71">
        <v>0</v>
      </c>
      <c r="E718" s="71">
        <v>0</v>
      </c>
    </row>
    <row r="719" spans="1:5" x14ac:dyDescent="0.2">
      <c r="A719" s="43" t="s">
        <v>108</v>
      </c>
      <c r="B719" s="6" t="s">
        <v>160</v>
      </c>
      <c r="C719" s="71">
        <v>0</v>
      </c>
      <c r="D719" s="71">
        <v>0</v>
      </c>
      <c r="E719" s="71">
        <v>0</v>
      </c>
    </row>
    <row r="720" spans="1:5" x14ac:dyDescent="0.2">
      <c r="A720" s="43" t="s">
        <v>108</v>
      </c>
      <c r="B720" s="6" t="s">
        <v>161</v>
      </c>
      <c r="C720" s="71">
        <v>0</v>
      </c>
      <c r="D720" s="71">
        <v>0</v>
      </c>
      <c r="E720" s="71">
        <v>0</v>
      </c>
    </row>
    <row r="721" spans="1:5" x14ac:dyDescent="0.2">
      <c r="A721" s="43" t="s">
        <v>108</v>
      </c>
      <c r="B721" s="6" t="s">
        <v>162</v>
      </c>
      <c r="C721" s="71">
        <v>0</v>
      </c>
      <c r="D721" s="71">
        <v>0</v>
      </c>
      <c r="E721" s="71">
        <v>0</v>
      </c>
    </row>
    <row r="722" spans="1:5" x14ac:dyDescent="0.2">
      <c r="A722" s="43" t="s">
        <v>129</v>
      </c>
      <c r="B722" s="6" t="s">
        <v>151</v>
      </c>
      <c r="C722" s="71">
        <v>0</v>
      </c>
      <c r="D722" s="71">
        <v>0</v>
      </c>
      <c r="E722" s="71">
        <v>0</v>
      </c>
    </row>
    <row r="723" spans="1:5" x14ac:dyDescent="0.2">
      <c r="A723" s="43" t="s">
        <v>129</v>
      </c>
      <c r="B723" s="6" t="s">
        <v>152</v>
      </c>
      <c r="C723" s="71">
        <v>0</v>
      </c>
      <c r="D723" s="71">
        <v>0</v>
      </c>
      <c r="E723" s="71">
        <v>0</v>
      </c>
    </row>
    <row r="724" spans="1:5" x14ac:dyDescent="0.2">
      <c r="A724" s="43" t="s">
        <v>129</v>
      </c>
      <c r="B724" s="6" t="s">
        <v>153</v>
      </c>
      <c r="C724" s="71">
        <v>0</v>
      </c>
      <c r="D724" s="71">
        <v>0</v>
      </c>
      <c r="E724" s="71">
        <v>0</v>
      </c>
    </row>
    <row r="725" spans="1:5" x14ac:dyDescent="0.2">
      <c r="A725" s="43" t="s">
        <v>129</v>
      </c>
      <c r="B725" s="6" t="s">
        <v>154</v>
      </c>
      <c r="C725" s="71">
        <v>0</v>
      </c>
      <c r="D725" s="71">
        <v>0</v>
      </c>
      <c r="E725" s="71">
        <v>0</v>
      </c>
    </row>
    <row r="726" spans="1:5" x14ac:dyDescent="0.2">
      <c r="A726" s="43" t="s">
        <v>129</v>
      </c>
      <c r="B726" s="6" t="s">
        <v>155</v>
      </c>
      <c r="C726" s="71">
        <v>0</v>
      </c>
      <c r="D726" s="71">
        <v>0</v>
      </c>
      <c r="E726" s="71">
        <v>0</v>
      </c>
    </row>
    <row r="727" spans="1:5" x14ac:dyDescent="0.2">
      <c r="A727" s="43" t="s">
        <v>129</v>
      </c>
      <c r="B727" s="6" t="s">
        <v>156</v>
      </c>
      <c r="C727" s="71">
        <v>0</v>
      </c>
      <c r="D727" s="71">
        <v>0</v>
      </c>
      <c r="E727" s="71">
        <v>0</v>
      </c>
    </row>
    <row r="728" spans="1:5" x14ac:dyDescent="0.2">
      <c r="A728" s="43" t="s">
        <v>129</v>
      </c>
      <c r="B728" s="6" t="s">
        <v>157</v>
      </c>
      <c r="C728" s="71">
        <v>0</v>
      </c>
      <c r="D728" s="71">
        <v>0</v>
      </c>
      <c r="E728" s="71">
        <v>0</v>
      </c>
    </row>
    <row r="729" spans="1:5" x14ac:dyDescent="0.2">
      <c r="A729" s="43" t="s">
        <v>129</v>
      </c>
      <c r="B729" s="6" t="s">
        <v>158</v>
      </c>
      <c r="C729" s="71">
        <v>0</v>
      </c>
      <c r="D729" s="71">
        <v>0</v>
      </c>
      <c r="E729" s="71">
        <v>0</v>
      </c>
    </row>
    <row r="730" spans="1:5" x14ac:dyDescent="0.2">
      <c r="A730" s="43" t="s">
        <v>129</v>
      </c>
      <c r="B730" s="6" t="s">
        <v>159</v>
      </c>
      <c r="C730" s="71">
        <v>0</v>
      </c>
      <c r="D730" s="71">
        <v>0</v>
      </c>
      <c r="E730" s="71">
        <v>0</v>
      </c>
    </row>
    <row r="731" spans="1:5" x14ac:dyDescent="0.2">
      <c r="A731" s="43" t="s">
        <v>129</v>
      </c>
      <c r="B731" s="6" t="s">
        <v>160</v>
      </c>
      <c r="C731" s="71">
        <v>0</v>
      </c>
      <c r="D731" s="71">
        <v>0</v>
      </c>
      <c r="E731" s="71">
        <v>0</v>
      </c>
    </row>
    <row r="732" spans="1:5" x14ac:dyDescent="0.2">
      <c r="A732" s="43" t="s">
        <v>129</v>
      </c>
      <c r="B732" s="6" t="s">
        <v>161</v>
      </c>
      <c r="C732" s="71">
        <v>0</v>
      </c>
      <c r="D732" s="71">
        <v>0</v>
      </c>
      <c r="E732" s="71">
        <v>0</v>
      </c>
    </row>
    <row r="733" spans="1:5" x14ac:dyDescent="0.2">
      <c r="A733" s="43" t="s">
        <v>129</v>
      </c>
      <c r="B733" s="6" t="s">
        <v>162</v>
      </c>
      <c r="C733" s="71">
        <v>0</v>
      </c>
      <c r="D733" s="71">
        <v>0</v>
      </c>
      <c r="E733" s="71">
        <v>0</v>
      </c>
    </row>
    <row r="734" spans="1:5" x14ac:dyDescent="0.2">
      <c r="A734" s="43" t="s">
        <v>125</v>
      </c>
      <c r="B734" s="6" t="s">
        <v>151</v>
      </c>
      <c r="C734" s="71">
        <v>0</v>
      </c>
      <c r="D734" s="71">
        <v>0</v>
      </c>
      <c r="E734" s="71">
        <v>0</v>
      </c>
    </row>
    <row r="735" spans="1:5" x14ac:dyDescent="0.2">
      <c r="A735" s="43" t="s">
        <v>125</v>
      </c>
      <c r="B735" s="6" t="s">
        <v>152</v>
      </c>
      <c r="C735" s="71">
        <v>0</v>
      </c>
      <c r="D735" s="71">
        <v>0</v>
      </c>
      <c r="E735" s="71">
        <v>0</v>
      </c>
    </row>
    <row r="736" spans="1:5" x14ac:dyDescent="0.2">
      <c r="A736" s="43" t="s">
        <v>125</v>
      </c>
      <c r="B736" s="6" t="s">
        <v>153</v>
      </c>
      <c r="C736" s="71">
        <v>0</v>
      </c>
      <c r="D736" s="71">
        <v>0</v>
      </c>
      <c r="E736" s="71">
        <v>0</v>
      </c>
    </row>
    <row r="737" spans="1:5" x14ac:dyDescent="0.2">
      <c r="A737" s="43" t="s">
        <v>125</v>
      </c>
      <c r="B737" s="6" t="s">
        <v>154</v>
      </c>
      <c r="C737" s="71">
        <v>0</v>
      </c>
      <c r="D737" s="71">
        <v>0</v>
      </c>
      <c r="E737" s="71">
        <v>0</v>
      </c>
    </row>
    <row r="738" spans="1:5" x14ac:dyDescent="0.2">
      <c r="A738" s="43" t="s">
        <v>125</v>
      </c>
      <c r="B738" s="6" t="s">
        <v>155</v>
      </c>
      <c r="C738" s="71">
        <v>0</v>
      </c>
      <c r="D738" s="71">
        <v>0</v>
      </c>
      <c r="E738" s="71">
        <v>0</v>
      </c>
    </row>
    <row r="739" spans="1:5" x14ac:dyDescent="0.2">
      <c r="A739" s="43" t="s">
        <v>125</v>
      </c>
      <c r="B739" s="6" t="s">
        <v>156</v>
      </c>
      <c r="C739" s="71">
        <v>0</v>
      </c>
      <c r="D739" s="71">
        <v>0</v>
      </c>
      <c r="E739" s="71">
        <v>0</v>
      </c>
    </row>
    <row r="740" spans="1:5" x14ac:dyDescent="0.2">
      <c r="A740" s="43" t="s">
        <v>125</v>
      </c>
      <c r="B740" s="6" t="s">
        <v>157</v>
      </c>
      <c r="C740" s="71">
        <v>0</v>
      </c>
      <c r="D740" s="71">
        <v>0</v>
      </c>
      <c r="E740" s="71">
        <v>1</v>
      </c>
    </row>
    <row r="741" spans="1:5" x14ac:dyDescent="0.2">
      <c r="A741" s="43" t="s">
        <v>125</v>
      </c>
      <c r="B741" s="6" t="s">
        <v>158</v>
      </c>
      <c r="C741" s="71">
        <v>0</v>
      </c>
      <c r="D741" s="71">
        <v>0</v>
      </c>
      <c r="E741" s="71">
        <v>0</v>
      </c>
    </row>
    <row r="742" spans="1:5" x14ac:dyDescent="0.2">
      <c r="A742" s="43" t="s">
        <v>125</v>
      </c>
      <c r="B742" s="6" t="s">
        <v>159</v>
      </c>
      <c r="C742" s="71">
        <v>0</v>
      </c>
      <c r="D742" s="71">
        <v>0</v>
      </c>
      <c r="E742" s="71">
        <v>0</v>
      </c>
    </row>
    <row r="743" spans="1:5" x14ac:dyDescent="0.2">
      <c r="A743" s="43" t="s">
        <v>125</v>
      </c>
      <c r="B743" s="6" t="s">
        <v>160</v>
      </c>
      <c r="C743" s="71">
        <v>0</v>
      </c>
      <c r="D743" s="71">
        <v>0</v>
      </c>
      <c r="E743" s="71">
        <v>0</v>
      </c>
    </row>
    <row r="744" spans="1:5" x14ac:dyDescent="0.2">
      <c r="A744" s="43" t="s">
        <v>125</v>
      </c>
      <c r="B744" s="6" t="s">
        <v>161</v>
      </c>
      <c r="C744" s="71">
        <v>0</v>
      </c>
      <c r="D744" s="71">
        <v>0</v>
      </c>
      <c r="E744" s="71">
        <v>0</v>
      </c>
    </row>
    <row r="745" spans="1:5" x14ac:dyDescent="0.2">
      <c r="A745" s="43" t="s">
        <v>125</v>
      </c>
      <c r="B745" s="6" t="s">
        <v>162</v>
      </c>
      <c r="C745" s="71">
        <v>0</v>
      </c>
      <c r="D745" s="71">
        <v>0</v>
      </c>
      <c r="E745" s="71">
        <v>0</v>
      </c>
    </row>
    <row r="746" spans="1:5" x14ac:dyDescent="0.2">
      <c r="A746" s="109" t="s">
        <v>313</v>
      </c>
      <c r="B746" s="6" t="s">
        <v>151</v>
      </c>
      <c r="C746" s="71">
        <v>0</v>
      </c>
      <c r="D746" s="71">
        <v>0</v>
      </c>
      <c r="E746" s="71">
        <v>0</v>
      </c>
    </row>
    <row r="747" spans="1:5" x14ac:dyDescent="0.2">
      <c r="A747" s="109" t="s">
        <v>313</v>
      </c>
      <c r="B747" s="6" t="s">
        <v>152</v>
      </c>
      <c r="C747" s="71">
        <v>0</v>
      </c>
      <c r="D747" s="71">
        <v>0</v>
      </c>
      <c r="E747" s="71">
        <v>0</v>
      </c>
    </row>
    <row r="748" spans="1:5" x14ac:dyDescent="0.2">
      <c r="A748" s="109" t="s">
        <v>313</v>
      </c>
      <c r="B748" s="6" t="s">
        <v>153</v>
      </c>
      <c r="C748" s="71">
        <v>0</v>
      </c>
      <c r="D748" s="71">
        <v>0</v>
      </c>
      <c r="E748" s="71">
        <v>0</v>
      </c>
    </row>
    <row r="749" spans="1:5" x14ac:dyDescent="0.2">
      <c r="A749" s="109" t="s">
        <v>313</v>
      </c>
      <c r="B749" s="6" t="s">
        <v>154</v>
      </c>
      <c r="C749" s="71">
        <v>0</v>
      </c>
      <c r="D749" s="71">
        <v>0</v>
      </c>
      <c r="E749" s="71">
        <v>0</v>
      </c>
    </row>
    <row r="750" spans="1:5" x14ac:dyDescent="0.2">
      <c r="A750" s="109" t="s">
        <v>313</v>
      </c>
      <c r="B750" s="6" t="s">
        <v>155</v>
      </c>
      <c r="C750" s="71">
        <v>0</v>
      </c>
      <c r="D750" s="71">
        <v>0</v>
      </c>
      <c r="E750" s="71">
        <v>0</v>
      </c>
    </row>
    <row r="751" spans="1:5" x14ac:dyDescent="0.2">
      <c r="A751" s="109" t="s">
        <v>313</v>
      </c>
      <c r="B751" s="6" t="s">
        <v>156</v>
      </c>
      <c r="C751" s="71">
        <v>0</v>
      </c>
      <c r="D751" s="71">
        <v>0</v>
      </c>
      <c r="E751" s="71">
        <v>0</v>
      </c>
    </row>
    <row r="752" spans="1:5" x14ac:dyDescent="0.2">
      <c r="A752" s="109" t="s">
        <v>313</v>
      </c>
      <c r="B752" s="6" t="s">
        <v>157</v>
      </c>
      <c r="C752" s="71">
        <v>0</v>
      </c>
      <c r="D752" s="71">
        <v>0</v>
      </c>
      <c r="E752" s="71">
        <v>0</v>
      </c>
    </row>
    <row r="753" spans="1:5" x14ac:dyDescent="0.2">
      <c r="A753" s="109" t="s">
        <v>313</v>
      </c>
      <c r="B753" s="6" t="s">
        <v>158</v>
      </c>
      <c r="C753" s="71">
        <v>0</v>
      </c>
      <c r="D753" s="71">
        <v>0</v>
      </c>
      <c r="E753" s="71">
        <v>0</v>
      </c>
    </row>
    <row r="754" spans="1:5" x14ac:dyDescent="0.2">
      <c r="A754" s="109" t="s">
        <v>313</v>
      </c>
      <c r="B754" s="6" t="s">
        <v>159</v>
      </c>
      <c r="C754" s="71">
        <v>0</v>
      </c>
      <c r="D754" s="71">
        <v>0</v>
      </c>
      <c r="E754" s="71">
        <v>0</v>
      </c>
    </row>
    <row r="755" spans="1:5" x14ac:dyDescent="0.2">
      <c r="A755" s="109" t="s">
        <v>313</v>
      </c>
      <c r="B755" s="6" t="s">
        <v>160</v>
      </c>
      <c r="C755" s="71">
        <v>0</v>
      </c>
      <c r="D755" s="71">
        <v>0</v>
      </c>
      <c r="E755" s="71">
        <v>0</v>
      </c>
    </row>
    <row r="756" spans="1:5" x14ac:dyDescent="0.2">
      <c r="A756" s="109" t="s">
        <v>313</v>
      </c>
      <c r="B756" s="6" t="s">
        <v>161</v>
      </c>
      <c r="C756" s="71">
        <v>0</v>
      </c>
      <c r="D756" s="71">
        <v>0</v>
      </c>
      <c r="E756" s="71">
        <v>0</v>
      </c>
    </row>
    <row r="757" spans="1:5" x14ac:dyDescent="0.2">
      <c r="A757" s="109" t="s">
        <v>313</v>
      </c>
      <c r="B757" s="6" t="s">
        <v>162</v>
      </c>
      <c r="C757" s="71">
        <v>0</v>
      </c>
      <c r="D757" s="71">
        <v>0</v>
      </c>
      <c r="E757" s="71">
        <v>0</v>
      </c>
    </row>
    <row r="758" spans="1:5" x14ac:dyDescent="0.2">
      <c r="A758" s="109" t="s">
        <v>313</v>
      </c>
      <c r="B758" s="6" t="s">
        <v>151</v>
      </c>
    </row>
  </sheetData>
  <sheetProtection formatCells="0" formatColumns="0" formatRows="0" insertColumns="0" insertRows="0" selectLockedCells="1"/>
  <phoneticPr fontId="6" type="noConversion"/>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51"/>
  <sheetViews>
    <sheetView tabSelected="1" topLeftCell="A549" workbookViewId="0">
      <selection activeCell="C2" sqref="C2:C551"/>
    </sheetView>
  </sheetViews>
  <sheetFormatPr defaultRowHeight="14.25" x14ac:dyDescent="0.2"/>
  <cols>
    <col min="1" max="1" width="38.25" customWidth="1"/>
    <col min="2" max="2" width="19.625" bestFit="1" customWidth="1"/>
    <col min="4" max="4" width="12.75" customWidth="1"/>
    <col min="5" max="5" width="11.625" customWidth="1"/>
    <col min="6" max="6" width="13.125" customWidth="1"/>
  </cols>
  <sheetData>
    <row r="1" spans="1:10" ht="15.75" x14ac:dyDescent="0.2">
      <c r="A1" s="51" t="s">
        <v>0</v>
      </c>
      <c r="B1" s="52" t="s">
        <v>4</v>
      </c>
      <c r="C1" s="51" t="s">
        <v>14</v>
      </c>
      <c r="D1" s="51" t="s">
        <v>234</v>
      </c>
      <c r="E1" s="51" t="s">
        <v>235</v>
      </c>
      <c r="F1" s="51" t="s">
        <v>236</v>
      </c>
      <c r="G1" s="51" t="s">
        <v>237</v>
      </c>
      <c r="I1" t="s">
        <v>243</v>
      </c>
      <c r="J1" t="s">
        <v>248</v>
      </c>
    </row>
    <row r="2" spans="1:10" ht="15.75" x14ac:dyDescent="0.2">
      <c r="A2" s="39" t="s">
        <v>316</v>
      </c>
      <c r="B2" s="75">
        <v>240</v>
      </c>
      <c r="C2" s="71" t="s">
        <v>26</v>
      </c>
      <c r="D2" s="3" t="str">
        <f>IF(AND(B2&gt;0,B2&lt;1000),C2,"")</f>
        <v>N/A</v>
      </c>
      <c r="E2" s="3" t="str">
        <f>IF(AND(B2&gt;1000,B2&lt;2500),C2,"")</f>
        <v/>
      </c>
      <c r="F2" s="3" t="str">
        <f>IF(AND(B2&gt;2500,B2&lt;5000),C2,"")</f>
        <v/>
      </c>
      <c r="G2" s="3" t="str">
        <f>IF(B2&gt;=5000,C2,"")</f>
        <v/>
      </c>
      <c r="I2" s="41" t="s">
        <v>244</v>
      </c>
      <c r="J2" s="2">
        <f>D335</f>
        <v>9.384615384615385</v>
      </c>
    </row>
    <row r="3" spans="1:10" ht="15.75" x14ac:dyDescent="0.2">
      <c r="A3" s="39" t="s">
        <v>316</v>
      </c>
      <c r="B3" s="75">
        <v>1080</v>
      </c>
      <c r="C3" s="71" t="s">
        <v>26</v>
      </c>
      <c r="D3" s="3" t="str">
        <f t="shared" ref="D3:D25" si="0">IF(AND(B3&gt;0,B3&lt;1000),C3,"")</f>
        <v/>
      </c>
      <c r="E3" s="3" t="str">
        <f t="shared" ref="E3:E25" si="1">IF(AND(B3&gt;1000,B3&lt;2500),C3,"")</f>
        <v>N/A</v>
      </c>
      <c r="F3" s="3" t="str">
        <f t="shared" ref="F3:F25" si="2">IF(AND(B3&gt;2500,B3&lt;5000),C3,"")</f>
        <v/>
      </c>
      <c r="G3" s="3" t="str">
        <f t="shared" ref="G3:G25" si="3">IF(B3&gt;=5000,C3,"")</f>
        <v/>
      </c>
      <c r="I3" s="41" t="s">
        <v>245</v>
      </c>
      <c r="J3" s="2">
        <f>E335</f>
        <v>9.6666666666666661</v>
      </c>
    </row>
    <row r="4" spans="1:10" ht="15.75" x14ac:dyDescent="0.2">
      <c r="A4" s="39" t="s">
        <v>83</v>
      </c>
      <c r="B4" s="75">
        <v>1892</v>
      </c>
      <c r="C4" s="71" t="s">
        <v>26</v>
      </c>
      <c r="D4" s="3" t="str">
        <f t="shared" si="0"/>
        <v/>
      </c>
      <c r="E4" s="3" t="str">
        <f t="shared" si="1"/>
        <v>N/A</v>
      </c>
      <c r="F4" s="3" t="str">
        <f t="shared" si="2"/>
        <v/>
      </c>
      <c r="G4" s="3" t="str">
        <f t="shared" si="3"/>
        <v/>
      </c>
      <c r="I4" s="41" t="s">
        <v>246</v>
      </c>
      <c r="J4" s="2">
        <f>F335</f>
        <v>9.7272727272727266</v>
      </c>
    </row>
    <row r="5" spans="1:10" ht="15.75" x14ac:dyDescent="0.2">
      <c r="A5" s="39" t="s">
        <v>83</v>
      </c>
      <c r="B5" s="75">
        <v>4750</v>
      </c>
      <c r="C5" s="71" t="s">
        <v>26</v>
      </c>
      <c r="D5" s="3" t="str">
        <f>IF(AND(B5&gt;0,B5&lt;1000),C5,"")</f>
        <v/>
      </c>
      <c r="E5" s="3" t="str">
        <f>IF(AND(B5&gt;1000,B5&lt;2500),C5,"")</f>
        <v/>
      </c>
      <c r="F5" s="3" t="str">
        <f>IF(AND(B5&gt;2500,B5&lt;5000),C5,"")</f>
        <v>N/A</v>
      </c>
      <c r="G5" s="3" t="str">
        <f>IF(B5&gt;=5000,C5,"")</f>
        <v/>
      </c>
      <c r="I5" s="42" t="s">
        <v>247</v>
      </c>
      <c r="J5">
        <f>G335</f>
        <v>9.125</v>
      </c>
    </row>
    <row r="6" spans="1:10" ht="15.75" x14ac:dyDescent="0.2">
      <c r="A6" s="39" t="s">
        <v>83</v>
      </c>
      <c r="B6" s="106">
        <v>855</v>
      </c>
      <c r="C6" s="71" t="s">
        <v>26</v>
      </c>
      <c r="D6" s="3" t="str">
        <f t="shared" ref="D6:D7" si="4">IF(AND(B6&gt;0,B6&lt;1000),C6,"")</f>
        <v>N/A</v>
      </c>
      <c r="E6" s="3" t="str">
        <f t="shared" ref="E6" si="5">IF(AND(B6&gt;1000,B6&lt;2500),C6,"")</f>
        <v/>
      </c>
      <c r="F6" s="3" t="str">
        <f t="shared" ref="F6" si="6">IF(AND(B6&gt;2500,B6&lt;5000),C6,"")</f>
        <v/>
      </c>
      <c r="G6" s="3" t="str">
        <f t="shared" ref="G6" si="7">IF(B6&gt;=5000,C6,"")</f>
        <v/>
      </c>
      <c r="I6" s="105"/>
    </row>
    <row r="7" spans="1:10" ht="15.75" x14ac:dyDescent="0.2">
      <c r="A7" s="39" t="s">
        <v>83</v>
      </c>
      <c r="B7" s="106">
        <v>2220</v>
      </c>
      <c r="C7" s="107" t="s">
        <v>26</v>
      </c>
      <c r="D7" s="3" t="str">
        <f t="shared" si="4"/>
        <v/>
      </c>
      <c r="E7" s="3" t="str">
        <f>IF(AND(B7&gt;1000,B7&lt;2500),C7,"")</f>
        <v>N/A</v>
      </c>
      <c r="F7" s="3" t="str">
        <f>IF(AND(B7&gt;2500,B7&lt;5000),C7,"")</f>
        <v/>
      </c>
      <c r="G7" s="3" t="str">
        <f>IF(B7&gt;=5000,C7,"")</f>
        <v/>
      </c>
      <c r="I7" s="105"/>
    </row>
    <row r="8" spans="1:10" x14ac:dyDescent="0.2">
      <c r="A8" s="39" t="s">
        <v>83</v>
      </c>
      <c r="B8" s="75">
        <v>1800</v>
      </c>
      <c r="C8" s="71" t="s">
        <v>26</v>
      </c>
      <c r="D8" s="3" t="str">
        <f t="shared" si="0"/>
        <v/>
      </c>
      <c r="E8" s="3" t="str">
        <f t="shared" si="1"/>
        <v>N/A</v>
      </c>
      <c r="F8" s="3" t="str">
        <f t="shared" si="2"/>
        <v/>
      </c>
      <c r="G8" s="3" t="str">
        <f t="shared" si="3"/>
        <v/>
      </c>
    </row>
    <row r="9" spans="1:10" x14ac:dyDescent="0.2">
      <c r="A9" s="39" t="s">
        <v>94</v>
      </c>
      <c r="B9" s="98">
        <v>244</v>
      </c>
      <c r="C9" s="71">
        <v>9</v>
      </c>
      <c r="D9" s="3">
        <f>IF(AND(B9&gt;0,B9&lt;1000),C9,"")</f>
        <v>9</v>
      </c>
      <c r="E9" s="3" t="str">
        <f>IF(AND(B9&gt;1000,B9&lt;2500),C9,"")</f>
        <v/>
      </c>
      <c r="F9" s="3" t="str">
        <f>IF(AND(B9&gt;2500,B9&lt;5000),C9,"")</f>
        <v/>
      </c>
      <c r="G9" s="3" t="str">
        <f>IF(B9&gt;=5000,C9,"")</f>
        <v/>
      </c>
    </row>
    <row r="10" spans="1:10" x14ac:dyDescent="0.2">
      <c r="A10" s="39" t="s">
        <v>94</v>
      </c>
      <c r="B10" s="106">
        <v>122</v>
      </c>
      <c r="C10" s="71" t="s">
        <v>26</v>
      </c>
      <c r="D10" s="3" t="str">
        <f>IF(AND(B10&gt;0,B10&lt;1000),C10,"")</f>
        <v>N/A</v>
      </c>
      <c r="E10" s="3" t="str">
        <f>IF(AND(B10&gt;1000,B10&lt;2500),C10,"")</f>
        <v/>
      </c>
      <c r="F10" s="3" t="str">
        <f>IF(AND(B10&gt;2500,B10&lt;5000),C10,"")</f>
        <v/>
      </c>
      <c r="G10" s="3" t="str">
        <f>IF(B10&gt;=5000,C10,"")</f>
        <v/>
      </c>
    </row>
    <row r="11" spans="1:10" x14ac:dyDescent="0.2">
      <c r="A11" s="39" t="s">
        <v>94</v>
      </c>
      <c r="B11" s="75">
        <v>1</v>
      </c>
      <c r="C11" s="71" t="s">
        <v>26</v>
      </c>
      <c r="D11" s="3" t="str">
        <f t="shared" si="0"/>
        <v>N/A</v>
      </c>
      <c r="E11" s="3" t="str">
        <f t="shared" si="1"/>
        <v/>
      </c>
      <c r="F11" s="3" t="str">
        <f t="shared" si="2"/>
        <v/>
      </c>
      <c r="G11" s="3" t="str">
        <f t="shared" si="3"/>
        <v/>
      </c>
    </row>
    <row r="12" spans="1:10" x14ac:dyDescent="0.2">
      <c r="A12" s="39" t="s">
        <v>94</v>
      </c>
      <c r="B12" s="75">
        <v>3900</v>
      </c>
      <c r="C12" s="71" t="s">
        <v>26</v>
      </c>
      <c r="D12" s="3" t="str">
        <f t="shared" si="0"/>
        <v/>
      </c>
      <c r="E12" s="3" t="str">
        <f t="shared" si="1"/>
        <v/>
      </c>
      <c r="F12" s="3" t="str">
        <f t="shared" si="2"/>
        <v>N/A</v>
      </c>
      <c r="G12" s="3" t="str">
        <f t="shared" si="3"/>
        <v/>
      </c>
    </row>
    <row r="13" spans="1:10" x14ac:dyDescent="0.2">
      <c r="A13" s="39" t="s">
        <v>55</v>
      </c>
      <c r="B13" s="75">
        <v>14140</v>
      </c>
      <c r="C13" s="71" t="s">
        <v>26</v>
      </c>
      <c r="D13" s="3" t="str">
        <f t="shared" si="0"/>
        <v/>
      </c>
      <c r="E13" s="3" t="str">
        <f t="shared" si="1"/>
        <v/>
      </c>
      <c r="F13" s="3" t="str">
        <f t="shared" si="2"/>
        <v/>
      </c>
      <c r="G13" s="3" t="str">
        <f t="shared" si="3"/>
        <v>N/A</v>
      </c>
    </row>
    <row r="14" spans="1:10" x14ac:dyDescent="0.2">
      <c r="A14" s="39" t="s">
        <v>55</v>
      </c>
      <c r="B14" s="75">
        <v>500</v>
      </c>
      <c r="C14" s="71" t="s">
        <v>26</v>
      </c>
      <c r="D14" s="3" t="str">
        <f t="shared" si="0"/>
        <v>N/A</v>
      </c>
      <c r="E14" s="3" t="str">
        <f t="shared" si="1"/>
        <v/>
      </c>
      <c r="F14" s="3" t="str">
        <f t="shared" si="2"/>
        <v/>
      </c>
      <c r="G14" s="3" t="str">
        <f t="shared" si="3"/>
        <v/>
      </c>
    </row>
    <row r="15" spans="1:10" x14ac:dyDescent="0.2">
      <c r="A15" s="39" t="s">
        <v>55</v>
      </c>
      <c r="B15" s="106">
        <v>900</v>
      </c>
      <c r="C15" s="71">
        <v>10</v>
      </c>
      <c r="D15" s="3">
        <f>IF(AND(B15&gt;0,B15&lt;1000),C15,"")</f>
        <v>10</v>
      </c>
      <c r="E15" s="3" t="str">
        <f>IF(AND(B15&gt;1000,B15&lt;2500),C15,"")</f>
        <v/>
      </c>
      <c r="F15" s="3" t="str">
        <f>IF(AND(B15&gt;2500,B15&lt;5000),C15,"")</f>
        <v/>
      </c>
      <c r="G15" s="3" t="str">
        <f>IF(B15&gt;=5000,C15,"")</f>
        <v/>
      </c>
    </row>
    <row r="16" spans="1:10" x14ac:dyDescent="0.2">
      <c r="A16" s="39" t="s">
        <v>55</v>
      </c>
      <c r="B16" s="75">
        <v>994.08</v>
      </c>
      <c r="C16" s="71">
        <v>10</v>
      </c>
      <c r="D16" s="3">
        <f t="shared" si="0"/>
        <v>10</v>
      </c>
      <c r="E16" s="3" t="str">
        <f t="shared" si="1"/>
        <v/>
      </c>
      <c r="F16" s="3" t="str">
        <f t="shared" si="2"/>
        <v/>
      </c>
      <c r="G16" s="3" t="str">
        <f t="shared" si="3"/>
        <v/>
      </c>
    </row>
    <row r="17" spans="1:7" x14ac:dyDescent="0.2">
      <c r="A17" s="39" t="s">
        <v>55</v>
      </c>
      <c r="B17" s="75">
        <v>2470</v>
      </c>
      <c r="C17" s="71" t="s">
        <v>26</v>
      </c>
      <c r="D17" s="3" t="str">
        <f t="shared" si="0"/>
        <v/>
      </c>
      <c r="E17" s="3" t="str">
        <f t="shared" si="1"/>
        <v>N/A</v>
      </c>
      <c r="F17" s="3" t="str">
        <f t="shared" si="2"/>
        <v/>
      </c>
      <c r="G17" s="3" t="str">
        <f t="shared" si="3"/>
        <v/>
      </c>
    </row>
    <row r="18" spans="1:7" x14ac:dyDescent="0.2">
      <c r="A18" s="39" t="s">
        <v>55</v>
      </c>
      <c r="B18" s="75">
        <v>1454</v>
      </c>
      <c r="C18" s="71" t="s">
        <v>26</v>
      </c>
      <c r="D18" s="3" t="str">
        <f t="shared" si="0"/>
        <v/>
      </c>
      <c r="E18" s="3" t="str">
        <f t="shared" si="1"/>
        <v>N/A</v>
      </c>
      <c r="F18" s="3" t="str">
        <f t="shared" si="2"/>
        <v/>
      </c>
      <c r="G18" s="3" t="str">
        <f t="shared" si="3"/>
        <v/>
      </c>
    </row>
    <row r="19" spans="1:7" x14ac:dyDescent="0.2">
      <c r="A19" s="39" t="s">
        <v>55</v>
      </c>
      <c r="B19" s="75">
        <v>300</v>
      </c>
      <c r="C19" s="71">
        <v>10</v>
      </c>
      <c r="D19" s="3">
        <f t="shared" si="0"/>
        <v>10</v>
      </c>
      <c r="E19" s="3" t="str">
        <f t="shared" si="1"/>
        <v/>
      </c>
      <c r="F19" s="3" t="str">
        <f t="shared" si="2"/>
        <v/>
      </c>
      <c r="G19" s="3" t="str">
        <f t="shared" si="3"/>
        <v/>
      </c>
    </row>
    <row r="20" spans="1:7" x14ac:dyDescent="0.2">
      <c r="A20" s="39" t="s">
        <v>142</v>
      </c>
      <c r="B20" s="75">
        <v>1500</v>
      </c>
      <c r="C20" s="71">
        <v>10</v>
      </c>
      <c r="D20" s="3" t="str">
        <f t="shared" si="0"/>
        <v/>
      </c>
      <c r="E20" s="3">
        <f t="shared" si="1"/>
        <v>10</v>
      </c>
      <c r="F20" s="3" t="str">
        <f t="shared" si="2"/>
        <v/>
      </c>
      <c r="G20" s="3" t="str">
        <f t="shared" si="3"/>
        <v/>
      </c>
    </row>
    <row r="21" spans="1:7" x14ac:dyDescent="0.2">
      <c r="A21" s="39" t="s">
        <v>142</v>
      </c>
      <c r="B21" s="77">
        <v>3900</v>
      </c>
      <c r="C21" s="71">
        <v>10</v>
      </c>
      <c r="D21" s="3"/>
      <c r="E21" s="3"/>
      <c r="F21" s="3"/>
      <c r="G21" s="3"/>
    </row>
    <row r="22" spans="1:7" x14ac:dyDescent="0.2">
      <c r="A22" s="39" t="s">
        <v>142</v>
      </c>
      <c r="B22" s="75">
        <v>1305</v>
      </c>
      <c r="C22" s="71">
        <v>10</v>
      </c>
      <c r="D22" s="3" t="str">
        <f t="shared" si="0"/>
        <v/>
      </c>
      <c r="E22" s="3">
        <f t="shared" si="1"/>
        <v>10</v>
      </c>
      <c r="F22" s="3" t="str">
        <f t="shared" si="2"/>
        <v/>
      </c>
      <c r="G22" s="3" t="str">
        <f t="shared" si="3"/>
        <v/>
      </c>
    </row>
    <row r="23" spans="1:7" x14ac:dyDescent="0.2">
      <c r="A23" s="39" t="s">
        <v>142</v>
      </c>
      <c r="B23" s="98">
        <v>3500</v>
      </c>
      <c r="C23" s="71">
        <v>10</v>
      </c>
      <c r="D23" s="3" t="str">
        <f>IF(AND(B23&gt;0,B23&lt;1000),C23,"")</f>
        <v/>
      </c>
      <c r="E23" s="3" t="str">
        <f>IF(AND(B23&gt;1000,B23&lt;2500),C23,"")</f>
        <v/>
      </c>
      <c r="F23" s="3">
        <f>IF(AND(B23&gt;2500,B23&lt;5000),C23,"")</f>
        <v>10</v>
      </c>
      <c r="G23" s="3" t="str">
        <f>IF(B23&gt;=5000,C23,"")</f>
        <v/>
      </c>
    </row>
    <row r="24" spans="1:7" x14ac:dyDescent="0.2">
      <c r="A24" s="39" t="s">
        <v>142</v>
      </c>
      <c r="B24" s="75">
        <v>968.8</v>
      </c>
      <c r="C24" s="71">
        <v>1</v>
      </c>
      <c r="D24" s="3">
        <f t="shared" si="0"/>
        <v>1</v>
      </c>
      <c r="E24" s="3" t="str">
        <f t="shared" si="1"/>
        <v/>
      </c>
      <c r="F24" s="3" t="str">
        <f t="shared" si="2"/>
        <v/>
      </c>
      <c r="G24" s="3" t="str">
        <f t="shared" si="3"/>
        <v/>
      </c>
    </row>
    <row r="25" spans="1:7" x14ac:dyDescent="0.2">
      <c r="A25" s="39" t="s">
        <v>142</v>
      </c>
      <c r="B25" s="75">
        <v>1950</v>
      </c>
      <c r="C25" s="71" t="s">
        <v>26</v>
      </c>
      <c r="D25" s="3" t="str">
        <f t="shared" si="0"/>
        <v/>
      </c>
      <c r="E25" s="3" t="str">
        <f t="shared" si="1"/>
        <v>N/A</v>
      </c>
      <c r="F25" s="3" t="str">
        <f t="shared" si="2"/>
        <v/>
      </c>
      <c r="G25" s="3" t="str">
        <f t="shared" si="3"/>
        <v/>
      </c>
    </row>
    <row r="26" spans="1:7" x14ac:dyDescent="0.2">
      <c r="A26" s="39" t="s">
        <v>142</v>
      </c>
      <c r="B26" s="106">
        <v>3800</v>
      </c>
      <c r="C26" s="71">
        <v>10</v>
      </c>
      <c r="D26" s="3" t="str">
        <f t="shared" ref="D26:D29" si="8">IF(AND(B26&gt;0,B26&lt;1000),C26,"")</f>
        <v/>
      </c>
      <c r="E26" s="3" t="str">
        <f t="shared" ref="E26:E29" si="9">IF(AND(B26&gt;1000,B26&lt;2500),C26,"")</f>
        <v/>
      </c>
      <c r="F26" s="3">
        <f t="shared" ref="F26:F29" si="10">IF(AND(B26&gt;2500,B26&lt;5000),C26,"")</f>
        <v>10</v>
      </c>
      <c r="G26" s="3" t="str">
        <f t="shared" ref="G26:G29" si="11">IF(B26&gt;=5000,C26,"")</f>
        <v/>
      </c>
    </row>
    <row r="27" spans="1:7" x14ac:dyDescent="0.2">
      <c r="A27" s="39" t="s">
        <v>142</v>
      </c>
      <c r="B27" s="106">
        <v>5500</v>
      </c>
      <c r="C27" s="71" t="s">
        <v>26</v>
      </c>
      <c r="D27" s="3" t="str">
        <f t="shared" si="8"/>
        <v/>
      </c>
      <c r="E27" s="3" t="str">
        <f t="shared" si="9"/>
        <v/>
      </c>
      <c r="F27" s="3" t="str">
        <f t="shared" si="10"/>
        <v/>
      </c>
      <c r="G27" s="3" t="str">
        <f t="shared" si="11"/>
        <v>N/A</v>
      </c>
    </row>
    <row r="28" spans="1:7" x14ac:dyDescent="0.2">
      <c r="A28" s="39" t="s">
        <v>142</v>
      </c>
      <c r="B28" s="106">
        <v>3100</v>
      </c>
      <c r="C28" s="71">
        <v>10</v>
      </c>
      <c r="D28" s="3" t="str">
        <f t="shared" si="8"/>
        <v/>
      </c>
      <c r="E28" s="3" t="str">
        <f t="shared" si="9"/>
        <v/>
      </c>
      <c r="F28" s="3">
        <f t="shared" si="10"/>
        <v>10</v>
      </c>
      <c r="G28" s="3" t="str">
        <f t="shared" si="11"/>
        <v/>
      </c>
    </row>
    <row r="29" spans="1:7" x14ac:dyDescent="0.2">
      <c r="A29" s="39" t="s">
        <v>142</v>
      </c>
      <c r="B29" s="106">
        <v>2550</v>
      </c>
      <c r="C29" s="71" t="s">
        <v>26</v>
      </c>
      <c r="D29" s="3" t="str">
        <f t="shared" si="8"/>
        <v/>
      </c>
      <c r="E29" s="3" t="str">
        <f t="shared" si="9"/>
        <v/>
      </c>
      <c r="F29" s="3" t="str">
        <f t="shared" si="10"/>
        <v>N/A</v>
      </c>
      <c r="G29" s="3" t="str">
        <f t="shared" si="11"/>
        <v/>
      </c>
    </row>
    <row r="30" spans="1:7" x14ac:dyDescent="0.2">
      <c r="A30" t="s">
        <v>142</v>
      </c>
      <c r="B30" s="75">
        <v>2250</v>
      </c>
      <c r="C30" s="71" t="s">
        <v>26</v>
      </c>
      <c r="D30" s="3" t="str">
        <f t="shared" ref="D30:D68" si="12">IF(AND(B30&gt;0,B30&lt;1000),C30,"")</f>
        <v/>
      </c>
      <c r="E30" s="3" t="str">
        <f t="shared" ref="E30:E68" si="13">IF(AND(B30&gt;1000,B30&lt;2500),C30,"")</f>
        <v>N/A</v>
      </c>
      <c r="F30" s="3" t="str">
        <f t="shared" ref="F30:F68" si="14">IF(AND(B30&gt;2500,B30&lt;5000),C30,"")</f>
        <v/>
      </c>
      <c r="G30" s="3" t="str">
        <f t="shared" ref="G30:G68" si="15">IF(B30&gt;=5000,C30,"")</f>
        <v/>
      </c>
    </row>
    <row r="31" spans="1:7" x14ac:dyDescent="0.2">
      <c r="A31" t="s">
        <v>142</v>
      </c>
      <c r="B31" s="75">
        <v>2200</v>
      </c>
      <c r="C31" s="71" t="s">
        <v>26</v>
      </c>
      <c r="D31" s="3" t="str">
        <f t="shared" si="12"/>
        <v/>
      </c>
      <c r="E31" s="3" t="str">
        <f t="shared" si="13"/>
        <v>N/A</v>
      </c>
      <c r="F31" s="3" t="str">
        <f t="shared" si="14"/>
        <v/>
      </c>
      <c r="G31" s="3" t="str">
        <f t="shared" si="15"/>
        <v/>
      </c>
    </row>
    <row r="32" spans="1:7" x14ac:dyDescent="0.2">
      <c r="A32" t="s">
        <v>142</v>
      </c>
      <c r="B32" s="75">
        <v>4627.5</v>
      </c>
      <c r="C32" s="71" t="s">
        <v>26</v>
      </c>
      <c r="D32" s="3" t="str">
        <f t="shared" si="12"/>
        <v/>
      </c>
      <c r="E32" s="3" t="str">
        <f t="shared" si="13"/>
        <v/>
      </c>
      <c r="F32" s="3" t="str">
        <f t="shared" si="14"/>
        <v>N/A</v>
      </c>
      <c r="G32" s="3" t="str">
        <f t="shared" si="15"/>
        <v/>
      </c>
    </row>
    <row r="33" spans="1:7" x14ac:dyDescent="0.2">
      <c r="A33" t="s">
        <v>142</v>
      </c>
      <c r="B33" s="75">
        <v>2200</v>
      </c>
      <c r="C33" s="71">
        <v>10</v>
      </c>
      <c r="D33" s="3" t="str">
        <f t="shared" si="12"/>
        <v/>
      </c>
      <c r="E33" s="3">
        <f t="shared" si="13"/>
        <v>10</v>
      </c>
      <c r="F33" s="3" t="str">
        <f t="shared" si="14"/>
        <v/>
      </c>
      <c r="G33" s="3" t="str">
        <f t="shared" si="15"/>
        <v/>
      </c>
    </row>
    <row r="34" spans="1:7" x14ac:dyDescent="0.2">
      <c r="A34" t="s">
        <v>142</v>
      </c>
      <c r="B34" s="75">
        <v>2750</v>
      </c>
      <c r="C34" s="71" t="s">
        <v>26</v>
      </c>
      <c r="D34" s="3" t="str">
        <f t="shared" si="12"/>
        <v/>
      </c>
      <c r="E34" s="3" t="str">
        <f t="shared" si="13"/>
        <v/>
      </c>
      <c r="F34" s="3" t="str">
        <f t="shared" si="14"/>
        <v>N/A</v>
      </c>
      <c r="G34" s="3" t="str">
        <f t="shared" si="15"/>
        <v/>
      </c>
    </row>
    <row r="35" spans="1:7" x14ac:dyDescent="0.2">
      <c r="A35" t="s">
        <v>142</v>
      </c>
      <c r="B35" s="75">
        <v>900</v>
      </c>
      <c r="C35" s="71" t="s">
        <v>26</v>
      </c>
      <c r="D35" s="3" t="str">
        <f t="shared" si="12"/>
        <v>N/A</v>
      </c>
      <c r="E35" s="3" t="str">
        <f t="shared" si="13"/>
        <v/>
      </c>
      <c r="F35" s="3" t="str">
        <f t="shared" si="14"/>
        <v/>
      </c>
      <c r="G35" s="3" t="str">
        <f t="shared" si="15"/>
        <v/>
      </c>
    </row>
    <row r="36" spans="1:7" x14ac:dyDescent="0.2">
      <c r="A36" t="s">
        <v>142</v>
      </c>
      <c r="B36" s="75">
        <v>650</v>
      </c>
      <c r="C36" s="71" t="s">
        <v>26</v>
      </c>
      <c r="D36" s="3" t="str">
        <f t="shared" si="12"/>
        <v>N/A</v>
      </c>
      <c r="E36" s="3" t="str">
        <f t="shared" si="13"/>
        <v/>
      </c>
      <c r="F36" s="3" t="str">
        <f t="shared" si="14"/>
        <v/>
      </c>
      <c r="G36" s="3" t="str">
        <f t="shared" si="15"/>
        <v/>
      </c>
    </row>
    <row r="37" spans="1:7" x14ac:dyDescent="0.2">
      <c r="A37" t="s">
        <v>142</v>
      </c>
      <c r="B37" s="75">
        <v>2800</v>
      </c>
      <c r="C37" s="71" t="s">
        <v>26</v>
      </c>
      <c r="D37" s="3" t="str">
        <f t="shared" si="12"/>
        <v/>
      </c>
      <c r="E37" s="3" t="str">
        <f t="shared" si="13"/>
        <v/>
      </c>
      <c r="F37" s="3" t="str">
        <f t="shared" si="14"/>
        <v>N/A</v>
      </c>
      <c r="G37" s="3" t="str">
        <f t="shared" si="15"/>
        <v/>
      </c>
    </row>
    <row r="38" spans="1:7" x14ac:dyDescent="0.2">
      <c r="A38" t="s">
        <v>142</v>
      </c>
      <c r="B38" s="75">
        <v>5600</v>
      </c>
      <c r="C38" s="71" t="s">
        <v>26</v>
      </c>
      <c r="D38" s="3" t="str">
        <f t="shared" si="12"/>
        <v/>
      </c>
      <c r="E38" s="3" t="str">
        <f t="shared" si="13"/>
        <v/>
      </c>
      <c r="F38" s="3" t="str">
        <f t="shared" si="14"/>
        <v/>
      </c>
      <c r="G38" s="3" t="str">
        <f t="shared" si="15"/>
        <v>N/A</v>
      </c>
    </row>
    <row r="39" spans="1:7" x14ac:dyDescent="0.2">
      <c r="A39" t="s">
        <v>65</v>
      </c>
      <c r="B39" s="98">
        <v>4500</v>
      </c>
      <c r="C39" s="71" t="s">
        <v>26</v>
      </c>
      <c r="D39" s="3" t="str">
        <f>IF(AND(B39&gt;0,B39&lt;1000),C39,"")</f>
        <v/>
      </c>
      <c r="E39" s="3" t="str">
        <f>IF(AND(B39&gt;1000,B39&lt;2500),C39,"")</f>
        <v/>
      </c>
      <c r="F39" s="3" t="str">
        <f>IF(AND(B39&gt;2500,B39&lt;5000),C39,"")</f>
        <v>N/A</v>
      </c>
      <c r="G39" s="3" t="str">
        <f>IF(B39&gt;=5000,C39,"")</f>
        <v/>
      </c>
    </row>
    <row r="40" spans="1:7" x14ac:dyDescent="0.2">
      <c r="A40" t="s">
        <v>65</v>
      </c>
      <c r="B40" s="75">
        <v>700</v>
      </c>
      <c r="C40" s="71" t="s">
        <v>26</v>
      </c>
      <c r="D40" s="3" t="str">
        <f t="shared" si="12"/>
        <v>N/A</v>
      </c>
      <c r="E40" s="3" t="str">
        <f t="shared" si="13"/>
        <v/>
      </c>
      <c r="F40" s="3" t="str">
        <f t="shared" si="14"/>
        <v/>
      </c>
      <c r="G40" s="3" t="str">
        <f t="shared" si="15"/>
        <v/>
      </c>
    </row>
    <row r="41" spans="1:7" x14ac:dyDescent="0.2">
      <c r="A41" t="s">
        <v>65</v>
      </c>
      <c r="B41" s="75">
        <v>297.89999999999998</v>
      </c>
      <c r="C41" s="71" t="s">
        <v>26</v>
      </c>
      <c r="D41" s="3" t="str">
        <f t="shared" si="12"/>
        <v>N/A</v>
      </c>
      <c r="E41" s="3" t="str">
        <f t="shared" si="13"/>
        <v/>
      </c>
      <c r="F41" s="3" t="str">
        <f t="shared" si="14"/>
        <v/>
      </c>
      <c r="G41" s="3" t="str">
        <f t="shared" si="15"/>
        <v/>
      </c>
    </row>
    <row r="42" spans="1:7" x14ac:dyDescent="0.2">
      <c r="A42" t="s">
        <v>65</v>
      </c>
      <c r="B42" s="75">
        <v>5460</v>
      </c>
      <c r="C42" s="71" t="s">
        <v>26</v>
      </c>
      <c r="D42" s="3" t="str">
        <f t="shared" si="12"/>
        <v/>
      </c>
      <c r="E42" s="3" t="str">
        <f t="shared" si="13"/>
        <v/>
      </c>
      <c r="F42" s="3" t="str">
        <f t="shared" si="14"/>
        <v/>
      </c>
      <c r="G42" s="3" t="str">
        <f t="shared" si="15"/>
        <v>N/A</v>
      </c>
    </row>
    <row r="43" spans="1:7" x14ac:dyDescent="0.2">
      <c r="A43" t="s">
        <v>65</v>
      </c>
      <c r="B43" s="75">
        <v>1184</v>
      </c>
      <c r="C43" s="71" t="s">
        <v>26</v>
      </c>
      <c r="D43" s="3" t="str">
        <f t="shared" si="12"/>
        <v/>
      </c>
      <c r="E43" s="3" t="str">
        <f t="shared" si="13"/>
        <v>N/A</v>
      </c>
      <c r="F43" s="3" t="str">
        <f t="shared" si="14"/>
        <v/>
      </c>
      <c r="G43" s="3" t="str">
        <f t="shared" si="15"/>
        <v/>
      </c>
    </row>
    <row r="44" spans="1:7" x14ac:dyDescent="0.2">
      <c r="A44" t="s">
        <v>65</v>
      </c>
      <c r="B44" s="75">
        <v>297.89999999999998</v>
      </c>
      <c r="C44" s="71">
        <v>10</v>
      </c>
      <c r="D44" s="3">
        <f t="shared" ref="D44" si="16">IF(AND(B44&gt;0,B44&lt;1000),C44,"")</f>
        <v>10</v>
      </c>
      <c r="E44" s="3" t="str">
        <f t="shared" ref="E44" si="17">IF(AND(B44&gt;1000,B44&lt;2500),C44,"")</f>
        <v/>
      </c>
      <c r="F44" s="3" t="str">
        <f t="shared" ref="F44" si="18">IF(AND(B44&gt;2500,B44&lt;5000),C44,"")</f>
        <v/>
      </c>
      <c r="G44" s="3" t="str">
        <f t="shared" ref="G44" si="19">IF(B44&gt;=5000,C44,"")</f>
        <v/>
      </c>
    </row>
    <row r="45" spans="1:7" x14ac:dyDescent="0.2">
      <c r="A45" t="s">
        <v>65</v>
      </c>
      <c r="B45" s="75">
        <v>1000</v>
      </c>
      <c r="C45" s="71">
        <v>9</v>
      </c>
      <c r="D45" s="3" t="str">
        <f t="shared" si="12"/>
        <v/>
      </c>
      <c r="E45" s="3" t="str">
        <f t="shared" si="13"/>
        <v/>
      </c>
      <c r="F45" s="3" t="str">
        <f t="shared" si="14"/>
        <v/>
      </c>
      <c r="G45" s="3" t="str">
        <f t="shared" si="15"/>
        <v/>
      </c>
    </row>
    <row r="46" spans="1:7" x14ac:dyDescent="0.2">
      <c r="A46" t="s">
        <v>65</v>
      </c>
      <c r="B46" s="75">
        <v>297.89999999999998</v>
      </c>
      <c r="C46" s="71" t="s">
        <v>26</v>
      </c>
      <c r="D46" s="3" t="str">
        <f t="shared" ref="D46" si="20">IF(AND(B46&gt;0,B46&lt;1000),C46,"")</f>
        <v>N/A</v>
      </c>
      <c r="E46" s="3" t="str">
        <f t="shared" ref="E46" si="21">IF(AND(B46&gt;1000,B46&lt;2500),C46,"")</f>
        <v/>
      </c>
      <c r="F46" s="3" t="str">
        <f t="shared" ref="F46" si="22">IF(AND(B46&gt;2500,B46&lt;5000),C46,"")</f>
        <v/>
      </c>
      <c r="G46" s="3" t="str">
        <f t="shared" ref="G46" si="23">IF(B46&gt;=5000,C46,"")</f>
        <v/>
      </c>
    </row>
    <row r="47" spans="1:7" x14ac:dyDescent="0.2">
      <c r="A47" t="s">
        <v>65</v>
      </c>
      <c r="B47" s="75">
        <v>3000</v>
      </c>
      <c r="C47" s="71" t="s">
        <v>26</v>
      </c>
      <c r="D47" s="3" t="str">
        <f t="shared" ref="D47" si="24">IF(AND(B47&gt;0,B47&lt;1000),C47,"")</f>
        <v/>
      </c>
      <c r="E47" s="3" t="str">
        <f t="shared" ref="E47" si="25">IF(AND(B47&gt;1000,B47&lt;2500),C47,"")</f>
        <v/>
      </c>
      <c r="F47" s="3" t="str">
        <f t="shared" ref="F47" si="26">IF(AND(B47&gt;2500,B47&lt;5000),C47,"")</f>
        <v>N/A</v>
      </c>
      <c r="G47" s="3" t="str">
        <f t="shared" ref="G47" si="27">IF(B47&gt;=5000,C47,"")</f>
        <v/>
      </c>
    </row>
    <row r="48" spans="1:7" x14ac:dyDescent="0.2">
      <c r="A48" t="s">
        <v>65</v>
      </c>
      <c r="B48" s="98">
        <v>1575</v>
      </c>
      <c r="C48" s="71" t="s">
        <v>26</v>
      </c>
      <c r="D48" s="3" t="str">
        <f>IF(AND(B48&gt;0,B48&lt;1000),C48,"")</f>
        <v/>
      </c>
      <c r="E48" s="3" t="str">
        <f>IF(AND(B48&gt;1000,B48&lt;2500),C48,"")</f>
        <v>N/A</v>
      </c>
      <c r="F48" s="3" t="str">
        <f>IF(AND(B48&gt;2500,B48&lt;5000),C48,"")</f>
        <v/>
      </c>
      <c r="G48" s="3" t="str">
        <f>IF(B48&gt;=5000,C48,"")</f>
        <v/>
      </c>
    </row>
    <row r="49" spans="1:7" x14ac:dyDescent="0.2">
      <c r="A49" t="s">
        <v>41</v>
      </c>
      <c r="B49" s="98">
        <v>120</v>
      </c>
      <c r="C49" s="71" t="s">
        <v>26</v>
      </c>
      <c r="D49" s="3" t="str">
        <f>IF(AND(B49&gt;0,B49&lt;1000),C49,"")</f>
        <v>N/A</v>
      </c>
      <c r="E49" s="3" t="str">
        <f>IF(AND(B49&gt;1000,B49&lt;2500),C49,"")</f>
        <v/>
      </c>
      <c r="F49" s="3" t="str">
        <f>IF(AND(B49&gt;2500,B49&lt;5000),C49,"")</f>
        <v/>
      </c>
      <c r="G49" s="3" t="str">
        <f>IF(B49&gt;=5000,C49,"")</f>
        <v/>
      </c>
    </row>
    <row r="50" spans="1:7" x14ac:dyDescent="0.2">
      <c r="A50" t="s">
        <v>41</v>
      </c>
      <c r="B50" s="98">
        <v>1800</v>
      </c>
      <c r="C50" s="71" t="s">
        <v>26</v>
      </c>
      <c r="D50" s="3" t="str">
        <f>IF(AND(B50&gt;0,B50&lt;1000),C50,"")</f>
        <v/>
      </c>
      <c r="E50" s="3" t="str">
        <f>IF(AND(B50&gt;1000,B50&lt;2500),C50,"")</f>
        <v>N/A</v>
      </c>
      <c r="F50" s="3" t="str">
        <f>IF(AND(B50&gt;2500,B50&lt;5000),C50,"")</f>
        <v/>
      </c>
      <c r="G50" s="3" t="str">
        <f>IF(B50&gt;=5000,C50,"")</f>
        <v/>
      </c>
    </row>
    <row r="51" spans="1:7" x14ac:dyDescent="0.2">
      <c r="A51" t="s">
        <v>41</v>
      </c>
      <c r="B51" s="75">
        <v>1620</v>
      </c>
      <c r="C51" s="71" t="s">
        <v>26</v>
      </c>
      <c r="D51" s="3" t="str">
        <f t="shared" si="12"/>
        <v/>
      </c>
      <c r="E51" s="3" t="str">
        <f t="shared" si="13"/>
        <v>N/A</v>
      </c>
      <c r="F51" s="3" t="str">
        <f t="shared" si="14"/>
        <v/>
      </c>
      <c r="G51" s="3" t="str">
        <f t="shared" si="15"/>
        <v/>
      </c>
    </row>
    <row r="52" spans="1:7" x14ac:dyDescent="0.2">
      <c r="A52" t="s">
        <v>41</v>
      </c>
      <c r="B52" s="98">
        <v>450</v>
      </c>
      <c r="C52" s="71" t="s">
        <v>26</v>
      </c>
      <c r="D52" s="3" t="str">
        <f>IF(AND(B52&gt;0,B52&lt;1000),C52,"")</f>
        <v>N/A</v>
      </c>
      <c r="E52" s="3" t="str">
        <f>IF(AND(B52&gt;1000,B52&lt;2500),C52,"")</f>
        <v/>
      </c>
      <c r="F52" s="3" t="str">
        <f>IF(AND(B52&gt;2500,B52&lt;5000),C52,"")</f>
        <v/>
      </c>
      <c r="G52" s="3" t="str">
        <f>IF(B52&gt;=5000,C52,"")</f>
        <v/>
      </c>
    </row>
    <row r="53" spans="1:7" x14ac:dyDescent="0.2">
      <c r="A53" t="s">
        <v>41</v>
      </c>
      <c r="B53" s="98">
        <v>1370</v>
      </c>
      <c r="C53" s="71">
        <v>10</v>
      </c>
      <c r="D53" s="3" t="str">
        <f>IF(AND(B53&gt;0,B53&lt;1000),C53,"")</f>
        <v/>
      </c>
      <c r="E53" s="3">
        <f>IF(AND(B53&gt;1000,B53&lt;2500),C53,"")</f>
        <v>10</v>
      </c>
      <c r="F53" s="3" t="str">
        <f>IF(AND(B53&gt;2500,B53&lt;5000),C53,"")</f>
        <v/>
      </c>
      <c r="G53" s="3" t="str">
        <f>IF(B53&gt;=5000,C53,"")</f>
        <v/>
      </c>
    </row>
    <row r="54" spans="1:7" x14ac:dyDescent="0.2">
      <c r="A54" t="s">
        <v>41</v>
      </c>
      <c r="B54" s="98">
        <v>1200</v>
      </c>
      <c r="C54" s="71" t="s">
        <v>26</v>
      </c>
      <c r="D54" s="3" t="str">
        <f>IF(AND(B54&gt;0,B54&lt;1000),C54,"")</f>
        <v/>
      </c>
      <c r="E54" s="3" t="str">
        <f>IF(AND(B54&gt;1000,B54&lt;2500),C54,"")</f>
        <v>N/A</v>
      </c>
      <c r="F54" s="3" t="str">
        <f>IF(AND(B54&gt;2500,B54&lt;5000),C54,"")</f>
        <v/>
      </c>
      <c r="G54" s="3" t="str">
        <f>IF(B54&gt;=5000,C54,"")</f>
        <v/>
      </c>
    </row>
    <row r="55" spans="1:7" x14ac:dyDescent="0.2">
      <c r="A55" t="s">
        <v>41</v>
      </c>
      <c r="B55" s="98">
        <v>1880</v>
      </c>
      <c r="C55" s="71">
        <v>10</v>
      </c>
      <c r="D55" s="3" t="str">
        <f>IF(AND(B55&gt;0,B55&lt;1000),C55,"")</f>
        <v/>
      </c>
      <c r="E55" s="3">
        <f>IF(AND(B55&gt;1000,B55&lt;2500),C55,"")</f>
        <v>10</v>
      </c>
      <c r="F55" s="3" t="str">
        <f>IF(AND(B55&gt;2500,B55&lt;5000),C55,"")</f>
        <v/>
      </c>
      <c r="G55" s="3" t="str">
        <f>IF(B55&gt;=5000,C55,"")</f>
        <v/>
      </c>
    </row>
    <row r="56" spans="1:7" x14ac:dyDescent="0.2">
      <c r="A56" t="s">
        <v>41</v>
      </c>
      <c r="B56" s="75">
        <v>490</v>
      </c>
      <c r="C56" s="71">
        <v>10</v>
      </c>
      <c r="D56" s="3">
        <f t="shared" si="12"/>
        <v>10</v>
      </c>
      <c r="E56" s="3" t="str">
        <f t="shared" si="13"/>
        <v/>
      </c>
      <c r="F56" s="3" t="str">
        <f t="shared" si="14"/>
        <v/>
      </c>
      <c r="G56" s="3" t="str">
        <f t="shared" si="15"/>
        <v/>
      </c>
    </row>
    <row r="57" spans="1:7" x14ac:dyDescent="0.2">
      <c r="A57" t="s">
        <v>41</v>
      </c>
      <c r="B57" s="75">
        <v>1280</v>
      </c>
      <c r="C57" s="71">
        <v>9</v>
      </c>
      <c r="D57" s="3" t="str">
        <f t="shared" si="12"/>
        <v/>
      </c>
      <c r="E57" s="3">
        <f t="shared" si="13"/>
        <v>9</v>
      </c>
      <c r="F57" s="3" t="str">
        <f t="shared" si="14"/>
        <v/>
      </c>
      <c r="G57" s="3" t="str">
        <f t="shared" si="15"/>
        <v/>
      </c>
    </row>
    <row r="58" spans="1:7" x14ac:dyDescent="0.2">
      <c r="A58" t="s">
        <v>41</v>
      </c>
      <c r="B58" s="75">
        <v>1135</v>
      </c>
      <c r="C58" s="71">
        <v>9</v>
      </c>
      <c r="D58" s="3" t="str">
        <f t="shared" si="12"/>
        <v/>
      </c>
      <c r="E58" s="3">
        <f t="shared" si="13"/>
        <v>9</v>
      </c>
      <c r="F58" s="3" t="str">
        <f t="shared" si="14"/>
        <v/>
      </c>
      <c r="G58" s="3" t="str">
        <f t="shared" si="15"/>
        <v/>
      </c>
    </row>
    <row r="59" spans="1:7" x14ac:dyDescent="0.2">
      <c r="A59" t="s">
        <v>41</v>
      </c>
      <c r="B59" s="75">
        <v>1080</v>
      </c>
      <c r="C59" s="71" t="s">
        <v>26</v>
      </c>
      <c r="D59" s="3" t="str">
        <f t="shared" si="12"/>
        <v/>
      </c>
      <c r="E59" s="3" t="str">
        <f t="shared" si="13"/>
        <v>N/A</v>
      </c>
      <c r="F59" s="3" t="str">
        <f t="shared" si="14"/>
        <v/>
      </c>
      <c r="G59" s="3" t="str">
        <f t="shared" si="15"/>
        <v/>
      </c>
    </row>
    <row r="60" spans="1:7" x14ac:dyDescent="0.2">
      <c r="A60" t="s">
        <v>41</v>
      </c>
      <c r="B60" s="98">
        <v>1200</v>
      </c>
      <c r="C60" s="71" t="s">
        <v>26</v>
      </c>
      <c r="D60" s="3" t="str">
        <f t="shared" ref="D60:D67" si="28">IF(AND(B60&gt;0,B60&lt;1000),C60,"")</f>
        <v/>
      </c>
      <c r="E60" s="3" t="str">
        <f t="shared" ref="E60:E67" si="29">IF(AND(B60&gt;1000,B60&lt;2500),C60,"")</f>
        <v>N/A</v>
      </c>
      <c r="F60" s="3" t="str">
        <f t="shared" ref="F60:F67" si="30">IF(AND(B60&gt;2500,B60&lt;5000),C60,"")</f>
        <v/>
      </c>
      <c r="G60" s="3" t="str">
        <f t="shared" ref="G60:G67" si="31">IF(B60&gt;=5000,C60,"")</f>
        <v/>
      </c>
    </row>
    <row r="61" spans="1:7" x14ac:dyDescent="0.2">
      <c r="A61" t="s">
        <v>41</v>
      </c>
      <c r="B61" s="98">
        <v>504</v>
      </c>
      <c r="C61" s="71" t="s">
        <v>26</v>
      </c>
      <c r="D61" s="3" t="str">
        <f t="shared" si="28"/>
        <v>N/A</v>
      </c>
      <c r="E61" s="3" t="str">
        <f t="shared" si="29"/>
        <v/>
      </c>
      <c r="F61" s="3" t="str">
        <f t="shared" si="30"/>
        <v/>
      </c>
      <c r="G61" s="3" t="str">
        <f t="shared" si="31"/>
        <v/>
      </c>
    </row>
    <row r="62" spans="1:7" x14ac:dyDescent="0.2">
      <c r="A62" t="s">
        <v>41</v>
      </c>
      <c r="B62" s="98">
        <v>1600</v>
      </c>
      <c r="C62" s="71" t="s">
        <v>26</v>
      </c>
      <c r="D62" s="3" t="str">
        <f t="shared" si="28"/>
        <v/>
      </c>
      <c r="E62" s="3" t="str">
        <f t="shared" si="29"/>
        <v>N/A</v>
      </c>
      <c r="F62" s="3" t="str">
        <f t="shared" si="30"/>
        <v/>
      </c>
      <c r="G62" s="3" t="str">
        <f t="shared" si="31"/>
        <v/>
      </c>
    </row>
    <row r="63" spans="1:7" x14ac:dyDescent="0.2">
      <c r="A63" t="s">
        <v>41</v>
      </c>
      <c r="B63" s="98">
        <v>1200</v>
      </c>
      <c r="C63" s="71" t="s">
        <v>26</v>
      </c>
      <c r="D63" s="3" t="str">
        <f t="shared" si="28"/>
        <v/>
      </c>
      <c r="E63" s="3" t="str">
        <f t="shared" si="29"/>
        <v>N/A</v>
      </c>
      <c r="F63" s="3" t="str">
        <f t="shared" si="30"/>
        <v/>
      </c>
      <c r="G63" s="3" t="str">
        <f t="shared" si="31"/>
        <v/>
      </c>
    </row>
    <row r="64" spans="1:7" x14ac:dyDescent="0.2">
      <c r="A64" t="s">
        <v>41</v>
      </c>
      <c r="B64" s="98">
        <v>900</v>
      </c>
      <c r="C64" s="71" t="s">
        <v>26</v>
      </c>
      <c r="D64" s="3" t="str">
        <f t="shared" si="28"/>
        <v>N/A</v>
      </c>
      <c r="E64" s="3" t="str">
        <f t="shared" si="29"/>
        <v/>
      </c>
      <c r="F64" s="3" t="str">
        <f t="shared" si="30"/>
        <v/>
      </c>
      <c r="G64" s="3" t="str">
        <f t="shared" si="31"/>
        <v/>
      </c>
    </row>
    <row r="65" spans="1:7" x14ac:dyDescent="0.2">
      <c r="A65" t="s">
        <v>41</v>
      </c>
      <c r="B65" s="98">
        <v>80</v>
      </c>
      <c r="C65" s="71" t="s">
        <v>26</v>
      </c>
      <c r="D65" s="3" t="str">
        <f t="shared" si="28"/>
        <v>N/A</v>
      </c>
      <c r="E65" s="3" t="str">
        <f t="shared" si="29"/>
        <v/>
      </c>
      <c r="F65" s="3" t="str">
        <f t="shared" si="30"/>
        <v/>
      </c>
      <c r="G65" s="3" t="str">
        <f t="shared" si="31"/>
        <v/>
      </c>
    </row>
    <row r="66" spans="1:7" x14ac:dyDescent="0.2">
      <c r="A66" t="s">
        <v>41</v>
      </c>
      <c r="B66" s="98">
        <v>80</v>
      </c>
      <c r="C66" s="71" t="s">
        <v>26</v>
      </c>
      <c r="D66" s="3" t="str">
        <f t="shared" si="28"/>
        <v>N/A</v>
      </c>
      <c r="E66" s="3" t="str">
        <f t="shared" si="29"/>
        <v/>
      </c>
      <c r="F66" s="3" t="str">
        <f t="shared" si="30"/>
        <v/>
      </c>
      <c r="G66" s="3" t="str">
        <f t="shared" si="31"/>
        <v/>
      </c>
    </row>
    <row r="67" spans="1:7" x14ac:dyDescent="0.2">
      <c r="A67" t="s">
        <v>41</v>
      </c>
      <c r="B67" s="98">
        <v>80</v>
      </c>
      <c r="C67" s="71" t="s">
        <v>26</v>
      </c>
      <c r="D67" s="3" t="str">
        <f t="shared" si="28"/>
        <v>N/A</v>
      </c>
      <c r="E67" s="3" t="str">
        <f t="shared" si="29"/>
        <v/>
      </c>
      <c r="F67" s="3" t="str">
        <f t="shared" si="30"/>
        <v/>
      </c>
      <c r="G67" s="3" t="str">
        <f t="shared" si="31"/>
        <v/>
      </c>
    </row>
    <row r="68" spans="1:7" x14ac:dyDescent="0.2">
      <c r="A68" t="s">
        <v>41</v>
      </c>
      <c r="B68" s="75">
        <v>80</v>
      </c>
      <c r="C68" s="71" t="s">
        <v>26</v>
      </c>
      <c r="D68" s="3" t="str">
        <f t="shared" si="12"/>
        <v>N/A</v>
      </c>
      <c r="E68" s="3" t="str">
        <f t="shared" si="13"/>
        <v/>
      </c>
      <c r="F68" s="3" t="str">
        <f t="shared" si="14"/>
        <v/>
      </c>
      <c r="G68" s="3" t="str">
        <f t="shared" si="15"/>
        <v/>
      </c>
    </row>
    <row r="69" spans="1:7" x14ac:dyDescent="0.2">
      <c r="A69" t="s">
        <v>41</v>
      </c>
      <c r="B69" s="106">
        <v>160</v>
      </c>
      <c r="C69" s="71" t="s">
        <v>26</v>
      </c>
      <c r="D69" s="3" t="str">
        <f t="shared" ref="D69:D80" si="32">IF(AND(B69&gt;0,B69&lt;1000),C69,"")</f>
        <v>N/A</v>
      </c>
      <c r="E69" s="3" t="str">
        <f t="shared" ref="E69:E80" si="33">IF(AND(B69&gt;1000,B69&lt;2500),C69,"")</f>
        <v/>
      </c>
      <c r="F69" s="3" t="str">
        <f t="shared" ref="F69:F80" si="34">IF(AND(B69&gt;2500,B69&lt;5000),C69,"")</f>
        <v/>
      </c>
      <c r="G69" s="3" t="str">
        <f t="shared" ref="G69:G80" si="35">IF(B69&gt;=5000,C69,"")</f>
        <v/>
      </c>
    </row>
    <row r="70" spans="1:7" x14ac:dyDescent="0.2">
      <c r="A70" t="s">
        <v>41</v>
      </c>
      <c r="B70" s="106">
        <v>25</v>
      </c>
      <c r="C70" s="71" t="s">
        <v>26</v>
      </c>
      <c r="D70" s="3" t="str">
        <f t="shared" si="32"/>
        <v>N/A</v>
      </c>
      <c r="E70" s="3" t="str">
        <f t="shared" si="33"/>
        <v/>
      </c>
      <c r="F70" s="3" t="str">
        <f t="shared" si="34"/>
        <v/>
      </c>
      <c r="G70" s="3" t="str">
        <f t="shared" si="35"/>
        <v/>
      </c>
    </row>
    <row r="71" spans="1:7" x14ac:dyDescent="0.2">
      <c r="A71" t="s">
        <v>41</v>
      </c>
      <c r="B71" s="106">
        <v>80</v>
      </c>
      <c r="C71" s="71" t="s">
        <v>26</v>
      </c>
      <c r="D71" s="3" t="str">
        <f t="shared" si="32"/>
        <v>N/A</v>
      </c>
      <c r="E71" s="3" t="str">
        <f t="shared" si="33"/>
        <v/>
      </c>
      <c r="F71" s="3" t="str">
        <f t="shared" si="34"/>
        <v/>
      </c>
      <c r="G71" s="3" t="str">
        <f t="shared" si="35"/>
        <v/>
      </c>
    </row>
    <row r="72" spans="1:7" x14ac:dyDescent="0.2">
      <c r="A72" t="s">
        <v>41</v>
      </c>
      <c r="B72" s="106">
        <v>1800</v>
      </c>
      <c r="C72" s="71" t="s">
        <v>26</v>
      </c>
      <c r="D72" s="3" t="str">
        <f t="shared" si="32"/>
        <v/>
      </c>
      <c r="E72" s="3" t="str">
        <f t="shared" si="33"/>
        <v>N/A</v>
      </c>
      <c r="F72" s="3" t="str">
        <f t="shared" si="34"/>
        <v/>
      </c>
      <c r="G72" s="3" t="str">
        <f t="shared" si="35"/>
        <v/>
      </c>
    </row>
    <row r="73" spans="1:7" x14ac:dyDescent="0.2">
      <c r="A73" t="s">
        <v>41</v>
      </c>
      <c r="B73" s="106">
        <v>1200</v>
      </c>
      <c r="C73" s="71" t="s">
        <v>26</v>
      </c>
      <c r="D73" s="3" t="str">
        <f t="shared" si="32"/>
        <v/>
      </c>
      <c r="E73" s="3" t="str">
        <f t="shared" si="33"/>
        <v>N/A</v>
      </c>
      <c r="F73" s="3" t="str">
        <f t="shared" si="34"/>
        <v/>
      </c>
      <c r="G73" s="3" t="str">
        <f t="shared" si="35"/>
        <v/>
      </c>
    </row>
    <row r="74" spans="1:7" x14ac:dyDescent="0.2">
      <c r="A74" t="s">
        <v>41</v>
      </c>
      <c r="B74" s="106">
        <v>80</v>
      </c>
      <c r="C74" s="71" t="s">
        <v>26</v>
      </c>
      <c r="D74" s="3" t="str">
        <f t="shared" si="32"/>
        <v>N/A</v>
      </c>
      <c r="E74" s="3" t="str">
        <f t="shared" si="33"/>
        <v/>
      </c>
      <c r="F74" s="3" t="str">
        <f t="shared" si="34"/>
        <v/>
      </c>
      <c r="G74" s="3" t="str">
        <f t="shared" si="35"/>
        <v/>
      </c>
    </row>
    <row r="75" spans="1:7" x14ac:dyDescent="0.2">
      <c r="A75" t="s">
        <v>41</v>
      </c>
      <c r="B75" s="106">
        <v>25</v>
      </c>
      <c r="C75" s="71" t="s">
        <v>26</v>
      </c>
      <c r="D75" s="3" t="str">
        <f t="shared" si="32"/>
        <v>N/A</v>
      </c>
      <c r="E75" s="3" t="str">
        <f t="shared" si="33"/>
        <v/>
      </c>
      <c r="F75" s="3" t="str">
        <f t="shared" si="34"/>
        <v/>
      </c>
      <c r="G75" s="3" t="str">
        <f t="shared" si="35"/>
        <v/>
      </c>
    </row>
    <row r="76" spans="1:7" x14ac:dyDescent="0.2">
      <c r="A76" t="s">
        <v>41</v>
      </c>
      <c r="B76" s="106">
        <v>80</v>
      </c>
      <c r="C76" s="107" t="s">
        <v>26</v>
      </c>
      <c r="D76" s="3" t="str">
        <f t="shared" si="32"/>
        <v>N/A</v>
      </c>
      <c r="E76" s="3" t="str">
        <f t="shared" si="33"/>
        <v/>
      </c>
      <c r="F76" s="3" t="str">
        <f t="shared" si="34"/>
        <v/>
      </c>
      <c r="G76" s="3" t="str">
        <f t="shared" si="35"/>
        <v/>
      </c>
    </row>
    <row r="77" spans="1:7" x14ac:dyDescent="0.2">
      <c r="A77" t="s">
        <v>41</v>
      </c>
      <c r="B77" s="106">
        <v>80</v>
      </c>
      <c r="C77" s="107" t="s">
        <v>26</v>
      </c>
      <c r="D77" s="3" t="str">
        <f t="shared" si="32"/>
        <v>N/A</v>
      </c>
      <c r="E77" s="3" t="str">
        <f t="shared" si="33"/>
        <v/>
      </c>
      <c r="F77" s="3" t="str">
        <f t="shared" si="34"/>
        <v/>
      </c>
      <c r="G77" s="3" t="str">
        <f t="shared" si="35"/>
        <v/>
      </c>
    </row>
    <row r="78" spans="1:7" x14ac:dyDescent="0.2">
      <c r="A78" t="s">
        <v>41</v>
      </c>
      <c r="B78" s="106">
        <v>1800</v>
      </c>
      <c r="C78" s="107" t="s">
        <v>26</v>
      </c>
      <c r="D78" s="3" t="str">
        <f t="shared" si="32"/>
        <v/>
      </c>
      <c r="E78" s="3" t="str">
        <f t="shared" si="33"/>
        <v>N/A</v>
      </c>
      <c r="F78" s="3" t="str">
        <f t="shared" si="34"/>
        <v/>
      </c>
      <c r="G78" s="3" t="str">
        <f t="shared" si="35"/>
        <v/>
      </c>
    </row>
    <row r="79" spans="1:7" x14ac:dyDescent="0.2">
      <c r="A79" t="s">
        <v>41</v>
      </c>
      <c r="B79" s="106">
        <v>2280</v>
      </c>
      <c r="C79" s="107" t="s">
        <v>26</v>
      </c>
      <c r="D79" s="3" t="str">
        <f t="shared" si="32"/>
        <v/>
      </c>
      <c r="E79" s="3" t="str">
        <f t="shared" si="33"/>
        <v>N/A</v>
      </c>
      <c r="F79" s="3" t="str">
        <f t="shared" si="34"/>
        <v/>
      </c>
      <c r="G79" s="3" t="str">
        <f t="shared" si="35"/>
        <v/>
      </c>
    </row>
    <row r="80" spans="1:7" x14ac:dyDescent="0.2">
      <c r="A80" t="s">
        <v>41</v>
      </c>
      <c r="B80" s="106">
        <v>60</v>
      </c>
      <c r="C80" s="71">
        <v>9</v>
      </c>
      <c r="D80" s="3">
        <f t="shared" si="32"/>
        <v>9</v>
      </c>
      <c r="E80" s="3" t="str">
        <f t="shared" si="33"/>
        <v/>
      </c>
      <c r="F80" s="3" t="str">
        <f t="shared" si="34"/>
        <v/>
      </c>
      <c r="G80" s="3" t="str">
        <f t="shared" si="35"/>
        <v/>
      </c>
    </row>
    <row r="81" spans="1:7" x14ac:dyDescent="0.2">
      <c r="A81" s="39" t="s">
        <v>41</v>
      </c>
      <c r="B81" s="75">
        <v>705</v>
      </c>
      <c r="C81" s="71">
        <v>10</v>
      </c>
      <c r="D81" s="3">
        <f t="shared" ref="D81:D88" si="36">IF(AND(B81&gt;0,B81&lt;1000),C81,"")</f>
        <v>10</v>
      </c>
      <c r="E81" s="3" t="str">
        <f t="shared" ref="E81:E88" si="37">IF(AND(B81&gt;1000,B81&lt;2500),C81,"")</f>
        <v/>
      </c>
      <c r="F81" s="3" t="str">
        <f t="shared" ref="F81:F88" si="38">IF(AND(B81&gt;2500,B81&lt;5000),C81,"")</f>
        <v/>
      </c>
      <c r="G81" s="3" t="str">
        <f t="shared" ref="G81:G88" si="39">IF(B81&gt;=5000,C81,"")</f>
        <v/>
      </c>
    </row>
    <row r="82" spans="1:7" x14ac:dyDescent="0.2">
      <c r="A82" s="39" t="s">
        <v>41</v>
      </c>
      <c r="B82" s="75">
        <v>80</v>
      </c>
      <c r="C82" s="71" t="s">
        <v>26</v>
      </c>
      <c r="D82" s="3" t="str">
        <f t="shared" si="36"/>
        <v>N/A</v>
      </c>
      <c r="E82" s="3" t="str">
        <f t="shared" si="37"/>
        <v/>
      </c>
      <c r="F82" s="3" t="str">
        <f t="shared" si="38"/>
        <v/>
      </c>
      <c r="G82" s="3" t="str">
        <f t="shared" si="39"/>
        <v/>
      </c>
    </row>
    <row r="83" spans="1:7" x14ac:dyDescent="0.2">
      <c r="A83" s="39" t="s">
        <v>41</v>
      </c>
      <c r="B83" s="75">
        <v>1000</v>
      </c>
      <c r="C83" s="71" t="s">
        <v>26</v>
      </c>
      <c r="D83" s="3" t="str">
        <f t="shared" si="36"/>
        <v/>
      </c>
      <c r="E83" s="3" t="str">
        <f t="shared" si="37"/>
        <v/>
      </c>
      <c r="F83" s="3" t="str">
        <f t="shared" si="38"/>
        <v/>
      </c>
      <c r="G83" s="3" t="str">
        <f t="shared" si="39"/>
        <v/>
      </c>
    </row>
    <row r="84" spans="1:7" x14ac:dyDescent="0.2">
      <c r="A84" s="39" t="s">
        <v>41</v>
      </c>
      <c r="B84" s="75">
        <v>25</v>
      </c>
      <c r="C84" s="71" t="s">
        <v>26</v>
      </c>
      <c r="D84" s="3" t="str">
        <f t="shared" si="36"/>
        <v>N/A</v>
      </c>
      <c r="E84" s="3" t="str">
        <f t="shared" si="37"/>
        <v/>
      </c>
      <c r="F84" s="3" t="str">
        <f t="shared" si="38"/>
        <v/>
      </c>
      <c r="G84" s="3" t="str">
        <f t="shared" si="39"/>
        <v/>
      </c>
    </row>
    <row r="85" spans="1:7" x14ac:dyDescent="0.2">
      <c r="A85" s="39" t="s">
        <v>41</v>
      </c>
      <c r="B85" s="75">
        <v>650</v>
      </c>
      <c r="C85" s="71" t="s">
        <v>26</v>
      </c>
      <c r="D85" s="3" t="str">
        <f t="shared" si="36"/>
        <v>N/A</v>
      </c>
      <c r="E85" s="3" t="str">
        <f t="shared" si="37"/>
        <v/>
      </c>
      <c r="F85" s="3" t="str">
        <f t="shared" si="38"/>
        <v/>
      </c>
      <c r="G85" s="3" t="str">
        <f t="shared" si="39"/>
        <v/>
      </c>
    </row>
    <row r="86" spans="1:7" x14ac:dyDescent="0.2">
      <c r="A86" s="39" t="s">
        <v>41</v>
      </c>
      <c r="B86" s="75">
        <v>1500</v>
      </c>
      <c r="C86" s="71" t="s">
        <v>26</v>
      </c>
      <c r="D86" s="3" t="str">
        <f t="shared" si="36"/>
        <v/>
      </c>
      <c r="E86" s="3" t="str">
        <f t="shared" si="37"/>
        <v>N/A</v>
      </c>
      <c r="F86" s="3" t="str">
        <f t="shared" si="38"/>
        <v/>
      </c>
      <c r="G86" s="3" t="str">
        <f t="shared" si="39"/>
        <v/>
      </c>
    </row>
    <row r="87" spans="1:7" x14ac:dyDescent="0.2">
      <c r="A87" s="39" t="s">
        <v>41</v>
      </c>
      <c r="B87" s="75">
        <v>1440</v>
      </c>
      <c r="C87" s="71" t="s">
        <v>26</v>
      </c>
      <c r="D87" s="3" t="str">
        <f t="shared" si="36"/>
        <v/>
      </c>
      <c r="E87" s="3" t="str">
        <f t="shared" si="37"/>
        <v>N/A</v>
      </c>
      <c r="F87" s="3" t="str">
        <f t="shared" si="38"/>
        <v/>
      </c>
      <c r="G87" s="3" t="str">
        <f t="shared" si="39"/>
        <v/>
      </c>
    </row>
    <row r="88" spans="1:7" x14ac:dyDescent="0.2">
      <c r="A88" s="39" t="s">
        <v>41</v>
      </c>
      <c r="B88" s="75">
        <v>660</v>
      </c>
      <c r="C88" s="71" t="s">
        <v>26</v>
      </c>
      <c r="D88" s="3" t="str">
        <f t="shared" si="36"/>
        <v>N/A</v>
      </c>
      <c r="E88" s="3" t="str">
        <f t="shared" si="37"/>
        <v/>
      </c>
      <c r="F88" s="3" t="str">
        <f t="shared" si="38"/>
        <v/>
      </c>
      <c r="G88" s="3" t="str">
        <f t="shared" si="39"/>
        <v/>
      </c>
    </row>
    <row r="89" spans="1:7" x14ac:dyDescent="0.2">
      <c r="A89" s="39" t="s">
        <v>41</v>
      </c>
      <c r="B89" s="98">
        <v>840</v>
      </c>
      <c r="C89" s="71" t="s">
        <v>26</v>
      </c>
      <c r="D89" s="3" t="str">
        <f t="shared" ref="D89:D95" si="40">IF(AND(B89&gt;0,B89&lt;1000),C89,"")</f>
        <v>N/A</v>
      </c>
      <c r="E89" s="3" t="str">
        <f t="shared" ref="E89:E95" si="41">IF(AND(B89&gt;1000,B89&lt;2500),C89,"")</f>
        <v/>
      </c>
      <c r="F89" s="3" t="str">
        <f t="shared" ref="F89:F95" si="42">IF(AND(B89&gt;2500,B89&lt;5000),C89,"")</f>
        <v/>
      </c>
      <c r="G89" s="3" t="str">
        <f t="shared" ref="G89:G95" si="43">IF(B89&gt;=5000,C89,"")</f>
        <v/>
      </c>
    </row>
    <row r="90" spans="1:7" x14ac:dyDescent="0.2">
      <c r="A90" s="39" t="s">
        <v>41</v>
      </c>
      <c r="B90" s="98">
        <v>1200</v>
      </c>
      <c r="C90" s="71" t="s">
        <v>26</v>
      </c>
      <c r="D90" s="3" t="str">
        <f t="shared" si="40"/>
        <v/>
      </c>
      <c r="E90" s="3" t="str">
        <f t="shared" si="41"/>
        <v>N/A</v>
      </c>
      <c r="F90" s="3" t="str">
        <f t="shared" si="42"/>
        <v/>
      </c>
      <c r="G90" s="3" t="str">
        <f t="shared" si="43"/>
        <v/>
      </c>
    </row>
    <row r="91" spans="1:7" x14ac:dyDescent="0.2">
      <c r="A91" s="39" t="s">
        <v>41</v>
      </c>
      <c r="B91" s="98">
        <v>840</v>
      </c>
      <c r="C91" s="71" t="s">
        <v>26</v>
      </c>
      <c r="D91" s="3" t="str">
        <f t="shared" si="40"/>
        <v>N/A</v>
      </c>
      <c r="E91" s="3" t="str">
        <f t="shared" si="41"/>
        <v/>
      </c>
      <c r="F91" s="3" t="str">
        <f t="shared" si="42"/>
        <v/>
      </c>
      <c r="G91" s="3" t="str">
        <f t="shared" si="43"/>
        <v/>
      </c>
    </row>
    <row r="92" spans="1:7" x14ac:dyDescent="0.2">
      <c r="A92" s="39" t="s">
        <v>41</v>
      </c>
      <c r="B92" s="98">
        <v>1560</v>
      </c>
      <c r="C92" s="71" t="s">
        <v>26</v>
      </c>
      <c r="D92" s="3" t="str">
        <f t="shared" si="40"/>
        <v/>
      </c>
      <c r="E92" s="3" t="str">
        <f t="shared" si="41"/>
        <v>N/A</v>
      </c>
      <c r="F92" s="3" t="str">
        <f t="shared" si="42"/>
        <v/>
      </c>
      <c r="G92" s="3" t="str">
        <f t="shared" si="43"/>
        <v/>
      </c>
    </row>
    <row r="93" spans="1:7" x14ac:dyDescent="0.2">
      <c r="A93" s="39" t="s">
        <v>41</v>
      </c>
      <c r="B93" s="98">
        <v>1560</v>
      </c>
      <c r="C93" s="71" t="s">
        <v>26</v>
      </c>
      <c r="D93" s="3" t="str">
        <f t="shared" si="40"/>
        <v/>
      </c>
      <c r="E93" s="3" t="str">
        <f t="shared" si="41"/>
        <v>N/A</v>
      </c>
      <c r="F93" s="3" t="str">
        <f t="shared" si="42"/>
        <v/>
      </c>
      <c r="G93" s="3" t="str">
        <f t="shared" si="43"/>
        <v/>
      </c>
    </row>
    <row r="94" spans="1:7" x14ac:dyDescent="0.2">
      <c r="A94" s="39" t="s">
        <v>41</v>
      </c>
      <c r="B94" s="98">
        <v>100</v>
      </c>
      <c r="C94" s="71" t="s">
        <v>26</v>
      </c>
      <c r="D94" s="3" t="str">
        <f t="shared" si="40"/>
        <v>N/A</v>
      </c>
      <c r="E94" s="3" t="str">
        <f t="shared" si="41"/>
        <v/>
      </c>
      <c r="F94" s="3" t="str">
        <f t="shared" si="42"/>
        <v/>
      </c>
      <c r="G94" s="3" t="str">
        <f t="shared" si="43"/>
        <v/>
      </c>
    </row>
    <row r="95" spans="1:7" x14ac:dyDescent="0.2">
      <c r="A95" s="39" t="s">
        <v>41</v>
      </c>
      <c r="B95" s="98">
        <v>80</v>
      </c>
      <c r="C95" s="71" t="s">
        <v>26</v>
      </c>
      <c r="D95" s="3" t="str">
        <f t="shared" si="40"/>
        <v>N/A</v>
      </c>
      <c r="E95" s="3" t="str">
        <f t="shared" si="41"/>
        <v/>
      </c>
      <c r="F95" s="3" t="str">
        <f t="shared" si="42"/>
        <v/>
      </c>
      <c r="G95" s="3" t="str">
        <f t="shared" si="43"/>
        <v/>
      </c>
    </row>
    <row r="96" spans="1:7" x14ac:dyDescent="0.2">
      <c r="A96" s="39" t="s">
        <v>41</v>
      </c>
      <c r="B96" s="75">
        <v>80</v>
      </c>
      <c r="C96" s="71" t="s">
        <v>26</v>
      </c>
      <c r="D96" s="3" t="str">
        <f t="shared" ref="D96:D113" si="44">IF(AND(B96&gt;0,B96&lt;1000),C96,"")</f>
        <v>N/A</v>
      </c>
      <c r="E96" s="3" t="str">
        <f t="shared" ref="E96:E113" si="45">IF(AND(B96&gt;1000,B96&lt;2500),C96,"")</f>
        <v/>
      </c>
      <c r="F96" s="3" t="str">
        <f t="shared" ref="F96:F113" si="46">IF(AND(B96&gt;2500,B96&lt;5000),C96,"")</f>
        <v/>
      </c>
      <c r="G96" s="3" t="str">
        <f t="shared" ref="G96:G113" si="47">IF(B96&gt;=5000,C96,"")</f>
        <v/>
      </c>
    </row>
    <row r="97" spans="1:7" x14ac:dyDescent="0.2">
      <c r="A97" s="39" t="s">
        <v>41</v>
      </c>
      <c r="B97" s="75">
        <v>80</v>
      </c>
      <c r="C97" s="71" t="s">
        <v>26</v>
      </c>
      <c r="D97" s="3" t="str">
        <f t="shared" si="44"/>
        <v>N/A</v>
      </c>
      <c r="E97" s="3" t="str">
        <f t="shared" si="45"/>
        <v/>
      </c>
      <c r="F97" s="3" t="str">
        <f t="shared" si="46"/>
        <v/>
      </c>
      <c r="G97" s="3" t="str">
        <f t="shared" si="47"/>
        <v/>
      </c>
    </row>
    <row r="98" spans="1:7" x14ac:dyDescent="0.2">
      <c r="A98" s="39" t="s">
        <v>41</v>
      </c>
      <c r="B98" s="75">
        <v>80</v>
      </c>
      <c r="C98" s="71" t="s">
        <v>26</v>
      </c>
      <c r="D98" s="3" t="str">
        <f t="shared" si="44"/>
        <v>N/A</v>
      </c>
      <c r="E98" s="3" t="str">
        <f t="shared" si="45"/>
        <v/>
      </c>
      <c r="F98" s="3" t="str">
        <f t="shared" si="46"/>
        <v/>
      </c>
      <c r="G98" s="3" t="str">
        <f t="shared" si="47"/>
        <v/>
      </c>
    </row>
    <row r="99" spans="1:7" x14ac:dyDescent="0.2">
      <c r="A99" s="39" t="s">
        <v>41</v>
      </c>
      <c r="B99" s="75">
        <v>1080</v>
      </c>
      <c r="C99" s="71" t="s">
        <v>26</v>
      </c>
      <c r="D99" s="3" t="str">
        <f t="shared" si="44"/>
        <v/>
      </c>
      <c r="E99" s="3" t="str">
        <f t="shared" si="45"/>
        <v>N/A</v>
      </c>
      <c r="F99" s="3" t="str">
        <f t="shared" si="46"/>
        <v/>
      </c>
      <c r="G99" s="3" t="str">
        <f t="shared" si="47"/>
        <v/>
      </c>
    </row>
    <row r="100" spans="1:7" x14ac:dyDescent="0.2">
      <c r="A100" s="39" t="s">
        <v>41</v>
      </c>
      <c r="B100" s="75">
        <v>302.39999999999998</v>
      </c>
      <c r="C100" s="71" t="s">
        <v>26</v>
      </c>
      <c r="D100" s="3" t="str">
        <f t="shared" si="44"/>
        <v>N/A</v>
      </c>
      <c r="E100" s="3" t="str">
        <f t="shared" si="45"/>
        <v/>
      </c>
      <c r="F100" s="3" t="str">
        <f t="shared" si="46"/>
        <v/>
      </c>
      <c r="G100" s="3" t="str">
        <f t="shared" si="47"/>
        <v/>
      </c>
    </row>
    <row r="101" spans="1:7" x14ac:dyDescent="0.2">
      <c r="A101" s="39" t="s">
        <v>41</v>
      </c>
      <c r="B101" s="75">
        <v>80</v>
      </c>
      <c r="C101" s="71" t="s">
        <v>26</v>
      </c>
      <c r="D101" s="3" t="str">
        <f t="shared" si="44"/>
        <v>N/A</v>
      </c>
      <c r="E101" s="3" t="str">
        <f t="shared" si="45"/>
        <v/>
      </c>
      <c r="F101" s="3" t="str">
        <f t="shared" si="46"/>
        <v/>
      </c>
      <c r="G101" s="3" t="str">
        <f t="shared" si="47"/>
        <v/>
      </c>
    </row>
    <row r="102" spans="1:7" x14ac:dyDescent="0.2">
      <c r="A102" s="39" t="s">
        <v>41</v>
      </c>
      <c r="B102" s="98">
        <v>2400</v>
      </c>
      <c r="C102" s="71" t="s">
        <v>26</v>
      </c>
      <c r="D102" s="3" t="str">
        <f>IF(AND(B102&gt;0,B102&lt;1000),C102,"")</f>
        <v/>
      </c>
      <c r="E102" s="3" t="str">
        <f>IF(AND(B102&gt;1000,B102&lt;2500),C102,"")</f>
        <v>N/A</v>
      </c>
      <c r="F102" s="3" t="str">
        <f>IF(AND(B102&gt;2500,B102&lt;5000),C102,"")</f>
        <v/>
      </c>
      <c r="G102" s="3" t="str">
        <f>IF(B102&gt;=5000,C102,"")</f>
        <v/>
      </c>
    </row>
    <row r="103" spans="1:7" x14ac:dyDescent="0.2">
      <c r="A103" s="39" t="s">
        <v>41</v>
      </c>
      <c r="B103" s="75">
        <v>80</v>
      </c>
      <c r="C103" s="71" t="s">
        <v>26</v>
      </c>
      <c r="D103" s="3" t="str">
        <f t="shared" si="44"/>
        <v>N/A</v>
      </c>
      <c r="E103" s="3" t="str">
        <f t="shared" si="45"/>
        <v/>
      </c>
      <c r="F103" s="3" t="str">
        <f t="shared" si="46"/>
        <v/>
      </c>
      <c r="G103" s="3" t="str">
        <f t="shared" si="47"/>
        <v/>
      </c>
    </row>
    <row r="104" spans="1:7" x14ac:dyDescent="0.2">
      <c r="A104" s="39" t="s">
        <v>41</v>
      </c>
      <c r="B104" s="75">
        <v>1080</v>
      </c>
      <c r="C104" s="71" t="s">
        <v>26</v>
      </c>
      <c r="D104" s="3" t="str">
        <f t="shared" si="44"/>
        <v/>
      </c>
      <c r="E104" s="3" t="str">
        <f t="shared" si="45"/>
        <v>N/A</v>
      </c>
      <c r="F104" s="3" t="str">
        <f t="shared" si="46"/>
        <v/>
      </c>
      <c r="G104" s="3" t="str">
        <f t="shared" si="47"/>
        <v/>
      </c>
    </row>
    <row r="105" spans="1:7" x14ac:dyDescent="0.2">
      <c r="A105" s="39" t="s">
        <v>41</v>
      </c>
      <c r="B105" s="98">
        <v>432</v>
      </c>
      <c r="C105" s="71" t="s">
        <v>26</v>
      </c>
      <c r="D105" s="3" t="str">
        <f>IF(AND(B105&gt;0,B105&lt;1000),C105,"")</f>
        <v>N/A</v>
      </c>
      <c r="E105" s="3" t="str">
        <f>IF(AND(B105&gt;1000,B105&lt;2500),C105,"")</f>
        <v/>
      </c>
      <c r="F105" s="3" t="str">
        <f>IF(AND(B105&gt;2500,B105&lt;5000),C105,"")</f>
        <v/>
      </c>
      <c r="G105" s="3" t="str">
        <f>IF(B105&gt;=5000,C105,"")</f>
        <v/>
      </c>
    </row>
    <row r="106" spans="1:7" x14ac:dyDescent="0.2">
      <c r="A106" s="39" t="s">
        <v>41</v>
      </c>
      <c r="B106" s="75">
        <v>25</v>
      </c>
      <c r="C106" s="71">
        <v>10</v>
      </c>
      <c r="D106" s="3">
        <f t="shared" si="44"/>
        <v>10</v>
      </c>
      <c r="E106" s="3" t="str">
        <f t="shared" si="45"/>
        <v/>
      </c>
      <c r="F106" s="3" t="str">
        <f t="shared" si="46"/>
        <v/>
      </c>
      <c r="G106" s="3" t="str">
        <f t="shared" si="47"/>
        <v/>
      </c>
    </row>
    <row r="107" spans="1:7" x14ac:dyDescent="0.2">
      <c r="A107" s="39" t="s">
        <v>41</v>
      </c>
      <c r="B107" s="106">
        <v>2210</v>
      </c>
      <c r="C107" s="107">
        <v>10</v>
      </c>
      <c r="D107" s="3" t="str">
        <f>IF(AND(B107&gt;0,B107&lt;1000),C107,"")</f>
        <v/>
      </c>
      <c r="E107" s="3">
        <f>IF(AND(B107&gt;1000,B107&lt;2500),C107,"")</f>
        <v>10</v>
      </c>
      <c r="F107" s="3" t="str">
        <f>IF(AND(B107&gt;2500,B107&lt;5000),C107,"")</f>
        <v/>
      </c>
      <c r="G107" s="3" t="str">
        <f>IF(B107&gt;=5000,C107,"")</f>
        <v/>
      </c>
    </row>
    <row r="108" spans="1:7" x14ac:dyDescent="0.2">
      <c r="A108" s="39" t="s">
        <v>41</v>
      </c>
      <c r="B108" s="75">
        <v>1775</v>
      </c>
      <c r="C108" s="71">
        <v>10</v>
      </c>
      <c r="D108" s="3" t="str">
        <f t="shared" si="44"/>
        <v/>
      </c>
      <c r="E108" s="3">
        <f t="shared" si="45"/>
        <v>10</v>
      </c>
      <c r="F108" s="3" t="str">
        <f t="shared" si="46"/>
        <v/>
      </c>
      <c r="G108" s="3" t="str">
        <f t="shared" si="47"/>
        <v/>
      </c>
    </row>
    <row r="109" spans="1:7" x14ac:dyDescent="0.2">
      <c r="A109" s="39" t="s">
        <v>41</v>
      </c>
      <c r="B109" s="75">
        <v>25</v>
      </c>
      <c r="C109" s="71">
        <v>10</v>
      </c>
      <c r="D109" s="3">
        <f>IF(AND(B109&gt;0,B109&lt;1000),C109,"")</f>
        <v>10</v>
      </c>
      <c r="E109" s="3" t="str">
        <f>IF(AND(B109&gt;1000,B109&lt;2500),C109,"")</f>
        <v/>
      </c>
      <c r="F109" s="3" t="str">
        <f>IF(AND(B109&gt;2500,B109&lt;5000),C109,"")</f>
        <v/>
      </c>
      <c r="G109" s="3" t="str">
        <f>IF(B109&gt;=5000,C109,"")</f>
        <v/>
      </c>
    </row>
    <row r="110" spans="1:7" x14ac:dyDescent="0.2">
      <c r="A110" s="39" t="s">
        <v>41</v>
      </c>
      <c r="B110" s="98">
        <v>522</v>
      </c>
      <c r="C110" s="71" t="s">
        <v>26</v>
      </c>
      <c r="D110" s="3" t="str">
        <f>IF(AND(B110&gt;0,B110&lt;1000),C110,"")</f>
        <v>N/A</v>
      </c>
      <c r="E110" s="3" t="str">
        <f>IF(AND(B110&gt;1000,B110&lt;2500),C110,"")</f>
        <v/>
      </c>
      <c r="F110" s="3" t="str">
        <f>IF(AND(B110&gt;2500,B110&lt;5000),C110,"")</f>
        <v/>
      </c>
      <c r="G110" s="3" t="str">
        <f>IF(B110&gt;=5000,C110,"")</f>
        <v/>
      </c>
    </row>
    <row r="111" spans="1:7" x14ac:dyDescent="0.2">
      <c r="A111" s="39" t="s">
        <v>41</v>
      </c>
      <c r="B111" s="98">
        <v>80</v>
      </c>
      <c r="C111" s="71" t="s">
        <v>26</v>
      </c>
      <c r="D111" s="3" t="str">
        <f>IF(AND(B111&gt;0,B111&lt;1000),C111,"")</f>
        <v>N/A</v>
      </c>
      <c r="E111" s="3" t="str">
        <f>IF(AND(B111&gt;1000,B111&lt;2500),C111,"")</f>
        <v/>
      </c>
      <c r="F111" s="3" t="str">
        <f>IF(AND(B111&gt;2500,B111&lt;5000),C111,"")</f>
        <v/>
      </c>
      <c r="G111" s="3" t="str">
        <f>IF(B111&gt;=5000,C111,"")</f>
        <v/>
      </c>
    </row>
    <row r="112" spans="1:7" x14ac:dyDescent="0.2">
      <c r="A112" s="39" t="s">
        <v>41</v>
      </c>
      <c r="B112" s="98">
        <v>720</v>
      </c>
      <c r="C112" s="71" t="s">
        <v>26</v>
      </c>
      <c r="D112" s="3" t="str">
        <f>IF(AND(B112&gt;0,B112&lt;1000),C112,"")</f>
        <v>N/A</v>
      </c>
      <c r="E112" s="3" t="str">
        <f>IF(AND(B112&gt;1000,B112&lt;2500),C112,"")</f>
        <v/>
      </c>
      <c r="F112" s="3" t="str">
        <f>IF(AND(B112&gt;2500,B112&lt;5000),C112,"")</f>
        <v/>
      </c>
      <c r="G112" s="3" t="str">
        <f>IF(B112&gt;=5000,C112,"")</f>
        <v/>
      </c>
    </row>
    <row r="113" spans="1:7" x14ac:dyDescent="0.2">
      <c r="A113" s="39" t="s">
        <v>41</v>
      </c>
      <c r="B113" s="75">
        <v>80</v>
      </c>
      <c r="C113" s="71" t="s">
        <v>26</v>
      </c>
      <c r="D113" s="3" t="str">
        <f t="shared" si="44"/>
        <v>N/A</v>
      </c>
      <c r="E113" s="3" t="str">
        <f t="shared" si="45"/>
        <v/>
      </c>
      <c r="F113" s="3" t="str">
        <f t="shared" si="46"/>
        <v/>
      </c>
      <c r="G113" s="3" t="str">
        <f t="shared" si="47"/>
        <v/>
      </c>
    </row>
    <row r="114" spans="1:7" x14ac:dyDescent="0.2">
      <c r="A114" s="39" t="s">
        <v>41</v>
      </c>
      <c r="B114" s="75">
        <v>80</v>
      </c>
      <c r="C114" s="71" t="s">
        <v>26</v>
      </c>
      <c r="D114" s="3" t="str">
        <f>IF(AND(B114&gt;0,B114&lt;1000),C114,"")</f>
        <v>N/A</v>
      </c>
      <c r="E114" s="3" t="str">
        <f>IF(AND(B114&gt;1000,B114&lt;2500),C114,"")</f>
        <v/>
      </c>
      <c r="F114" s="3" t="str">
        <f>IF(AND(B114&gt;2500,B114&lt;5000),C114,"")</f>
        <v/>
      </c>
      <c r="G114" s="3" t="str">
        <f>IF(B114&gt;=5000,C114,"")</f>
        <v/>
      </c>
    </row>
    <row r="115" spans="1:7" x14ac:dyDescent="0.2">
      <c r="A115" s="39" t="s">
        <v>41</v>
      </c>
      <c r="B115" s="75">
        <v>25</v>
      </c>
      <c r="C115" s="71" t="s">
        <v>26</v>
      </c>
      <c r="D115" s="3" t="str">
        <f>IF(AND(B115&gt;0,B115&lt;1000),C115,"")</f>
        <v>N/A</v>
      </c>
      <c r="E115" s="3" t="str">
        <f>IF(AND(B115&gt;1000,B115&lt;2500),C115,"")</f>
        <v/>
      </c>
      <c r="F115" s="3" t="str">
        <f>IF(AND(B115&gt;2500,B115&lt;5000),C115,"")</f>
        <v/>
      </c>
      <c r="G115" s="3" t="str">
        <f>IF(B115&gt;=5000,C115,"")</f>
        <v/>
      </c>
    </row>
    <row r="116" spans="1:7" x14ac:dyDescent="0.2">
      <c r="A116" s="39" t="s">
        <v>41</v>
      </c>
      <c r="B116" s="106">
        <v>120</v>
      </c>
      <c r="C116" s="71" t="s">
        <v>26</v>
      </c>
      <c r="D116" s="3" t="str">
        <f t="shared" ref="D116:D117" si="48">IF(AND(B116&gt;0,B116&lt;1000),C116,"")</f>
        <v>N/A</v>
      </c>
      <c r="E116" s="3" t="str">
        <f t="shared" ref="E116:E117" si="49">IF(AND(B116&gt;1000,B116&lt;2500),C116,"")</f>
        <v/>
      </c>
      <c r="F116" s="3" t="str">
        <f t="shared" ref="F116:F117" si="50">IF(AND(B116&gt;2500,B116&lt;5000),C116,"")</f>
        <v/>
      </c>
      <c r="G116" s="3" t="str">
        <f t="shared" ref="G116:G117" si="51">IF(B116&gt;=5000,C116,"")</f>
        <v/>
      </c>
    </row>
    <row r="117" spans="1:7" x14ac:dyDescent="0.2">
      <c r="A117" s="39" t="s">
        <v>41</v>
      </c>
      <c r="B117" s="106">
        <v>1377</v>
      </c>
      <c r="C117" s="71" t="s">
        <v>26</v>
      </c>
      <c r="D117" s="3" t="str">
        <f t="shared" si="48"/>
        <v/>
      </c>
      <c r="E117" s="3" t="str">
        <f t="shared" si="49"/>
        <v>N/A</v>
      </c>
      <c r="F117" s="3" t="str">
        <f t="shared" si="50"/>
        <v/>
      </c>
      <c r="G117" s="3" t="str">
        <f t="shared" si="51"/>
        <v/>
      </c>
    </row>
    <row r="118" spans="1:7" x14ac:dyDescent="0.2">
      <c r="A118" s="39" t="s">
        <v>41</v>
      </c>
      <c r="B118" s="98">
        <v>25</v>
      </c>
      <c r="C118" s="71" t="s">
        <v>26</v>
      </c>
      <c r="D118" s="3" t="str">
        <f>IF(AND(B118&gt;0,B118&lt;1000),C118,"")</f>
        <v>N/A</v>
      </c>
      <c r="E118" s="3" t="str">
        <f>IF(AND(B118&gt;1000,B118&lt;2500),C118,"")</f>
        <v/>
      </c>
      <c r="F118" s="3" t="str">
        <f>IF(AND(B118&gt;2500,B118&lt;5000),C118,"")</f>
        <v/>
      </c>
      <c r="G118" s="3" t="str">
        <f>IF(B118&gt;=5000,C118,"")</f>
        <v/>
      </c>
    </row>
    <row r="119" spans="1:7" x14ac:dyDescent="0.2">
      <c r="A119" s="39" t="s">
        <v>41</v>
      </c>
      <c r="B119" s="98">
        <v>60</v>
      </c>
      <c r="C119" s="71">
        <v>9</v>
      </c>
      <c r="D119" s="3">
        <f>IF(AND(B119&gt;0,B119&lt;1000),C119,"")</f>
        <v>9</v>
      </c>
      <c r="E119" s="3" t="str">
        <f>IF(AND(B119&gt;1000,B119&lt;2500),C119,"")</f>
        <v/>
      </c>
      <c r="F119" s="3" t="str">
        <f>IF(AND(B119&gt;2500,B119&lt;5000),C119,"")</f>
        <v/>
      </c>
      <c r="G119" s="3" t="str">
        <f>IF(B119&gt;=5000,C119,"")</f>
        <v/>
      </c>
    </row>
    <row r="120" spans="1:7" x14ac:dyDescent="0.2">
      <c r="A120" s="39" t="s">
        <v>41</v>
      </c>
      <c r="B120" s="75">
        <v>50</v>
      </c>
      <c r="C120" s="71">
        <v>8</v>
      </c>
      <c r="D120" s="3">
        <f t="shared" ref="D120:D146" si="52">IF(AND(B120&gt;0,B120&lt;1000),C120,"")</f>
        <v>8</v>
      </c>
      <c r="E120" s="3" t="str">
        <f t="shared" ref="E120:E146" si="53">IF(AND(B120&gt;1000,B120&lt;2500),C120,"")</f>
        <v/>
      </c>
      <c r="F120" s="3" t="str">
        <f t="shared" ref="F120:F146" si="54">IF(AND(B120&gt;2500,B120&lt;5000),C120,"")</f>
        <v/>
      </c>
      <c r="G120" s="3" t="str">
        <f t="shared" ref="G120:G146" si="55">IF(B120&gt;=5000,C120,"")</f>
        <v/>
      </c>
    </row>
    <row r="121" spans="1:7" x14ac:dyDescent="0.2">
      <c r="A121" s="39" t="s">
        <v>41</v>
      </c>
      <c r="B121" s="75">
        <v>575</v>
      </c>
      <c r="C121" s="71">
        <v>10</v>
      </c>
      <c r="D121" s="3">
        <f t="shared" si="52"/>
        <v>10</v>
      </c>
      <c r="E121" s="3" t="str">
        <f t="shared" si="53"/>
        <v/>
      </c>
      <c r="F121" s="3" t="str">
        <f t="shared" si="54"/>
        <v/>
      </c>
      <c r="G121" s="3" t="str">
        <f t="shared" si="55"/>
        <v/>
      </c>
    </row>
    <row r="122" spans="1:7" x14ac:dyDescent="0.2">
      <c r="A122" s="39" t="s">
        <v>41</v>
      </c>
      <c r="B122" s="106">
        <v>125</v>
      </c>
      <c r="C122" s="71">
        <v>9</v>
      </c>
      <c r="D122" s="3">
        <f>IF(AND(B122&gt;0,B122&lt;1000),C122,"")</f>
        <v>9</v>
      </c>
      <c r="E122" s="3" t="str">
        <f>IF(AND(B122&gt;1000,B122&lt;2500),C122,"")</f>
        <v/>
      </c>
      <c r="F122" s="3" t="str">
        <f>IF(AND(B122&gt;2500,B122&lt;5000),C122,"")</f>
        <v/>
      </c>
      <c r="G122" s="3" t="str">
        <f>IF(B122&gt;=5000,C122,"")</f>
        <v/>
      </c>
    </row>
    <row r="123" spans="1:7" x14ac:dyDescent="0.2">
      <c r="A123" s="39" t="s">
        <v>41</v>
      </c>
      <c r="B123" s="75">
        <v>60</v>
      </c>
      <c r="C123" s="71">
        <v>7</v>
      </c>
      <c r="D123" s="3">
        <f t="shared" si="52"/>
        <v>7</v>
      </c>
      <c r="E123" s="3" t="str">
        <f t="shared" si="53"/>
        <v/>
      </c>
      <c r="F123" s="3" t="str">
        <f t="shared" si="54"/>
        <v/>
      </c>
      <c r="G123" s="3" t="str">
        <f t="shared" si="55"/>
        <v/>
      </c>
    </row>
    <row r="124" spans="1:7" x14ac:dyDescent="0.2">
      <c r="A124" s="39" t="s">
        <v>41</v>
      </c>
      <c r="B124" s="106">
        <v>200</v>
      </c>
      <c r="C124" s="71" t="s">
        <v>26</v>
      </c>
      <c r="D124" s="3" t="str">
        <f>IF(AND(B124&gt;0,B124&lt;1000),C124,"")</f>
        <v>N/A</v>
      </c>
      <c r="E124" s="3" t="str">
        <f>IF(AND(B124&gt;1000,B124&lt;2500),C124,"")</f>
        <v/>
      </c>
      <c r="F124" s="3" t="str">
        <f>IF(AND(B124&gt;2500,B124&lt;5000),C124,"")</f>
        <v/>
      </c>
      <c r="G124" s="3" t="str">
        <f>IF(B124&gt;=5000,C124,"")</f>
        <v/>
      </c>
    </row>
    <row r="125" spans="1:7" x14ac:dyDescent="0.2">
      <c r="A125" s="39" t="s">
        <v>41</v>
      </c>
      <c r="B125" s="75">
        <v>1000</v>
      </c>
      <c r="C125" s="71" t="s">
        <v>26</v>
      </c>
      <c r="D125" s="3" t="str">
        <f t="shared" si="52"/>
        <v/>
      </c>
      <c r="E125" s="3" t="str">
        <f t="shared" si="53"/>
        <v/>
      </c>
      <c r="F125" s="3" t="str">
        <f t="shared" si="54"/>
        <v/>
      </c>
      <c r="G125" s="3" t="str">
        <f t="shared" si="55"/>
        <v/>
      </c>
    </row>
    <row r="126" spans="1:7" x14ac:dyDescent="0.2">
      <c r="A126" s="39" t="s">
        <v>41</v>
      </c>
      <c r="B126" s="75">
        <v>1320</v>
      </c>
      <c r="C126" s="71" t="s">
        <v>26</v>
      </c>
      <c r="D126" s="3" t="str">
        <f t="shared" si="52"/>
        <v/>
      </c>
      <c r="E126" s="3" t="str">
        <f t="shared" si="53"/>
        <v>N/A</v>
      </c>
      <c r="F126" s="3" t="str">
        <f t="shared" si="54"/>
        <v/>
      </c>
      <c r="G126" s="3" t="str">
        <f t="shared" si="55"/>
        <v/>
      </c>
    </row>
    <row r="127" spans="1:7" x14ac:dyDescent="0.2">
      <c r="A127" s="39" t="s">
        <v>62</v>
      </c>
      <c r="B127" s="106">
        <v>600</v>
      </c>
      <c r="C127" s="71" t="s">
        <v>26</v>
      </c>
      <c r="D127" s="3" t="str">
        <f>IF(AND(B127&gt;0,B127&lt;1000),C127,"")</f>
        <v>N/A</v>
      </c>
      <c r="E127" s="3" t="str">
        <f>IF(AND(B127&gt;1000,B127&lt;2500),C127,"")</f>
        <v/>
      </c>
      <c r="F127" s="3" t="str">
        <f>IF(AND(B127&gt;2500,B127&lt;5000),C127,"")</f>
        <v/>
      </c>
      <c r="G127" s="3" t="str">
        <f>IF(B127&gt;=5000,C127,"")</f>
        <v/>
      </c>
    </row>
    <row r="128" spans="1:7" x14ac:dyDescent="0.2">
      <c r="A128" s="39" t="s">
        <v>114</v>
      </c>
      <c r="B128" s="106">
        <v>3000</v>
      </c>
      <c r="C128" s="71">
        <v>10</v>
      </c>
      <c r="D128" s="3" t="str">
        <f>IF(AND(B128&gt;0,B128&lt;1000),C128,"")</f>
        <v/>
      </c>
      <c r="E128" s="3" t="str">
        <f>IF(AND(B128&gt;1000,B128&lt;2500),C128,"")</f>
        <v/>
      </c>
      <c r="F128" s="3">
        <f>IF(AND(B128&gt;2500,B128&lt;5000),C128,"")</f>
        <v>10</v>
      </c>
      <c r="G128" s="3" t="str">
        <f>IF(B128&gt;=5000,C128,"")</f>
        <v/>
      </c>
    </row>
    <row r="129" spans="1:7" x14ac:dyDescent="0.2">
      <c r="A129" s="39" t="s">
        <v>114</v>
      </c>
      <c r="B129" s="106">
        <v>1750</v>
      </c>
      <c r="C129" s="71">
        <v>10</v>
      </c>
      <c r="D129" s="3" t="str">
        <f>IF(AND(B129&gt;0,B129&lt;1000),C129,"")</f>
        <v/>
      </c>
      <c r="E129" s="3">
        <f>IF(AND(B129&gt;1000,B129&lt;2500),C129,"")</f>
        <v>10</v>
      </c>
      <c r="F129" s="3" t="str">
        <f>IF(AND(B129&gt;2500,B129&lt;5000),C129,"")</f>
        <v/>
      </c>
      <c r="G129" s="3" t="str">
        <f>IF(B129&gt;=5000,C129,"")</f>
        <v/>
      </c>
    </row>
    <row r="130" spans="1:7" x14ac:dyDescent="0.2">
      <c r="A130" s="39" t="s">
        <v>114</v>
      </c>
      <c r="B130" s="75">
        <v>10000</v>
      </c>
      <c r="C130" s="71" t="s">
        <v>26</v>
      </c>
      <c r="D130" s="3" t="str">
        <f t="shared" si="52"/>
        <v/>
      </c>
      <c r="E130" s="3" t="str">
        <f t="shared" si="53"/>
        <v/>
      </c>
      <c r="F130" s="3" t="str">
        <f t="shared" si="54"/>
        <v/>
      </c>
      <c r="G130" s="3" t="str">
        <f t="shared" si="55"/>
        <v>N/A</v>
      </c>
    </row>
    <row r="131" spans="1:7" x14ac:dyDescent="0.2">
      <c r="A131" s="39" t="s">
        <v>114</v>
      </c>
      <c r="B131" s="75">
        <v>1990</v>
      </c>
      <c r="C131" s="71">
        <v>10</v>
      </c>
      <c r="D131" s="3" t="str">
        <f>IF(AND(B131&gt;0,B131&lt;1000),C131,"")</f>
        <v/>
      </c>
      <c r="E131" s="3">
        <f>IF(AND(B131&gt;1000,B131&lt;2500),C131,"")</f>
        <v>10</v>
      </c>
      <c r="F131" s="3" t="str">
        <f>IF(AND(B131&gt;2500,B131&lt;5000),C131,"")</f>
        <v/>
      </c>
      <c r="G131" s="3" t="str">
        <f>IF(B131&gt;=5000,C131,"")</f>
        <v/>
      </c>
    </row>
    <row r="132" spans="1:7" x14ac:dyDescent="0.2">
      <c r="A132" s="39" t="s">
        <v>114</v>
      </c>
      <c r="B132" s="98">
        <v>3500</v>
      </c>
      <c r="C132" s="71">
        <v>10</v>
      </c>
      <c r="D132" s="3" t="str">
        <f>IF(AND(B132&gt;0,B132&lt;1000),C132,"")</f>
        <v/>
      </c>
      <c r="E132" s="3" t="str">
        <f>IF(AND(B132&gt;1000,B132&lt;2500),C132,"")</f>
        <v/>
      </c>
      <c r="F132" s="3">
        <f>IF(AND(B132&gt;2500,B132&lt;5000),C132,"")</f>
        <v>10</v>
      </c>
      <c r="G132" s="3" t="str">
        <f>IF(B132&gt;=5000,C132,"")</f>
        <v/>
      </c>
    </row>
    <row r="133" spans="1:7" x14ac:dyDescent="0.2">
      <c r="A133" s="39" t="s">
        <v>114</v>
      </c>
      <c r="B133" s="98">
        <v>3000</v>
      </c>
      <c r="C133" s="71">
        <v>10</v>
      </c>
      <c r="D133" s="3" t="str">
        <f>IF(AND(B133&gt;0,B133&lt;1000),C133,"")</f>
        <v/>
      </c>
      <c r="E133" s="3" t="str">
        <f>IF(AND(B133&gt;1000,B133&lt;2500),C133,"")</f>
        <v/>
      </c>
      <c r="F133" s="3">
        <f>IF(AND(B133&gt;2500,B133&lt;5000),C133,"")</f>
        <v>10</v>
      </c>
      <c r="G133" s="3" t="str">
        <f>IF(B133&gt;=5000,C133,"")</f>
        <v/>
      </c>
    </row>
    <row r="134" spans="1:7" x14ac:dyDescent="0.2">
      <c r="A134" s="39" t="s">
        <v>114</v>
      </c>
      <c r="B134" s="77">
        <v>14600</v>
      </c>
      <c r="C134" s="71" t="s">
        <v>26</v>
      </c>
      <c r="D134" s="3" t="str">
        <f>IF(AND(B134&gt;0,B134&lt;1000),C134,"")</f>
        <v/>
      </c>
      <c r="E134" s="3" t="str">
        <f>IF(AND(B134&gt;1000,B134&lt;2500),C134,"")</f>
        <v/>
      </c>
      <c r="F134" s="3" t="str">
        <f>IF(AND(B134&gt;2500,B134&lt;5000),C134,"")</f>
        <v/>
      </c>
      <c r="G134" s="3" t="str">
        <f>IF(B134&gt;=5000,C134,"")</f>
        <v>N/A</v>
      </c>
    </row>
    <row r="135" spans="1:7" x14ac:dyDescent="0.2">
      <c r="A135" s="39" t="s">
        <v>114</v>
      </c>
      <c r="B135" s="75">
        <v>5500</v>
      </c>
      <c r="C135" s="71" t="s">
        <v>26</v>
      </c>
      <c r="D135" s="3" t="str">
        <f t="shared" si="52"/>
        <v/>
      </c>
      <c r="E135" s="3" t="str">
        <f t="shared" si="53"/>
        <v/>
      </c>
      <c r="F135" s="3" t="str">
        <f t="shared" si="54"/>
        <v/>
      </c>
      <c r="G135" s="3" t="str">
        <f t="shared" si="55"/>
        <v>N/A</v>
      </c>
    </row>
    <row r="136" spans="1:7" x14ac:dyDescent="0.2">
      <c r="A136" s="39" t="s">
        <v>114</v>
      </c>
      <c r="B136" s="98">
        <v>1066.6600000000001</v>
      </c>
      <c r="C136" s="71">
        <v>9</v>
      </c>
      <c r="D136" s="3" t="str">
        <f>IF(AND(B136&gt;0,B136&lt;1000),C136,"")</f>
        <v/>
      </c>
      <c r="E136" s="3">
        <f>IF(AND(B136&gt;1000,B136&lt;2500),C136,"")</f>
        <v>9</v>
      </c>
      <c r="F136" s="3" t="str">
        <f>IF(AND(B136&gt;2500,B136&lt;5000),C136,"")</f>
        <v/>
      </c>
      <c r="G136" s="3" t="str">
        <f>IF(B136&gt;=5000,C136,"")</f>
        <v/>
      </c>
    </row>
    <row r="137" spans="1:7" x14ac:dyDescent="0.2">
      <c r="A137" s="39" t="s">
        <v>114</v>
      </c>
      <c r="B137" s="75">
        <v>4750.25</v>
      </c>
      <c r="C137" s="71" t="s">
        <v>26</v>
      </c>
      <c r="D137" s="3" t="str">
        <f t="shared" si="52"/>
        <v/>
      </c>
      <c r="E137" s="3" t="str">
        <f t="shared" si="53"/>
        <v/>
      </c>
      <c r="F137" s="3" t="str">
        <f t="shared" si="54"/>
        <v>N/A</v>
      </c>
      <c r="G137" s="3" t="str">
        <f t="shared" si="55"/>
        <v/>
      </c>
    </row>
    <row r="138" spans="1:7" x14ac:dyDescent="0.2">
      <c r="A138" s="39" t="s">
        <v>114</v>
      </c>
      <c r="B138" s="75">
        <v>4100</v>
      </c>
      <c r="C138" s="71" t="s">
        <v>26</v>
      </c>
      <c r="D138" s="3" t="str">
        <f t="shared" si="52"/>
        <v/>
      </c>
      <c r="E138" s="3" t="str">
        <f t="shared" si="53"/>
        <v/>
      </c>
      <c r="F138" s="3" t="str">
        <f t="shared" si="54"/>
        <v>N/A</v>
      </c>
      <c r="G138" s="3" t="str">
        <f t="shared" si="55"/>
        <v/>
      </c>
    </row>
    <row r="139" spans="1:7" x14ac:dyDescent="0.2">
      <c r="A139" s="39" t="s">
        <v>114</v>
      </c>
      <c r="B139" s="106">
        <v>8000</v>
      </c>
      <c r="C139" s="71" t="s">
        <v>26</v>
      </c>
      <c r="D139" s="3" t="str">
        <f>IF(AND(B139&gt;0,B139&lt;1000),C139,"")</f>
        <v/>
      </c>
      <c r="E139" s="3" t="str">
        <f>IF(AND(B139&gt;1000,B139&lt;2500),C139,"")</f>
        <v/>
      </c>
      <c r="F139" s="3" t="str">
        <f>IF(AND(B139&gt;2500,B139&lt;5000),C139,"")</f>
        <v/>
      </c>
      <c r="G139" s="3" t="str">
        <f>IF(B139&gt;=5000,C139,"")</f>
        <v>N/A</v>
      </c>
    </row>
    <row r="140" spans="1:7" x14ac:dyDescent="0.2">
      <c r="A140" s="39" t="s">
        <v>114</v>
      </c>
      <c r="B140" s="98">
        <v>860</v>
      </c>
      <c r="C140" s="71">
        <v>10</v>
      </c>
      <c r="D140" s="3">
        <f>IF(AND(B140&gt;0,B140&lt;1000),C140,"")</f>
        <v>10</v>
      </c>
      <c r="E140" s="3" t="str">
        <f>IF(AND(B140&gt;1000,B140&lt;2500),C140,"")</f>
        <v/>
      </c>
      <c r="F140" s="3" t="str">
        <f>IF(AND(B140&gt;2500,B140&lt;5000),C140,"")</f>
        <v/>
      </c>
      <c r="G140" s="3" t="str">
        <f>IF(B140&gt;=5000,C140,"")</f>
        <v/>
      </c>
    </row>
    <row r="141" spans="1:7" x14ac:dyDescent="0.2">
      <c r="A141" s="39" t="s">
        <v>114</v>
      </c>
      <c r="B141" s="75">
        <v>2700</v>
      </c>
      <c r="C141" s="71" t="s">
        <v>26</v>
      </c>
      <c r="D141" s="3" t="str">
        <f t="shared" si="52"/>
        <v/>
      </c>
      <c r="E141" s="3" t="str">
        <f t="shared" si="53"/>
        <v/>
      </c>
      <c r="F141" s="3" t="str">
        <f t="shared" si="54"/>
        <v>N/A</v>
      </c>
      <c r="G141" s="3" t="str">
        <f t="shared" si="55"/>
        <v/>
      </c>
    </row>
    <row r="142" spans="1:7" x14ac:dyDescent="0.2">
      <c r="A142" s="39" t="s">
        <v>114</v>
      </c>
      <c r="B142" s="106">
        <v>5137.32</v>
      </c>
      <c r="C142" s="71" t="s">
        <v>26</v>
      </c>
      <c r="D142" s="3" t="str">
        <f>IF(AND(B142&gt;0,B142&lt;1000),C142,"")</f>
        <v/>
      </c>
      <c r="E142" s="3" t="str">
        <f>IF(AND(B142&gt;1000,B142&lt;2500),C142,"")</f>
        <v/>
      </c>
      <c r="F142" s="3" t="str">
        <f>IF(AND(B142&gt;2500,B142&lt;5000),C142,"")</f>
        <v/>
      </c>
      <c r="G142" s="3" t="str">
        <f>IF(B142&gt;=5000,C142,"")</f>
        <v>N/A</v>
      </c>
    </row>
    <row r="143" spans="1:7" x14ac:dyDescent="0.2">
      <c r="A143" s="39" t="s">
        <v>114</v>
      </c>
      <c r="B143" s="75">
        <v>4500</v>
      </c>
      <c r="C143" s="71">
        <v>10</v>
      </c>
      <c r="D143" s="3" t="str">
        <f t="shared" si="52"/>
        <v/>
      </c>
      <c r="E143" s="3" t="str">
        <f t="shared" si="53"/>
        <v/>
      </c>
      <c r="F143" s="3">
        <f t="shared" si="54"/>
        <v>10</v>
      </c>
      <c r="G143" s="3" t="str">
        <f t="shared" si="55"/>
        <v/>
      </c>
    </row>
    <row r="144" spans="1:7" x14ac:dyDescent="0.2">
      <c r="A144" s="39" t="s">
        <v>114</v>
      </c>
      <c r="B144" s="75">
        <v>5200</v>
      </c>
      <c r="C144" s="71" t="s">
        <v>26</v>
      </c>
      <c r="D144" s="3" t="str">
        <f t="shared" si="52"/>
        <v/>
      </c>
      <c r="E144" s="3" t="str">
        <f t="shared" si="53"/>
        <v/>
      </c>
      <c r="F144" s="3" t="str">
        <f t="shared" si="54"/>
        <v/>
      </c>
      <c r="G144" s="3" t="str">
        <f t="shared" si="55"/>
        <v>N/A</v>
      </c>
    </row>
    <row r="145" spans="1:7" x14ac:dyDescent="0.2">
      <c r="A145" s="39" t="s">
        <v>114</v>
      </c>
      <c r="B145" s="106">
        <v>14500</v>
      </c>
      <c r="C145" s="71" t="s">
        <v>26</v>
      </c>
      <c r="D145" s="3" t="str">
        <f>IF(AND(B145&gt;0,B145&lt;1000),C145,"")</f>
        <v/>
      </c>
      <c r="E145" s="3" t="str">
        <f>IF(AND(B145&gt;1000,B145&lt;2500),C145,"")</f>
        <v/>
      </c>
      <c r="F145" s="3" t="str">
        <f>IF(AND(B145&gt;2500,B145&lt;5000),C145,"")</f>
        <v/>
      </c>
      <c r="G145" s="3" t="str">
        <f>IF(B145&gt;=5000,C145,"")</f>
        <v>N/A</v>
      </c>
    </row>
    <row r="146" spans="1:7" x14ac:dyDescent="0.2">
      <c r="A146" s="39" t="s">
        <v>114</v>
      </c>
      <c r="B146" s="75">
        <v>2100</v>
      </c>
      <c r="C146" s="71" t="s">
        <v>26</v>
      </c>
      <c r="D146" s="3" t="str">
        <f t="shared" si="52"/>
        <v/>
      </c>
      <c r="E146" s="3" t="str">
        <f t="shared" si="53"/>
        <v>N/A</v>
      </c>
      <c r="F146" s="3" t="str">
        <f t="shared" si="54"/>
        <v/>
      </c>
      <c r="G146" s="3" t="str">
        <f t="shared" si="55"/>
        <v/>
      </c>
    </row>
    <row r="147" spans="1:7" x14ac:dyDescent="0.2">
      <c r="A147" s="39" t="s">
        <v>114</v>
      </c>
      <c r="B147" s="77">
        <v>4400</v>
      </c>
      <c r="C147" s="71" t="s">
        <v>26</v>
      </c>
      <c r="D147" s="3" t="str">
        <f>IF(AND(B147&gt;0,B147&lt;1000),C147,"")</f>
        <v/>
      </c>
      <c r="E147" s="3" t="str">
        <f>IF(AND(B147&gt;1000,B147&lt;2500),C147,"")</f>
        <v/>
      </c>
      <c r="F147" s="3" t="str">
        <f>IF(AND(B147&gt;2500,B147&lt;5000),C147,"")</f>
        <v>N/A</v>
      </c>
      <c r="G147" s="3" t="str">
        <f>IF(B147&gt;=5000,C147,"")</f>
        <v/>
      </c>
    </row>
    <row r="148" spans="1:7" x14ac:dyDescent="0.2">
      <c r="A148" s="39" t="s">
        <v>114</v>
      </c>
      <c r="B148" s="75">
        <v>7000</v>
      </c>
      <c r="C148" s="71" t="s">
        <v>26</v>
      </c>
      <c r="D148" s="3" t="str">
        <f t="shared" ref="D148:D174" si="56">IF(AND(B148&gt;0,B148&lt;1000),C148,"")</f>
        <v/>
      </c>
      <c r="E148" s="3" t="str">
        <f t="shared" ref="E148:E174" si="57">IF(AND(B148&gt;1000,B148&lt;2500),C148,"")</f>
        <v/>
      </c>
      <c r="F148" s="3" t="str">
        <f t="shared" ref="F148:F174" si="58">IF(AND(B148&gt;2500,B148&lt;5000),C148,"")</f>
        <v/>
      </c>
      <c r="G148" s="3" t="str">
        <f t="shared" ref="G148:G174" si="59">IF(B148&gt;=5000,C148,"")</f>
        <v>N/A</v>
      </c>
    </row>
    <row r="149" spans="1:7" x14ac:dyDescent="0.2">
      <c r="A149" s="39" t="s">
        <v>114</v>
      </c>
      <c r="B149" s="75">
        <v>11000</v>
      </c>
      <c r="C149" s="71" t="s">
        <v>26</v>
      </c>
      <c r="D149" s="3" t="str">
        <f t="shared" si="56"/>
        <v/>
      </c>
      <c r="E149" s="3" t="str">
        <f t="shared" si="57"/>
        <v/>
      </c>
      <c r="F149" s="3" t="str">
        <f t="shared" si="58"/>
        <v/>
      </c>
      <c r="G149" s="3" t="str">
        <f t="shared" si="59"/>
        <v>N/A</v>
      </c>
    </row>
    <row r="150" spans="1:7" x14ac:dyDescent="0.2">
      <c r="A150" s="39" t="s">
        <v>47</v>
      </c>
      <c r="B150" s="98">
        <v>270</v>
      </c>
      <c r="C150" s="71" t="s">
        <v>26</v>
      </c>
      <c r="D150" s="3" t="str">
        <f>IF(AND(B150&gt;0,B150&lt;1000),C150,"")</f>
        <v>N/A</v>
      </c>
      <c r="E150" s="3" t="str">
        <f>IF(AND(B150&gt;1000,B150&lt;2500),C150,"")</f>
        <v/>
      </c>
      <c r="F150" s="3" t="str">
        <f>IF(AND(B150&gt;2500,B150&lt;5000),C150,"")</f>
        <v/>
      </c>
      <c r="G150" s="3" t="str">
        <f>IF(B150&gt;=5000,C150,"")</f>
        <v/>
      </c>
    </row>
    <row r="151" spans="1:7" x14ac:dyDescent="0.2">
      <c r="A151" s="39" t="s">
        <v>47</v>
      </c>
      <c r="B151" s="98">
        <v>270</v>
      </c>
      <c r="C151" s="71" t="s">
        <v>26</v>
      </c>
      <c r="D151" s="3" t="str">
        <f>IF(AND(B151&gt;0,B151&lt;1000),C151,"")</f>
        <v>N/A</v>
      </c>
      <c r="E151" s="3" t="str">
        <f>IF(AND(B151&gt;1000,B151&lt;2500),C151,"")</f>
        <v/>
      </c>
      <c r="F151" s="3" t="str">
        <f>IF(AND(B151&gt;2500,B151&lt;5000),C151,"")</f>
        <v/>
      </c>
      <c r="G151" s="3" t="str">
        <f>IF(B151&gt;=5000,C151,"")</f>
        <v/>
      </c>
    </row>
    <row r="152" spans="1:7" x14ac:dyDescent="0.2">
      <c r="A152" s="39" t="s">
        <v>47</v>
      </c>
      <c r="B152" s="98">
        <v>270</v>
      </c>
      <c r="C152" s="71" t="s">
        <v>26</v>
      </c>
      <c r="D152" s="3" t="str">
        <f>IF(AND(B152&gt;0,B152&lt;1000),C152,"")</f>
        <v>N/A</v>
      </c>
      <c r="E152" s="3" t="str">
        <f>IF(AND(B152&gt;1000,B152&lt;2500),C152,"")</f>
        <v/>
      </c>
      <c r="F152" s="3" t="str">
        <f>IF(AND(B152&gt;2500,B152&lt;5000),C152,"")</f>
        <v/>
      </c>
      <c r="G152" s="3" t="str">
        <f>IF(B152&gt;=5000,C152,"")</f>
        <v/>
      </c>
    </row>
    <row r="153" spans="1:7" x14ac:dyDescent="0.2">
      <c r="A153" s="39" t="s">
        <v>47</v>
      </c>
      <c r="B153" s="75">
        <v>270</v>
      </c>
      <c r="C153" s="71" t="s">
        <v>26</v>
      </c>
      <c r="D153" s="3" t="str">
        <f t="shared" si="56"/>
        <v>N/A</v>
      </c>
      <c r="E153" s="3" t="str">
        <f t="shared" si="57"/>
        <v/>
      </c>
      <c r="F153" s="3" t="str">
        <f t="shared" si="58"/>
        <v/>
      </c>
      <c r="G153" s="3" t="str">
        <f t="shared" si="59"/>
        <v/>
      </c>
    </row>
    <row r="154" spans="1:7" x14ac:dyDescent="0.2">
      <c r="A154" s="39" t="s">
        <v>47</v>
      </c>
      <c r="B154" s="75">
        <v>2900</v>
      </c>
      <c r="C154" s="71" t="s">
        <v>26</v>
      </c>
      <c r="D154" s="3" t="str">
        <f t="shared" si="56"/>
        <v/>
      </c>
      <c r="E154" s="3" t="str">
        <f t="shared" si="57"/>
        <v/>
      </c>
      <c r="F154" s="3" t="str">
        <f t="shared" si="58"/>
        <v>N/A</v>
      </c>
      <c r="G154" s="3" t="str">
        <f t="shared" si="59"/>
        <v/>
      </c>
    </row>
    <row r="155" spans="1:7" x14ac:dyDescent="0.2">
      <c r="A155" s="39" t="s">
        <v>47</v>
      </c>
      <c r="B155" s="75">
        <v>1800</v>
      </c>
      <c r="C155" s="71" t="s">
        <v>26</v>
      </c>
      <c r="D155" s="3" t="str">
        <f t="shared" si="56"/>
        <v/>
      </c>
      <c r="E155" s="3" t="str">
        <f t="shared" si="57"/>
        <v>N/A</v>
      </c>
      <c r="F155" s="3" t="str">
        <f t="shared" si="58"/>
        <v/>
      </c>
      <c r="G155" s="3" t="str">
        <f t="shared" si="59"/>
        <v/>
      </c>
    </row>
    <row r="156" spans="1:7" x14ac:dyDescent="0.2">
      <c r="A156" s="39" t="s">
        <v>47</v>
      </c>
      <c r="B156" s="75">
        <v>1</v>
      </c>
      <c r="C156" s="71">
        <v>10</v>
      </c>
      <c r="D156" s="3">
        <f t="shared" si="56"/>
        <v>10</v>
      </c>
      <c r="E156" s="3" t="str">
        <f t="shared" si="57"/>
        <v/>
      </c>
      <c r="F156" s="3" t="str">
        <f t="shared" si="58"/>
        <v/>
      </c>
      <c r="G156" s="3" t="str">
        <f t="shared" si="59"/>
        <v/>
      </c>
    </row>
    <row r="157" spans="1:7" x14ac:dyDescent="0.2">
      <c r="A157" s="39" t="s">
        <v>47</v>
      </c>
      <c r="B157" s="75">
        <v>1350</v>
      </c>
      <c r="C157" s="71" t="s">
        <v>26</v>
      </c>
      <c r="D157" s="3" t="str">
        <f t="shared" si="56"/>
        <v/>
      </c>
      <c r="E157" s="3" t="str">
        <f t="shared" si="57"/>
        <v>N/A</v>
      </c>
      <c r="F157" s="3" t="str">
        <f t="shared" si="58"/>
        <v/>
      </c>
      <c r="G157" s="3" t="str">
        <f t="shared" si="59"/>
        <v/>
      </c>
    </row>
    <row r="158" spans="1:7" x14ac:dyDescent="0.2">
      <c r="A158" s="39" t="s">
        <v>47</v>
      </c>
      <c r="B158" s="106">
        <v>240</v>
      </c>
      <c r="C158" s="71" t="s">
        <v>26</v>
      </c>
      <c r="D158" s="3" t="str">
        <f>IF(AND(B158&gt;0,B158&lt;1000),C158,"")</f>
        <v>N/A</v>
      </c>
      <c r="E158" s="3" t="str">
        <f>IF(AND(B158&gt;1000,B158&lt;2500),C158,"")</f>
        <v/>
      </c>
      <c r="F158" s="3" t="str">
        <f>IF(AND(B158&gt;2500,B158&lt;5000),C158,"")</f>
        <v/>
      </c>
      <c r="G158" s="3" t="str">
        <f>IF(B158&gt;=5000,C158,"")</f>
        <v/>
      </c>
    </row>
    <row r="159" spans="1:7" x14ac:dyDescent="0.2">
      <c r="A159" s="39" t="s">
        <v>47</v>
      </c>
      <c r="B159" s="106">
        <v>2400</v>
      </c>
      <c r="C159" s="71" t="s">
        <v>26</v>
      </c>
      <c r="D159" s="3" t="str">
        <f>IF(AND(B159&gt;0,B159&lt;1000),C159,"")</f>
        <v/>
      </c>
      <c r="E159" s="3" t="str">
        <f>IF(AND(B159&gt;1000,B159&lt;2500),C159,"")</f>
        <v>N/A</v>
      </c>
      <c r="F159" s="3" t="str">
        <f>IF(AND(B159&gt;2500,B159&lt;5000),C159,"")</f>
        <v/>
      </c>
      <c r="G159" s="3" t="str">
        <f>IF(B159&gt;=5000,C159,"")</f>
        <v/>
      </c>
    </row>
    <row r="160" spans="1:7" x14ac:dyDescent="0.2">
      <c r="A160" s="39" t="s">
        <v>47</v>
      </c>
      <c r="B160" s="106">
        <v>1425</v>
      </c>
      <c r="C160" s="71">
        <v>10</v>
      </c>
      <c r="D160" s="3" t="str">
        <f>IF(AND(B160&gt;0,B160&lt;1000),C160,"")</f>
        <v/>
      </c>
      <c r="E160" s="3">
        <f>IF(AND(B160&gt;1000,B160&lt;2500),C160,"")</f>
        <v>10</v>
      </c>
      <c r="F160" s="3" t="str">
        <f>IF(AND(B160&gt;2500,B160&lt;5000),C160,"")</f>
        <v/>
      </c>
      <c r="G160" s="3" t="str">
        <f>IF(B160&gt;=5000,C160,"")</f>
        <v/>
      </c>
    </row>
    <row r="161" spans="1:7" x14ac:dyDescent="0.2">
      <c r="A161" s="39" t="s">
        <v>47</v>
      </c>
      <c r="B161" s="75">
        <v>1140</v>
      </c>
      <c r="C161" s="71" t="s">
        <v>26</v>
      </c>
      <c r="D161" s="3" t="str">
        <f t="shared" si="56"/>
        <v/>
      </c>
      <c r="E161" s="3" t="str">
        <f t="shared" si="57"/>
        <v>N/A</v>
      </c>
      <c r="F161" s="3" t="str">
        <f t="shared" si="58"/>
        <v/>
      </c>
      <c r="G161" s="3" t="str">
        <f t="shared" si="59"/>
        <v/>
      </c>
    </row>
    <row r="162" spans="1:7" x14ac:dyDescent="0.2">
      <c r="A162" s="39" t="s">
        <v>47</v>
      </c>
      <c r="B162" s="77">
        <v>240</v>
      </c>
      <c r="C162" s="71">
        <v>9</v>
      </c>
      <c r="D162" s="3">
        <f t="shared" ref="D162:D167" si="60">IF(AND(B162&gt;0,B162&lt;1000),C162,"")</f>
        <v>9</v>
      </c>
      <c r="E162" s="3" t="str">
        <f t="shared" ref="E162:E167" si="61">IF(AND(B162&gt;1000,B162&lt;2500),C162,"")</f>
        <v/>
      </c>
      <c r="F162" s="3" t="str">
        <f t="shared" ref="F162:F167" si="62">IF(AND(B162&gt;2500,B162&lt;5000),C162,"")</f>
        <v/>
      </c>
      <c r="G162" s="3" t="str">
        <f t="shared" ref="G162:G167" si="63">IF(B162&gt;=5000,C162,"")</f>
        <v/>
      </c>
    </row>
    <row r="163" spans="1:7" x14ac:dyDescent="0.2">
      <c r="A163" s="39" t="s">
        <v>47</v>
      </c>
      <c r="B163" s="98">
        <v>798</v>
      </c>
      <c r="C163" s="71">
        <v>10</v>
      </c>
      <c r="D163" s="3">
        <f t="shared" si="60"/>
        <v>10</v>
      </c>
      <c r="E163" s="3" t="str">
        <f t="shared" si="61"/>
        <v/>
      </c>
      <c r="F163" s="3" t="str">
        <f t="shared" si="62"/>
        <v/>
      </c>
      <c r="G163" s="3" t="str">
        <f t="shared" si="63"/>
        <v/>
      </c>
    </row>
    <row r="164" spans="1:7" x14ac:dyDescent="0.2">
      <c r="A164" s="39" t="s">
        <v>47</v>
      </c>
      <c r="B164" s="98">
        <v>500</v>
      </c>
      <c r="C164" s="71" t="s">
        <v>26</v>
      </c>
      <c r="D164" s="3" t="str">
        <f t="shared" si="60"/>
        <v>N/A</v>
      </c>
      <c r="E164" s="3" t="str">
        <f t="shared" si="61"/>
        <v/>
      </c>
      <c r="F164" s="3" t="str">
        <f t="shared" si="62"/>
        <v/>
      </c>
      <c r="G164" s="3" t="str">
        <f t="shared" si="63"/>
        <v/>
      </c>
    </row>
    <row r="165" spans="1:7" x14ac:dyDescent="0.2">
      <c r="A165" s="39" t="s">
        <v>47</v>
      </c>
      <c r="B165" s="98">
        <v>380</v>
      </c>
      <c r="C165" s="71">
        <v>10</v>
      </c>
      <c r="D165" s="3">
        <f t="shared" si="60"/>
        <v>10</v>
      </c>
      <c r="E165" s="3" t="str">
        <f t="shared" si="61"/>
        <v/>
      </c>
      <c r="F165" s="3" t="str">
        <f t="shared" si="62"/>
        <v/>
      </c>
      <c r="G165" s="3" t="str">
        <f t="shared" si="63"/>
        <v/>
      </c>
    </row>
    <row r="166" spans="1:7" x14ac:dyDescent="0.2">
      <c r="A166" s="39" t="s">
        <v>47</v>
      </c>
      <c r="B166" s="98">
        <v>1344</v>
      </c>
      <c r="C166" s="71">
        <v>10</v>
      </c>
      <c r="D166" s="3" t="str">
        <f t="shared" si="60"/>
        <v/>
      </c>
      <c r="E166" s="3">
        <f t="shared" si="61"/>
        <v>10</v>
      </c>
      <c r="F166" s="3" t="str">
        <f t="shared" si="62"/>
        <v/>
      </c>
      <c r="G166" s="3" t="str">
        <f t="shared" si="63"/>
        <v/>
      </c>
    </row>
    <row r="167" spans="1:7" x14ac:dyDescent="0.2">
      <c r="A167" s="39" t="s">
        <v>47</v>
      </c>
      <c r="B167" s="98">
        <v>3070</v>
      </c>
      <c r="C167" s="71" t="s">
        <v>26</v>
      </c>
      <c r="D167" s="3" t="str">
        <f t="shared" si="60"/>
        <v/>
      </c>
      <c r="E167" s="3" t="str">
        <f t="shared" si="61"/>
        <v/>
      </c>
      <c r="F167" s="3" t="str">
        <f t="shared" si="62"/>
        <v>N/A</v>
      </c>
      <c r="G167" s="3" t="str">
        <f t="shared" si="63"/>
        <v/>
      </c>
    </row>
    <row r="168" spans="1:7" x14ac:dyDescent="0.2">
      <c r="A168" s="39" t="s">
        <v>47</v>
      </c>
      <c r="B168" s="75">
        <v>540</v>
      </c>
      <c r="C168" s="71" t="s">
        <v>26</v>
      </c>
      <c r="D168" s="3" t="str">
        <f t="shared" si="56"/>
        <v>N/A</v>
      </c>
      <c r="E168" s="3" t="str">
        <f t="shared" si="57"/>
        <v/>
      </c>
      <c r="F168" s="3" t="str">
        <f t="shared" si="58"/>
        <v/>
      </c>
      <c r="G168" s="3" t="str">
        <f t="shared" si="59"/>
        <v/>
      </c>
    </row>
    <row r="169" spans="1:7" x14ac:dyDescent="0.2">
      <c r="A169" s="39" t="s">
        <v>47</v>
      </c>
      <c r="B169" s="75">
        <v>360</v>
      </c>
      <c r="C169" s="71" t="s">
        <v>26</v>
      </c>
      <c r="D169" s="3" t="str">
        <f t="shared" si="56"/>
        <v>N/A</v>
      </c>
      <c r="E169" s="3" t="str">
        <f t="shared" si="57"/>
        <v/>
      </c>
      <c r="F169" s="3" t="str">
        <f t="shared" si="58"/>
        <v/>
      </c>
      <c r="G169" s="3" t="str">
        <f t="shared" si="59"/>
        <v/>
      </c>
    </row>
    <row r="170" spans="1:7" x14ac:dyDescent="0.2">
      <c r="A170" s="39" t="s">
        <v>47</v>
      </c>
      <c r="B170" s="75">
        <v>1250</v>
      </c>
      <c r="C170" s="71">
        <v>10</v>
      </c>
      <c r="D170" s="3" t="str">
        <f t="shared" si="56"/>
        <v/>
      </c>
      <c r="E170" s="3">
        <f t="shared" si="57"/>
        <v>10</v>
      </c>
      <c r="F170" s="3" t="str">
        <f t="shared" si="58"/>
        <v/>
      </c>
      <c r="G170" s="3" t="str">
        <f t="shared" si="59"/>
        <v/>
      </c>
    </row>
    <row r="171" spans="1:7" x14ac:dyDescent="0.2">
      <c r="A171" s="39" t="s">
        <v>47</v>
      </c>
      <c r="B171" s="75">
        <v>319.2</v>
      </c>
      <c r="C171" s="71">
        <v>10</v>
      </c>
      <c r="D171" s="3">
        <f t="shared" si="56"/>
        <v>10</v>
      </c>
      <c r="E171" s="3" t="str">
        <f t="shared" si="57"/>
        <v/>
      </c>
      <c r="F171" s="3" t="str">
        <f t="shared" si="58"/>
        <v/>
      </c>
      <c r="G171" s="3" t="str">
        <f t="shared" si="59"/>
        <v/>
      </c>
    </row>
    <row r="172" spans="1:7" x14ac:dyDescent="0.2">
      <c r="A172" s="39" t="s">
        <v>47</v>
      </c>
      <c r="B172" s="75">
        <v>612</v>
      </c>
      <c r="C172" s="71" t="s">
        <v>26</v>
      </c>
      <c r="D172" s="3" t="str">
        <f t="shared" si="56"/>
        <v>N/A</v>
      </c>
      <c r="E172" s="3" t="str">
        <f t="shared" si="57"/>
        <v/>
      </c>
      <c r="F172" s="3" t="str">
        <f t="shared" si="58"/>
        <v/>
      </c>
      <c r="G172" s="3" t="str">
        <f t="shared" si="59"/>
        <v/>
      </c>
    </row>
    <row r="173" spans="1:7" x14ac:dyDescent="0.2">
      <c r="A173" s="39" t="s">
        <v>47</v>
      </c>
      <c r="B173" s="75">
        <v>5508</v>
      </c>
      <c r="C173" s="71" t="s">
        <v>26</v>
      </c>
      <c r="D173" s="3" t="str">
        <f t="shared" si="56"/>
        <v/>
      </c>
      <c r="E173" s="3" t="str">
        <f t="shared" si="57"/>
        <v/>
      </c>
      <c r="F173" s="3" t="str">
        <f t="shared" si="58"/>
        <v/>
      </c>
      <c r="G173" s="3" t="str">
        <f t="shared" si="59"/>
        <v>N/A</v>
      </c>
    </row>
    <row r="174" spans="1:7" x14ac:dyDescent="0.2">
      <c r="A174" s="39" t="s">
        <v>47</v>
      </c>
      <c r="B174" s="75">
        <v>612</v>
      </c>
      <c r="C174" s="71" t="s">
        <v>26</v>
      </c>
      <c r="D174" s="3" t="str">
        <f t="shared" si="56"/>
        <v>N/A</v>
      </c>
      <c r="E174" s="3" t="str">
        <f t="shared" si="57"/>
        <v/>
      </c>
      <c r="F174" s="3" t="str">
        <f t="shared" si="58"/>
        <v/>
      </c>
      <c r="G174" s="3" t="str">
        <f t="shared" si="59"/>
        <v/>
      </c>
    </row>
    <row r="175" spans="1:7" x14ac:dyDescent="0.2">
      <c r="A175" s="39" t="s">
        <v>47</v>
      </c>
      <c r="B175" s="106">
        <v>900</v>
      </c>
      <c r="C175" s="107">
        <v>10</v>
      </c>
      <c r="D175" s="3">
        <f>IF(AND(B175&gt;0,B175&lt;1000),C175,"")</f>
        <v>10</v>
      </c>
      <c r="E175" s="3" t="str">
        <f>IF(AND(B175&gt;1000,B175&lt;2500),C175,"")</f>
        <v/>
      </c>
      <c r="F175" s="3" t="str">
        <f>IF(AND(B175&gt;2500,B175&lt;5000),C175,"")</f>
        <v/>
      </c>
      <c r="G175" s="3" t="str">
        <f>IF(B175&gt;=5000,C175,"")</f>
        <v/>
      </c>
    </row>
    <row r="176" spans="1:7" x14ac:dyDescent="0.2">
      <c r="A176" t="s">
        <v>47</v>
      </c>
      <c r="B176" s="106">
        <v>552</v>
      </c>
      <c r="C176" s="71" t="s">
        <v>26</v>
      </c>
      <c r="D176" s="3" t="str">
        <f>IF(AND(B176&gt;0,B176&lt;1000),C176,"")</f>
        <v>N/A</v>
      </c>
      <c r="E176" s="3" t="str">
        <f>IF(AND(B176&gt;1000,B176&lt;2500),C176,"")</f>
        <v/>
      </c>
      <c r="F176" s="3" t="str">
        <f>IF(AND(B176&gt;2500,B176&lt;5000),C176,"")</f>
        <v/>
      </c>
      <c r="G176" s="3" t="str">
        <f>IF(B176&gt;=5000,C176,"")</f>
        <v/>
      </c>
    </row>
    <row r="177" spans="1:7" x14ac:dyDescent="0.2">
      <c r="A177" s="39" t="s">
        <v>89</v>
      </c>
      <c r="B177" s="75">
        <v>1040</v>
      </c>
      <c r="C177" s="71">
        <v>10</v>
      </c>
      <c r="D177" s="3" t="str">
        <f t="shared" ref="D177:D190" si="64">IF(AND(B177&gt;0,B177&lt;1000),C177,"")</f>
        <v/>
      </c>
      <c r="E177" s="3">
        <f t="shared" ref="E177:E190" si="65">IF(AND(B177&gt;1000,B177&lt;2500),C177,"")</f>
        <v>10</v>
      </c>
      <c r="F177" s="3" t="str">
        <f t="shared" ref="F177:F190" si="66">IF(AND(B177&gt;2500,B177&lt;5000),C177,"")</f>
        <v/>
      </c>
      <c r="G177" s="3" t="str">
        <f t="shared" ref="G177:G190" si="67">IF(B177&gt;=5000,C177,"")</f>
        <v/>
      </c>
    </row>
    <row r="178" spans="1:7" x14ac:dyDescent="0.2">
      <c r="A178" t="s">
        <v>89</v>
      </c>
      <c r="B178" s="106">
        <v>2143</v>
      </c>
      <c r="C178" s="71" t="s">
        <v>26</v>
      </c>
      <c r="D178" s="3" t="str">
        <f t="shared" ref="D178:D182" si="68">IF(AND(B178&gt;0,B178&lt;1000),C178,"")</f>
        <v/>
      </c>
      <c r="E178" s="3" t="str">
        <f t="shared" ref="E178:E182" si="69">IF(AND(B178&gt;1000,B178&lt;2500),C178,"")</f>
        <v>N/A</v>
      </c>
      <c r="F178" s="3" t="str">
        <f t="shared" ref="F178:F182" si="70">IF(AND(B178&gt;2500,B178&lt;5000),C178,"")</f>
        <v/>
      </c>
      <c r="G178" s="3" t="str">
        <f t="shared" ref="G178:G182" si="71">IF(B178&gt;=5000,C178,"")</f>
        <v/>
      </c>
    </row>
    <row r="179" spans="1:7" x14ac:dyDescent="0.2">
      <c r="A179" t="s">
        <v>89</v>
      </c>
      <c r="B179" s="106">
        <v>1000</v>
      </c>
      <c r="C179" s="71">
        <v>9</v>
      </c>
      <c r="D179" s="3" t="str">
        <f t="shared" si="68"/>
        <v/>
      </c>
      <c r="E179" s="3" t="str">
        <f t="shared" si="69"/>
        <v/>
      </c>
      <c r="F179" s="3" t="str">
        <f t="shared" si="70"/>
        <v/>
      </c>
      <c r="G179" s="3" t="str">
        <f t="shared" si="71"/>
        <v/>
      </c>
    </row>
    <row r="180" spans="1:7" x14ac:dyDescent="0.2">
      <c r="A180" t="s">
        <v>89</v>
      </c>
      <c r="B180" s="106">
        <v>9500</v>
      </c>
      <c r="C180" s="71" t="s">
        <v>26</v>
      </c>
      <c r="D180" s="3" t="str">
        <f t="shared" si="68"/>
        <v/>
      </c>
      <c r="E180" s="3" t="str">
        <f t="shared" si="69"/>
        <v/>
      </c>
      <c r="F180" s="3" t="str">
        <f t="shared" si="70"/>
        <v/>
      </c>
      <c r="G180" s="3" t="str">
        <f t="shared" si="71"/>
        <v>N/A</v>
      </c>
    </row>
    <row r="181" spans="1:7" x14ac:dyDescent="0.2">
      <c r="A181" t="s">
        <v>89</v>
      </c>
      <c r="B181" s="106">
        <v>2273.35</v>
      </c>
      <c r="C181" s="71" t="s">
        <v>26</v>
      </c>
      <c r="D181" s="3" t="str">
        <f t="shared" si="68"/>
        <v/>
      </c>
      <c r="E181" s="3" t="str">
        <f t="shared" si="69"/>
        <v>N/A</v>
      </c>
      <c r="F181" s="3" t="str">
        <f t="shared" si="70"/>
        <v/>
      </c>
      <c r="G181" s="3" t="str">
        <f t="shared" si="71"/>
        <v/>
      </c>
    </row>
    <row r="182" spans="1:7" x14ac:dyDescent="0.2">
      <c r="A182" t="s">
        <v>89</v>
      </c>
      <c r="B182" s="106">
        <v>4000</v>
      </c>
      <c r="C182" s="71" t="s">
        <v>26</v>
      </c>
      <c r="D182" s="3" t="str">
        <f t="shared" si="68"/>
        <v/>
      </c>
      <c r="E182" s="3" t="str">
        <f t="shared" si="69"/>
        <v/>
      </c>
      <c r="F182" s="3" t="str">
        <f t="shared" si="70"/>
        <v>N/A</v>
      </c>
      <c r="G182" s="3" t="str">
        <f t="shared" si="71"/>
        <v/>
      </c>
    </row>
    <row r="183" spans="1:7" x14ac:dyDescent="0.2">
      <c r="A183" s="39" t="s">
        <v>89</v>
      </c>
      <c r="B183" s="98">
        <v>100</v>
      </c>
      <c r="C183" s="71">
        <v>10</v>
      </c>
      <c r="D183" s="3">
        <f>IF(AND(B183&gt;0,B183&lt;1000),C183,"")</f>
        <v>10</v>
      </c>
      <c r="E183" s="3" t="str">
        <f>IF(AND(B183&gt;1000,B183&lt;2500),C183,"")</f>
        <v/>
      </c>
      <c r="F183" s="3" t="str">
        <f>IF(AND(B183&gt;2500,B183&lt;5000),C183,"")</f>
        <v/>
      </c>
      <c r="G183" s="3" t="str">
        <f>IF(B183&gt;=5000,C183,"")</f>
        <v/>
      </c>
    </row>
    <row r="184" spans="1:7" x14ac:dyDescent="0.2">
      <c r="A184" s="39" t="s">
        <v>89</v>
      </c>
      <c r="B184" s="75">
        <v>450</v>
      </c>
      <c r="C184" s="71" t="s">
        <v>26</v>
      </c>
      <c r="D184" s="3" t="str">
        <f t="shared" si="64"/>
        <v>N/A</v>
      </c>
      <c r="E184" s="3" t="str">
        <f t="shared" si="65"/>
        <v/>
      </c>
      <c r="F184" s="3" t="str">
        <f t="shared" si="66"/>
        <v/>
      </c>
      <c r="G184" s="3" t="str">
        <f t="shared" si="67"/>
        <v/>
      </c>
    </row>
    <row r="185" spans="1:7" x14ac:dyDescent="0.2">
      <c r="A185" s="39" t="s">
        <v>113</v>
      </c>
      <c r="B185" s="75">
        <v>10343</v>
      </c>
      <c r="C185" s="71" t="s">
        <v>26</v>
      </c>
      <c r="D185" s="3" t="str">
        <f t="shared" si="64"/>
        <v/>
      </c>
      <c r="E185" s="3" t="str">
        <f t="shared" si="65"/>
        <v/>
      </c>
      <c r="F185" s="3" t="str">
        <f t="shared" si="66"/>
        <v/>
      </c>
      <c r="G185" s="3" t="str">
        <f t="shared" si="67"/>
        <v>N/A</v>
      </c>
    </row>
    <row r="186" spans="1:7" x14ac:dyDescent="0.2">
      <c r="A186" s="39" t="s">
        <v>117</v>
      </c>
      <c r="B186" s="75">
        <v>250</v>
      </c>
      <c r="C186" s="71" t="s">
        <v>26</v>
      </c>
      <c r="D186" s="3" t="str">
        <f t="shared" si="64"/>
        <v>N/A</v>
      </c>
      <c r="E186" s="3" t="str">
        <f t="shared" si="65"/>
        <v/>
      </c>
      <c r="F186" s="3" t="str">
        <f t="shared" si="66"/>
        <v/>
      </c>
      <c r="G186" s="3" t="str">
        <f t="shared" si="67"/>
        <v/>
      </c>
    </row>
    <row r="187" spans="1:7" x14ac:dyDescent="0.2">
      <c r="A187" s="39" t="s">
        <v>117</v>
      </c>
      <c r="B187" s="75">
        <v>315</v>
      </c>
      <c r="C187" s="71" t="s">
        <v>26</v>
      </c>
      <c r="D187" s="3" t="str">
        <f t="shared" si="64"/>
        <v>N/A</v>
      </c>
      <c r="E187" s="3" t="str">
        <f t="shared" si="65"/>
        <v/>
      </c>
      <c r="F187" s="3" t="str">
        <f t="shared" si="66"/>
        <v/>
      </c>
      <c r="G187" s="3" t="str">
        <f t="shared" si="67"/>
        <v/>
      </c>
    </row>
    <row r="188" spans="1:7" x14ac:dyDescent="0.2">
      <c r="A188" s="39" t="s">
        <v>117</v>
      </c>
      <c r="B188" s="75">
        <v>1175.8800000000001</v>
      </c>
      <c r="C188" s="71" t="s">
        <v>26</v>
      </c>
      <c r="D188" s="3" t="str">
        <f t="shared" si="64"/>
        <v/>
      </c>
      <c r="E188" s="3" t="str">
        <f t="shared" si="65"/>
        <v>N/A</v>
      </c>
      <c r="F188" s="3" t="str">
        <f t="shared" si="66"/>
        <v/>
      </c>
      <c r="G188" s="3" t="str">
        <f t="shared" si="67"/>
        <v/>
      </c>
    </row>
    <row r="189" spans="1:7" x14ac:dyDescent="0.2">
      <c r="A189" s="39" t="s">
        <v>117</v>
      </c>
      <c r="B189" s="75">
        <v>250</v>
      </c>
      <c r="C189" s="71" t="s">
        <v>26</v>
      </c>
      <c r="D189" s="3" t="str">
        <f t="shared" si="64"/>
        <v>N/A</v>
      </c>
      <c r="E189" s="3" t="str">
        <f t="shared" si="65"/>
        <v/>
      </c>
      <c r="F189" s="3" t="str">
        <f t="shared" si="66"/>
        <v/>
      </c>
      <c r="G189" s="3" t="str">
        <f t="shared" si="67"/>
        <v/>
      </c>
    </row>
    <row r="190" spans="1:7" x14ac:dyDescent="0.2">
      <c r="A190" s="39" t="s">
        <v>117</v>
      </c>
      <c r="B190" s="75">
        <v>250</v>
      </c>
      <c r="C190" s="71" t="s">
        <v>26</v>
      </c>
      <c r="D190" s="3" t="str">
        <f t="shared" si="64"/>
        <v>N/A</v>
      </c>
      <c r="E190" s="3" t="str">
        <f t="shared" si="65"/>
        <v/>
      </c>
      <c r="F190" s="3" t="str">
        <f t="shared" si="66"/>
        <v/>
      </c>
      <c r="G190" s="3" t="str">
        <f t="shared" si="67"/>
        <v/>
      </c>
    </row>
    <row r="191" spans="1:7" x14ac:dyDescent="0.2">
      <c r="A191" s="39" t="s">
        <v>117</v>
      </c>
      <c r="B191" s="77">
        <v>2835</v>
      </c>
      <c r="C191" s="71" t="s">
        <v>26</v>
      </c>
      <c r="D191" s="3" t="str">
        <f>IF(AND(B191&gt;0,B191&lt;1000),C191,"")</f>
        <v/>
      </c>
      <c r="E191" s="3" t="str">
        <f>IF(AND(B191&gt;1000,B191&lt;2500),C191,"")</f>
        <v/>
      </c>
      <c r="F191" s="3" t="str">
        <f>IF(AND(B191&gt;2500,B191&lt;5000),C191,"")</f>
        <v>N/A</v>
      </c>
      <c r="G191" s="3" t="str">
        <f>IF(B191&gt;=5000,C191,"")</f>
        <v/>
      </c>
    </row>
    <row r="192" spans="1:7" x14ac:dyDescent="0.2">
      <c r="A192" s="39" t="s">
        <v>117</v>
      </c>
      <c r="B192" s="98">
        <v>100</v>
      </c>
      <c r="C192" s="71">
        <v>10</v>
      </c>
      <c r="D192" s="3">
        <f>IF(AND(B192&gt;0,B192&lt;1000),C192,"")</f>
        <v>10</v>
      </c>
      <c r="E192" s="3" t="str">
        <f>IF(AND(B192&gt;1000,B192&lt;2500),C192,"")</f>
        <v/>
      </c>
      <c r="F192" s="3" t="str">
        <f>IF(AND(B192&gt;2500,B192&lt;5000),C192,"")</f>
        <v/>
      </c>
      <c r="G192" s="3" t="str">
        <f>IF(B192&gt;=5000,C192,"")</f>
        <v/>
      </c>
    </row>
    <row r="193" spans="1:7" x14ac:dyDescent="0.2">
      <c r="A193" s="39" t="s">
        <v>117</v>
      </c>
      <c r="B193" s="98">
        <v>630</v>
      </c>
      <c r="C193" s="71" t="s">
        <v>26</v>
      </c>
      <c r="D193" s="3" t="str">
        <f>IF(AND(B193&gt;0,B193&lt;1000),C193,"")</f>
        <v>N/A</v>
      </c>
      <c r="E193" s="3" t="str">
        <f>IF(AND(B193&gt;1000,B193&lt;2500),C193,"")</f>
        <v/>
      </c>
      <c r="F193" s="3" t="str">
        <f>IF(AND(B193&gt;2500,B193&lt;5000),C193,"")</f>
        <v/>
      </c>
      <c r="G193" s="3" t="str">
        <f>IF(B193&gt;=5000,C193,"")</f>
        <v/>
      </c>
    </row>
    <row r="194" spans="1:7" x14ac:dyDescent="0.2">
      <c r="A194" s="39" t="s">
        <v>117</v>
      </c>
      <c r="B194" s="98">
        <v>113</v>
      </c>
      <c r="C194" s="71" t="s">
        <v>26</v>
      </c>
      <c r="D194" s="3" t="str">
        <f>IF(AND(B194&gt;0,B194&lt;1000),C194,"")</f>
        <v>N/A</v>
      </c>
      <c r="E194" s="3" t="str">
        <f>IF(AND(B194&gt;1000,B194&lt;2500),C194,"")</f>
        <v/>
      </c>
      <c r="F194" s="3" t="str">
        <f>IF(AND(B194&gt;2500,B194&lt;5000),C194,"")</f>
        <v/>
      </c>
      <c r="G194" s="3" t="str">
        <f>IF(B194&gt;=5000,C194,"")</f>
        <v/>
      </c>
    </row>
    <row r="195" spans="1:7" x14ac:dyDescent="0.2">
      <c r="A195" s="39" t="s">
        <v>117</v>
      </c>
      <c r="B195" s="98">
        <v>8455</v>
      </c>
      <c r="C195" s="71" t="s">
        <v>26</v>
      </c>
      <c r="D195" s="3" t="str">
        <f>IF(AND(B195&gt;0,B195&lt;1000),C195,"")</f>
        <v/>
      </c>
      <c r="E195" s="3" t="str">
        <f>IF(AND(B195&gt;1000,B195&lt;2500),C195,"")</f>
        <v/>
      </c>
      <c r="F195" s="3" t="str">
        <f>IF(AND(B195&gt;2500,B195&lt;5000),C195,"")</f>
        <v/>
      </c>
      <c r="G195" s="3" t="str">
        <f>IF(B195&gt;=5000,C195,"")</f>
        <v>N/A</v>
      </c>
    </row>
    <row r="196" spans="1:7" x14ac:dyDescent="0.2">
      <c r="A196" s="39" t="s">
        <v>117</v>
      </c>
      <c r="B196" s="106">
        <v>950</v>
      </c>
      <c r="C196" s="71" t="s">
        <v>26</v>
      </c>
      <c r="D196" s="3" t="str">
        <f t="shared" ref="D196:D198" si="72">IF(AND(B196&gt;0,B196&lt;1000),C196,"")</f>
        <v>N/A</v>
      </c>
      <c r="E196" s="3" t="str">
        <f t="shared" ref="E196:E198" si="73">IF(AND(B196&gt;1000,B196&lt;2500),C196,"")</f>
        <v/>
      </c>
      <c r="F196" s="3" t="str">
        <f t="shared" ref="F196:F198" si="74">IF(AND(B196&gt;2500,B196&lt;5000),C196,"")</f>
        <v/>
      </c>
      <c r="G196" s="3" t="str">
        <f t="shared" ref="G196:G198" si="75">IF(B196&gt;=5000,C196,"")</f>
        <v/>
      </c>
    </row>
    <row r="197" spans="1:7" x14ac:dyDescent="0.2">
      <c r="A197" s="39" t="s">
        <v>117</v>
      </c>
      <c r="B197" s="106">
        <v>750</v>
      </c>
      <c r="C197" s="71" t="s">
        <v>26</v>
      </c>
      <c r="D197" s="3" t="str">
        <f t="shared" si="72"/>
        <v>N/A</v>
      </c>
      <c r="E197" s="3" t="str">
        <f t="shared" si="73"/>
        <v/>
      </c>
      <c r="F197" s="3" t="str">
        <f t="shared" si="74"/>
        <v/>
      </c>
      <c r="G197" s="3" t="str">
        <f t="shared" si="75"/>
        <v/>
      </c>
    </row>
    <row r="198" spans="1:7" x14ac:dyDescent="0.2">
      <c r="A198" s="39" t="s">
        <v>117</v>
      </c>
      <c r="B198" s="106">
        <v>3000</v>
      </c>
      <c r="C198" s="71" t="s">
        <v>26</v>
      </c>
      <c r="D198" s="3" t="str">
        <f t="shared" si="72"/>
        <v/>
      </c>
      <c r="E198" s="3" t="str">
        <f t="shared" si="73"/>
        <v/>
      </c>
      <c r="F198" s="3" t="str">
        <f t="shared" si="74"/>
        <v>N/A</v>
      </c>
      <c r="G198" s="3" t="str">
        <f t="shared" si="75"/>
        <v/>
      </c>
    </row>
    <row r="199" spans="1:7" x14ac:dyDescent="0.2">
      <c r="A199" s="39" t="s">
        <v>117</v>
      </c>
      <c r="B199" s="75">
        <v>300</v>
      </c>
      <c r="C199" s="71" t="s">
        <v>26</v>
      </c>
      <c r="D199" s="3" t="str">
        <f t="shared" ref="D199:D219" si="76">IF(AND(B199&gt;0,B199&lt;1000),C199,"")</f>
        <v>N/A</v>
      </c>
      <c r="E199" s="3" t="str">
        <f t="shared" ref="E199:E219" si="77">IF(AND(B199&gt;1000,B199&lt;2500),C199,"")</f>
        <v/>
      </c>
      <c r="F199" s="3" t="str">
        <f t="shared" ref="F199:F219" si="78">IF(AND(B199&gt;2500,B199&lt;5000),C199,"")</f>
        <v/>
      </c>
      <c r="G199" s="3" t="str">
        <f t="shared" ref="G199:G219" si="79">IF(B199&gt;=5000,C199,"")</f>
        <v/>
      </c>
    </row>
    <row r="200" spans="1:7" x14ac:dyDescent="0.2">
      <c r="A200" s="39" t="s">
        <v>117</v>
      </c>
      <c r="B200" s="77">
        <v>2271.6</v>
      </c>
      <c r="C200" s="78" t="s">
        <v>26</v>
      </c>
      <c r="D200" s="3" t="str">
        <f t="shared" ref="D200:D205" si="80">IF(AND(B200&gt;0,B200&lt;1000),C200,"")</f>
        <v/>
      </c>
      <c r="E200" s="3" t="str">
        <f t="shared" ref="E200:E205" si="81">IF(AND(B200&gt;1000,B200&lt;2500),C200,"")</f>
        <v>N/A</v>
      </c>
      <c r="F200" s="3" t="str">
        <f t="shared" ref="F200:F205" si="82">IF(AND(B200&gt;2500,B200&lt;5000),C200,"")</f>
        <v/>
      </c>
      <c r="G200" s="3" t="str">
        <f t="shared" ref="G200:G205" si="83">IF(B200&gt;=5000,C200,"")</f>
        <v/>
      </c>
    </row>
    <row r="201" spans="1:7" x14ac:dyDescent="0.2">
      <c r="A201" s="39" t="s">
        <v>117</v>
      </c>
      <c r="B201" s="77">
        <v>840</v>
      </c>
      <c r="C201" s="71" t="s">
        <v>26</v>
      </c>
      <c r="D201" s="3" t="str">
        <f t="shared" si="80"/>
        <v>N/A</v>
      </c>
      <c r="E201" s="3" t="str">
        <f t="shared" si="81"/>
        <v/>
      </c>
      <c r="F201" s="3" t="str">
        <f t="shared" si="82"/>
        <v/>
      </c>
      <c r="G201" s="3" t="str">
        <f t="shared" si="83"/>
        <v/>
      </c>
    </row>
    <row r="202" spans="1:7" x14ac:dyDescent="0.2">
      <c r="A202" s="39" t="s">
        <v>117</v>
      </c>
      <c r="B202" s="77">
        <v>495</v>
      </c>
      <c r="C202" s="78" t="s">
        <v>26</v>
      </c>
      <c r="D202" s="3" t="str">
        <f t="shared" si="80"/>
        <v>N/A</v>
      </c>
      <c r="E202" s="3" t="str">
        <f t="shared" si="81"/>
        <v/>
      </c>
      <c r="F202" s="3" t="str">
        <f t="shared" si="82"/>
        <v/>
      </c>
      <c r="G202" s="3" t="str">
        <f t="shared" si="83"/>
        <v/>
      </c>
    </row>
    <row r="203" spans="1:7" x14ac:dyDescent="0.2">
      <c r="A203" s="39" t="s">
        <v>117</v>
      </c>
      <c r="B203" s="77">
        <v>350</v>
      </c>
      <c r="C203" s="78" t="s">
        <v>26</v>
      </c>
      <c r="D203" s="3" t="str">
        <f t="shared" si="80"/>
        <v>N/A</v>
      </c>
      <c r="E203" s="3" t="str">
        <f t="shared" si="81"/>
        <v/>
      </c>
      <c r="F203" s="3" t="str">
        <f t="shared" si="82"/>
        <v/>
      </c>
      <c r="G203" s="3" t="str">
        <f t="shared" si="83"/>
        <v/>
      </c>
    </row>
    <row r="204" spans="1:7" x14ac:dyDescent="0.2">
      <c r="A204" s="39" t="s">
        <v>117</v>
      </c>
      <c r="B204" s="75">
        <v>945</v>
      </c>
      <c r="C204" s="71" t="s">
        <v>26</v>
      </c>
      <c r="D204" s="3" t="str">
        <f t="shared" si="80"/>
        <v>N/A</v>
      </c>
      <c r="E204" s="3" t="str">
        <f t="shared" si="81"/>
        <v/>
      </c>
      <c r="F204" s="3" t="str">
        <f t="shared" si="82"/>
        <v/>
      </c>
      <c r="G204" s="3" t="str">
        <f t="shared" si="83"/>
        <v/>
      </c>
    </row>
    <row r="205" spans="1:7" x14ac:dyDescent="0.2">
      <c r="A205" s="39" t="s">
        <v>117</v>
      </c>
      <c r="B205" s="98">
        <v>790</v>
      </c>
      <c r="C205" s="71" t="s">
        <v>26</v>
      </c>
      <c r="D205" s="3" t="str">
        <f t="shared" si="80"/>
        <v>N/A</v>
      </c>
      <c r="E205" s="3" t="str">
        <f t="shared" si="81"/>
        <v/>
      </c>
      <c r="F205" s="3" t="str">
        <f t="shared" si="82"/>
        <v/>
      </c>
      <c r="G205" s="3" t="str">
        <f t="shared" si="83"/>
        <v/>
      </c>
    </row>
    <row r="206" spans="1:7" x14ac:dyDescent="0.2">
      <c r="A206" s="39" t="s">
        <v>117</v>
      </c>
      <c r="B206" s="106">
        <v>213</v>
      </c>
      <c r="C206" s="71" t="s">
        <v>26</v>
      </c>
      <c r="D206" s="3" t="str">
        <f>IF(AND(B206&gt;0,B206&lt;1000),C206,"")</f>
        <v>N/A</v>
      </c>
      <c r="E206" s="3" t="str">
        <f>IF(AND(B206&gt;1000,B206&lt;2500),C206,"")</f>
        <v/>
      </c>
      <c r="F206" s="3" t="str">
        <f>IF(AND(B206&gt;2500,B206&lt;5000),C206,"")</f>
        <v/>
      </c>
      <c r="G206" s="3" t="str">
        <f>IF(B206&gt;=5000,C206,"")</f>
        <v/>
      </c>
    </row>
    <row r="207" spans="1:7" x14ac:dyDescent="0.2">
      <c r="A207" s="39" t="s">
        <v>117</v>
      </c>
      <c r="B207" s="75">
        <v>756</v>
      </c>
      <c r="C207" s="71" t="s">
        <v>26</v>
      </c>
      <c r="D207" s="3" t="str">
        <f t="shared" si="76"/>
        <v>N/A</v>
      </c>
      <c r="E207" s="3" t="str">
        <f t="shared" si="77"/>
        <v/>
      </c>
      <c r="F207" s="3" t="str">
        <f t="shared" si="78"/>
        <v/>
      </c>
      <c r="G207" s="3" t="str">
        <f t="shared" si="79"/>
        <v/>
      </c>
    </row>
    <row r="208" spans="1:7" x14ac:dyDescent="0.2">
      <c r="A208" s="39" t="s">
        <v>117</v>
      </c>
      <c r="B208" s="75">
        <v>2022.25</v>
      </c>
      <c r="C208" s="71" t="s">
        <v>26</v>
      </c>
      <c r="D208" s="3" t="str">
        <f t="shared" si="76"/>
        <v/>
      </c>
      <c r="E208" s="3" t="str">
        <f t="shared" si="77"/>
        <v>N/A</v>
      </c>
      <c r="F208" s="3" t="str">
        <f t="shared" si="78"/>
        <v/>
      </c>
      <c r="G208" s="3" t="str">
        <f t="shared" si="79"/>
        <v/>
      </c>
    </row>
    <row r="209" spans="1:7" x14ac:dyDescent="0.2">
      <c r="A209" s="39" t="s">
        <v>117</v>
      </c>
      <c r="B209" s="98">
        <v>1</v>
      </c>
      <c r="C209" s="71" t="s">
        <v>26</v>
      </c>
      <c r="D209" s="3" t="str">
        <f>IF(AND(B209&gt;0,B209&lt;1000),C209,"")</f>
        <v>N/A</v>
      </c>
      <c r="E209" s="3" t="str">
        <f>IF(AND(B209&gt;1000,B209&lt;2500),C209,"")</f>
        <v/>
      </c>
      <c r="F209" s="3" t="str">
        <f>IF(AND(B209&gt;2500,B209&lt;5000),C209,"")</f>
        <v/>
      </c>
      <c r="G209" s="3" t="str">
        <f>IF(B209&gt;=5000,C209,"")</f>
        <v/>
      </c>
    </row>
    <row r="210" spans="1:7" x14ac:dyDescent="0.2">
      <c r="A210" s="39" t="s">
        <v>117</v>
      </c>
      <c r="B210" s="75">
        <v>600</v>
      </c>
      <c r="C210" s="71" t="s">
        <v>26</v>
      </c>
      <c r="D210" s="3" t="str">
        <f t="shared" si="76"/>
        <v>N/A</v>
      </c>
      <c r="E210" s="3" t="str">
        <f t="shared" si="77"/>
        <v/>
      </c>
      <c r="F210" s="3" t="str">
        <f t="shared" si="78"/>
        <v/>
      </c>
      <c r="G210" s="3" t="str">
        <f t="shared" si="79"/>
        <v/>
      </c>
    </row>
    <row r="211" spans="1:7" x14ac:dyDescent="0.2">
      <c r="A211" s="39" t="s">
        <v>117</v>
      </c>
      <c r="B211" s="75">
        <v>216</v>
      </c>
      <c r="C211" s="71" t="s">
        <v>26</v>
      </c>
      <c r="D211" s="3" t="str">
        <f t="shared" si="76"/>
        <v>N/A</v>
      </c>
      <c r="E211" s="3" t="str">
        <f t="shared" si="77"/>
        <v/>
      </c>
      <c r="F211" s="3" t="str">
        <f t="shared" si="78"/>
        <v/>
      </c>
      <c r="G211" s="3" t="str">
        <f t="shared" si="79"/>
        <v/>
      </c>
    </row>
    <row r="212" spans="1:7" x14ac:dyDescent="0.2">
      <c r="A212" s="39" t="s">
        <v>99</v>
      </c>
      <c r="B212" s="75">
        <v>60</v>
      </c>
      <c r="C212" s="71" t="s">
        <v>26</v>
      </c>
      <c r="D212" s="3" t="str">
        <f t="shared" si="76"/>
        <v>N/A</v>
      </c>
      <c r="E212" s="3" t="str">
        <f t="shared" si="77"/>
        <v/>
      </c>
      <c r="F212" s="3" t="str">
        <f t="shared" si="78"/>
        <v/>
      </c>
      <c r="G212" s="3" t="str">
        <f t="shared" si="79"/>
        <v/>
      </c>
    </row>
    <row r="213" spans="1:7" x14ac:dyDescent="0.2">
      <c r="A213" s="39" t="s">
        <v>99</v>
      </c>
      <c r="B213" s="75">
        <v>547.5</v>
      </c>
      <c r="C213" s="71">
        <v>10</v>
      </c>
      <c r="D213" s="3">
        <f t="shared" si="76"/>
        <v>10</v>
      </c>
      <c r="E213" s="3" t="str">
        <f t="shared" si="77"/>
        <v/>
      </c>
      <c r="F213" s="3" t="str">
        <f t="shared" si="78"/>
        <v/>
      </c>
      <c r="G213" s="3" t="str">
        <f t="shared" si="79"/>
        <v/>
      </c>
    </row>
    <row r="214" spans="1:7" x14ac:dyDescent="0.2">
      <c r="A214" s="39" t="s">
        <v>99</v>
      </c>
      <c r="B214" s="75">
        <v>350</v>
      </c>
      <c r="C214" s="71">
        <v>10</v>
      </c>
      <c r="D214" s="3">
        <f t="shared" si="76"/>
        <v>10</v>
      </c>
      <c r="E214" s="3" t="str">
        <f t="shared" si="77"/>
        <v/>
      </c>
      <c r="F214" s="3" t="str">
        <f t="shared" si="78"/>
        <v/>
      </c>
      <c r="G214" s="3" t="str">
        <f t="shared" si="79"/>
        <v/>
      </c>
    </row>
    <row r="215" spans="1:7" x14ac:dyDescent="0.2">
      <c r="A215" s="39" t="s">
        <v>99</v>
      </c>
      <c r="B215" s="75">
        <v>240</v>
      </c>
      <c r="C215" s="71">
        <v>10</v>
      </c>
      <c r="D215" s="3">
        <f t="shared" si="76"/>
        <v>10</v>
      </c>
      <c r="E215" s="3" t="str">
        <f t="shared" si="77"/>
        <v/>
      </c>
      <c r="F215" s="3" t="str">
        <f t="shared" si="78"/>
        <v/>
      </c>
      <c r="G215" s="3" t="str">
        <f t="shared" si="79"/>
        <v/>
      </c>
    </row>
    <row r="216" spans="1:7" x14ac:dyDescent="0.2">
      <c r="A216" s="39" t="s">
        <v>99</v>
      </c>
      <c r="B216" s="75">
        <v>30</v>
      </c>
      <c r="C216" s="71">
        <v>10</v>
      </c>
      <c r="D216" s="3">
        <f t="shared" si="76"/>
        <v>10</v>
      </c>
      <c r="E216" s="3" t="str">
        <f t="shared" si="77"/>
        <v/>
      </c>
      <c r="F216" s="3" t="str">
        <f t="shared" si="78"/>
        <v/>
      </c>
      <c r="G216" s="3" t="str">
        <f t="shared" si="79"/>
        <v/>
      </c>
    </row>
    <row r="217" spans="1:7" x14ac:dyDescent="0.2">
      <c r="A217" s="39" t="s">
        <v>99</v>
      </c>
      <c r="B217" s="75">
        <v>1400</v>
      </c>
      <c r="C217" s="71">
        <v>10</v>
      </c>
      <c r="D217" s="3" t="str">
        <f t="shared" si="76"/>
        <v/>
      </c>
      <c r="E217" s="3">
        <f t="shared" si="77"/>
        <v>10</v>
      </c>
      <c r="F217" s="3" t="str">
        <f t="shared" si="78"/>
        <v/>
      </c>
      <c r="G217" s="3" t="str">
        <f t="shared" si="79"/>
        <v/>
      </c>
    </row>
    <row r="218" spans="1:7" x14ac:dyDescent="0.2">
      <c r="A218" s="39" t="s">
        <v>99</v>
      </c>
      <c r="B218" s="75">
        <v>5</v>
      </c>
      <c r="C218" s="71">
        <v>10</v>
      </c>
      <c r="D218" s="3">
        <f t="shared" si="76"/>
        <v>10</v>
      </c>
      <c r="E218" s="3" t="str">
        <f t="shared" si="77"/>
        <v/>
      </c>
      <c r="F218" s="3" t="str">
        <f t="shared" si="78"/>
        <v/>
      </c>
      <c r="G218" s="3" t="str">
        <f t="shared" si="79"/>
        <v/>
      </c>
    </row>
    <row r="219" spans="1:7" x14ac:dyDescent="0.2">
      <c r="A219" s="39" t="s">
        <v>123</v>
      </c>
      <c r="B219" s="75">
        <v>1000</v>
      </c>
      <c r="C219" s="71" t="s">
        <v>26</v>
      </c>
      <c r="D219" s="3" t="str">
        <f t="shared" si="76"/>
        <v/>
      </c>
      <c r="E219" s="3" t="str">
        <f t="shared" si="77"/>
        <v/>
      </c>
      <c r="F219" s="3" t="str">
        <f t="shared" si="78"/>
        <v/>
      </c>
      <c r="G219" s="3" t="str">
        <f t="shared" si="79"/>
        <v/>
      </c>
    </row>
    <row r="220" spans="1:7" x14ac:dyDescent="0.2">
      <c r="A220" s="39" t="s">
        <v>123</v>
      </c>
      <c r="B220" s="77">
        <v>10500</v>
      </c>
      <c r="C220" s="71" t="s">
        <v>26</v>
      </c>
      <c r="D220" s="3" t="str">
        <f>IF(AND(B220&gt;0,B220&lt;1000),C220,"")</f>
        <v/>
      </c>
      <c r="E220" s="3" t="str">
        <f>IF(AND(B220&gt;1000,B220&lt;2500),C220,"")</f>
        <v/>
      </c>
      <c r="F220" s="3" t="str">
        <f>IF(AND(B220&gt;2500,B220&lt;5000),C220,"")</f>
        <v/>
      </c>
      <c r="G220" s="3" t="str">
        <f>IF(B220&gt;=5000,C220,"")</f>
        <v>N/A</v>
      </c>
    </row>
    <row r="221" spans="1:7" x14ac:dyDescent="0.2">
      <c r="A221" s="39" t="s">
        <v>123</v>
      </c>
      <c r="B221" s="98">
        <v>1400</v>
      </c>
      <c r="C221" s="71" t="s">
        <v>26</v>
      </c>
      <c r="D221" s="3" t="str">
        <f>IF(AND(B221&gt;0,B221&lt;1000),C221,"")</f>
        <v/>
      </c>
      <c r="E221" s="3" t="str">
        <f>IF(AND(B221&gt;1000,B221&lt;2500),C221,"")</f>
        <v>N/A</v>
      </c>
      <c r="F221" s="3" t="str">
        <f>IF(AND(B221&gt;2500,B221&lt;5000),C221,"")</f>
        <v/>
      </c>
      <c r="G221" s="3" t="str">
        <f>IF(B221&gt;=5000,C221,"")</f>
        <v/>
      </c>
    </row>
    <row r="222" spans="1:7" x14ac:dyDescent="0.2">
      <c r="A222" s="39" t="s">
        <v>123</v>
      </c>
      <c r="B222" s="98">
        <v>1075</v>
      </c>
      <c r="C222" s="71" t="s">
        <v>26</v>
      </c>
      <c r="D222" s="3" t="str">
        <f>IF(AND(B222&gt;0,B222&lt;1000),C222,"")</f>
        <v/>
      </c>
      <c r="E222" s="3" t="str">
        <f>IF(AND(B222&gt;1000,B222&lt;2500),C222,"")</f>
        <v>N/A</v>
      </c>
      <c r="F222" s="3" t="str">
        <f>IF(AND(B222&gt;2500,B222&lt;5000),C222,"")</f>
        <v/>
      </c>
      <c r="G222" s="3" t="str">
        <f>IF(B222&gt;=5000,C222,"")</f>
        <v/>
      </c>
    </row>
    <row r="223" spans="1:7" x14ac:dyDescent="0.2">
      <c r="A223" s="39" t="s">
        <v>123</v>
      </c>
      <c r="B223" s="106">
        <v>950</v>
      </c>
      <c r="C223" s="71" t="s">
        <v>26</v>
      </c>
      <c r="D223" s="3" t="str">
        <f t="shared" ref="D223:D225" si="84">IF(AND(B223&gt;0,B223&lt;1000),C223,"")</f>
        <v>N/A</v>
      </c>
      <c r="E223" s="3" t="str">
        <f t="shared" ref="E223:E225" si="85">IF(AND(B223&gt;1000,B223&lt;2500),C223,"")</f>
        <v/>
      </c>
      <c r="F223" s="3" t="str">
        <f t="shared" ref="F223:F225" si="86">IF(AND(B223&gt;2500,B223&lt;5000),C223,"")</f>
        <v/>
      </c>
      <c r="G223" s="3" t="str">
        <f t="shared" ref="G223:G225" si="87">IF(B223&gt;=5000,C223,"")</f>
        <v/>
      </c>
    </row>
    <row r="224" spans="1:7" x14ac:dyDescent="0.2">
      <c r="A224" s="39" t="s">
        <v>123</v>
      </c>
      <c r="B224" s="106">
        <v>1075</v>
      </c>
      <c r="C224" s="71" t="s">
        <v>26</v>
      </c>
      <c r="D224" s="3" t="str">
        <f t="shared" si="84"/>
        <v/>
      </c>
      <c r="E224" s="3" t="str">
        <f t="shared" si="85"/>
        <v>N/A</v>
      </c>
      <c r="F224" s="3" t="str">
        <f t="shared" si="86"/>
        <v/>
      </c>
      <c r="G224" s="3" t="str">
        <f t="shared" si="87"/>
        <v/>
      </c>
    </row>
    <row r="225" spans="1:7" x14ac:dyDescent="0.2">
      <c r="A225" s="39" t="s">
        <v>92</v>
      </c>
      <c r="B225" s="106">
        <v>1900</v>
      </c>
      <c r="C225" s="71" t="s">
        <v>26</v>
      </c>
      <c r="D225" s="3" t="str">
        <f t="shared" si="84"/>
        <v/>
      </c>
      <c r="E225" s="3" t="str">
        <f t="shared" si="85"/>
        <v>N/A</v>
      </c>
      <c r="F225" s="3" t="str">
        <f t="shared" si="86"/>
        <v/>
      </c>
      <c r="G225" s="3" t="str">
        <f t="shared" si="87"/>
        <v/>
      </c>
    </row>
    <row r="226" spans="1:7" x14ac:dyDescent="0.2">
      <c r="A226" s="39" t="s">
        <v>92</v>
      </c>
      <c r="B226" s="75">
        <v>2375</v>
      </c>
      <c r="C226" s="71" t="s">
        <v>26</v>
      </c>
      <c r="D226" s="3" t="str">
        <f t="shared" ref="D226:D235" si="88">IF(AND(B226&gt;0,B226&lt;1000),C226,"")</f>
        <v/>
      </c>
      <c r="E226" s="3" t="str">
        <f t="shared" ref="E226:E235" si="89">IF(AND(B226&gt;1000,B226&lt;2500),C226,"")</f>
        <v>N/A</v>
      </c>
      <c r="F226" s="3" t="str">
        <f t="shared" ref="F226:F235" si="90">IF(AND(B226&gt;2500,B226&lt;5000),C226,"")</f>
        <v/>
      </c>
      <c r="G226" s="3" t="str">
        <f t="shared" ref="G226:G235" si="91">IF(B226&gt;=5000,C226,"")</f>
        <v/>
      </c>
    </row>
    <row r="227" spans="1:7" x14ac:dyDescent="0.2">
      <c r="A227" s="39" t="s">
        <v>92</v>
      </c>
      <c r="B227" s="98">
        <v>2000</v>
      </c>
      <c r="C227" s="71" t="s">
        <v>26</v>
      </c>
      <c r="D227" s="3" t="str">
        <f>IF(AND(B227&gt;0,B227&lt;1000),C227,"")</f>
        <v/>
      </c>
      <c r="E227" s="3" t="str">
        <f>IF(AND(B227&gt;1000,B227&lt;2500),C227,"")</f>
        <v>N/A</v>
      </c>
      <c r="F227" s="3" t="str">
        <f>IF(AND(B227&gt;2500,B227&lt;5000),C227,"")</f>
        <v/>
      </c>
      <c r="G227" s="3" t="str">
        <f>IF(B227&gt;=5000,C227,"")</f>
        <v/>
      </c>
    </row>
    <row r="228" spans="1:7" x14ac:dyDescent="0.2">
      <c r="A228" s="39" t="s">
        <v>92</v>
      </c>
      <c r="B228" s="98">
        <v>2750</v>
      </c>
      <c r="C228" s="71" t="s">
        <v>26</v>
      </c>
      <c r="D228" s="3" t="str">
        <f>IF(AND(B228&gt;0,B228&lt;1000),C228,"")</f>
        <v/>
      </c>
      <c r="E228" s="3" t="str">
        <f>IF(AND(B228&gt;1000,B228&lt;2500),C228,"")</f>
        <v/>
      </c>
      <c r="F228" s="3" t="str">
        <f>IF(AND(B228&gt;2500,B228&lt;5000),C228,"")</f>
        <v>N/A</v>
      </c>
      <c r="G228" s="3" t="str">
        <f>IF(B228&gt;=5000,C228,"")</f>
        <v/>
      </c>
    </row>
    <row r="229" spans="1:7" x14ac:dyDescent="0.2">
      <c r="A229" s="39" t="s">
        <v>92</v>
      </c>
      <c r="B229" s="106">
        <v>2800</v>
      </c>
      <c r="C229" s="71" t="s">
        <v>26</v>
      </c>
      <c r="D229" s="3" t="str">
        <f>IF(AND(B229&gt;0,B229&lt;1000),C229,"")</f>
        <v/>
      </c>
      <c r="E229" s="3" t="str">
        <f>IF(AND(B229&gt;1000,B229&lt;2500),C229,"")</f>
        <v/>
      </c>
      <c r="F229" s="3" t="str">
        <f>IF(AND(B229&gt;2500,B229&lt;5000),C229,"")</f>
        <v>N/A</v>
      </c>
      <c r="G229" s="3" t="str">
        <f>IF(B229&gt;=5000,C229,"")</f>
        <v/>
      </c>
    </row>
    <row r="230" spans="1:7" x14ac:dyDescent="0.2">
      <c r="A230" s="39" t="s">
        <v>92</v>
      </c>
      <c r="B230" s="75">
        <v>1600</v>
      </c>
      <c r="C230" s="71" t="s">
        <v>26</v>
      </c>
      <c r="D230" s="3" t="str">
        <f t="shared" si="88"/>
        <v/>
      </c>
      <c r="E230" s="3" t="str">
        <f t="shared" si="89"/>
        <v>N/A</v>
      </c>
      <c r="F230" s="3" t="str">
        <f t="shared" si="90"/>
        <v/>
      </c>
      <c r="G230" s="3" t="str">
        <f t="shared" si="91"/>
        <v/>
      </c>
    </row>
    <row r="231" spans="1:7" x14ac:dyDescent="0.2">
      <c r="A231" s="39" t="s">
        <v>92</v>
      </c>
      <c r="B231" s="106">
        <v>1700</v>
      </c>
      <c r="C231" s="71" t="s">
        <v>26</v>
      </c>
      <c r="D231" s="3" t="str">
        <f t="shared" ref="D231:D232" si="92">IF(AND(B231&gt;0,B231&lt;1000),C231,"")</f>
        <v/>
      </c>
      <c r="E231" s="3" t="str">
        <f t="shared" ref="E231:E232" si="93">IF(AND(B231&gt;1000,B231&lt;2500),C231,"")</f>
        <v>N/A</v>
      </c>
      <c r="F231" s="3" t="str">
        <f t="shared" ref="F231:F232" si="94">IF(AND(B231&gt;2500,B231&lt;5000),C231,"")</f>
        <v/>
      </c>
      <c r="G231" s="3" t="str">
        <f t="shared" ref="G231:G232" si="95">IF(B231&gt;=5000,C231,"")</f>
        <v/>
      </c>
    </row>
    <row r="232" spans="1:7" x14ac:dyDescent="0.2">
      <c r="A232" s="39" t="s">
        <v>92</v>
      </c>
      <c r="B232" s="106">
        <v>2000</v>
      </c>
      <c r="C232" s="71" t="s">
        <v>26</v>
      </c>
      <c r="D232" s="3" t="str">
        <f t="shared" si="92"/>
        <v/>
      </c>
      <c r="E232" s="3" t="str">
        <f t="shared" si="93"/>
        <v>N/A</v>
      </c>
      <c r="F232" s="3" t="str">
        <f t="shared" si="94"/>
        <v/>
      </c>
      <c r="G232" s="3" t="str">
        <f t="shared" si="95"/>
        <v/>
      </c>
    </row>
    <row r="233" spans="1:7" x14ac:dyDescent="0.2">
      <c r="A233" s="39" t="s">
        <v>92</v>
      </c>
      <c r="B233" s="75">
        <v>250</v>
      </c>
      <c r="C233" s="71" t="s">
        <v>26</v>
      </c>
      <c r="D233" s="3" t="str">
        <f t="shared" si="88"/>
        <v>N/A</v>
      </c>
      <c r="E233" s="3" t="str">
        <f t="shared" si="89"/>
        <v/>
      </c>
      <c r="F233" s="3" t="str">
        <f t="shared" si="90"/>
        <v/>
      </c>
      <c r="G233" s="3" t="str">
        <f t="shared" si="91"/>
        <v/>
      </c>
    </row>
    <row r="234" spans="1:7" x14ac:dyDescent="0.2">
      <c r="A234" s="39" t="s">
        <v>92</v>
      </c>
      <c r="B234" s="75">
        <v>2500</v>
      </c>
      <c r="C234" s="71" t="s">
        <v>26</v>
      </c>
      <c r="D234" s="3" t="str">
        <f t="shared" si="88"/>
        <v/>
      </c>
      <c r="E234" s="3" t="str">
        <f t="shared" si="89"/>
        <v/>
      </c>
      <c r="F234" s="3" t="str">
        <f t="shared" si="90"/>
        <v/>
      </c>
      <c r="G234" s="3" t="str">
        <f t="shared" si="91"/>
        <v/>
      </c>
    </row>
    <row r="235" spans="1:7" x14ac:dyDescent="0.2">
      <c r="A235" s="39" t="s">
        <v>92</v>
      </c>
      <c r="B235" s="75">
        <v>10000</v>
      </c>
      <c r="C235" s="71" t="s">
        <v>26</v>
      </c>
      <c r="D235" s="3" t="str">
        <f t="shared" si="88"/>
        <v/>
      </c>
      <c r="E235" s="3" t="str">
        <f t="shared" si="89"/>
        <v/>
      </c>
      <c r="F235" s="3" t="str">
        <f t="shared" si="90"/>
        <v/>
      </c>
      <c r="G235" s="3" t="str">
        <f t="shared" si="91"/>
        <v>N/A</v>
      </c>
    </row>
    <row r="236" spans="1:7" x14ac:dyDescent="0.2">
      <c r="A236" s="39" t="s">
        <v>92</v>
      </c>
      <c r="B236" s="75">
        <v>8000</v>
      </c>
      <c r="C236" s="71" t="s">
        <v>26</v>
      </c>
      <c r="D236" s="3" t="str">
        <f t="shared" ref="D236:D256" si="96">IF(AND(B236&gt;0,B236&lt;1000),C236,"")</f>
        <v/>
      </c>
      <c r="E236" s="3" t="str">
        <f t="shared" ref="E236:E256" si="97">IF(AND(B236&gt;1000,B236&lt;2500),C236,"")</f>
        <v/>
      </c>
      <c r="F236" s="3" t="str">
        <f t="shared" ref="F236:F256" si="98">IF(AND(B236&gt;2500,B236&lt;5000),C236,"")</f>
        <v/>
      </c>
      <c r="G236" s="3" t="str">
        <f t="shared" ref="G236:G256" si="99">IF(B236&gt;=5000,C236,"")</f>
        <v>N/A</v>
      </c>
    </row>
    <row r="237" spans="1:7" x14ac:dyDescent="0.2">
      <c r="A237" s="39" t="s">
        <v>92</v>
      </c>
      <c r="B237" s="75">
        <v>5000</v>
      </c>
      <c r="C237" s="71">
        <v>10</v>
      </c>
      <c r="D237" s="3" t="str">
        <f t="shared" si="96"/>
        <v/>
      </c>
      <c r="E237" s="3" t="str">
        <f t="shared" si="97"/>
        <v/>
      </c>
      <c r="F237" s="3" t="str">
        <f t="shared" si="98"/>
        <v/>
      </c>
      <c r="G237" s="3">
        <f t="shared" si="99"/>
        <v>10</v>
      </c>
    </row>
    <row r="238" spans="1:7" x14ac:dyDescent="0.2">
      <c r="A238" s="39" t="s">
        <v>92</v>
      </c>
      <c r="B238" s="75">
        <v>400</v>
      </c>
      <c r="C238" s="71" t="s">
        <v>26</v>
      </c>
      <c r="D238" s="3" t="str">
        <f t="shared" si="96"/>
        <v>N/A</v>
      </c>
      <c r="E238" s="3" t="str">
        <f t="shared" si="97"/>
        <v/>
      </c>
      <c r="F238" s="3" t="str">
        <f t="shared" si="98"/>
        <v/>
      </c>
      <c r="G238" s="3" t="str">
        <f t="shared" si="99"/>
        <v/>
      </c>
    </row>
    <row r="239" spans="1:7" x14ac:dyDescent="0.2">
      <c r="A239" s="39" t="s">
        <v>92</v>
      </c>
      <c r="B239" s="75">
        <v>2430</v>
      </c>
      <c r="C239" s="71" t="s">
        <v>26</v>
      </c>
      <c r="D239" s="3" t="str">
        <f t="shared" si="96"/>
        <v/>
      </c>
      <c r="E239" s="3" t="str">
        <f t="shared" si="97"/>
        <v>N/A</v>
      </c>
      <c r="F239" s="3" t="str">
        <f t="shared" si="98"/>
        <v/>
      </c>
      <c r="G239" s="3" t="str">
        <f t="shared" si="99"/>
        <v/>
      </c>
    </row>
    <row r="240" spans="1:7" x14ac:dyDescent="0.2">
      <c r="A240" s="39" t="s">
        <v>37</v>
      </c>
      <c r="B240" s="106">
        <v>1710</v>
      </c>
      <c r="C240" s="71">
        <v>10</v>
      </c>
      <c r="D240" s="3" t="str">
        <f>IF(AND(B240&gt;0,B240&lt;1000),C240,"")</f>
        <v/>
      </c>
      <c r="E240" s="3">
        <f>IF(AND(B240&gt;1000,B240&lt;2500),C240,"")</f>
        <v>10</v>
      </c>
      <c r="F240" s="3" t="str">
        <f>IF(AND(B240&gt;2500,B240&lt;5000),C240,"")</f>
        <v/>
      </c>
      <c r="G240" s="3" t="str">
        <f>IF(B240&gt;=5000,C240,"")</f>
        <v/>
      </c>
    </row>
    <row r="241" spans="1:7" x14ac:dyDescent="0.2">
      <c r="A241" s="39" t="s">
        <v>37</v>
      </c>
      <c r="B241" s="77">
        <v>90</v>
      </c>
      <c r="C241" s="71" t="s">
        <v>26</v>
      </c>
      <c r="D241" s="3" t="str">
        <f>IF(AND(B241&gt;0,B241&lt;1000),C241,"")</f>
        <v>N/A</v>
      </c>
      <c r="E241" s="3" t="str">
        <f>IF(AND(B241&gt;1000,B241&lt;2500),C241,"")</f>
        <v/>
      </c>
      <c r="F241" s="3" t="str">
        <f>IF(AND(B241&gt;2500,B241&lt;5000),C241,"")</f>
        <v/>
      </c>
      <c r="G241" s="3" t="str">
        <f>IF(B241&gt;=5000,C241,"")</f>
        <v/>
      </c>
    </row>
    <row r="242" spans="1:7" x14ac:dyDescent="0.2">
      <c r="A242" s="39" t="s">
        <v>37</v>
      </c>
      <c r="B242" s="75">
        <v>6960</v>
      </c>
      <c r="C242" s="71">
        <v>10</v>
      </c>
      <c r="D242" s="3" t="str">
        <f t="shared" si="96"/>
        <v/>
      </c>
      <c r="E242" s="3" t="str">
        <f t="shared" si="97"/>
        <v/>
      </c>
      <c r="F242" s="3" t="str">
        <f t="shared" si="98"/>
        <v/>
      </c>
      <c r="G242" s="3">
        <f t="shared" si="99"/>
        <v>10</v>
      </c>
    </row>
    <row r="243" spans="1:7" x14ac:dyDescent="0.2">
      <c r="A243" s="39" t="s">
        <v>37</v>
      </c>
      <c r="B243" s="77">
        <v>1180</v>
      </c>
      <c r="C243" s="71">
        <v>10</v>
      </c>
      <c r="D243" s="3" t="str">
        <f>IF(AND(B243&gt;0,B243&lt;1000),C243,"")</f>
        <v/>
      </c>
      <c r="E243" s="3">
        <f>IF(AND(B243&gt;1000,B243&lt;2500),C243,"")</f>
        <v>10</v>
      </c>
      <c r="F243" s="3" t="str">
        <f>IF(AND(B243&gt;2500,B243&lt;5000),C243,"")</f>
        <v/>
      </c>
      <c r="G243" s="3" t="str">
        <f>IF(B243&gt;=5000,C243,"")</f>
        <v/>
      </c>
    </row>
    <row r="244" spans="1:7" x14ac:dyDescent="0.2">
      <c r="A244" s="39" t="s">
        <v>37</v>
      </c>
      <c r="B244" s="77">
        <v>850</v>
      </c>
      <c r="C244" s="71" t="s">
        <v>26</v>
      </c>
      <c r="D244" s="3" t="str">
        <f>IF(AND(B244&gt;0,B244&lt;1000),C244,"")</f>
        <v>N/A</v>
      </c>
      <c r="E244" s="3" t="str">
        <f>IF(AND(B244&gt;1000,B244&lt;2500),C244,"")</f>
        <v/>
      </c>
      <c r="F244" s="3" t="str">
        <f>IF(AND(B244&gt;2500,B244&lt;5000),C244,"")</f>
        <v/>
      </c>
      <c r="G244" s="3" t="str">
        <f>IF(B244&gt;=5000,C244,"")</f>
        <v/>
      </c>
    </row>
    <row r="245" spans="1:7" x14ac:dyDescent="0.2">
      <c r="A245" s="39" t="s">
        <v>37</v>
      </c>
      <c r="B245" s="75">
        <v>1250</v>
      </c>
      <c r="C245" s="71" t="s">
        <v>26</v>
      </c>
      <c r="D245" s="3" t="str">
        <f t="shared" si="96"/>
        <v/>
      </c>
      <c r="E245" s="3" t="str">
        <f t="shared" si="97"/>
        <v>N/A</v>
      </c>
      <c r="F245" s="3" t="str">
        <f t="shared" si="98"/>
        <v/>
      </c>
      <c r="G245" s="3" t="str">
        <f t="shared" si="99"/>
        <v/>
      </c>
    </row>
    <row r="246" spans="1:7" x14ac:dyDescent="0.2">
      <c r="A246" s="39" t="s">
        <v>37</v>
      </c>
      <c r="B246" s="98">
        <v>1200</v>
      </c>
      <c r="C246" s="71" t="s">
        <v>26</v>
      </c>
      <c r="D246" s="3" t="str">
        <f>IF(AND(B246&gt;0,B246&lt;1000),C246,"")</f>
        <v/>
      </c>
      <c r="E246" s="3" t="str">
        <f>IF(AND(B246&gt;1000,B246&lt;2500),C246,"")</f>
        <v>N/A</v>
      </c>
      <c r="F246" s="3" t="str">
        <f>IF(AND(B246&gt;2500,B246&lt;5000),C246,"")</f>
        <v/>
      </c>
      <c r="G246" s="3" t="str">
        <f>IF(B246&gt;=5000,C246,"")</f>
        <v/>
      </c>
    </row>
    <row r="247" spans="1:7" x14ac:dyDescent="0.2">
      <c r="A247" s="39" t="s">
        <v>91</v>
      </c>
      <c r="B247" s="75">
        <v>350</v>
      </c>
      <c r="C247" s="71" t="s">
        <v>26</v>
      </c>
      <c r="D247" s="3" t="str">
        <f t="shared" si="96"/>
        <v>N/A</v>
      </c>
      <c r="E247" s="3" t="str">
        <f t="shared" si="97"/>
        <v/>
      </c>
      <c r="F247" s="3" t="str">
        <f t="shared" si="98"/>
        <v/>
      </c>
      <c r="G247" s="3" t="str">
        <f t="shared" si="99"/>
        <v/>
      </c>
    </row>
    <row r="248" spans="1:7" x14ac:dyDescent="0.2">
      <c r="A248" s="39" t="s">
        <v>91</v>
      </c>
      <c r="B248" s="98">
        <v>315</v>
      </c>
      <c r="C248" s="71" t="s">
        <v>26</v>
      </c>
      <c r="D248" s="3" t="str">
        <f>IF(AND(B248&gt;0,B248&lt;1000),C248,"")</f>
        <v>N/A</v>
      </c>
      <c r="E248" s="3" t="str">
        <f>IF(AND(B248&gt;1000,B248&lt;2500),C248,"")</f>
        <v/>
      </c>
      <c r="F248" s="3" t="str">
        <f>IF(AND(B248&gt;2500,B248&lt;5000),C248,"")</f>
        <v/>
      </c>
      <c r="G248" s="3" t="str">
        <f>IF(B248&gt;=5000,C248,"")</f>
        <v/>
      </c>
    </row>
    <row r="249" spans="1:7" x14ac:dyDescent="0.2">
      <c r="A249" s="39" t="s">
        <v>91</v>
      </c>
      <c r="B249" s="75">
        <v>950</v>
      </c>
      <c r="C249" s="71" t="s">
        <v>26</v>
      </c>
      <c r="D249" s="3" t="str">
        <f t="shared" si="96"/>
        <v>N/A</v>
      </c>
      <c r="E249" s="3" t="str">
        <f t="shared" si="97"/>
        <v/>
      </c>
      <c r="F249" s="3" t="str">
        <f t="shared" si="98"/>
        <v/>
      </c>
      <c r="G249" s="3" t="str">
        <f t="shared" si="99"/>
        <v/>
      </c>
    </row>
    <row r="250" spans="1:7" x14ac:dyDescent="0.2">
      <c r="A250" s="39" t="s">
        <v>91</v>
      </c>
      <c r="B250" s="98">
        <v>1662</v>
      </c>
      <c r="C250" s="71">
        <v>8</v>
      </c>
      <c r="D250" s="3" t="str">
        <f>IF(AND(B250&gt;0,B250&lt;1000),C250,"")</f>
        <v/>
      </c>
      <c r="E250" s="3">
        <f>IF(AND(B250&gt;1000,B250&lt;2500),C250,"")</f>
        <v>8</v>
      </c>
      <c r="F250" s="3" t="str">
        <f>IF(AND(B250&gt;2500,B250&lt;5000),C250,"")</f>
        <v/>
      </c>
      <c r="G250" s="3" t="str">
        <f>IF(B250&gt;=5000,C250,"")</f>
        <v/>
      </c>
    </row>
    <row r="251" spans="1:7" x14ac:dyDescent="0.2">
      <c r="A251" t="s">
        <v>91</v>
      </c>
      <c r="B251" s="98">
        <v>950</v>
      </c>
      <c r="C251" s="71" t="s">
        <v>26</v>
      </c>
      <c r="D251" s="3" t="str">
        <f>IF(AND(B251&gt;0,B251&lt;1000),C251,"")</f>
        <v>N/A</v>
      </c>
      <c r="E251" s="3" t="str">
        <f>IF(AND(B251&gt;1000,B251&lt;2500),C251,"")</f>
        <v/>
      </c>
      <c r="F251" s="3" t="str">
        <f>IF(AND(B251&gt;2500,B251&lt;5000),C251,"")</f>
        <v/>
      </c>
      <c r="G251" s="3" t="str">
        <f>IF(B251&gt;=5000,C251,"")</f>
        <v/>
      </c>
    </row>
    <row r="252" spans="1:7" x14ac:dyDescent="0.2">
      <c r="A252" s="39" t="s">
        <v>91</v>
      </c>
      <c r="B252" s="75">
        <v>495</v>
      </c>
      <c r="C252" s="71">
        <v>10</v>
      </c>
      <c r="D252" s="3">
        <f t="shared" si="96"/>
        <v>10</v>
      </c>
      <c r="E252" s="3" t="str">
        <f t="shared" si="97"/>
        <v/>
      </c>
      <c r="F252" s="3" t="str">
        <f t="shared" si="98"/>
        <v/>
      </c>
      <c r="G252" s="3" t="str">
        <f t="shared" si="99"/>
        <v/>
      </c>
    </row>
    <row r="253" spans="1:7" x14ac:dyDescent="0.2">
      <c r="A253" s="39" t="s">
        <v>91</v>
      </c>
      <c r="B253" s="75">
        <v>1750</v>
      </c>
      <c r="C253" s="71" t="s">
        <v>26</v>
      </c>
      <c r="D253" s="3" t="str">
        <f t="shared" si="96"/>
        <v/>
      </c>
      <c r="E253" s="3" t="str">
        <f t="shared" si="97"/>
        <v>N/A</v>
      </c>
      <c r="F253" s="3" t="str">
        <f t="shared" si="98"/>
        <v/>
      </c>
      <c r="G253" s="3" t="str">
        <f t="shared" si="99"/>
        <v/>
      </c>
    </row>
    <row r="254" spans="1:7" x14ac:dyDescent="0.2">
      <c r="A254" s="39" t="s">
        <v>91</v>
      </c>
      <c r="B254" s="75">
        <v>3739.8</v>
      </c>
      <c r="C254" s="71" t="s">
        <v>26</v>
      </c>
      <c r="D254" s="3" t="str">
        <f t="shared" si="96"/>
        <v/>
      </c>
      <c r="E254" s="3" t="str">
        <f t="shared" si="97"/>
        <v/>
      </c>
      <c r="F254" s="3" t="str">
        <f t="shared" si="98"/>
        <v>N/A</v>
      </c>
      <c r="G254" s="3" t="str">
        <f t="shared" si="99"/>
        <v/>
      </c>
    </row>
    <row r="255" spans="1:7" x14ac:dyDescent="0.2">
      <c r="A255" s="39" t="s">
        <v>91</v>
      </c>
      <c r="B255" s="75">
        <v>788</v>
      </c>
      <c r="C255" s="71" t="s">
        <v>26</v>
      </c>
      <c r="D255" s="3" t="str">
        <f t="shared" si="96"/>
        <v>N/A</v>
      </c>
      <c r="E255" s="3" t="str">
        <f t="shared" si="97"/>
        <v/>
      </c>
      <c r="F255" s="3" t="str">
        <f t="shared" si="98"/>
        <v/>
      </c>
      <c r="G255" s="3" t="str">
        <f t="shared" si="99"/>
        <v/>
      </c>
    </row>
    <row r="256" spans="1:7" x14ac:dyDescent="0.2">
      <c r="A256" s="39" t="s">
        <v>91</v>
      </c>
      <c r="B256" s="75">
        <v>630</v>
      </c>
      <c r="C256" s="71" t="s">
        <v>26</v>
      </c>
      <c r="D256" s="3" t="str">
        <f t="shared" si="96"/>
        <v>N/A</v>
      </c>
      <c r="E256" s="3" t="str">
        <f t="shared" si="97"/>
        <v/>
      </c>
      <c r="F256" s="3" t="str">
        <f t="shared" si="98"/>
        <v/>
      </c>
      <c r="G256" s="3" t="str">
        <f t="shared" si="99"/>
        <v/>
      </c>
    </row>
    <row r="257" spans="1:7" x14ac:dyDescent="0.2">
      <c r="A257" s="39" t="s">
        <v>91</v>
      </c>
      <c r="B257" s="75">
        <v>750</v>
      </c>
      <c r="C257" s="71" t="s">
        <v>26</v>
      </c>
      <c r="D257" s="3" t="str">
        <f t="shared" ref="D257:D293" si="100">IF(AND(B257&gt;0,B257&lt;1000),C257,"")</f>
        <v>N/A</v>
      </c>
      <c r="E257" s="3" t="str">
        <f t="shared" ref="E257:E293" si="101">IF(AND(B257&gt;1000,B257&lt;2500),C257,"")</f>
        <v/>
      </c>
      <c r="F257" s="3" t="str">
        <f t="shared" ref="F257:F293" si="102">IF(AND(B257&gt;2500,B257&lt;5000),C257,"")</f>
        <v/>
      </c>
      <c r="G257" s="3" t="str">
        <f t="shared" ref="G257:G293" si="103">IF(B257&gt;=5000,C257,"")</f>
        <v/>
      </c>
    </row>
    <row r="258" spans="1:7" x14ac:dyDescent="0.2">
      <c r="A258" s="39" t="s">
        <v>91</v>
      </c>
      <c r="B258" s="75">
        <v>2000</v>
      </c>
      <c r="C258" s="71" t="s">
        <v>26</v>
      </c>
      <c r="D258" s="3" t="str">
        <f t="shared" si="100"/>
        <v/>
      </c>
      <c r="E258" s="3" t="str">
        <f t="shared" si="101"/>
        <v>N/A</v>
      </c>
      <c r="F258" s="3" t="str">
        <f t="shared" si="102"/>
        <v/>
      </c>
      <c r="G258" s="3" t="str">
        <f t="shared" si="103"/>
        <v/>
      </c>
    </row>
    <row r="259" spans="1:7" x14ac:dyDescent="0.2">
      <c r="A259" s="39" t="s">
        <v>91</v>
      </c>
      <c r="B259" s="98">
        <v>350</v>
      </c>
      <c r="C259" s="71" t="s">
        <v>26</v>
      </c>
      <c r="D259" s="3" t="str">
        <f>IF(AND(B259&gt;0,B259&lt;1000),C259,"")</f>
        <v>N/A</v>
      </c>
      <c r="E259" s="3" t="str">
        <f>IF(AND(B259&gt;1000,B259&lt;2500),C259,"")</f>
        <v/>
      </c>
      <c r="F259" s="3" t="str">
        <f>IF(AND(B259&gt;2500,B259&lt;5000),C259,"")</f>
        <v/>
      </c>
      <c r="G259" s="3" t="str">
        <f>IF(B259&gt;=5000,C259,"")</f>
        <v/>
      </c>
    </row>
    <row r="260" spans="1:7" x14ac:dyDescent="0.2">
      <c r="A260" s="39" t="s">
        <v>91</v>
      </c>
      <c r="B260" s="98">
        <v>805</v>
      </c>
      <c r="C260" s="71" t="s">
        <v>26</v>
      </c>
      <c r="D260" s="3" t="str">
        <f>IF(AND(B260&gt;0,B260&lt;1000),C260,"")</f>
        <v>N/A</v>
      </c>
      <c r="E260" s="3" t="str">
        <f>IF(AND(B260&gt;1000,B260&lt;2500),C260,"")</f>
        <v/>
      </c>
      <c r="F260" s="3" t="str">
        <f>IF(AND(B260&gt;2500,B260&lt;5000),C260,"")</f>
        <v/>
      </c>
      <c r="G260" s="3" t="str">
        <f>IF(B260&gt;=5000,C260,"")</f>
        <v/>
      </c>
    </row>
    <row r="261" spans="1:7" x14ac:dyDescent="0.2">
      <c r="A261" s="39" t="s">
        <v>91</v>
      </c>
      <c r="B261" s="106">
        <v>1575</v>
      </c>
      <c r="C261" s="71" t="s">
        <v>26</v>
      </c>
      <c r="D261" s="3" t="str">
        <f t="shared" ref="D261:D263" si="104">IF(AND(B261&gt;0,B261&lt;1000),C261,"")</f>
        <v/>
      </c>
      <c r="E261" s="3" t="str">
        <f t="shared" ref="E261:E263" si="105">IF(AND(B261&gt;1000,B261&lt;2500),C261,"")</f>
        <v>N/A</v>
      </c>
      <c r="F261" s="3" t="str">
        <f t="shared" ref="F261:F263" si="106">IF(AND(B261&gt;2500,B261&lt;5000),C261,"")</f>
        <v/>
      </c>
      <c r="G261" s="3" t="str">
        <f t="shared" ref="G261:G263" si="107">IF(B261&gt;=5000,C261,"")</f>
        <v/>
      </c>
    </row>
    <row r="262" spans="1:7" x14ac:dyDescent="0.2">
      <c r="A262" s="39" t="s">
        <v>91</v>
      </c>
      <c r="B262" s="106">
        <v>2100</v>
      </c>
      <c r="C262" s="71" t="s">
        <v>26</v>
      </c>
      <c r="D262" s="3" t="str">
        <f t="shared" si="104"/>
        <v/>
      </c>
      <c r="E262" s="3" t="str">
        <f t="shared" si="105"/>
        <v>N/A</v>
      </c>
      <c r="F262" s="3" t="str">
        <f t="shared" si="106"/>
        <v/>
      </c>
      <c r="G262" s="3" t="str">
        <f t="shared" si="107"/>
        <v/>
      </c>
    </row>
    <row r="263" spans="1:7" x14ac:dyDescent="0.2">
      <c r="A263" s="39" t="s">
        <v>91</v>
      </c>
      <c r="B263" s="106">
        <v>950</v>
      </c>
      <c r="C263" s="107" t="s">
        <v>26</v>
      </c>
      <c r="D263" s="3" t="str">
        <f t="shared" si="104"/>
        <v>N/A</v>
      </c>
      <c r="E263" s="3" t="str">
        <f t="shared" si="105"/>
        <v/>
      </c>
      <c r="F263" s="3" t="str">
        <f t="shared" si="106"/>
        <v/>
      </c>
      <c r="G263" s="3" t="str">
        <f t="shared" si="107"/>
        <v/>
      </c>
    </row>
    <row r="264" spans="1:7" x14ac:dyDescent="0.2">
      <c r="A264" s="39" t="s">
        <v>91</v>
      </c>
      <c r="B264" s="75">
        <v>3512</v>
      </c>
      <c r="C264" s="71" t="s">
        <v>26</v>
      </c>
      <c r="D264" s="3" t="str">
        <f t="shared" si="100"/>
        <v/>
      </c>
      <c r="E264" s="3" t="str">
        <f t="shared" si="101"/>
        <v/>
      </c>
      <c r="F264" s="3" t="str">
        <f t="shared" si="102"/>
        <v>N/A</v>
      </c>
      <c r="G264" s="3" t="str">
        <f t="shared" si="103"/>
        <v/>
      </c>
    </row>
    <row r="265" spans="1:7" x14ac:dyDescent="0.2">
      <c r="A265" s="39" t="s">
        <v>126</v>
      </c>
      <c r="B265" s="77">
        <v>7400</v>
      </c>
      <c r="C265" s="71">
        <v>8</v>
      </c>
      <c r="D265" s="3" t="str">
        <f>IF(AND(B265&gt;0,B265&lt;1000),C265,"")</f>
        <v/>
      </c>
      <c r="E265" s="3" t="str">
        <f>IF(AND(B265&gt;1000,B265&lt;2500),C265,"")</f>
        <v/>
      </c>
      <c r="F265" s="3" t="str">
        <f>IF(AND(B265&gt;2500,B265&lt;5000),C265,"")</f>
        <v/>
      </c>
      <c r="G265" s="3">
        <f>IF(B265&gt;=5000,C265,"")</f>
        <v>8</v>
      </c>
    </row>
    <row r="266" spans="1:7" x14ac:dyDescent="0.2">
      <c r="A266" s="39" t="s">
        <v>126</v>
      </c>
      <c r="B266" s="106">
        <v>1350</v>
      </c>
      <c r="C266" s="71" t="s">
        <v>26</v>
      </c>
      <c r="D266" s="3" t="str">
        <f>IF(AND(B266&gt;0,B266&lt;1000),C266,"")</f>
        <v/>
      </c>
      <c r="E266" s="3" t="str">
        <f>IF(AND(B266&gt;1000,B266&lt;2500),C266,"")</f>
        <v>N/A</v>
      </c>
      <c r="F266" s="3" t="str">
        <f>IF(AND(B266&gt;2500,B266&lt;5000),C266,"")</f>
        <v/>
      </c>
      <c r="G266" s="3" t="str">
        <f>IF(B266&gt;=5000,C266,"")</f>
        <v/>
      </c>
    </row>
    <row r="267" spans="1:7" x14ac:dyDescent="0.2">
      <c r="A267" s="39" t="s">
        <v>126</v>
      </c>
      <c r="B267" s="75">
        <v>7500</v>
      </c>
      <c r="C267" s="71">
        <v>10</v>
      </c>
      <c r="D267" s="3" t="str">
        <f t="shared" si="100"/>
        <v/>
      </c>
      <c r="E267" s="3" t="str">
        <f t="shared" si="101"/>
        <v/>
      </c>
      <c r="F267" s="3" t="str">
        <f t="shared" si="102"/>
        <v/>
      </c>
      <c r="G267" s="3">
        <f t="shared" si="103"/>
        <v>10</v>
      </c>
    </row>
    <row r="268" spans="1:7" x14ac:dyDescent="0.2">
      <c r="A268" s="39" t="s">
        <v>126</v>
      </c>
      <c r="B268" s="75">
        <v>6100</v>
      </c>
      <c r="C268" s="71">
        <v>9</v>
      </c>
      <c r="D268" s="3" t="str">
        <f t="shared" si="100"/>
        <v/>
      </c>
      <c r="E268" s="3" t="str">
        <f t="shared" si="101"/>
        <v/>
      </c>
      <c r="F268" s="3" t="str">
        <f t="shared" si="102"/>
        <v/>
      </c>
      <c r="G268" s="3">
        <f t="shared" si="103"/>
        <v>9</v>
      </c>
    </row>
    <row r="269" spans="1:7" x14ac:dyDescent="0.2">
      <c r="A269" s="39" t="s">
        <v>126</v>
      </c>
      <c r="B269" s="75">
        <v>4950</v>
      </c>
      <c r="C269" s="71">
        <v>9</v>
      </c>
      <c r="D269" s="3" t="str">
        <f t="shared" si="100"/>
        <v/>
      </c>
      <c r="E269" s="3" t="str">
        <f t="shared" si="101"/>
        <v/>
      </c>
      <c r="F269" s="3">
        <f t="shared" si="102"/>
        <v>9</v>
      </c>
      <c r="G269" s="3" t="str">
        <f t="shared" si="103"/>
        <v/>
      </c>
    </row>
    <row r="270" spans="1:7" x14ac:dyDescent="0.2">
      <c r="A270" s="39" t="s">
        <v>126</v>
      </c>
      <c r="B270" s="75">
        <v>10000</v>
      </c>
      <c r="C270" s="71" t="s">
        <v>26</v>
      </c>
      <c r="D270" s="3" t="str">
        <f t="shared" si="100"/>
        <v/>
      </c>
      <c r="E270" s="3" t="str">
        <f t="shared" si="101"/>
        <v/>
      </c>
      <c r="F270" s="3" t="str">
        <f t="shared" si="102"/>
        <v/>
      </c>
      <c r="G270" s="3" t="str">
        <f t="shared" si="103"/>
        <v>N/A</v>
      </c>
    </row>
    <row r="271" spans="1:7" x14ac:dyDescent="0.2">
      <c r="A271" s="39" t="s">
        <v>126</v>
      </c>
      <c r="B271" s="75">
        <v>6100</v>
      </c>
      <c r="C271" s="71">
        <v>6</v>
      </c>
      <c r="D271" s="3" t="str">
        <f t="shared" si="100"/>
        <v/>
      </c>
      <c r="E271" s="3" t="str">
        <f t="shared" si="101"/>
        <v/>
      </c>
      <c r="F271" s="3" t="str">
        <f t="shared" si="102"/>
        <v/>
      </c>
      <c r="G271" s="3">
        <f t="shared" si="103"/>
        <v>6</v>
      </c>
    </row>
    <row r="272" spans="1:7" x14ac:dyDescent="0.2">
      <c r="A272" s="39" t="s">
        <v>126</v>
      </c>
      <c r="B272" s="75">
        <v>14760</v>
      </c>
      <c r="C272" s="71" t="s">
        <v>26</v>
      </c>
      <c r="D272" s="3" t="str">
        <f t="shared" si="100"/>
        <v/>
      </c>
      <c r="E272" s="3" t="str">
        <f t="shared" si="101"/>
        <v/>
      </c>
      <c r="F272" s="3" t="str">
        <f t="shared" si="102"/>
        <v/>
      </c>
      <c r="G272" s="3" t="str">
        <f t="shared" si="103"/>
        <v>N/A</v>
      </c>
    </row>
    <row r="273" spans="1:7" x14ac:dyDescent="0.2">
      <c r="A273" s="39" t="s">
        <v>126</v>
      </c>
      <c r="B273" s="106">
        <v>8500</v>
      </c>
      <c r="C273" s="71" t="s">
        <v>26</v>
      </c>
      <c r="D273" s="3" t="str">
        <f>IF(AND(B273&gt;0,B273&lt;1000),C273,"")</f>
        <v/>
      </c>
      <c r="E273" s="3" t="str">
        <f>IF(AND(B273&gt;1000,B273&lt;2500),C273,"")</f>
        <v/>
      </c>
      <c r="F273" s="3" t="str">
        <f>IF(AND(B273&gt;2500,B273&lt;5000),C273,"")</f>
        <v/>
      </c>
      <c r="G273" s="3" t="str">
        <f>IF(B273&gt;=5000,C273,"")</f>
        <v>N/A</v>
      </c>
    </row>
    <row r="274" spans="1:7" x14ac:dyDescent="0.2">
      <c r="A274" s="39" t="s">
        <v>126</v>
      </c>
      <c r="B274" s="106">
        <v>12210</v>
      </c>
      <c r="C274" s="71" t="s">
        <v>26</v>
      </c>
      <c r="D274" s="3" t="str">
        <f>IF(AND(B274&gt;0,B274&lt;1000),C274,"")</f>
        <v/>
      </c>
      <c r="E274" s="3" t="str">
        <f>IF(AND(B274&gt;1000,B274&lt;2500),C274,"")</f>
        <v/>
      </c>
      <c r="F274" s="3" t="str">
        <f>IF(AND(B274&gt;2500,B274&lt;5000),C274,"")</f>
        <v/>
      </c>
      <c r="G274" s="3" t="str">
        <f>IF(B274&gt;=5000,C274,"")</f>
        <v>N/A</v>
      </c>
    </row>
    <row r="275" spans="1:7" x14ac:dyDescent="0.2">
      <c r="A275" s="39" t="s">
        <v>126</v>
      </c>
      <c r="B275" s="75">
        <v>4600</v>
      </c>
      <c r="C275" s="71">
        <v>9</v>
      </c>
      <c r="D275" s="3" t="str">
        <f t="shared" si="100"/>
        <v/>
      </c>
      <c r="E275" s="3" t="str">
        <f t="shared" si="101"/>
        <v/>
      </c>
      <c r="F275" s="3">
        <f t="shared" si="102"/>
        <v>9</v>
      </c>
      <c r="G275" s="3" t="str">
        <f t="shared" si="103"/>
        <v/>
      </c>
    </row>
    <row r="276" spans="1:7" x14ac:dyDescent="0.2">
      <c r="A276" s="39" t="s">
        <v>126</v>
      </c>
      <c r="B276" s="98">
        <v>8250</v>
      </c>
      <c r="C276" s="71" t="s">
        <v>26</v>
      </c>
      <c r="D276" s="3" t="str">
        <f>IF(AND(B276&gt;0,B276&lt;1000),C276,"")</f>
        <v/>
      </c>
      <c r="E276" s="3" t="str">
        <f>IF(AND(B276&gt;1000,B276&lt;2500),C276,"")</f>
        <v/>
      </c>
      <c r="F276" s="3" t="str">
        <f>IF(AND(B276&gt;2500,B276&lt;5000),C276,"")</f>
        <v/>
      </c>
      <c r="G276" s="3" t="str">
        <f>IF(B276&gt;=5000,C276,"")</f>
        <v>N/A</v>
      </c>
    </row>
    <row r="277" spans="1:7" x14ac:dyDescent="0.2">
      <c r="A277" s="39" t="s">
        <v>126</v>
      </c>
      <c r="B277" s="75">
        <v>4500</v>
      </c>
      <c r="C277" s="71" t="s">
        <v>26</v>
      </c>
      <c r="D277" s="3" t="str">
        <f t="shared" si="100"/>
        <v/>
      </c>
      <c r="E277" s="3" t="str">
        <f t="shared" si="101"/>
        <v/>
      </c>
      <c r="F277" s="3" t="str">
        <f t="shared" si="102"/>
        <v>N/A</v>
      </c>
      <c r="G277" s="3" t="str">
        <f t="shared" si="103"/>
        <v/>
      </c>
    </row>
    <row r="278" spans="1:7" x14ac:dyDescent="0.2">
      <c r="A278" s="39" t="s">
        <v>126</v>
      </c>
      <c r="B278" s="75">
        <v>4800</v>
      </c>
      <c r="C278" s="71" t="s">
        <v>26</v>
      </c>
      <c r="D278" s="3" t="str">
        <f t="shared" si="100"/>
        <v/>
      </c>
      <c r="E278" s="3" t="str">
        <f t="shared" si="101"/>
        <v/>
      </c>
      <c r="F278" s="3" t="str">
        <f t="shared" si="102"/>
        <v>N/A</v>
      </c>
      <c r="G278" s="3" t="str">
        <f t="shared" si="103"/>
        <v/>
      </c>
    </row>
    <row r="279" spans="1:7" x14ac:dyDescent="0.2">
      <c r="A279" s="39" t="s">
        <v>73</v>
      </c>
      <c r="B279" s="75">
        <v>2000</v>
      </c>
      <c r="C279" s="71" t="s">
        <v>26</v>
      </c>
      <c r="D279" s="3" t="str">
        <f t="shared" si="100"/>
        <v/>
      </c>
      <c r="E279" s="3" t="str">
        <f t="shared" si="101"/>
        <v>N/A</v>
      </c>
      <c r="F279" s="3" t="str">
        <f t="shared" si="102"/>
        <v/>
      </c>
      <c r="G279" s="3" t="str">
        <f t="shared" si="103"/>
        <v/>
      </c>
    </row>
    <row r="280" spans="1:7" x14ac:dyDescent="0.2">
      <c r="A280" s="39" t="s">
        <v>73</v>
      </c>
      <c r="B280" s="75">
        <v>125</v>
      </c>
      <c r="C280" s="71" t="s">
        <v>26</v>
      </c>
      <c r="D280" s="3" t="str">
        <f t="shared" si="100"/>
        <v>N/A</v>
      </c>
      <c r="E280" s="3" t="str">
        <f t="shared" si="101"/>
        <v/>
      </c>
      <c r="F280" s="3" t="str">
        <f t="shared" si="102"/>
        <v/>
      </c>
      <c r="G280" s="3" t="str">
        <f t="shared" si="103"/>
        <v/>
      </c>
    </row>
    <row r="281" spans="1:7" x14ac:dyDescent="0.2">
      <c r="A281" s="39" t="s">
        <v>73</v>
      </c>
      <c r="B281" s="75">
        <v>810</v>
      </c>
      <c r="C281" s="71">
        <v>10</v>
      </c>
      <c r="D281" s="3">
        <f t="shared" si="100"/>
        <v>10</v>
      </c>
      <c r="E281" s="3" t="str">
        <f t="shared" si="101"/>
        <v/>
      </c>
      <c r="F281" s="3" t="str">
        <f t="shared" si="102"/>
        <v/>
      </c>
      <c r="G281" s="3" t="str">
        <f t="shared" si="103"/>
        <v/>
      </c>
    </row>
    <row r="282" spans="1:7" x14ac:dyDescent="0.2">
      <c r="A282" s="39" t="s">
        <v>73</v>
      </c>
      <c r="B282" s="98">
        <v>1575</v>
      </c>
      <c r="C282" s="71" t="s">
        <v>26</v>
      </c>
      <c r="D282" s="3" t="str">
        <f>IF(AND(B282&gt;0,B282&lt;1000),C282,"")</f>
        <v/>
      </c>
      <c r="E282" s="3" t="str">
        <f>IF(AND(B282&gt;1000,B282&lt;2500),C282,"")</f>
        <v>N/A</v>
      </c>
      <c r="F282" s="3" t="str">
        <f>IF(AND(B282&gt;2500,B282&lt;5000),C282,"")</f>
        <v/>
      </c>
      <c r="G282" s="3" t="str">
        <f>IF(B282&gt;=5000,C282,"")</f>
        <v/>
      </c>
    </row>
    <row r="283" spans="1:7" x14ac:dyDescent="0.2">
      <c r="A283" s="39" t="s">
        <v>56</v>
      </c>
      <c r="B283" s="75">
        <v>2700</v>
      </c>
      <c r="C283" s="71">
        <v>9</v>
      </c>
      <c r="D283" s="3" t="str">
        <f t="shared" si="100"/>
        <v/>
      </c>
      <c r="E283" s="3" t="str">
        <f t="shared" si="101"/>
        <v/>
      </c>
      <c r="F283" s="3">
        <f t="shared" si="102"/>
        <v>9</v>
      </c>
      <c r="G283" s="3" t="str">
        <f t="shared" si="103"/>
        <v/>
      </c>
    </row>
    <row r="284" spans="1:7" x14ac:dyDescent="0.2">
      <c r="A284" s="39" t="s">
        <v>56</v>
      </c>
      <c r="B284" s="75">
        <v>4050</v>
      </c>
      <c r="C284" s="71" t="s">
        <v>26</v>
      </c>
      <c r="D284" s="3" t="str">
        <f t="shared" si="100"/>
        <v/>
      </c>
      <c r="E284" s="3" t="str">
        <f t="shared" si="101"/>
        <v/>
      </c>
      <c r="F284" s="3" t="str">
        <f t="shared" si="102"/>
        <v>N/A</v>
      </c>
      <c r="G284" s="3" t="str">
        <f t="shared" si="103"/>
        <v/>
      </c>
    </row>
    <row r="285" spans="1:7" x14ac:dyDescent="0.2">
      <c r="A285" s="39" t="s">
        <v>56</v>
      </c>
      <c r="B285" s="75">
        <v>600</v>
      </c>
      <c r="C285" s="71" t="s">
        <v>26</v>
      </c>
      <c r="D285" s="3" t="str">
        <f t="shared" si="100"/>
        <v>N/A</v>
      </c>
      <c r="E285" s="3" t="str">
        <f t="shared" si="101"/>
        <v/>
      </c>
      <c r="F285" s="3" t="str">
        <f t="shared" si="102"/>
        <v/>
      </c>
      <c r="G285" s="3" t="str">
        <f t="shared" si="103"/>
        <v/>
      </c>
    </row>
    <row r="286" spans="1:7" x14ac:dyDescent="0.2">
      <c r="A286" s="39" t="s">
        <v>56</v>
      </c>
      <c r="B286" s="106">
        <v>132.63</v>
      </c>
      <c r="C286" s="71" t="s">
        <v>26</v>
      </c>
      <c r="D286" s="3" t="str">
        <f>IF(AND(B286&gt;0,B286&lt;1000),C286,"")</f>
        <v>N/A</v>
      </c>
      <c r="E286" s="3" t="str">
        <f>IF(AND(B286&gt;1000,B286&lt;2500),C286,"")</f>
        <v/>
      </c>
      <c r="F286" s="3" t="str">
        <f>IF(AND(B286&gt;2500,B286&lt;5000),C286,"")</f>
        <v/>
      </c>
      <c r="G286" s="3" t="str">
        <f>IF(B286&gt;=5000,C286,"")</f>
        <v/>
      </c>
    </row>
    <row r="287" spans="1:7" x14ac:dyDescent="0.2">
      <c r="A287" s="39" t="s">
        <v>56</v>
      </c>
      <c r="B287" s="75">
        <v>10338</v>
      </c>
      <c r="C287" s="71" t="s">
        <v>26</v>
      </c>
      <c r="D287" s="3" t="str">
        <f t="shared" si="100"/>
        <v/>
      </c>
      <c r="E287" s="3" t="str">
        <f t="shared" si="101"/>
        <v/>
      </c>
      <c r="F287" s="3" t="str">
        <f t="shared" si="102"/>
        <v/>
      </c>
      <c r="G287" s="3" t="str">
        <f t="shared" si="103"/>
        <v>N/A</v>
      </c>
    </row>
    <row r="288" spans="1:7" x14ac:dyDescent="0.2">
      <c r="A288" s="39" t="s">
        <v>299</v>
      </c>
      <c r="B288" s="75">
        <v>100</v>
      </c>
      <c r="C288" s="71" t="s">
        <v>26</v>
      </c>
      <c r="D288" s="3" t="str">
        <f t="shared" si="100"/>
        <v>N/A</v>
      </c>
      <c r="E288" s="3" t="str">
        <f t="shared" si="101"/>
        <v/>
      </c>
      <c r="F288" s="3" t="str">
        <f t="shared" si="102"/>
        <v/>
      </c>
      <c r="G288" s="3" t="str">
        <f t="shared" si="103"/>
        <v/>
      </c>
    </row>
    <row r="289" spans="1:7" x14ac:dyDescent="0.2">
      <c r="A289" s="39" t="s">
        <v>299</v>
      </c>
      <c r="B289" s="75">
        <v>210</v>
      </c>
      <c r="C289" s="71" t="s">
        <v>26</v>
      </c>
      <c r="D289" s="3" t="str">
        <f t="shared" si="100"/>
        <v>N/A</v>
      </c>
      <c r="E289" s="3" t="str">
        <f t="shared" si="101"/>
        <v/>
      </c>
      <c r="F289" s="3" t="str">
        <f t="shared" si="102"/>
        <v/>
      </c>
      <c r="G289" s="3" t="str">
        <f t="shared" si="103"/>
        <v/>
      </c>
    </row>
    <row r="290" spans="1:7" x14ac:dyDescent="0.2">
      <c r="A290" s="39" t="s">
        <v>299</v>
      </c>
      <c r="B290" s="75">
        <v>210</v>
      </c>
      <c r="C290" s="71" t="s">
        <v>26</v>
      </c>
      <c r="D290" s="3" t="str">
        <f t="shared" si="100"/>
        <v>N/A</v>
      </c>
      <c r="E290" s="3" t="str">
        <f t="shared" si="101"/>
        <v/>
      </c>
      <c r="F290" s="3" t="str">
        <f t="shared" si="102"/>
        <v/>
      </c>
      <c r="G290" s="3" t="str">
        <f t="shared" si="103"/>
        <v/>
      </c>
    </row>
    <row r="291" spans="1:7" x14ac:dyDescent="0.2">
      <c r="A291" s="39" t="s">
        <v>299</v>
      </c>
      <c r="B291" s="75">
        <v>162</v>
      </c>
      <c r="C291" s="71" t="s">
        <v>26</v>
      </c>
      <c r="D291" s="3" t="str">
        <f t="shared" si="100"/>
        <v>N/A</v>
      </c>
      <c r="E291" s="3" t="str">
        <f t="shared" si="101"/>
        <v/>
      </c>
      <c r="F291" s="3" t="str">
        <f t="shared" si="102"/>
        <v/>
      </c>
      <c r="G291" s="3" t="str">
        <f t="shared" si="103"/>
        <v/>
      </c>
    </row>
    <row r="292" spans="1:7" x14ac:dyDescent="0.2">
      <c r="A292" s="39" t="s">
        <v>299</v>
      </c>
      <c r="B292" s="75">
        <v>210</v>
      </c>
      <c r="C292" s="71" t="s">
        <v>26</v>
      </c>
      <c r="D292" s="3" t="str">
        <f t="shared" si="100"/>
        <v>N/A</v>
      </c>
      <c r="E292" s="3" t="str">
        <f t="shared" si="101"/>
        <v/>
      </c>
      <c r="F292" s="3" t="str">
        <f t="shared" si="102"/>
        <v/>
      </c>
      <c r="G292" s="3" t="str">
        <f t="shared" si="103"/>
        <v/>
      </c>
    </row>
    <row r="293" spans="1:7" x14ac:dyDescent="0.2">
      <c r="A293" s="39" t="s">
        <v>299</v>
      </c>
      <c r="B293" s="75">
        <v>210</v>
      </c>
      <c r="C293" s="71" t="s">
        <v>26</v>
      </c>
      <c r="D293" s="3" t="str">
        <f t="shared" si="100"/>
        <v>N/A</v>
      </c>
      <c r="E293" s="3" t="str">
        <f t="shared" si="101"/>
        <v/>
      </c>
      <c r="F293" s="3" t="str">
        <f t="shared" si="102"/>
        <v/>
      </c>
      <c r="G293" s="3" t="str">
        <f t="shared" si="103"/>
        <v/>
      </c>
    </row>
    <row r="294" spans="1:7" x14ac:dyDescent="0.2">
      <c r="A294" s="39" t="s">
        <v>90</v>
      </c>
      <c r="B294" s="77">
        <v>1350</v>
      </c>
      <c r="C294" s="71" t="s">
        <v>26</v>
      </c>
      <c r="D294" s="3" t="str">
        <f t="shared" ref="D294:D314" si="108">IF(AND(B294&gt;0,B294&lt;1000),C294,"")</f>
        <v/>
      </c>
      <c r="E294" s="3" t="str">
        <f t="shared" ref="E294:E314" si="109">IF(AND(B294&gt;1000,B294&lt;2500),C294,"")</f>
        <v>N/A</v>
      </c>
      <c r="F294" s="3" t="str">
        <f t="shared" ref="F294:F314" si="110">IF(AND(B294&gt;2500,B294&lt;5000),C294,"")</f>
        <v/>
      </c>
      <c r="G294" s="3" t="str">
        <f t="shared" ref="G294:G314" si="111">IF(B294&gt;=5000,C294,"")</f>
        <v/>
      </c>
    </row>
    <row r="295" spans="1:7" x14ac:dyDescent="0.2">
      <c r="A295" s="39" t="s">
        <v>90</v>
      </c>
      <c r="B295" s="77">
        <v>12600</v>
      </c>
      <c r="C295" s="71">
        <v>10</v>
      </c>
      <c r="D295" s="3" t="str">
        <f t="shared" si="108"/>
        <v/>
      </c>
      <c r="E295" s="3" t="str">
        <f t="shared" si="109"/>
        <v/>
      </c>
      <c r="F295" s="3" t="str">
        <f t="shared" si="110"/>
        <v/>
      </c>
      <c r="G295" s="3">
        <f t="shared" si="111"/>
        <v>10</v>
      </c>
    </row>
    <row r="296" spans="1:7" x14ac:dyDescent="0.2">
      <c r="A296" s="39" t="s">
        <v>90</v>
      </c>
      <c r="B296" s="77">
        <v>16800</v>
      </c>
      <c r="C296" s="71" t="s">
        <v>26</v>
      </c>
      <c r="D296" s="3" t="str">
        <f t="shared" si="108"/>
        <v/>
      </c>
      <c r="E296" s="3" t="str">
        <f t="shared" si="109"/>
        <v/>
      </c>
      <c r="F296" s="3" t="str">
        <f t="shared" si="110"/>
        <v/>
      </c>
      <c r="G296" s="3" t="str">
        <f t="shared" si="111"/>
        <v>N/A</v>
      </c>
    </row>
    <row r="297" spans="1:7" x14ac:dyDescent="0.2">
      <c r="A297" s="39" t="s">
        <v>90</v>
      </c>
      <c r="B297" s="98">
        <v>11682</v>
      </c>
      <c r="C297" s="71">
        <v>10</v>
      </c>
      <c r="D297" s="3" t="str">
        <f t="shared" si="108"/>
        <v/>
      </c>
      <c r="E297" s="3" t="str">
        <f t="shared" si="109"/>
        <v/>
      </c>
      <c r="F297" s="3" t="str">
        <f t="shared" si="110"/>
        <v/>
      </c>
      <c r="G297" s="3">
        <f t="shared" si="111"/>
        <v>10</v>
      </c>
    </row>
    <row r="298" spans="1:7" x14ac:dyDescent="0.2">
      <c r="A298" s="39" t="s">
        <v>90</v>
      </c>
      <c r="B298" s="98">
        <v>13500</v>
      </c>
      <c r="C298" s="71" t="s">
        <v>26</v>
      </c>
      <c r="D298" s="3" t="str">
        <f t="shared" si="108"/>
        <v/>
      </c>
      <c r="E298" s="3" t="str">
        <f t="shared" si="109"/>
        <v/>
      </c>
      <c r="F298" s="3" t="str">
        <f t="shared" si="110"/>
        <v/>
      </c>
      <c r="G298" s="3" t="str">
        <f t="shared" si="111"/>
        <v>N/A</v>
      </c>
    </row>
    <row r="299" spans="1:7" x14ac:dyDescent="0.2">
      <c r="A299" s="39" t="s">
        <v>90</v>
      </c>
      <c r="B299" s="98">
        <v>34250</v>
      </c>
      <c r="C299" s="71" t="s">
        <v>26</v>
      </c>
      <c r="D299" s="3" t="str">
        <f t="shared" si="108"/>
        <v/>
      </c>
      <c r="E299" s="3" t="str">
        <f t="shared" si="109"/>
        <v/>
      </c>
      <c r="F299" s="3" t="str">
        <f t="shared" si="110"/>
        <v/>
      </c>
      <c r="G299" s="3" t="str">
        <f t="shared" si="111"/>
        <v>N/A</v>
      </c>
    </row>
    <row r="300" spans="1:7" x14ac:dyDescent="0.2">
      <c r="A300" s="39" t="s">
        <v>90</v>
      </c>
      <c r="B300" s="98">
        <v>33000</v>
      </c>
      <c r="C300" s="71" t="s">
        <v>26</v>
      </c>
      <c r="D300" s="3" t="str">
        <f t="shared" si="108"/>
        <v/>
      </c>
      <c r="E300" s="3" t="str">
        <f t="shared" si="109"/>
        <v/>
      </c>
      <c r="F300" s="3" t="str">
        <f t="shared" si="110"/>
        <v/>
      </c>
      <c r="G300" s="3" t="str">
        <f t="shared" si="111"/>
        <v>N/A</v>
      </c>
    </row>
    <row r="301" spans="1:7" x14ac:dyDescent="0.2">
      <c r="A301" s="39" t="s">
        <v>90</v>
      </c>
      <c r="B301" s="98">
        <v>12700</v>
      </c>
      <c r="C301" s="71" t="s">
        <v>26</v>
      </c>
      <c r="D301" s="3" t="str">
        <f t="shared" si="108"/>
        <v/>
      </c>
      <c r="E301" s="3" t="str">
        <f t="shared" si="109"/>
        <v/>
      </c>
      <c r="F301" s="3" t="str">
        <f t="shared" si="110"/>
        <v/>
      </c>
      <c r="G301" s="3" t="str">
        <f t="shared" si="111"/>
        <v>N/A</v>
      </c>
    </row>
    <row r="302" spans="1:7" x14ac:dyDescent="0.2">
      <c r="A302" s="39" t="s">
        <v>90</v>
      </c>
      <c r="B302" s="106">
        <v>18500</v>
      </c>
      <c r="C302" s="71" t="s">
        <v>26</v>
      </c>
      <c r="D302" s="3" t="str">
        <f t="shared" ref="D302:D307" si="112">IF(AND(B302&gt;0,B302&lt;1000),C302,"")</f>
        <v/>
      </c>
      <c r="E302" s="3" t="str">
        <f t="shared" ref="E302:E307" si="113">IF(AND(B302&gt;1000,B302&lt;2500),C302,"")</f>
        <v/>
      </c>
      <c r="F302" s="3" t="str">
        <f t="shared" ref="F302:F307" si="114">IF(AND(B302&gt;2500,B302&lt;5000),C302,"")</f>
        <v/>
      </c>
      <c r="G302" s="3" t="str">
        <f t="shared" ref="G302:G307" si="115">IF(B302&gt;=5000,C302,"")</f>
        <v>N/A</v>
      </c>
    </row>
    <row r="303" spans="1:7" x14ac:dyDescent="0.2">
      <c r="A303" s="39" t="s">
        <v>90</v>
      </c>
      <c r="B303" s="106">
        <v>6000</v>
      </c>
      <c r="C303" s="71" t="s">
        <v>26</v>
      </c>
      <c r="D303" s="3" t="str">
        <f t="shared" si="112"/>
        <v/>
      </c>
      <c r="E303" s="3" t="str">
        <f t="shared" si="113"/>
        <v/>
      </c>
      <c r="F303" s="3" t="str">
        <f t="shared" si="114"/>
        <v/>
      </c>
      <c r="G303" s="3" t="str">
        <f t="shared" si="115"/>
        <v>N/A</v>
      </c>
    </row>
    <row r="304" spans="1:7" x14ac:dyDescent="0.2">
      <c r="A304" s="39" t="s">
        <v>90</v>
      </c>
      <c r="B304" s="106">
        <v>5620</v>
      </c>
      <c r="C304" s="71" t="s">
        <v>26</v>
      </c>
      <c r="D304" s="3" t="str">
        <f t="shared" si="112"/>
        <v/>
      </c>
      <c r="E304" s="3" t="str">
        <f t="shared" si="113"/>
        <v/>
      </c>
      <c r="F304" s="3" t="str">
        <f t="shared" si="114"/>
        <v/>
      </c>
      <c r="G304" s="3" t="str">
        <f t="shared" si="115"/>
        <v>N/A</v>
      </c>
    </row>
    <row r="305" spans="1:7" x14ac:dyDescent="0.2">
      <c r="A305" s="39" t="s">
        <v>90</v>
      </c>
      <c r="B305" s="106">
        <v>1</v>
      </c>
      <c r="C305" s="71" t="s">
        <v>26</v>
      </c>
      <c r="D305" s="3" t="str">
        <f t="shared" si="112"/>
        <v>N/A</v>
      </c>
      <c r="E305" s="3" t="str">
        <f t="shared" si="113"/>
        <v/>
      </c>
      <c r="F305" s="3" t="str">
        <f t="shared" si="114"/>
        <v/>
      </c>
      <c r="G305" s="3" t="str">
        <f t="shared" si="115"/>
        <v/>
      </c>
    </row>
    <row r="306" spans="1:7" x14ac:dyDescent="0.2">
      <c r="A306" s="39" t="s">
        <v>90</v>
      </c>
      <c r="B306" s="106">
        <v>41739.129999999997</v>
      </c>
      <c r="C306" s="71" t="s">
        <v>26</v>
      </c>
      <c r="D306" s="3" t="str">
        <f t="shared" si="112"/>
        <v/>
      </c>
      <c r="E306" s="3" t="str">
        <f t="shared" si="113"/>
        <v/>
      </c>
      <c r="F306" s="3" t="str">
        <f t="shared" si="114"/>
        <v/>
      </c>
      <c r="G306" s="3" t="str">
        <f t="shared" si="115"/>
        <v>N/A</v>
      </c>
    </row>
    <row r="307" spans="1:7" x14ac:dyDescent="0.2">
      <c r="A307" s="39" t="s">
        <v>90</v>
      </c>
      <c r="B307" s="106">
        <v>19445.310000000001</v>
      </c>
      <c r="C307" s="71" t="s">
        <v>26</v>
      </c>
      <c r="D307" s="3" t="str">
        <f t="shared" si="112"/>
        <v/>
      </c>
      <c r="E307" s="3" t="str">
        <f t="shared" si="113"/>
        <v/>
      </c>
      <c r="F307" s="3" t="str">
        <f t="shared" si="114"/>
        <v/>
      </c>
      <c r="G307" s="3" t="str">
        <f t="shared" si="115"/>
        <v>N/A</v>
      </c>
    </row>
    <row r="308" spans="1:7" x14ac:dyDescent="0.2">
      <c r="A308" t="s">
        <v>90</v>
      </c>
      <c r="B308" s="106">
        <v>4800</v>
      </c>
      <c r="C308" s="107" t="s">
        <v>26</v>
      </c>
      <c r="D308" s="3" t="str">
        <f t="shared" ref="D308:D311" si="116">IF(AND(B308&gt;0,B308&lt;1000),C308,"")</f>
        <v/>
      </c>
      <c r="E308" s="3" t="str">
        <f t="shared" ref="E308:E311" si="117">IF(AND(B308&gt;1000,B308&lt;2500),C308,"")</f>
        <v/>
      </c>
      <c r="F308" s="3" t="str">
        <f t="shared" ref="F308:F311" si="118">IF(AND(B308&gt;2500,B308&lt;5000),C308,"")</f>
        <v>N/A</v>
      </c>
      <c r="G308" s="3" t="str">
        <f t="shared" ref="G308:G311" si="119">IF(B308&gt;=5000,C308,"")</f>
        <v/>
      </c>
    </row>
    <row r="309" spans="1:7" x14ac:dyDescent="0.2">
      <c r="A309" t="s">
        <v>90</v>
      </c>
      <c r="B309" s="106">
        <v>12000</v>
      </c>
      <c r="C309" s="107" t="s">
        <v>26</v>
      </c>
      <c r="D309" s="3" t="str">
        <f t="shared" si="116"/>
        <v/>
      </c>
      <c r="E309" s="3" t="str">
        <f t="shared" si="117"/>
        <v/>
      </c>
      <c r="F309" s="3" t="str">
        <f t="shared" si="118"/>
        <v/>
      </c>
      <c r="G309" s="3" t="str">
        <f t="shared" si="119"/>
        <v>N/A</v>
      </c>
    </row>
    <row r="310" spans="1:7" x14ac:dyDescent="0.2">
      <c r="A310" t="s">
        <v>90</v>
      </c>
      <c r="B310" s="106">
        <v>1</v>
      </c>
      <c r="C310" s="71" t="s">
        <v>26</v>
      </c>
      <c r="D310" s="3" t="str">
        <f t="shared" si="116"/>
        <v>N/A</v>
      </c>
      <c r="E310" s="3" t="str">
        <f t="shared" si="117"/>
        <v/>
      </c>
      <c r="F310" s="3" t="str">
        <f t="shared" si="118"/>
        <v/>
      </c>
      <c r="G310" s="3" t="str">
        <f t="shared" si="119"/>
        <v/>
      </c>
    </row>
    <row r="311" spans="1:7" x14ac:dyDescent="0.2">
      <c r="A311" t="s">
        <v>90</v>
      </c>
      <c r="B311" s="106">
        <v>1</v>
      </c>
      <c r="C311" s="71">
        <v>10</v>
      </c>
      <c r="D311" s="3">
        <f t="shared" si="116"/>
        <v>10</v>
      </c>
      <c r="E311" s="3" t="str">
        <f t="shared" si="117"/>
        <v/>
      </c>
      <c r="F311" s="3" t="str">
        <f t="shared" si="118"/>
        <v/>
      </c>
      <c r="G311" s="3" t="str">
        <f t="shared" si="119"/>
        <v/>
      </c>
    </row>
    <row r="312" spans="1:7" x14ac:dyDescent="0.2">
      <c r="A312" t="s">
        <v>90</v>
      </c>
      <c r="B312" s="106">
        <v>8500</v>
      </c>
      <c r="C312" s="71" t="s">
        <v>26</v>
      </c>
      <c r="D312" s="3" t="str">
        <f>IF(AND(B312&gt;0,B312&lt;1000),C312,"")</f>
        <v/>
      </c>
      <c r="E312" s="3" t="str">
        <f>IF(AND(B312&gt;1000,B312&lt;2500),C312,"")</f>
        <v/>
      </c>
      <c r="F312" s="3" t="str">
        <f>IF(AND(B312&gt;2500,B312&lt;5000),C312,"")</f>
        <v/>
      </c>
      <c r="G312" s="3" t="str">
        <f>IF(B312&gt;=5000,C312,"")</f>
        <v>N/A</v>
      </c>
    </row>
    <row r="313" spans="1:7" x14ac:dyDescent="0.2">
      <c r="A313" s="76" t="s">
        <v>90</v>
      </c>
      <c r="B313" s="77">
        <v>11000</v>
      </c>
      <c r="C313" s="71" t="s">
        <v>26</v>
      </c>
      <c r="D313" s="3" t="str">
        <f t="shared" si="108"/>
        <v/>
      </c>
      <c r="E313" s="3" t="str">
        <f t="shared" si="109"/>
        <v/>
      </c>
      <c r="F313" s="3" t="str">
        <f t="shared" si="110"/>
        <v/>
      </c>
      <c r="G313" s="3" t="str">
        <f t="shared" si="111"/>
        <v>N/A</v>
      </c>
    </row>
    <row r="314" spans="1:7" x14ac:dyDescent="0.2">
      <c r="A314" s="39" t="s">
        <v>54</v>
      </c>
      <c r="B314" s="98">
        <v>3160</v>
      </c>
      <c r="C314" s="71" t="s">
        <v>26</v>
      </c>
      <c r="D314" s="3" t="str">
        <f t="shared" si="108"/>
        <v/>
      </c>
      <c r="E314" s="3" t="str">
        <f t="shared" si="109"/>
        <v/>
      </c>
      <c r="F314" s="3" t="str">
        <f t="shared" si="110"/>
        <v>N/A</v>
      </c>
      <c r="G314" s="3" t="str">
        <f t="shared" si="111"/>
        <v/>
      </c>
    </row>
    <row r="315" spans="1:7" x14ac:dyDescent="0.2">
      <c r="A315" s="39" t="s">
        <v>54</v>
      </c>
      <c r="B315" s="75">
        <v>80</v>
      </c>
      <c r="C315" s="71">
        <v>9</v>
      </c>
      <c r="D315" s="3">
        <f t="shared" ref="D315:D318" si="120">IF(AND(B315&gt;0,B315&lt;1000),C315,"")</f>
        <v>9</v>
      </c>
      <c r="E315" s="3" t="str">
        <f t="shared" ref="E315:E318" si="121">IF(AND(B315&gt;1000,B315&lt;2500),C315,"")</f>
        <v/>
      </c>
      <c r="F315" s="3" t="str">
        <f t="shared" ref="F315:F318" si="122">IF(AND(B315&gt;2500,B315&lt;5000),C315,"")</f>
        <v/>
      </c>
      <c r="G315" s="3" t="str">
        <f t="shared" ref="G315:G318" si="123">IF(B315&gt;=5000,C315,"")</f>
        <v/>
      </c>
    </row>
    <row r="316" spans="1:7" x14ac:dyDescent="0.2">
      <c r="A316" s="39" t="s">
        <v>54</v>
      </c>
      <c r="B316" s="98">
        <v>40</v>
      </c>
      <c r="C316" s="71">
        <v>10</v>
      </c>
      <c r="D316" s="3">
        <f>IF(AND(B316&gt;0,B316&lt;1000),C316,"")</f>
        <v>10</v>
      </c>
      <c r="E316" s="3" t="str">
        <f>IF(AND(B316&gt;1000,B316&lt;2500),C316,"")</f>
        <v/>
      </c>
      <c r="F316" s="3" t="str">
        <f>IF(AND(B316&gt;2500,B316&lt;5000),C316,"")</f>
        <v/>
      </c>
      <c r="G316" s="3" t="str">
        <f>IF(B316&gt;=5000,C316,"")</f>
        <v/>
      </c>
    </row>
    <row r="317" spans="1:7" x14ac:dyDescent="0.2">
      <c r="A317" s="39" t="s">
        <v>54</v>
      </c>
      <c r="B317" s="98">
        <v>4000</v>
      </c>
      <c r="C317" s="71">
        <v>10</v>
      </c>
      <c r="D317" s="3" t="str">
        <f>IF(AND(B317&gt;0,B317&lt;1000),C317,"")</f>
        <v/>
      </c>
      <c r="E317" s="3" t="str">
        <f>IF(AND(B317&gt;1000,B317&lt;2500),C317,"")</f>
        <v/>
      </c>
      <c r="F317" s="3">
        <f>IF(AND(B317&gt;2500,B317&lt;5000),C317,"")</f>
        <v>10</v>
      </c>
      <c r="G317" s="3" t="str">
        <f>IF(B317&gt;=5000,C317,"")</f>
        <v/>
      </c>
    </row>
    <row r="318" spans="1:7" x14ac:dyDescent="0.2">
      <c r="A318" s="39" t="s">
        <v>54</v>
      </c>
      <c r="B318" s="75">
        <v>560</v>
      </c>
      <c r="C318" s="71">
        <v>10</v>
      </c>
      <c r="D318" s="3">
        <f t="shared" si="120"/>
        <v>10</v>
      </c>
      <c r="E318" s="3" t="str">
        <f t="shared" si="121"/>
        <v/>
      </c>
      <c r="F318" s="3" t="str">
        <f t="shared" si="122"/>
        <v/>
      </c>
      <c r="G318" s="3" t="str">
        <f t="shared" si="123"/>
        <v/>
      </c>
    </row>
    <row r="319" spans="1:7" x14ac:dyDescent="0.2">
      <c r="A319" s="39" t="s">
        <v>54</v>
      </c>
      <c r="B319" s="106">
        <v>80</v>
      </c>
      <c r="C319" s="71">
        <v>6</v>
      </c>
      <c r="D319" s="3">
        <f t="shared" ref="D319:D321" si="124">IF(AND(B319&gt;0,B319&lt;1000),C319,"")</f>
        <v>6</v>
      </c>
      <c r="E319" s="3" t="str">
        <f t="shared" ref="E319:E321" si="125">IF(AND(B319&gt;1000,B319&lt;2500),C319,"")</f>
        <v/>
      </c>
      <c r="F319" s="3" t="str">
        <f t="shared" ref="F319:F321" si="126">IF(AND(B319&gt;2500,B319&lt;5000),C319,"")</f>
        <v/>
      </c>
      <c r="G319" s="3" t="str">
        <f t="shared" ref="G319:G321" si="127">IF(B319&gt;=5000,C319,"")</f>
        <v/>
      </c>
    </row>
    <row r="320" spans="1:7" x14ac:dyDescent="0.2">
      <c r="A320" s="39" t="s">
        <v>54</v>
      </c>
      <c r="B320" s="106">
        <v>14405.73</v>
      </c>
      <c r="C320" s="71" t="s">
        <v>26</v>
      </c>
      <c r="D320" s="3" t="str">
        <f t="shared" si="124"/>
        <v/>
      </c>
      <c r="E320" s="3" t="str">
        <f t="shared" si="125"/>
        <v/>
      </c>
      <c r="F320" s="3" t="str">
        <f t="shared" si="126"/>
        <v/>
      </c>
      <c r="G320" s="3" t="str">
        <f t="shared" si="127"/>
        <v>N/A</v>
      </c>
    </row>
    <row r="321" spans="1:7" x14ac:dyDescent="0.2">
      <c r="A321" s="39" t="s">
        <v>54</v>
      </c>
      <c r="B321" s="106">
        <v>2550</v>
      </c>
      <c r="C321" s="71" t="s">
        <v>26</v>
      </c>
      <c r="D321" s="3" t="str">
        <f t="shared" si="124"/>
        <v/>
      </c>
      <c r="E321" s="3" t="str">
        <f t="shared" si="125"/>
        <v/>
      </c>
      <c r="F321" s="3" t="str">
        <f t="shared" si="126"/>
        <v>N/A</v>
      </c>
      <c r="G321" s="3" t="str">
        <f t="shared" si="127"/>
        <v/>
      </c>
    </row>
    <row r="322" spans="1:7" x14ac:dyDescent="0.2">
      <c r="A322" s="39" t="s">
        <v>54</v>
      </c>
      <c r="B322" s="75">
        <v>1</v>
      </c>
      <c r="C322" s="71" t="s">
        <v>26</v>
      </c>
      <c r="D322" s="3" t="str">
        <f t="shared" ref="D322:D334" si="128">IF(AND(B322&gt;0,B322&lt;1000),C322,"")</f>
        <v>N/A</v>
      </c>
      <c r="E322" s="3" t="str">
        <f t="shared" ref="E322:E334" si="129">IF(AND(B322&gt;1000,B322&lt;2500),C322,"")</f>
        <v/>
      </c>
      <c r="F322" s="3" t="str">
        <f t="shared" ref="F322:F334" si="130">IF(AND(B322&gt;2500,B322&lt;5000),C322,"")</f>
        <v/>
      </c>
      <c r="G322" s="3" t="str">
        <f t="shared" ref="G322:G334" si="131">IF(B322&gt;=5000,C322,"")</f>
        <v/>
      </c>
    </row>
    <row r="323" spans="1:7" x14ac:dyDescent="0.2">
      <c r="A323" s="39" t="s">
        <v>54</v>
      </c>
      <c r="B323" s="75">
        <v>1</v>
      </c>
      <c r="C323" s="71" t="s">
        <v>26</v>
      </c>
      <c r="D323" s="3" t="str">
        <f t="shared" si="128"/>
        <v>N/A</v>
      </c>
      <c r="E323" s="3" t="str">
        <f t="shared" si="129"/>
        <v/>
      </c>
      <c r="F323" s="3" t="str">
        <f t="shared" si="130"/>
        <v/>
      </c>
      <c r="G323" s="3" t="str">
        <f t="shared" si="131"/>
        <v/>
      </c>
    </row>
    <row r="324" spans="1:7" x14ac:dyDescent="0.2">
      <c r="A324" s="39" t="s">
        <v>54</v>
      </c>
      <c r="B324" s="75">
        <v>1</v>
      </c>
      <c r="C324" s="71" t="s">
        <v>26</v>
      </c>
      <c r="D324" s="3" t="str">
        <f t="shared" si="128"/>
        <v>N/A</v>
      </c>
      <c r="E324" s="3" t="str">
        <f t="shared" si="129"/>
        <v/>
      </c>
      <c r="F324" s="3" t="str">
        <f t="shared" si="130"/>
        <v/>
      </c>
      <c r="G324" s="3" t="str">
        <f t="shared" si="131"/>
        <v/>
      </c>
    </row>
    <row r="325" spans="1:7" x14ac:dyDescent="0.2">
      <c r="A325" s="39" t="s">
        <v>300</v>
      </c>
      <c r="B325" s="75">
        <v>200</v>
      </c>
      <c r="C325" s="71" t="s">
        <v>26</v>
      </c>
      <c r="D325" s="3" t="str">
        <f t="shared" si="128"/>
        <v>N/A</v>
      </c>
      <c r="E325" s="3" t="str">
        <f t="shared" si="129"/>
        <v/>
      </c>
      <c r="F325" s="3" t="str">
        <f t="shared" si="130"/>
        <v/>
      </c>
      <c r="G325" s="3" t="str">
        <f t="shared" si="131"/>
        <v/>
      </c>
    </row>
    <row r="326" spans="1:7" x14ac:dyDescent="0.2">
      <c r="A326" s="39" t="s">
        <v>300</v>
      </c>
      <c r="B326" s="98">
        <v>800</v>
      </c>
      <c r="C326" s="104">
        <v>10</v>
      </c>
      <c r="D326" s="3">
        <f>IF(AND(B326&gt;0,B326&lt;1000),C326,"")</f>
        <v>10</v>
      </c>
      <c r="E326" s="3" t="str">
        <f>IF(AND(B326&gt;1000,B326&lt;2500),C326,"")</f>
        <v/>
      </c>
      <c r="F326" s="3" t="str">
        <f>IF(AND(B326&gt;2500,B326&lt;5000),C326,"")</f>
        <v/>
      </c>
      <c r="G326" s="3" t="str">
        <f>IF(B326&gt;=5000,C326,"")</f>
        <v/>
      </c>
    </row>
    <row r="327" spans="1:7" x14ac:dyDescent="0.2">
      <c r="A327" s="39" t="s">
        <v>300</v>
      </c>
      <c r="B327" s="106">
        <v>1100</v>
      </c>
      <c r="C327" s="71" t="s">
        <v>26</v>
      </c>
      <c r="D327" s="3" t="str">
        <f>IF(AND(B327&gt;0,B327&lt;1000),C327,"")</f>
        <v/>
      </c>
      <c r="E327" s="3" t="str">
        <f>IF(AND(B327&gt;1000,B327&lt;2500),C327,"")</f>
        <v>N/A</v>
      </c>
      <c r="F327" s="3" t="str">
        <f>IF(AND(B327&gt;2500,B327&lt;5000),C327,"")</f>
        <v/>
      </c>
      <c r="G327" s="3" t="str">
        <f>IF(B327&gt;=5000,C327,"")</f>
        <v/>
      </c>
    </row>
    <row r="328" spans="1:7" x14ac:dyDescent="0.2">
      <c r="A328" s="39" t="s">
        <v>300</v>
      </c>
      <c r="B328" s="106">
        <v>1473</v>
      </c>
      <c r="C328" s="71">
        <v>8</v>
      </c>
      <c r="D328" s="3" t="str">
        <f>IF(AND(B328&gt;0,B328&lt;1000),C328,"")</f>
        <v/>
      </c>
      <c r="E328" s="3">
        <f>IF(AND(B328&gt;1000,B328&lt;2500),C328,"")</f>
        <v>8</v>
      </c>
      <c r="F328" s="3" t="str">
        <f>IF(AND(B328&gt;2500,B328&lt;5000),C328,"")</f>
        <v/>
      </c>
      <c r="G328" s="3" t="str">
        <f>IF(B328&gt;=5000,C328,"")</f>
        <v/>
      </c>
    </row>
    <row r="329" spans="1:7" x14ac:dyDescent="0.2">
      <c r="A329" s="39" t="s">
        <v>300</v>
      </c>
      <c r="B329" s="75">
        <v>2550</v>
      </c>
      <c r="C329" s="71" t="s">
        <v>26</v>
      </c>
      <c r="D329" s="3" t="str">
        <f t="shared" si="128"/>
        <v/>
      </c>
      <c r="E329" s="3" t="str">
        <f t="shared" si="129"/>
        <v/>
      </c>
      <c r="F329" s="3" t="str">
        <f t="shared" si="130"/>
        <v>N/A</v>
      </c>
      <c r="G329" s="3" t="str">
        <f t="shared" si="131"/>
        <v/>
      </c>
    </row>
    <row r="330" spans="1:7" x14ac:dyDescent="0.2">
      <c r="A330" s="39" t="s">
        <v>300</v>
      </c>
      <c r="B330" s="75">
        <v>630</v>
      </c>
      <c r="C330" s="71">
        <v>10</v>
      </c>
      <c r="D330" s="3">
        <f t="shared" si="128"/>
        <v>10</v>
      </c>
      <c r="E330" s="3" t="str">
        <f t="shared" si="129"/>
        <v/>
      </c>
      <c r="F330" s="3" t="str">
        <f t="shared" si="130"/>
        <v/>
      </c>
      <c r="G330" s="3" t="str">
        <f t="shared" si="131"/>
        <v/>
      </c>
    </row>
    <row r="331" spans="1:7" x14ac:dyDescent="0.2">
      <c r="A331" s="39" t="s">
        <v>300</v>
      </c>
      <c r="B331" s="106">
        <v>450</v>
      </c>
      <c r="C331" s="71" t="s">
        <v>26</v>
      </c>
      <c r="D331" s="3" t="str">
        <f t="shared" ref="D331:D332" si="132">IF(AND(B331&gt;0,B331&lt;1000),C331,"")</f>
        <v>N/A</v>
      </c>
      <c r="E331" s="3" t="str">
        <f t="shared" ref="E331:E332" si="133">IF(AND(B331&gt;1000,B331&lt;2500),C331,"")</f>
        <v/>
      </c>
      <c r="F331" s="3" t="str">
        <f t="shared" ref="F331:F332" si="134">IF(AND(B331&gt;2500,B331&lt;5000),C331,"")</f>
        <v/>
      </c>
      <c r="G331" s="3" t="str">
        <f t="shared" ref="G331:G332" si="135">IF(B331&gt;=5000,C331,"")</f>
        <v/>
      </c>
    </row>
    <row r="332" spans="1:7" x14ac:dyDescent="0.2">
      <c r="A332" s="39" t="s">
        <v>300</v>
      </c>
      <c r="B332" s="106">
        <v>200</v>
      </c>
      <c r="C332" s="71" t="s">
        <v>26</v>
      </c>
      <c r="D332" s="3" t="str">
        <f t="shared" si="132"/>
        <v>N/A</v>
      </c>
      <c r="E332" s="3" t="str">
        <f t="shared" si="133"/>
        <v/>
      </c>
      <c r="F332" s="3" t="str">
        <f t="shared" si="134"/>
        <v/>
      </c>
      <c r="G332" s="3" t="str">
        <f t="shared" si="135"/>
        <v/>
      </c>
    </row>
    <row r="333" spans="1:7" x14ac:dyDescent="0.2">
      <c r="A333" s="39" t="s">
        <v>71</v>
      </c>
      <c r="B333" s="98">
        <v>1855</v>
      </c>
      <c r="C333" s="71" t="s">
        <v>26</v>
      </c>
      <c r="D333" s="3" t="str">
        <f>IF(AND(B333&gt;0,B333&lt;1000),C333,"")</f>
        <v/>
      </c>
      <c r="E333" s="3" t="str">
        <f>IF(AND(B333&gt;1000,B333&lt;2500),C333,"")</f>
        <v>N/A</v>
      </c>
      <c r="F333" s="3" t="str">
        <f>IF(AND(B333&gt;2500,B333&lt;5000),C333,"")</f>
        <v/>
      </c>
      <c r="G333" s="3" t="str">
        <f>IF(B333&gt;=5000,C333,"")</f>
        <v/>
      </c>
    </row>
    <row r="334" spans="1:7" x14ac:dyDescent="0.2">
      <c r="A334" s="39" t="s">
        <v>71</v>
      </c>
      <c r="B334" s="75">
        <v>2655</v>
      </c>
      <c r="C334" s="71" t="s">
        <v>26</v>
      </c>
      <c r="D334" s="3" t="str">
        <f t="shared" si="128"/>
        <v/>
      </c>
      <c r="E334" s="3" t="str">
        <f t="shared" si="129"/>
        <v/>
      </c>
      <c r="F334" s="3" t="str">
        <f t="shared" si="130"/>
        <v>N/A</v>
      </c>
      <c r="G334" s="3" t="str">
        <f t="shared" si="131"/>
        <v/>
      </c>
    </row>
    <row r="335" spans="1:7" x14ac:dyDescent="0.2">
      <c r="A335" s="53" t="s">
        <v>71</v>
      </c>
      <c r="B335" s="54">
        <v>1</v>
      </c>
      <c r="C335" s="53" t="s">
        <v>26</v>
      </c>
      <c r="D335" s="53">
        <f>AVERAGE(D2:D334)</f>
        <v>9.384615384615385</v>
      </c>
      <c r="E335" s="53">
        <f>AVERAGE(E2:E334)</f>
        <v>9.6666666666666661</v>
      </c>
      <c r="F335" s="53">
        <f>AVERAGE(F2:F334)</f>
        <v>9.7272727272727266</v>
      </c>
      <c r="G335" s="53">
        <f>AVERAGE(G2:G334)</f>
        <v>9.125</v>
      </c>
    </row>
    <row r="336" spans="1:7" x14ac:dyDescent="0.2">
      <c r="A336" s="53" t="s">
        <v>75</v>
      </c>
      <c r="B336" s="54">
        <v>2404.8000000000002</v>
      </c>
      <c r="C336" s="53" t="s">
        <v>26</v>
      </c>
      <c r="D336" s="3" t="str">
        <f t="shared" ref="D336:D399" si="136">IF(AND(B336&gt;0,B336&lt;1000),C336,"")</f>
        <v/>
      </c>
      <c r="E336" s="3" t="str">
        <f t="shared" ref="E336:E399" si="137">IF(AND(B336&gt;1000,B336&lt;2500),C336,"")</f>
        <v>N/A</v>
      </c>
      <c r="F336" s="3" t="str">
        <f t="shared" ref="F336:F399" si="138">IF(AND(B336&gt;2500,B336&lt;5000),C336,"")</f>
        <v/>
      </c>
      <c r="G336" s="3" t="str">
        <f t="shared" ref="G336:G399" si="139">IF(B336&gt;=5000,C336,"")</f>
        <v/>
      </c>
    </row>
    <row r="337" spans="1:7" x14ac:dyDescent="0.2">
      <c r="A337" s="53" t="s">
        <v>75</v>
      </c>
      <c r="B337" s="54">
        <v>2500</v>
      </c>
      <c r="C337" s="53" t="s">
        <v>26</v>
      </c>
      <c r="D337" s="3" t="str">
        <f t="shared" si="136"/>
        <v/>
      </c>
      <c r="E337" s="3" t="str">
        <f t="shared" si="137"/>
        <v/>
      </c>
      <c r="F337" s="3" t="str">
        <f t="shared" si="138"/>
        <v/>
      </c>
      <c r="G337" s="3" t="str">
        <f t="shared" si="139"/>
        <v/>
      </c>
    </row>
    <row r="338" spans="1:7" x14ac:dyDescent="0.2">
      <c r="A338" s="53" t="s">
        <v>75</v>
      </c>
      <c r="B338" s="54">
        <v>1680</v>
      </c>
      <c r="C338" s="53" t="s">
        <v>26</v>
      </c>
      <c r="D338" s="3" t="str">
        <f t="shared" si="136"/>
        <v/>
      </c>
      <c r="E338" s="3" t="str">
        <f t="shared" si="137"/>
        <v>N/A</v>
      </c>
      <c r="F338" s="3" t="str">
        <f t="shared" si="138"/>
        <v/>
      </c>
      <c r="G338" s="3" t="str">
        <f t="shared" si="139"/>
        <v/>
      </c>
    </row>
    <row r="339" spans="1:7" x14ac:dyDescent="0.2">
      <c r="A339" s="53" t="s">
        <v>75</v>
      </c>
      <c r="B339" s="54">
        <v>1</v>
      </c>
      <c r="C339" s="53">
        <v>10</v>
      </c>
      <c r="D339" s="3">
        <f t="shared" si="136"/>
        <v>10</v>
      </c>
      <c r="E339" s="3" t="str">
        <f t="shared" si="137"/>
        <v/>
      </c>
      <c r="F339" s="3" t="str">
        <f t="shared" si="138"/>
        <v/>
      </c>
      <c r="G339" s="3" t="str">
        <f t="shared" si="139"/>
        <v/>
      </c>
    </row>
    <row r="340" spans="1:7" x14ac:dyDescent="0.2">
      <c r="A340" s="53" t="s">
        <v>75</v>
      </c>
      <c r="B340" s="54">
        <v>540</v>
      </c>
      <c r="C340" s="53" t="s">
        <v>26</v>
      </c>
      <c r="D340" s="3" t="str">
        <f t="shared" si="136"/>
        <v>N/A</v>
      </c>
      <c r="E340" s="3" t="str">
        <f t="shared" si="137"/>
        <v/>
      </c>
      <c r="F340" s="3" t="str">
        <f t="shared" si="138"/>
        <v/>
      </c>
      <c r="G340" s="3" t="str">
        <f t="shared" si="139"/>
        <v/>
      </c>
    </row>
    <row r="341" spans="1:7" x14ac:dyDescent="0.2">
      <c r="A341" s="53" t="s">
        <v>75</v>
      </c>
      <c r="B341" s="54">
        <v>1700</v>
      </c>
      <c r="C341" s="53">
        <v>10</v>
      </c>
      <c r="D341" s="3" t="str">
        <f t="shared" si="136"/>
        <v/>
      </c>
      <c r="E341" s="3">
        <f t="shared" si="137"/>
        <v>10</v>
      </c>
      <c r="F341" s="3" t="str">
        <f t="shared" si="138"/>
        <v/>
      </c>
      <c r="G341" s="3" t="str">
        <f t="shared" si="139"/>
        <v/>
      </c>
    </row>
    <row r="342" spans="1:7" x14ac:dyDescent="0.2">
      <c r="A342" s="53" t="s">
        <v>75</v>
      </c>
      <c r="B342" s="54">
        <v>1</v>
      </c>
      <c r="C342" s="53">
        <v>9</v>
      </c>
      <c r="D342" s="3">
        <f t="shared" si="136"/>
        <v>9</v>
      </c>
      <c r="E342" s="3" t="str">
        <f t="shared" si="137"/>
        <v/>
      </c>
      <c r="F342" s="3" t="str">
        <f t="shared" si="138"/>
        <v/>
      </c>
      <c r="G342" s="3" t="str">
        <f t="shared" si="139"/>
        <v/>
      </c>
    </row>
    <row r="343" spans="1:7" x14ac:dyDescent="0.2">
      <c r="A343" s="53" t="s">
        <v>75</v>
      </c>
      <c r="B343" s="54">
        <v>2744</v>
      </c>
      <c r="C343" s="53">
        <v>10</v>
      </c>
      <c r="D343" s="3" t="str">
        <f t="shared" si="136"/>
        <v/>
      </c>
      <c r="E343" s="3" t="str">
        <f t="shared" si="137"/>
        <v/>
      </c>
      <c r="F343" s="3">
        <f t="shared" si="138"/>
        <v>10</v>
      </c>
      <c r="G343" s="3" t="str">
        <f t="shared" si="139"/>
        <v/>
      </c>
    </row>
    <row r="344" spans="1:7" x14ac:dyDescent="0.2">
      <c r="A344" s="53" t="s">
        <v>75</v>
      </c>
      <c r="B344" s="54">
        <v>1</v>
      </c>
      <c r="C344" s="53" t="s">
        <v>26</v>
      </c>
      <c r="D344" s="3" t="str">
        <f t="shared" si="136"/>
        <v>N/A</v>
      </c>
      <c r="E344" s="3" t="str">
        <f t="shared" si="137"/>
        <v/>
      </c>
      <c r="F344" s="3" t="str">
        <f t="shared" si="138"/>
        <v/>
      </c>
      <c r="G344" s="3" t="str">
        <f t="shared" si="139"/>
        <v/>
      </c>
    </row>
    <row r="345" spans="1:7" x14ac:dyDescent="0.2">
      <c r="A345" s="53" t="s">
        <v>75</v>
      </c>
      <c r="B345" s="54">
        <v>5450</v>
      </c>
      <c r="C345" s="53" t="s">
        <v>26</v>
      </c>
      <c r="D345" s="3" t="str">
        <f t="shared" si="136"/>
        <v/>
      </c>
      <c r="E345" s="3" t="str">
        <f t="shared" si="137"/>
        <v/>
      </c>
      <c r="F345" s="3" t="str">
        <f t="shared" si="138"/>
        <v/>
      </c>
      <c r="G345" s="3" t="str">
        <f t="shared" si="139"/>
        <v>N/A</v>
      </c>
    </row>
    <row r="346" spans="1:7" x14ac:dyDescent="0.2">
      <c r="A346" s="53" t="s">
        <v>75</v>
      </c>
      <c r="B346" s="54">
        <v>1</v>
      </c>
      <c r="C346" s="53">
        <v>10</v>
      </c>
      <c r="D346" s="3">
        <f t="shared" si="136"/>
        <v>10</v>
      </c>
      <c r="E346" s="3" t="str">
        <f t="shared" si="137"/>
        <v/>
      </c>
      <c r="F346" s="3" t="str">
        <f t="shared" si="138"/>
        <v/>
      </c>
      <c r="G346" s="3" t="str">
        <f t="shared" si="139"/>
        <v/>
      </c>
    </row>
    <row r="347" spans="1:7" x14ac:dyDescent="0.2">
      <c r="A347" s="53" t="s">
        <v>75</v>
      </c>
      <c r="B347" s="54">
        <v>1819.8</v>
      </c>
      <c r="C347" s="53">
        <v>10</v>
      </c>
      <c r="D347" s="3" t="str">
        <f t="shared" si="136"/>
        <v/>
      </c>
      <c r="E347" s="3">
        <f t="shared" si="137"/>
        <v>10</v>
      </c>
      <c r="F347" s="3" t="str">
        <f t="shared" si="138"/>
        <v/>
      </c>
      <c r="G347" s="3" t="str">
        <f t="shared" si="139"/>
        <v/>
      </c>
    </row>
    <row r="348" spans="1:7" x14ac:dyDescent="0.2">
      <c r="A348" s="53" t="s">
        <v>75</v>
      </c>
      <c r="B348" s="54">
        <v>3000</v>
      </c>
      <c r="C348" s="53" t="s">
        <v>26</v>
      </c>
      <c r="D348" s="3" t="str">
        <f t="shared" si="136"/>
        <v/>
      </c>
      <c r="E348" s="3" t="str">
        <f t="shared" si="137"/>
        <v/>
      </c>
      <c r="F348" s="3" t="str">
        <f t="shared" si="138"/>
        <v>N/A</v>
      </c>
      <c r="G348" s="3" t="str">
        <f t="shared" si="139"/>
        <v/>
      </c>
    </row>
    <row r="349" spans="1:7" x14ac:dyDescent="0.2">
      <c r="A349" s="53" t="s">
        <v>75</v>
      </c>
      <c r="B349" s="54">
        <v>545</v>
      </c>
      <c r="C349" s="53">
        <v>10</v>
      </c>
      <c r="D349" s="3">
        <f t="shared" si="136"/>
        <v>10</v>
      </c>
      <c r="E349" s="3" t="str">
        <f t="shared" si="137"/>
        <v/>
      </c>
      <c r="F349" s="3" t="str">
        <f t="shared" si="138"/>
        <v/>
      </c>
      <c r="G349" s="3" t="str">
        <f t="shared" si="139"/>
        <v/>
      </c>
    </row>
    <row r="350" spans="1:7" x14ac:dyDescent="0.2">
      <c r="A350" s="53" t="s">
        <v>75</v>
      </c>
      <c r="B350" s="54">
        <v>1350</v>
      </c>
      <c r="C350" s="53" t="s">
        <v>26</v>
      </c>
      <c r="D350" s="3" t="str">
        <f t="shared" si="136"/>
        <v/>
      </c>
      <c r="E350" s="3" t="str">
        <f t="shared" si="137"/>
        <v>N/A</v>
      </c>
      <c r="F350" s="3" t="str">
        <f t="shared" si="138"/>
        <v/>
      </c>
      <c r="G350" s="3" t="str">
        <f t="shared" si="139"/>
        <v/>
      </c>
    </row>
    <row r="351" spans="1:7" x14ac:dyDescent="0.2">
      <c r="A351" s="53" t="s">
        <v>75</v>
      </c>
      <c r="B351" s="54">
        <v>4350</v>
      </c>
      <c r="C351" s="53" t="s">
        <v>26</v>
      </c>
      <c r="D351" s="3" t="str">
        <f t="shared" si="136"/>
        <v/>
      </c>
      <c r="E351" s="3" t="str">
        <f t="shared" si="137"/>
        <v/>
      </c>
      <c r="F351" s="3" t="str">
        <f t="shared" si="138"/>
        <v>N/A</v>
      </c>
      <c r="G351" s="3" t="str">
        <f t="shared" si="139"/>
        <v/>
      </c>
    </row>
    <row r="352" spans="1:7" x14ac:dyDescent="0.2">
      <c r="A352" s="53" t="s">
        <v>75</v>
      </c>
      <c r="B352" s="54">
        <v>1500</v>
      </c>
      <c r="C352" s="53">
        <v>10</v>
      </c>
      <c r="D352" s="3" t="str">
        <f t="shared" si="136"/>
        <v/>
      </c>
      <c r="E352" s="3">
        <f t="shared" si="137"/>
        <v>10</v>
      </c>
      <c r="F352" s="3" t="str">
        <f t="shared" si="138"/>
        <v/>
      </c>
      <c r="G352" s="3" t="str">
        <f t="shared" si="139"/>
        <v/>
      </c>
    </row>
    <row r="353" spans="1:7" x14ac:dyDescent="0.2">
      <c r="A353" s="53" t="s">
        <v>75</v>
      </c>
      <c r="B353" s="54">
        <v>1</v>
      </c>
      <c r="C353" s="53" t="s">
        <v>26</v>
      </c>
      <c r="D353" s="3" t="str">
        <f t="shared" si="136"/>
        <v>N/A</v>
      </c>
      <c r="E353" s="3" t="str">
        <f t="shared" si="137"/>
        <v/>
      </c>
      <c r="F353" s="3" t="str">
        <f t="shared" si="138"/>
        <v/>
      </c>
      <c r="G353" s="3" t="str">
        <f t="shared" si="139"/>
        <v/>
      </c>
    </row>
    <row r="354" spans="1:7" x14ac:dyDescent="0.2">
      <c r="A354" s="53" t="s">
        <v>75</v>
      </c>
      <c r="B354" s="54">
        <v>225</v>
      </c>
      <c r="C354" s="53" t="s">
        <v>26</v>
      </c>
      <c r="D354" s="3" t="str">
        <f t="shared" si="136"/>
        <v>N/A</v>
      </c>
      <c r="E354" s="3" t="str">
        <f t="shared" si="137"/>
        <v/>
      </c>
      <c r="F354" s="3" t="str">
        <f t="shared" si="138"/>
        <v/>
      </c>
      <c r="G354" s="3" t="str">
        <f t="shared" si="139"/>
        <v/>
      </c>
    </row>
    <row r="355" spans="1:7" x14ac:dyDescent="0.2">
      <c r="A355" s="53" t="s">
        <v>75</v>
      </c>
      <c r="B355" s="54">
        <v>1</v>
      </c>
      <c r="C355" s="53">
        <v>10</v>
      </c>
      <c r="D355" s="3">
        <f t="shared" si="136"/>
        <v>10</v>
      </c>
      <c r="E355" s="3" t="str">
        <f t="shared" si="137"/>
        <v/>
      </c>
      <c r="F355" s="3" t="str">
        <f t="shared" si="138"/>
        <v/>
      </c>
      <c r="G355" s="3" t="str">
        <f t="shared" si="139"/>
        <v/>
      </c>
    </row>
    <row r="356" spans="1:7" x14ac:dyDescent="0.2">
      <c r="A356" s="53" t="s">
        <v>75</v>
      </c>
      <c r="B356" s="54">
        <v>5015</v>
      </c>
      <c r="C356" s="53" t="s">
        <v>26</v>
      </c>
      <c r="D356" s="3" t="str">
        <f t="shared" si="136"/>
        <v/>
      </c>
      <c r="E356" s="3" t="str">
        <f t="shared" si="137"/>
        <v/>
      </c>
      <c r="F356" s="3" t="str">
        <f t="shared" si="138"/>
        <v/>
      </c>
      <c r="G356" s="3" t="str">
        <f t="shared" si="139"/>
        <v>N/A</v>
      </c>
    </row>
    <row r="357" spans="1:7" x14ac:dyDescent="0.2">
      <c r="A357" s="53" t="s">
        <v>75</v>
      </c>
      <c r="B357" s="54">
        <v>1250</v>
      </c>
      <c r="C357" s="53">
        <v>10</v>
      </c>
      <c r="D357" s="3" t="str">
        <f t="shared" si="136"/>
        <v/>
      </c>
      <c r="E357" s="3">
        <f t="shared" si="137"/>
        <v>10</v>
      </c>
      <c r="F357" s="3" t="str">
        <f t="shared" si="138"/>
        <v/>
      </c>
      <c r="G357" s="3" t="str">
        <f t="shared" si="139"/>
        <v/>
      </c>
    </row>
    <row r="358" spans="1:7" x14ac:dyDescent="0.2">
      <c r="A358" s="53" t="s">
        <v>75</v>
      </c>
      <c r="B358" s="54">
        <v>10190</v>
      </c>
      <c r="C358" s="53" t="s">
        <v>26</v>
      </c>
      <c r="D358" s="3" t="str">
        <f t="shared" si="136"/>
        <v/>
      </c>
      <c r="E358" s="3" t="str">
        <f t="shared" si="137"/>
        <v/>
      </c>
      <c r="F358" s="3" t="str">
        <f t="shared" si="138"/>
        <v/>
      </c>
      <c r="G358" s="3" t="str">
        <f t="shared" si="139"/>
        <v>N/A</v>
      </c>
    </row>
    <row r="359" spans="1:7" x14ac:dyDescent="0.2">
      <c r="A359" s="53" t="s">
        <v>75</v>
      </c>
      <c r="B359" s="54">
        <v>1870</v>
      </c>
      <c r="C359" s="53" t="s">
        <v>26</v>
      </c>
      <c r="D359" s="3" t="str">
        <f t="shared" si="136"/>
        <v/>
      </c>
      <c r="E359" s="3" t="str">
        <f t="shared" si="137"/>
        <v>N/A</v>
      </c>
      <c r="F359" s="3" t="str">
        <f t="shared" si="138"/>
        <v/>
      </c>
      <c r="G359" s="3" t="str">
        <f t="shared" si="139"/>
        <v/>
      </c>
    </row>
    <row r="360" spans="1:7" x14ac:dyDescent="0.2">
      <c r="A360" s="53" t="s">
        <v>82</v>
      </c>
      <c r="B360" s="54">
        <v>1800</v>
      </c>
      <c r="C360" s="53">
        <v>8</v>
      </c>
      <c r="D360" s="3" t="str">
        <f t="shared" si="136"/>
        <v/>
      </c>
      <c r="E360" s="3">
        <f t="shared" si="137"/>
        <v>8</v>
      </c>
      <c r="F360" s="3" t="str">
        <f t="shared" si="138"/>
        <v/>
      </c>
      <c r="G360" s="3" t="str">
        <f t="shared" si="139"/>
        <v/>
      </c>
    </row>
    <row r="361" spans="1:7" x14ac:dyDescent="0.2">
      <c r="A361" s="53" t="s">
        <v>82</v>
      </c>
      <c r="B361" s="54">
        <v>34618.230000000003</v>
      </c>
      <c r="C361" s="53" t="s">
        <v>26</v>
      </c>
      <c r="D361" s="3" t="str">
        <f t="shared" si="136"/>
        <v/>
      </c>
      <c r="E361" s="3" t="str">
        <f t="shared" si="137"/>
        <v/>
      </c>
      <c r="F361" s="3" t="str">
        <f t="shared" si="138"/>
        <v/>
      </c>
      <c r="G361" s="3" t="str">
        <f t="shared" si="139"/>
        <v>N/A</v>
      </c>
    </row>
    <row r="362" spans="1:7" x14ac:dyDescent="0.2">
      <c r="A362" s="53" t="s">
        <v>82</v>
      </c>
      <c r="B362" s="54">
        <v>2520</v>
      </c>
      <c r="C362" s="53" t="s">
        <v>26</v>
      </c>
      <c r="D362" s="3" t="str">
        <f t="shared" si="136"/>
        <v/>
      </c>
      <c r="E362" s="3" t="str">
        <f t="shared" si="137"/>
        <v/>
      </c>
      <c r="F362" s="3" t="str">
        <f t="shared" si="138"/>
        <v>N/A</v>
      </c>
      <c r="G362" s="3" t="str">
        <f t="shared" si="139"/>
        <v/>
      </c>
    </row>
    <row r="363" spans="1:7" x14ac:dyDescent="0.2">
      <c r="A363" s="53" t="s">
        <v>82</v>
      </c>
      <c r="B363" s="54">
        <v>2800</v>
      </c>
      <c r="C363" s="53">
        <v>10</v>
      </c>
      <c r="D363" s="3" t="str">
        <f t="shared" si="136"/>
        <v/>
      </c>
      <c r="E363" s="3" t="str">
        <f t="shared" si="137"/>
        <v/>
      </c>
      <c r="F363" s="3">
        <f t="shared" si="138"/>
        <v>10</v>
      </c>
      <c r="G363" s="3" t="str">
        <f t="shared" si="139"/>
        <v/>
      </c>
    </row>
    <row r="364" spans="1:7" x14ac:dyDescent="0.2">
      <c r="A364" s="53" t="s">
        <v>135</v>
      </c>
      <c r="B364" s="54">
        <v>1200</v>
      </c>
      <c r="C364" s="53" t="s">
        <v>26</v>
      </c>
      <c r="D364" s="3" t="str">
        <f t="shared" si="136"/>
        <v/>
      </c>
      <c r="E364" s="3" t="str">
        <f t="shared" si="137"/>
        <v>N/A</v>
      </c>
      <c r="F364" s="3" t="str">
        <f t="shared" si="138"/>
        <v/>
      </c>
      <c r="G364" s="3" t="str">
        <f t="shared" si="139"/>
        <v/>
      </c>
    </row>
    <row r="365" spans="1:7" x14ac:dyDescent="0.2">
      <c r="A365" s="53" t="s">
        <v>135</v>
      </c>
      <c r="B365" s="54">
        <v>1400</v>
      </c>
      <c r="C365" s="53" t="s">
        <v>26</v>
      </c>
      <c r="D365" s="3" t="str">
        <f t="shared" si="136"/>
        <v/>
      </c>
      <c r="E365" s="3" t="str">
        <f t="shared" si="137"/>
        <v>N/A</v>
      </c>
      <c r="F365" s="3" t="str">
        <f t="shared" si="138"/>
        <v/>
      </c>
      <c r="G365" s="3" t="str">
        <f t="shared" si="139"/>
        <v/>
      </c>
    </row>
    <row r="366" spans="1:7" x14ac:dyDescent="0.2">
      <c r="A366" s="53" t="s">
        <v>135</v>
      </c>
      <c r="B366" s="54">
        <v>1400</v>
      </c>
      <c r="C366" s="53" t="s">
        <v>26</v>
      </c>
      <c r="D366" s="3" t="str">
        <f t="shared" si="136"/>
        <v/>
      </c>
      <c r="E366" s="3" t="str">
        <f t="shared" si="137"/>
        <v>N/A</v>
      </c>
      <c r="F366" s="3" t="str">
        <f t="shared" si="138"/>
        <v/>
      </c>
      <c r="G366" s="3" t="str">
        <f t="shared" si="139"/>
        <v/>
      </c>
    </row>
    <row r="367" spans="1:7" x14ac:dyDescent="0.2">
      <c r="A367" s="53" t="s">
        <v>135</v>
      </c>
      <c r="B367" s="54">
        <v>1500</v>
      </c>
      <c r="C367" s="53" t="s">
        <v>26</v>
      </c>
      <c r="D367" s="3" t="str">
        <f t="shared" si="136"/>
        <v/>
      </c>
      <c r="E367" s="3" t="str">
        <f t="shared" si="137"/>
        <v>N/A</v>
      </c>
      <c r="F367" s="3" t="str">
        <f t="shared" si="138"/>
        <v/>
      </c>
      <c r="G367" s="3" t="str">
        <f t="shared" si="139"/>
        <v/>
      </c>
    </row>
    <row r="368" spans="1:7" x14ac:dyDescent="0.2">
      <c r="A368" s="53" t="s">
        <v>135</v>
      </c>
      <c r="B368" s="54">
        <v>50</v>
      </c>
      <c r="C368" s="53" t="s">
        <v>26</v>
      </c>
      <c r="D368" s="3" t="str">
        <f t="shared" si="136"/>
        <v>N/A</v>
      </c>
      <c r="E368" s="3" t="str">
        <f t="shared" si="137"/>
        <v/>
      </c>
      <c r="F368" s="3" t="str">
        <f t="shared" si="138"/>
        <v/>
      </c>
      <c r="G368" s="3" t="str">
        <f t="shared" si="139"/>
        <v/>
      </c>
    </row>
    <row r="369" spans="1:7" x14ac:dyDescent="0.2">
      <c r="A369" s="53" t="s">
        <v>103</v>
      </c>
      <c r="B369" s="54">
        <v>6300</v>
      </c>
      <c r="C369" s="53" t="s">
        <v>26</v>
      </c>
      <c r="D369" s="3" t="str">
        <f t="shared" si="136"/>
        <v/>
      </c>
      <c r="E369" s="3" t="str">
        <f t="shared" si="137"/>
        <v/>
      </c>
      <c r="F369" s="3" t="str">
        <f t="shared" si="138"/>
        <v/>
      </c>
      <c r="G369" s="3" t="str">
        <f t="shared" si="139"/>
        <v>N/A</v>
      </c>
    </row>
    <row r="370" spans="1:7" x14ac:dyDescent="0.2">
      <c r="A370" s="53" t="s">
        <v>103</v>
      </c>
      <c r="B370" s="54">
        <v>1700</v>
      </c>
      <c r="C370" s="53">
        <v>10</v>
      </c>
      <c r="D370" s="3" t="str">
        <f t="shared" si="136"/>
        <v/>
      </c>
      <c r="E370" s="3">
        <f t="shared" si="137"/>
        <v>10</v>
      </c>
      <c r="F370" s="3" t="str">
        <f t="shared" si="138"/>
        <v/>
      </c>
      <c r="G370" s="3" t="str">
        <f t="shared" si="139"/>
        <v/>
      </c>
    </row>
    <row r="371" spans="1:7" x14ac:dyDescent="0.2">
      <c r="A371" s="53" t="s">
        <v>103</v>
      </c>
      <c r="B371" s="54">
        <v>3900</v>
      </c>
      <c r="C371" s="53" t="s">
        <v>26</v>
      </c>
      <c r="D371" s="3" t="str">
        <f t="shared" si="136"/>
        <v/>
      </c>
      <c r="E371" s="3" t="str">
        <f t="shared" si="137"/>
        <v/>
      </c>
      <c r="F371" s="3" t="str">
        <f t="shared" si="138"/>
        <v>N/A</v>
      </c>
      <c r="G371" s="3" t="str">
        <f t="shared" si="139"/>
        <v/>
      </c>
    </row>
    <row r="372" spans="1:7" x14ac:dyDescent="0.2">
      <c r="A372" s="53" t="s">
        <v>103</v>
      </c>
      <c r="B372" s="54">
        <v>2300</v>
      </c>
      <c r="C372" s="53" t="s">
        <v>26</v>
      </c>
      <c r="D372" s="3" t="str">
        <f t="shared" si="136"/>
        <v/>
      </c>
      <c r="E372" s="3" t="str">
        <f t="shared" si="137"/>
        <v>N/A</v>
      </c>
      <c r="F372" s="3" t="str">
        <f t="shared" si="138"/>
        <v/>
      </c>
      <c r="G372" s="3" t="str">
        <f t="shared" si="139"/>
        <v/>
      </c>
    </row>
    <row r="373" spans="1:7" x14ac:dyDescent="0.2">
      <c r="A373" s="53" t="s">
        <v>103</v>
      </c>
      <c r="B373" s="54">
        <v>5000</v>
      </c>
      <c r="C373" s="53" t="s">
        <v>26</v>
      </c>
      <c r="D373" s="3" t="str">
        <f t="shared" si="136"/>
        <v/>
      </c>
      <c r="E373" s="3" t="str">
        <f t="shared" si="137"/>
        <v/>
      </c>
      <c r="F373" s="3" t="str">
        <f t="shared" si="138"/>
        <v/>
      </c>
      <c r="G373" s="3" t="str">
        <f t="shared" si="139"/>
        <v>N/A</v>
      </c>
    </row>
    <row r="374" spans="1:7" x14ac:dyDescent="0.2">
      <c r="A374" s="53" t="s">
        <v>103</v>
      </c>
      <c r="B374" s="54">
        <v>4838</v>
      </c>
      <c r="C374" s="53" t="s">
        <v>26</v>
      </c>
      <c r="D374" s="3" t="str">
        <f t="shared" si="136"/>
        <v/>
      </c>
      <c r="E374" s="3" t="str">
        <f t="shared" si="137"/>
        <v/>
      </c>
      <c r="F374" s="3" t="str">
        <f t="shared" si="138"/>
        <v>N/A</v>
      </c>
      <c r="G374" s="3" t="str">
        <f t="shared" si="139"/>
        <v/>
      </c>
    </row>
    <row r="375" spans="1:7" x14ac:dyDescent="0.2">
      <c r="A375" s="53" t="s">
        <v>103</v>
      </c>
      <c r="B375" s="54">
        <v>4192</v>
      </c>
      <c r="C375" s="53" t="s">
        <v>26</v>
      </c>
      <c r="D375" s="3" t="str">
        <f t="shared" si="136"/>
        <v/>
      </c>
      <c r="E375" s="3" t="str">
        <f t="shared" si="137"/>
        <v/>
      </c>
      <c r="F375" s="3" t="str">
        <f t="shared" si="138"/>
        <v>N/A</v>
      </c>
      <c r="G375" s="3" t="str">
        <f t="shared" si="139"/>
        <v/>
      </c>
    </row>
    <row r="376" spans="1:7" x14ac:dyDescent="0.2">
      <c r="A376" s="53" t="s">
        <v>103</v>
      </c>
      <c r="B376" s="54">
        <v>5405.5</v>
      </c>
      <c r="C376" s="53" t="s">
        <v>26</v>
      </c>
      <c r="D376" s="3" t="str">
        <f t="shared" si="136"/>
        <v/>
      </c>
      <c r="E376" s="3" t="str">
        <f t="shared" si="137"/>
        <v/>
      </c>
      <c r="F376" s="3" t="str">
        <f t="shared" si="138"/>
        <v/>
      </c>
      <c r="G376" s="3" t="str">
        <f t="shared" si="139"/>
        <v>N/A</v>
      </c>
    </row>
    <row r="377" spans="1:7" x14ac:dyDescent="0.2">
      <c r="A377" s="53" t="s">
        <v>103</v>
      </c>
      <c r="B377" s="54">
        <v>1049</v>
      </c>
      <c r="C377" s="53" t="s">
        <v>26</v>
      </c>
      <c r="D377" s="3" t="str">
        <f t="shared" si="136"/>
        <v/>
      </c>
      <c r="E377" s="3" t="str">
        <f t="shared" si="137"/>
        <v>N/A</v>
      </c>
      <c r="F377" s="3" t="str">
        <f t="shared" si="138"/>
        <v/>
      </c>
      <c r="G377" s="3" t="str">
        <f t="shared" si="139"/>
        <v/>
      </c>
    </row>
    <row r="378" spans="1:7" x14ac:dyDescent="0.2">
      <c r="A378" s="53" t="s">
        <v>103</v>
      </c>
      <c r="B378" s="54">
        <v>2000</v>
      </c>
      <c r="C378" s="53" t="s">
        <v>26</v>
      </c>
      <c r="D378" s="3" t="str">
        <f t="shared" si="136"/>
        <v/>
      </c>
      <c r="E378" s="3" t="str">
        <f t="shared" si="137"/>
        <v>N/A</v>
      </c>
      <c r="F378" s="3" t="str">
        <f t="shared" si="138"/>
        <v/>
      </c>
      <c r="G378" s="3" t="str">
        <f t="shared" si="139"/>
        <v/>
      </c>
    </row>
    <row r="379" spans="1:7" x14ac:dyDescent="0.2">
      <c r="A379" s="53" t="s">
        <v>103</v>
      </c>
      <c r="B379" s="54">
        <v>3599</v>
      </c>
      <c r="C379" s="53" t="s">
        <v>26</v>
      </c>
      <c r="D379" s="3" t="str">
        <f t="shared" si="136"/>
        <v/>
      </c>
      <c r="E379" s="3" t="str">
        <f t="shared" si="137"/>
        <v/>
      </c>
      <c r="F379" s="3" t="str">
        <f t="shared" si="138"/>
        <v>N/A</v>
      </c>
      <c r="G379" s="3" t="str">
        <f t="shared" si="139"/>
        <v/>
      </c>
    </row>
    <row r="380" spans="1:7" x14ac:dyDescent="0.2">
      <c r="A380" s="53" t="s">
        <v>85</v>
      </c>
      <c r="B380" s="54">
        <v>440</v>
      </c>
      <c r="C380" s="53" t="s">
        <v>26</v>
      </c>
      <c r="D380" s="3" t="str">
        <f t="shared" si="136"/>
        <v>N/A</v>
      </c>
      <c r="E380" s="3" t="str">
        <f t="shared" si="137"/>
        <v/>
      </c>
      <c r="F380" s="3" t="str">
        <f t="shared" si="138"/>
        <v/>
      </c>
      <c r="G380" s="3" t="str">
        <f t="shared" si="139"/>
        <v/>
      </c>
    </row>
    <row r="381" spans="1:7" x14ac:dyDescent="0.2">
      <c r="A381" s="53" t="s">
        <v>85</v>
      </c>
      <c r="B381" s="54">
        <v>1750</v>
      </c>
      <c r="C381" s="53" t="s">
        <v>26</v>
      </c>
      <c r="D381" s="3" t="str">
        <f t="shared" si="136"/>
        <v/>
      </c>
      <c r="E381" s="3" t="str">
        <f t="shared" si="137"/>
        <v>N/A</v>
      </c>
      <c r="F381" s="3" t="str">
        <f t="shared" si="138"/>
        <v/>
      </c>
      <c r="G381" s="3" t="str">
        <f t="shared" si="139"/>
        <v/>
      </c>
    </row>
    <row r="382" spans="1:7" x14ac:dyDescent="0.2">
      <c r="A382" s="53" t="s">
        <v>85</v>
      </c>
      <c r="B382" s="54">
        <v>300</v>
      </c>
      <c r="C382" s="53" t="s">
        <v>26</v>
      </c>
      <c r="D382" s="3" t="str">
        <f t="shared" si="136"/>
        <v>N/A</v>
      </c>
      <c r="E382" s="3" t="str">
        <f t="shared" si="137"/>
        <v/>
      </c>
      <c r="F382" s="3" t="str">
        <f t="shared" si="138"/>
        <v/>
      </c>
      <c r="G382" s="3" t="str">
        <f t="shared" si="139"/>
        <v/>
      </c>
    </row>
    <row r="383" spans="1:7" x14ac:dyDescent="0.2">
      <c r="A383" s="53" t="s">
        <v>85</v>
      </c>
      <c r="B383" s="54">
        <v>150</v>
      </c>
      <c r="C383" s="53" t="s">
        <v>26</v>
      </c>
      <c r="D383" s="3" t="str">
        <f t="shared" si="136"/>
        <v>N/A</v>
      </c>
      <c r="E383" s="3" t="str">
        <f t="shared" si="137"/>
        <v/>
      </c>
      <c r="F383" s="3" t="str">
        <f t="shared" si="138"/>
        <v/>
      </c>
      <c r="G383" s="3" t="str">
        <f t="shared" si="139"/>
        <v/>
      </c>
    </row>
    <row r="384" spans="1:7" x14ac:dyDescent="0.2">
      <c r="A384" s="53" t="s">
        <v>85</v>
      </c>
      <c r="B384" s="54">
        <v>1350</v>
      </c>
      <c r="C384" s="53" t="s">
        <v>26</v>
      </c>
      <c r="D384" s="3" t="str">
        <f t="shared" si="136"/>
        <v/>
      </c>
      <c r="E384" s="3" t="str">
        <f t="shared" si="137"/>
        <v>N/A</v>
      </c>
      <c r="F384" s="3" t="str">
        <f t="shared" si="138"/>
        <v/>
      </c>
      <c r="G384" s="3" t="str">
        <f t="shared" si="139"/>
        <v/>
      </c>
    </row>
    <row r="385" spans="1:7" x14ac:dyDescent="0.2">
      <c r="A385" s="53" t="s">
        <v>85</v>
      </c>
      <c r="B385" s="54">
        <v>550</v>
      </c>
      <c r="C385" s="53" t="s">
        <v>26</v>
      </c>
      <c r="D385" s="3" t="str">
        <f t="shared" si="136"/>
        <v>N/A</v>
      </c>
      <c r="E385" s="3" t="str">
        <f t="shared" si="137"/>
        <v/>
      </c>
      <c r="F385" s="3" t="str">
        <f t="shared" si="138"/>
        <v/>
      </c>
      <c r="G385" s="3" t="str">
        <f t="shared" si="139"/>
        <v/>
      </c>
    </row>
    <row r="386" spans="1:7" x14ac:dyDescent="0.2">
      <c r="A386" s="53" t="s">
        <v>85</v>
      </c>
      <c r="B386" s="54">
        <v>1700</v>
      </c>
      <c r="C386" s="53" t="s">
        <v>26</v>
      </c>
      <c r="D386" s="3" t="str">
        <f t="shared" si="136"/>
        <v/>
      </c>
      <c r="E386" s="3" t="str">
        <f t="shared" si="137"/>
        <v>N/A</v>
      </c>
      <c r="F386" s="3" t="str">
        <f t="shared" si="138"/>
        <v/>
      </c>
      <c r="G386" s="3" t="str">
        <f t="shared" si="139"/>
        <v/>
      </c>
    </row>
    <row r="387" spans="1:7" x14ac:dyDescent="0.2">
      <c r="A387" s="53" t="s">
        <v>85</v>
      </c>
      <c r="B387" s="54">
        <v>250</v>
      </c>
      <c r="C387" s="53" t="s">
        <v>26</v>
      </c>
      <c r="D387" s="3" t="str">
        <f t="shared" si="136"/>
        <v>N/A</v>
      </c>
      <c r="E387" s="3" t="str">
        <f t="shared" si="137"/>
        <v/>
      </c>
      <c r="F387" s="3" t="str">
        <f t="shared" si="138"/>
        <v/>
      </c>
      <c r="G387" s="3" t="str">
        <f t="shared" si="139"/>
        <v/>
      </c>
    </row>
    <row r="388" spans="1:7" x14ac:dyDescent="0.2">
      <c r="A388" s="53" t="s">
        <v>85</v>
      </c>
      <c r="B388" s="54">
        <v>200</v>
      </c>
      <c r="C388" s="53" t="s">
        <v>26</v>
      </c>
      <c r="D388" s="3" t="str">
        <f t="shared" si="136"/>
        <v>N/A</v>
      </c>
      <c r="E388" s="3" t="str">
        <f t="shared" si="137"/>
        <v/>
      </c>
      <c r="F388" s="3" t="str">
        <f t="shared" si="138"/>
        <v/>
      </c>
      <c r="G388" s="3" t="str">
        <f t="shared" si="139"/>
        <v/>
      </c>
    </row>
    <row r="389" spans="1:7" x14ac:dyDescent="0.2">
      <c r="A389" s="53" t="s">
        <v>85</v>
      </c>
      <c r="B389" s="54">
        <v>360</v>
      </c>
      <c r="C389" s="53" t="s">
        <v>26</v>
      </c>
      <c r="D389" s="3" t="str">
        <f t="shared" si="136"/>
        <v>N/A</v>
      </c>
      <c r="E389" s="3" t="str">
        <f t="shared" si="137"/>
        <v/>
      </c>
      <c r="F389" s="3" t="str">
        <f t="shared" si="138"/>
        <v/>
      </c>
      <c r="G389" s="3" t="str">
        <f t="shared" si="139"/>
        <v/>
      </c>
    </row>
    <row r="390" spans="1:7" x14ac:dyDescent="0.2">
      <c r="A390" s="53" t="s">
        <v>121</v>
      </c>
      <c r="B390" s="54">
        <v>19880</v>
      </c>
      <c r="C390" s="53" t="s">
        <v>26</v>
      </c>
      <c r="D390" s="3" t="str">
        <f t="shared" si="136"/>
        <v/>
      </c>
      <c r="E390" s="3" t="str">
        <f t="shared" si="137"/>
        <v/>
      </c>
      <c r="F390" s="3" t="str">
        <f t="shared" si="138"/>
        <v/>
      </c>
      <c r="G390" s="3" t="str">
        <f t="shared" si="139"/>
        <v>N/A</v>
      </c>
    </row>
    <row r="391" spans="1:7" x14ac:dyDescent="0.2">
      <c r="A391" s="53" t="s">
        <v>121</v>
      </c>
      <c r="B391" s="54">
        <v>9000</v>
      </c>
      <c r="C391" s="53">
        <v>9</v>
      </c>
      <c r="D391" s="3" t="str">
        <f t="shared" si="136"/>
        <v/>
      </c>
      <c r="E391" s="3" t="str">
        <f t="shared" si="137"/>
        <v/>
      </c>
      <c r="F391" s="3" t="str">
        <f t="shared" si="138"/>
        <v/>
      </c>
      <c r="G391" s="3">
        <f t="shared" si="139"/>
        <v>9</v>
      </c>
    </row>
    <row r="392" spans="1:7" x14ac:dyDescent="0.2">
      <c r="A392" s="53" t="s">
        <v>121</v>
      </c>
      <c r="B392" s="54">
        <v>4600</v>
      </c>
      <c r="C392" s="53" t="s">
        <v>26</v>
      </c>
      <c r="D392" s="3" t="str">
        <f t="shared" si="136"/>
        <v/>
      </c>
      <c r="E392" s="3" t="str">
        <f t="shared" si="137"/>
        <v/>
      </c>
      <c r="F392" s="3" t="str">
        <f t="shared" si="138"/>
        <v>N/A</v>
      </c>
      <c r="G392" s="3" t="str">
        <f t="shared" si="139"/>
        <v/>
      </c>
    </row>
    <row r="393" spans="1:7" x14ac:dyDescent="0.2">
      <c r="A393" s="53" t="s">
        <v>121</v>
      </c>
      <c r="B393" s="54">
        <v>12880</v>
      </c>
      <c r="C393" s="53" t="s">
        <v>26</v>
      </c>
      <c r="D393" s="3" t="str">
        <f t="shared" si="136"/>
        <v/>
      </c>
      <c r="E393" s="3" t="str">
        <f t="shared" si="137"/>
        <v/>
      </c>
      <c r="F393" s="3" t="str">
        <f t="shared" si="138"/>
        <v/>
      </c>
      <c r="G393" s="3" t="str">
        <f t="shared" si="139"/>
        <v>N/A</v>
      </c>
    </row>
    <row r="394" spans="1:7" x14ac:dyDescent="0.2">
      <c r="A394" s="53" t="s">
        <v>121</v>
      </c>
      <c r="B394" s="54">
        <v>34618.230000000003</v>
      </c>
      <c r="C394" s="53" t="s">
        <v>26</v>
      </c>
      <c r="D394" s="3" t="str">
        <f t="shared" si="136"/>
        <v/>
      </c>
      <c r="E394" s="3" t="str">
        <f t="shared" si="137"/>
        <v/>
      </c>
      <c r="F394" s="3" t="str">
        <f t="shared" si="138"/>
        <v/>
      </c>
      <c r="G394" s="3" t="str">
        <f t="shared" si="139"/>
        <v>N/A</v>
      </c>
    </row>
    <row r="395" spans="1:7" x14ac:dyDescent="0.2">
      <c r="A395" s="53" t="s">
        <v>121</v>
      </c>
      <c r="B395" s="54">
        <v>296.39999999999998</v>
      </c>
      <c r="C395" s="53">
        <v>10</v>
      </c>
      <c r="D395" s="3">
        <f t="shared" si="136"/>
        <v>10</v>
      </c>
      <c r="E395" s="3" t="str">
        <f t="shared" si="137"/>
        <v/>
      </c>
      <c r="F395" s="3" t="str">
        <f t="shared" si="138"/>
        <v/>
      </c>
      <c r="G395" s="3" t="str">
        <f t="shared" si="139"/>
        <v/>
      </c>
    </row>
    <row r="396" spans="1:7" x14ac:dyDescent="0.2">
      <c r="A396" s="53" t="s">
        <v>121</v>
      </c>
      <c r="B396" s="54">
        <v>739.2</v>
      </c>
      <c r="C396" s="53">
        <v>10</v>
      </c>
      <c r="D396" s="3">
        <f t="shared" si="136"/>
        <v>10</v>
      </c>
      <c r="E396" s="3" t="str">
        <f t="shared" si="137"/>
        <v/>
      </c>
      <c r="F396" s="3" t="str">
        <f t="shared" si="138"/>
        <v/>
      </c>
      <c r="G396" s="3" t="str">
        <f t="shared" si="139"/>
        <v/>
      </c>
    </row>
    <row r="397" spans="1:7" x14ac:dyDescent="0.2">
      <c r="A397" s="53" t="s">
        <v>121</v>
      </c>
      <c r="B397" s="54">
        <v>296.39999999999998</v>
      </c>
      <c r="C397" s="53">
        <v>9</v>
      </c>
      <c r="D397" s="3">
        <f t="shared" si="136"/>
        <v>9</v>
      </c>
      <c r="E397" s="3" t="str">
        <f t="shared" si="137"/>
        <v/>
      </c>
      <c r="F397" s="3" t="str">
        <f t="shared" si="138"/>
        <v/>
      </c>
      <c r="G397" s="3" t="str">
        <f t="shared" si="139"/>
        <v/>
      </c>
    </row>
    <row r="398" spans="1:7" x14ac:dyDescent="0.2">
      <c r="A398" s="53" t="s">
        <v>121</v>
      </c>
      <c r="B398" s="54">
        <v>296.39999999999998</v>
      </c>
      <c r="C398" s="53">
        <v>10</v>
      </c>
      <c r="D398" s="3">
        <f t="shared" si="136"/>
        <v>10</v>
      </c>
      <c r="E398" s="3" t="str">
        <f t="shared" si="137"/>
        <v/>
      </c>
      <c r="F398" s="3" t="str">
        <f t="shared" si="138"/>
        <v/>
      </c>
      <c r="G398" s="3" t="str">
        <f t="shared" si="139"/>
        <v/>
      </c>
    </row>
    <row r="399" spans="1:7" x14ac:dyDescent="0.2">
      <c r="A399" s="53" t="s">
        <v>315</v>
      </c>
      <c r="B399" s="54">
        <v>684.31</v>
      </c>
      <c r="C399" s="53" t="s">
        <v>26</v>
      </c>
      <c r="D399" s="3" t="str">
        <f t="shared" si="136"/>
        <v>N/A</v>
      </c>
      <c r="E399" s="3" t="str">
        <f t="shared" si="137"/>
        <v/>
      </c>
      <c r="F399" s="3" t="str">
        <f t="shared" si="138"/>
        <v/>
      </c>
      <c r="G399" s="3" t="str">
        <f t="shared" si="139"/>
        <v/>
      </c>
    </row>
    <row r="400" spans="1:7" x14ac:dyDescent="0.2">
      <c r="A400" s="53" t="s">
        <v>315</v>
      </c>
      <c r="B400" s="54">
        <v>559.17999999999995</v>
      </c>
      <c r="C400" s="53" t="s">
        <v>26</v>
      </c>
      <c r="D400" s="3" t="str">
        <f t="shared" ref="D400:D463" si="140">IF(AND(B400&gt;0,B400&lt;1000),C400,"")</f>
        <v>N/A</v>
      </c>
      <c r="E400" s="3" t="str">
        <f t="shared" ref="E400:E463" si="141">IF(AND(B400&gt;1000,B400&lt;2500),C400,"")</f>
        <v/>
      </c>
      <c r="F400" s="3" t="str">
        <f t="shared" ref="F400:F463" si="142">IF(AND(B400&gt;2500,B400&lt;5000),C400,"")</f>
        <v/>
      </c>
      <c r="G400" s="3" t="str">
        <f t="shared" ref="G400:G463" si="143">IF(B400&gt;=5000,C400,"")</f>
        <v/>
      </c>
    </row>
    <row r="401" spans="1:7" x14ac:dyDescent="0.2">
      <c r="A401" s="53" t="s">
        <v>116</v>
      </c>
      <c r="B401" s="54">
        <v>10</v>
      </c>
      <c r="C401" s="53">
        <v>10</v>
      </c>
      <c r="D401" s="3">
        <f t="shared" si="140"/>
        <v>10</v>
      </c>
      <c r="E401" s="3" t="str">
        <f t="shared" si="141"/>
        <v/>
      </c>
      <c r="F401" s="3" t="str">
        <f t="shared" si="142"/>
        <v/>
      </c>
      <c r="G401" s="3" t="str">
        <f t="shared" si="143"/>
        <v/>
      </c>
    </row>
    <row r="402" spans="1:7" x14ac:dyDescent="0.2">
      <c r="A402" s="53" t="s">
        <v>116</v>
      </c>
      <c r="B402" s="54">
        <v>60</v>
      </c>
      <c r="C402" s="53">
        <v>10</v>
      </c>
      <c r="D402" s="3">
        <f t="shared" si="140"/>
        <v>10</v>
      </c>
      <c r="E402" s="3" t="str">
        <f t="shared" si="141"/>
        <v/>
      </c>
      <c r="F402" s="3" t="str">
        <f t="shared" si="142"/>
        <v/>
      </c>
      <c r="G402" s="3" t="str">
        <f t="shared" si="143"/>
        <v/>
      </c>
    </row>
    <row r="403" spans="1:7" x14ac:dyDescent="0.2">
      <c r="A403" s="53" t="s">
        <v>116</v>
      </c>
      <c r="B403" s="54">
        <v>144</v>
      </c>
      <c r="C403" s="53">
        <v>10</v>
      </c>
      <c r="D403" s="3">
        <f t="shared" si="140"/>
        <v>10</v>
      </c>
      <c r="E403" s="3" t="str">
        <f t="shared" si="141"/>
        <v/>
      </c>
      <c r="F403" s="3" t="str">
        <f t="shared" si="142"/>
        <v/>
      </c>
      <c r="G403" s="3" t="str">
        <f t="shared" si="143"/>
        <v/>
      </c>
    </row>
    <row r="404" spans="1:7" x14ac:dyDescent="0.2">
      <c r="A404" s="53" t="s">
        <v>116</v>
      </c>
      <c r="B404" s="54">
        <v>3500</v>
      </c>
      <c r="C404" s="53" t="s">
        <v>26</v>
      </c>
      <c r="D404" s="3" t="str">
        <f t="shared" si="140"/>
        <v/>
      </c>
      <c r="E404" s="3" t="str">
        <f t="shared" si="141"/>
        <v/>
      </c>
      <c r="F404" s="3" t="str">
        <f t="shared" si="142"/>
        <v>N/A</v>
      </c>
      <c r="G404" s="3" t="str">
        <f t="shared" si="143"/>
        <v/>
      </c>
    </row>
    <row r="405" spans="1:7" x14ac:dyDescent="0.2">
      <c r="A405" s="53" t="s">
        <v>86</v>
      </c>
      <c r="B405" s="54">
        <v>37</v>
      </c>
      <c r="C405" s="53" t="s">
        <v>26</v>
      </c>
      <c r="D405" s="3" t="str">
        <f t="shared" si="140"/>
        <v>N/A</v>
      </c>
      <c r="E405" s="3" t="str">
        <f t="shared" si="141"/>
        <v/>
      </c>
      <c r="F405" s="3" t="str">
        <f t="shared" si="142"/>
        <v/>
      </c>
      <c r="G405" s="3" t="str">
        <f t="shared" si="143"/>
        <v/>
      </c>
    </row>
    <row r="406" spans="1:7" x14ac:dyDescent="0.2">
      <c r="A406" s="53" t="s">
        <v>86</v>
      </c>
      <c r="B406" s="54">
        <v>74</v>
      </c>
      <c r="C406" s="53" t="s">
        <v>26</v>
      </c>
      <c r="D406" s="3" t="str">
        <f t="shared" si="140"/>
        <v>N/A</v>
      </c>
      <c r="E406" s="3" t="str">
        <f t="shared" si="141"/>
        <v/>
      </c>
      <c r="F406" s="3" t="str">
        <f t="shared" si="142"/>
        <v/>
      </c>
      <c r="G406" s="3" t="str">
        <f t="shared" si="143"/>
        <v/>
      </c>
    </row>
    <row r="407" spans="1:7" x14ac:dyDescent="0.2">
      <c r="A407" s="53" t="s">
        <v>86</v>
      </c>
      <c r="B407" s="54">
        <v>300</v>
      </c>
      <c r="C407" s="53" t="s">
        <v>26</v>
      </c>
      <c r="D407" s="3" t="str">
        <f t="shared" si="140"/>
        <v>N/A</v>
      </c>
      <c r="E407" s="3" t="str">
        <f t="shared" si="141"/>
        <v/>
      </c>
      <c r="F407" s="3" t="str">
        <f t="shared" si="142"/>
        <v/>
      </c>
      <c r="G407" s="3" t="str">
        <f t="shared" si="143"/>
        <v/>
      </c>
    </row>
    <row r="408" spans="1:7" x14ac:dyDescent="0.2">
      <c r="A408" s="53" t="s">
        <v>86</v>
      </c>
      <c r="B408" s="54">
        <v>124</v>
      </c>
      <c r="C408" s="53" t="s">
        <v>26</v>
      </c>
      <c r="D408" s="3" t="str">
        <f t="shared" si="140"/>
        <v>N/A</v>
      </c>
      <c r="E408" s="3" t="str">
        <f t="shared" si="141"/>
        <v/>
      </c>
      <c r="F408" s="3" t="str">
        <f t="shared" si="142"/>
        <v/>
      </c>
      <c r="G408" s="3" t="str">
        <f t="shared" si="143"/>
        <v/>
      </c>
    </row>
    <row r="409" spans="1:7" x14ac:dyDescent="0.2">
      <c r="A409" s="53" t="s">
        <v>86</v>
      </c>
      <c r="B409" s="54">
        <v>1870</v>
      </c>
      <c r="C409" s="53" t="s">
        <v>26</v>
      </c>
      <c r="D409" s="3" t="str">
        <f t="shared" si="140"/>
        <v/>
      </c>
      <c r="E409" s="3" t="str">
        <f t="shared" si="141"/>
        <v>N/A</v>
      </c>
      <c r="F409" s="3" t="str">
        <f t="shared" si="142"/>
        <v/>
      </c>
      <c r="G409" s="3" t="str">
        <f t="shared" si="143"/>
        <v/>
      </c>
    </row>
    <row r="410" spans="1:7" x14ac:dyDescent="0.2">
      <c r="A410" s="53" t="s">
        <v>86</v>
      </c>
      <c r="B410" s="54">
        <v>1870</v>
      </c>
      <c r="C410" s="53" t="s">
        <v>26</v>
      </c>
      <c r="D410" s="3" t="str">
        <f t="shared" si="140"/>
        <v/>
      </c>
      <c r="E410" s="3" t="str">
        <f t="shared" si="141"/>
        <v>N/A</v>
      </c>
      <c r="F410" s="3" t="str">
        <f t="shared" si="142"/>
        <v/>
      </c>
      <c r="G410" s="3" t="str">
        <f t="shared" si="143"/>
        <v/>
      </c>
    </row>
    <row r="411" spans="1:7" x14ac:dyDescent="0.2">
      <c r="A411" s="53" t="s">
        <v>102</v>
      </c>
      <c r="B411" s="54">
        <v>1260</v>
      </c>
      <c r="C411" s="53" t="s">
        <v>26</v>
      </c>
      <c r="D411" s="3" t="str">
        <f t="shared" si="140"/>
        <v/>
      </c>
      <c r="E411" s="3" t="str">
        <f t="shared" si="141"/>
        <v>N/A</v>
      </c>
      <c r="F411" s="3" t="str">
        <f t="shared" si="142"/>
        <v/>
      </c>
      <c r="G411" s="3" t="str">
        <f t="shared" si="143"/>
        <v/>
      </c>
    </row>
    <row r="412" spans="1:7" x14ac:dyDescent="0.2">
      <c r="A412" s="53" t="s">
        <v>102</v>
      </c>
      <c r="B412" s="54">
        <v>504</v>
      </c>
      <c r="C412" s="53" t="s">
        <v>26</v>
      </c>
      <c r="D412" s="3" t="str">
        <f t="shared" si="140"/>
        <v>N/A</v>
      </c>
      <c r="E412" s="3" t="str">
        <f t="shared" si="141"/>
        <v/>
      </c>
      <c r="F412" s="3" t="str">
        <f t="shared" si="142"/>
        <v/>
      </c>
      <c r="G412" s="3" t="str">
        <f t="shared" si="143"/>
        <v/>
      </c>
    </row>
    <row r="413" spans="1:7" x14ac:dyDescent="0.2">
      <c r="A413" s="53" t="s">
        <v>102</v>
      </c>
      <c r="B413" s="54">
        <v>80</v>
      </c>
      <c r="C413" s="53" t="s">
        <v>26</v>
      </c>
      <c r="D413" s="3" t="str">
        <f t="shared" si="140"/>
        <v>N/A</v>
      </c>
      <c r="E413" s="3" t="str">
        <f t="shared" si="141"/>
        <v/>
      </c>
      <c r="F413" s="3" t="str">
        <f t="shared" si="142"/>
        <v/>
      </c>
      <c r="G413" s="3" t="str">
        <f t="shared" si="143"/>
        <v/>
      </c>
    </row>
    <row r="414" spans="1:7" x14ac:dyDescent="0.2">
      <c r="A414" s="53" t="s">
        <v>102</v>
      </c>
      <c r="B414" s="54">
        <v>877.5</v>
      </c>
      <c r="C414" s="53" t="s">
        <v>26</v>
      </c>
      <c r="D414" s="3" t="str">
        <f t="shared" si="140"/>
        <v>N/A</v>
      </c>
      <c r="E414" s="3" t="str">
        <f t="shared" si="141"/>
        <v/>
      </c>
      <c r="F414" s="3" t="str">
        <f t="shared" si="142"/>
        <v/>
      </c>
      <c r="G414" s="3" t="str">
        <f t="shared" si="143"/>
        <v/>
      </c>
    </row>
    <row r="415" spans="1:7" x14ac:dyDescent="0.2">
      <c r="A415" s="53" t="s">
        <v>320</v>
      </c>
      <c r="B415" s="54">
        <v>10515</v>
      </c>
      <c r="C415" s="53" t="s">
        <v>26</v>
      </c>
      <c r="D415" s="3" t="str">
        <f t="shared" si="140"/>
        <v/>
      </c>
      <c r="E415" s="3" t="str">
        <f t="shared" si="141"/>
        <v/>
      </c>
      <c r="F415" s="3" t="str">
        <f t="shared" si="142"/>
        <v/>
      </c>
      <c r="G415" s="3" t="str">
        <f t="shared" si="143"/>
        <v>N/A</v>
      </c>
    </row>
    <row r="416" spans="1:7" x14ac:dyDescent="0.2">
      <c r="A416" s="53" t="s">
        <v>320</v>
      </c>
      <c r="B416" s="54">
        <v>6000</v>
      </c>
      <c r="C416" s="53" t="s">
        <v>26</v>
      </c>
      <c r="D416" s="3" t="str">
        <f t="shared" si="140"/>
        <v/>
      </c>
      <c r="E416" s="3" t="str">
        <f t="shared" si="141"/>
        <v/>
      </c>
      <c r="F416" s="3" t="str">
        <f t="shared" si="142"/>
        <v/>
      </c>
      <c r="G416" s="3" t="str">
        <f t="shared" si="143"/>
        <v>N/A</v>
      </c>
    </row>
    <row r="417" spans="1:7" x14ac:dyDescent="0.2">
      <c r="A417" s="53" t="s">
        <v>320</v>
      </c>
      <c r="B417" s="54">
        <v>2544</v>
      </c>
      <c r="C417" s="53" t="s">
        <v>26</v>
      </c>
      <c r="D417" s="3" t="str">
        <f t="shared" si="140"/>
        <v/>
      </c>
      <c r="E417" s="3" t="str">
        <f t="shared" si="141"/>
        <v/>
      </c>
      <c r="F417" s="3" t="str">
        <f t="shared" si="142"/>
        <v>N/A</v>
      </c>
      <c r="G417" s="3" t="str">
        <f t="shared" si="143"/>
        <v/>
      </c>
    </row>
    <row r="418" spans="1:7" x14ac:dyDescent="0.2">
      <c r="A418" s="53" t="s">
        <v>320</v>
      </c>
      <c r="B418" s="54">
        <v>5500</v>
      </c>
      <c r="C418" s="53" t="s">
        <v>26</v>
      </c>
      <c r="D418" s="3" t="str">
        <f t="shared" si="140"/>
        <v/>
      </c>
      <c r="E418" s="3" t="str">
        <f t="shared" si="141"/>
        <v/>
      </c>
      <c r="F418" s="3" t="str">
        <f t="shared" si="142"/>
        <v/>
      </c>
      <c r="G418" s="3" t="str">
        <f t="shared" si="143"/>
        <v>N/A</v>
      </c>
    </row>
    <row r="419" spans="1:7" x14ac:dyDescent="0.2">
      <c r="A419" s="53" t="s">
        <v>320</v>
      </c>
      <c r="B419" s="54">
        <v>5400</v>
      </c>
      <c r="C419" s="53" t="s">
        <v>26</v>
      </c>
      <c r="D419" s="3" t="str">
        <f t="shared" si="140"/>
        <v/>
      </c>
      <c r="E419" s="3" t="str">
        <f t="shared" si="141"/>
        <v/>
      </c>
      <c r="F419" s="3" t="str">
        <f t="shared" si="142"/>
        <v/>
      </c>
      <c r="G419" s="3" t="str">
        <f t="shared" si="143"/>
        <v>N/A</v>
      </c>
    </row>
    <row r="420" spans="1:7" x14ac:dyDescent="0.2">
      <c r="A420" s="53" t="s">
        <v>320</v>
      </c>
      <c r="B420" s="54">
        <v>5810</v>
      </c>
      <c r="C420" s="53">
        <v>10</v>
      </c>
      <c r="D420" s="3" t="str">
        <f t="shared" si="140"/>
        <v/>
      </c>
      <c r="E420" s="3" t="str">
        <f t="shared" si="141"/>
        <v/>
      </c>
      <c r="F420" s="3" t="str">
        <f t="shared" si="142"/>
        <v/>
      </c>
      <c r="G420" s="3">
        <f t="shared" si="143"/>
        <v>10</v>
      </c>
    </row>
    <row r="421" spans="1:7" x14ac:dyDescent="0.2">
      <c r="A421" s="53" t="s">
        <v>320</v>
      </c>
      <c r="B421" s="54">
        <v>3600</v>
      </c>
      <c r="C421" s="53" t="s">
        <v>26</v>
      </c>
      <c r="D421" s="3" t="str">
        <f t="shared" si="140"/>
        <v/>
      </c>
      <c r="E421" s="3" t="str">
        <f t="shared" si="141"/>
        <v/>
      </c>
      <c r="F421" s="3" t="str">
        <f t="shared" si="142"/>
        <v>N/A</v>
      </c>
      <c r="G421" s="3" t="str">
        <f t="shared" si="143"/>
        <v/>
      </c>
    </row>
    <row r="422" spans="1:7" x14ac:dyDescent="0.2">
      <c r="A422" s="53" t="s">
        <v>320</v>
      </c>
      <c r="B422" s="54">
        <v>3820</v>
      </c>
      <c r="C422" s="53" t="s">
        <v>26</v>
      </c>
      <c r="D422" s="3" t="str">
        <f t="shared" si="140"/>
        <v/>
      </c>
      <c r="E422" s="3" t="str">
        <f t="shared" si="141"/>
        <v/>
      </c>
      <c r="F422" s="3" t="str">
        <f t="shared" si="142"/>
        <v>N/A</v>
      </c>
      <c r="G422" s="3" t="str">
        <f t="shared" si="143"/>
        <v/>
      </c>
    </row>
    <row r="423" spans="1:7" x14ac:dyDescent="0.2">
      <c r="A423" s="53" t="s">
        <v>320</v>
      </c>
      <c r="B423" s="54">
        <v>6750</v>
      </c>
      <c r="C423" s="53" t="s">
        <v>26</v>
      </c>
      <c r="D423" s="3" t="str">
        <f t="shared" si="140"/>
        <v/>
      </c>
      <c r="E423" s="3" t="str">
        <f t="shared" si="141"/>
        <v/>
      </c>
      <c r="F423" s="3" t="str">
        <f t="shared" si="142"/>
        <v/>
      </c>
      <c r="G423" s="3" t="str">
        <f t="shared" si="143"/>
        <v>N/A</v>
      </c>
    </row>
    <row r="424" spans="1:7" x14ac:dyDescent="0.2">
      <c r="A424" s="53" t="s">
        <v>320</v>
      </c>
      <c r="B424" s="54">
        <v>9000</v>
      </c>
      <c r="C424" s="53" t="s">
        <v>26</v>
      </c>
      <c r="D424" s="3" t="str">
        <f t="shared" si="140"/>
        <v/>
      </c>
      <c r="E424" s="3" t="str">
        <f t="shared" si="141"/>
        <v/>
      </c>
      <c r="F424" s="3" t="str">
        <f t="shared" si="142"/>
        <v/>
      </c>
      <c r="G424" s="3" t="str">
        <f t="shared" si="143"/>
        <v>N/A</v>
      </c>
    </row>
    <row r="425" spans="1:7" x14ac:dyDescent="0.2">
      <c r="A425" s="53" t="s">
        <v>31</v>
      </c>
      <c r="B425" s="54">
        <v>977.4</v>
      </c>
      <c r="C425" s="53" t="s">
        <v>26</v>
      </c>
      <c r="D425" s="3" t="str">
        <f t="shared" si="140"/>
        <v>N/A</v>
      </c>
      <c r="E425" s="3" t="str">
        <f t="shared" si="141"/>
        <v/>
      </c>
      <c r="F425" s="3" t="str">
        <f t="shared" si="142"/>
        <v/>
      </c>
      <c r="G425" s="3" t="str">
        <f t="shared" si="143"/>
        <v/>
      </c>
    </row>
    <row r="426" spans="1:7" x14ac:dyDescent="0.2">
      <c r="A426" s="53" t="s">
        <v>31</v>
      </c>
      <c r="B426" s="54">
        <v>488.7</v>
      </c>
      <c r="C426" s="53" t="s">
        <v>26</v>
      </c>
      <c r="D426" s="3" t="str">
        <f t="shared" si="140"/>
        <v>N/A</v>
      </c>
      <c r="E426" s="3" t="str">
        <f t="shared" si="141"/>
        <v/>
      </c>
      <c r="F426" s="3" t="str">
        <f t="shared" si="142"/>
        <v/>
      </c>
      <c r="G426" s="3" t="str">
        <f t="shared" si="143"/>
        <v/>
      </c>
    </row>
    <row r="427" spans="1:7" x14ac:dyDescent="0.2">
      <c r="A427" s="53" t="s">
        <v>31</v>
      </c>
      <c r="B427" s="54">
        <v>1086.45</v>
      </c>
      <c r="C427" s="53" t="s">
        <v>26</v>
      </c>
      <c r="D427" s="3" t="str">
        <f t="shared" si="140"/>
        <v/>
      </c>
      <c r="E427" s="3" t="str">
        <f t="shared" si="141"/>
        <v>N/A</v>
      </c>
      <c r="F427" s="3" t="str">
        <f t="shared" si="142"/>
        <v/>
      </c>
      <c r="G427" s="3" t="str">
        <f t="shared" si="143"/>
        <v/>
      </c>
    </row>
    <row r="428" spans="1:7" x14ac:dyDescent="0.2">
      <c r="A428" s="53" t="s">
        <v>31</v>
      </c>
      <c r="B428" s="54">
        <v>511.6</v>
      </c>
      <c r="C428" s="53">
        <v>10</v>
      </c>
      <c r="D428" s="3">
        <f t="shared" si="140"/>
        <v>10</v>
      </c>
      <c r="E428" s="3" t="str">
        <f t="shared" si="141"/>
        <v/>
      </c>
      <c r="F428" s="3" t="str">
        <f t="shared" si="142"/>
        <v/>
      </c>
      <c r="G428" s="3" t="str">
        <f t="shared" si="143"/>
        <v/>
      </c>
    </row>
    <row r="429" spans="1:7" x14ac:dyDescent="0.2">
      <c r="A429" s="53" t="s">
        <v>31</v>
      </c>
      <c r="B429" s="54">
        <v>1086.45</v>
      </c>
      <c r="C429" s="53" t="s">
        <v>26</v>
      </c>
      <c r="D429" s="3" t="str">
        <f t="shared" si="140"/>
        <v/>
      </c>
      <c r="E429" s="3" t="str">
        <f t="shared" si="141"/>
        <v>N/A</v>
      </c>
      <c r="F429" s="3" t="str">
        <f t="shared" si="142"/>
        <v/>
      </c>
      <c r="G429" s="3" t="str">
        <f t="shared" si="143"/>
        <v/>
      </c>
    </row>
    <row r="430" spans="1:7" x14ac:dyDescent="0.2">
      <c r="A430" s="53" t="s">
        <v>143</v>
      </c>
      <c r="B430" s="54">
        <v>6300</v>
      </c>
      <c r="C430" s="53" t="s">
        <v>26</v>
      </c>
      <c r="D430" s="3" t="str">
        <f t="shared" si="140"/>
        <v/>
      </c>
      <c r="E430" s="3" t="str">
        <f t="shared" si="141"/>
        <v/>
      </c>
      <c r="F430" s="3" t="str">
        <f t="shared" si="142"/>
        <v/>
      </c>
      <c r="G430" s="3" t="str">
        <f t="shared" si="143"/>
        <v>N/A</v>
      </c>
    </row>
    <row r="431" spans="1:7" x14ac:dyDescent="0.2">
      <c r="A431" s="53" t="s">
        <v>143</v>
      </c>
      <c r="B431" s="54">
        <v>1800</v>
      </c>
      <c r="C431" s="53">
        <v>10</v>
      </c>
      <c r="D431" s="3" t="str">
        <f t="shared" si="140"/>
        <v/>
      </c>
      <c r="E431" s="3">
        <f t="shared" si="141"/>
        <v>10</v>
      </c>
      <c r="F431" s="3" t="str">
        <f t="shared" si="142"/>
        <v/>
      </c>
      <c r="G431" s="3" t="str">
        <f t="shared" si="143"/>
        <v/>
      </c>
    </row>
    <row r="432" spans="1:7" x14ac:dyDescent="0.2">
      <c r="A432" s="53" t="s">
        <v>143</v>
      </c>
      <c r="B432" s="54">
        <v>6000</v>
      </c>
      <c r="C432" s="53" t="s">
        <v>26</v>
      </c>
      <c r="D432" s="3" t="str">
        <f t="shared" si="140"/>
        <v/>
      </c>
      <c r="E432" s="3" t="str">
        <f t="shared" si="141"/>
        <v/>
      </c>
      <c r="F432" s="3" t="str">
        <f t="shared" si="142"/>
        <v/>
      </c>
      <c r="G432" s="3" t="str">
        <f t="shared" si="143"/>
        <v>N/A</v>
      </c>
    </row>
    <row r="433" spans="1:7" x14ac:dyDescent="0.2">
      <c r="A433" s="53" t="s">
        <v>143</v>
      </c>
      <c r="B433" s="54">
        <v>2000</v>
      </c>
      <c r="C433" s="53">
        <v>9</v>
      </c>
      <c r="D433" s="3" t="str">
        <f t="shared" si="140"/>
        <v/>
      </c>
      <c r="E433" s="3">
        <f t="shared" si="141"/>
        <v>9</v>
      </c>
      <c r="F433" s="3" t="str">
        <f t="shared" si="142"/>
        <v/>
      </c>
      <c r="G433" s="3" t="str">
        <f t="shared" si="143"/>
        <v/>
      </c>
    </row>
    <row r="434" spans="1:7" x14ac:dyDescent="0.2">
      <c r="A434" s="53" t="s">
        <v>143</v>
      </c>
      <c r="B434" s="54">
        <v>750</v>
      </c>
      <c r="C434" s="53">
        <v>10</v>
      </c>
      <c r="D434" s="3">
        <f t="shared" si="140"/>
        <v>10</v>
      </c>
      <c r="E434" s="3" t="str">
        <f t="shared" si="141"/>
        <v/>
      </c>
      <c r="F434" s="3" t="str">
        <f t="shared" si="142"/>
        <v/>
      </c>
      <c r="G434" s="3" t="str">
        <f t="shared" si="143"/>
        <v/>
      </c>
    </row>
    <row r="435" spans="1:7" x14ac:dyDescent="0.2">
      <c r="A435" s="53" t="s">
        <v>143</v>
      </c>
      <c r="B435" s="54">
        <v>3000</v>
      </c>
      <c r="C435" s="53" t="s">
        <v>26</v>
      </c>
      <c r="D435" s="3" t="str">
        <f t="shared" si="140"/>
        <v/>
      </c>
      <c r="E435" s="3" t="str">
        <f t="shared" si="141"/>
        <v/>
      </c>
      <c r="F435" s="3" t="str">
        <f t="shared" si="142"/>
        <v>N/A</v>
      </c>
      <c r="G435" s="3" t="str">
        <f t="shared" si="143"/>
        <v/>
      </c>
    </row>
    <row r="436" spans="1:7" x14ac:dyDescent="0.2">
      <c r="A436" s="53" t="s">
        <v>143</v>
      </c>
      <c r="B436" s="54">
        <v>2150</v>
      </c>
      <c r="C436" s="53" t="s">
        <v>26</v>
      </c>
      <c r="D436" s="3" t="str">
        <f t="shared" si="140"/>
        <v/>
      </c>
      <c r="E436" s="3" t="str">
        <f t="shared" si="141"/>
        <v>N/A</v>
      </c>
      <c r="F436" s="3" t="str">
        <f t="shared" si="142"/>
        <v/>
      </c>
      <c r="G436" s="3" t="str">
        <f t="shared" si="143"/>
        <v/>
      </c>
    </row>
    <row r="437" spans="1:7" x14ac:dyDescent="0.2">
      <c r="A437" s="53" t="s">
        <v>143</v>
      </c>
      <c r="B437" s="54">
        <v>2000</v>
      </c>
      <c r="C437" s="53" t="s">
        <v>26</v>
      </c>
      <c r="D437" s="3" t="str">
        <f t="shared" si="140"/>
        <v/>
      </c>
      <c r="E437" s="3" t="str">
        <f t="shared" si="141"/>
        <v>N/A</v>
      </c>
      <c r="F437" s="3" t="str">
        <f t="shared" si="142"/>
        <v/>
      </c>
      <c r="G437" s="3" t="str">
        <f t="shared" si="143"/>
        <v/>
      </c>
    </row>
    <row r="438" spans="1:7" x14ac:dyDescent="0.2">
      <c r="A438" s="53" t="s">
        <v>143</v>
      </c>
      <c r="B438" s="54">
        <v>7980</v>
      </c>
      <c r="C438" s="53" t="s">
        <v>26</v>
      </c>
      <c r="D438" s="3" t="str">
        <f t="shared" si="140"/>
        <v/>
      </c>
      <c r="E438" s="3" t="str">
        <f t="shared" si="141"/>
        <v/>
      </c>
      <c r="F438" s="3" t="str">
        <f t="shared" si="142"/>
        <v/>
      </c>
      <c r="G438" s="3" t="str">
        <f t="shared" si="143"/>
        <v>N/A</v>
      </c>
    </row>
    <row r="439" spans="1:7" x14ac:dyDescent="0.2">
      <c r="A439" s="53" t="s">
        <v>143</v>
      </c>
      <c r="B439" s="54">
        <v>7400</v>
      </c>
      <c r="C439" s="53">
        <v>9</v>
      </c>
      <c r="D439" s="3" t="str">
        <f t="shared" si="140"/>
        <v/>
      </c>
      <c r="E439" s="3" t="str">
        <f t="shared" si="141"/>
        <v/>
      </c>
      <c r="F439" s="3" t="str">
        <f t="shared" si="142"/>
        <v/>
      </c>
      <c r="G439" s="3">
        <f t="shared" si="143"/>
        <v>9</v>
      </c>
    </row>
    <row r="440" spans="1:7" x14ac:dyDescent="0.2">
      <c r="A440" s="53" t="s">
        <v>143</v>
      </c>
      <c r="B440" s="54">
        <v>7200</v>
      </c>
      <c r="C440" s="53" t="s">
        <v>26</v>
      </c>
      <c r="D440" s="3" t="str">
        <f t="shared" si="140"/>
        <v/>
      </c>
      <c r="E440" s="3" t="str">
        <f t="shared" si="141"/>
        <v/>
      </c>
      <c r="F440" s="3" t="str">
        <f t="shared" si="142"/>
        <v/>
      </c>
      <c r="G440" s="3" t="str">
        <f t="shared" si="143"/>
        <v>N/A</v>
      </c>
    </row>
    <row r="441" spans="1:7" x14ac:dyDescent="0.2">
      <c r="A441" s="53" t="s">
        <v>143</v>
      </c>
      <c r="B441" s="54">
        <v>200</v>
      </c>
      <c r="C441" s="53" t="s">
        <v>26</v>
      </c>
      <c r="D441" s="3" t="str">
        <f t="shared" si="140"/>
        <v>N/A</v>
      </c>
      <c r="E441" s="3" t="str">
        <f t="shared" si="141"/>
        <v/>
      </c>
      <c r="F441" s="3" t="str">
        <f t="shared" si="142"/>
        <v/>
      </c>
      <c r="G441" s="3" t="str">
        <f t="shared" si="143"/>
        <v/>
      </c>
    </row>
    <row r="442" spans="1:7" x14ac:dyDescent="0.2">
      <c r="A442" s="53" t="s">
        <v>143</v>
      </c>
      <c r="B442" s="54">
        <v>3500</v>
      </c>
      <c r="C442" s="53">
        <v>10</v>
      </c>
      <c r="D442" s="3" t="str">
        <f t="shared" si="140"/>
        <v/>
      </c>
      <c r="E442" s="3" t="str">
        <f t="shared" si="141"/>
        <v/>
      </c>
      <c r="F442" s="3">
        <f t="shared" si="142"/>
        <v>10</v>
      </c>
      <c r="G442" s="3" t="str">
        <f t="shared" si="143"/>
        <v/>
      </c>
    </row>
    <row r="443" spans="1:7" x14ac:dyDescent="0.2">
      <c r="A443" s="53" t="s">
        <v>143</v>
      </c>
      <c r="B443" s="54">
        <v>70</v>
      </c>
      <c r="C443" s="53">
        <v>10</v>
      </c>
      <c r="D443" s="3">
        <f t="shared" si="140"/>
        <v>10</v>
      </c>
      <c r="E443" s="3" t="str">
        <f t="shared" si="141"/>
        <v/>
      </c>
      <c r="F443" s="3" t="str">
        <f t="shared" si="142"/>
        <v/>
      </c>
      <c r="G443" s="3" t="str">
        <f t="shared" si="143"/>
        <v/>
      </c>
    </row>
    <row r="444" spans="1:7" x14ac:dyDescent="0.2">
      <c r="A444" s="53" t="s">
        <v>143</v>
      </c>
      <c r="B444" s="54">
        <v>6000</v>
      </c>
      <c r="C444" s="53" t="s">
        <v>26</v>
      </c>
      <c r="D444" s="3" t="str">
        <f t="shared" si="140"/>
        <v/>
      </c>
      <c r="E444" s="3" t="str">
        <f t="shared" si="141"/>
        <v/>
      </c>
      <c r="F444" s="3" t="str">
        <f t="shared" si="142"/>
        <v/>
      </c>
      <c r="G444" s="3" t="str">
        <f t="shared" si="143"/>
        <v>N/A</v>
      </c>
    </row>
    <row r="445" spans="1:7" x14ac:dyDescent="0.2">
      <c r="A445" s="53" t="s">
        <v>143</v>
      </c>
      <c r="B445" s="54">
        <v>450</v>
      </c>
      <c r="C445" s="53" t="s">
        <v>26</v>
      </c>
      <c r="D445" s="3" t="str">
        <f t="shared" si="140"/>
        <v>N/A</v>
      </c>
      <c r="E445" s="3" t="str">
        <f t="shared" si="141"/>
        <v/>
      </c>
      <c r="F445" s="3" t="str">
        <f t="shared" si="142"/>
        <v/>
      </c>
      <c r="G445" s="3" t="str">
        <f t="shared" si="143"/>
        <v/>
      </c>
    </row>
    <row r="446" spans="1:7" x14ac:dyDescent="0.2">
      <c r="A446" s="53" t="s">
        <v>70</v>
      </c>
      <c r="B446" s="54">
        <v>1400</v>
      </c>
      <c r="C446" s="53" t="s">
        <v>26</v>
      </c>
      <c r="D446" s="3" t="str">
        <f t="shared" si="140"/>
        <v/>
      </c>
      <c r="E446" s="3" t="str">
        <f t="shared" si="141"/>
        <v>N/A</v>
      </c>
      <c r="F446" s="3" t="str">
        <f t="shared" si="142"/>
        <v/>
      </c>
      <c r="G446" s="3" t="str">
        <f t="shared" si="143"/>
        <v/>
      </c>
    </row>
    <row r="447" spans="1:7" x14ac:dyDescent="0.2">
      <c r="A447" s="53" t="s">
        <v>70</v>
      </c>
      <c r="B447" s="54">
        <v>1500</v>
      </c>
      <c r="C447" s="53" t="s">
        <v>26</v>
      </c>
      <c r="D447" s="3" t="str">
        <f t="shared" si="140"/>
        <v/>
      </c>
      <c r="E447" s="3" t="str">
        <f t="shared" si="141"/>
        <v>N/A</v>
      </c>
      <c r="F447" s="3" t="str">
        <f t="shared" si="142"/>
        <v/>
      </c>
      <c r="G447" s="3" t="str">
        <f t="shared" si="143"/>
        <v/>
      </c>
    </row>
    <row r="448" spans="1:7" x14ac:dyDescent="0.2">
      <c r="A448" s="53" t="s">
        <v>70</v>
      </c>
      <c r="B448" s="54">
        <v>4300</v>
      </c>
      <c r="C448" s="53" t="s">
        <v>26</v>
      </c>
      <c r="D448" s="3" t="str">
        <f t="shared" si="140"/>
        <v/>
      </c>
      <c r="E448" s="3" t="str">
        <f t="shared" si="141"/>
        <v/>
      </c>
      <c r="F448" s="3" t="str">
        <f t="shared" si="142"/>
        <v>N/A</v>
      </c>
      <c r="G448" s="3" t="str">
        <f t="shared" si="143"/>
        <v/>
      </c>
    </row>
    <row r="449" spans="1:7" x14ac:dyDescent="0.2">
      <c r="A449" s="53" t="s">
        <v>80</v>
      </c>
      <c r="B449" s="54">
        <v>860</v>
      </c>
      <c r="C449" s="53" t="s">
        <v>26</v>
      </c>
      <c r="D449" s="3" t="str">
        <f t="shared" si="140"/>
        <v>N/A</v>
      </c>
      <c r="E449" s="3" t="str">
        <f t="shared" si="141"/>
        <v/>
      </c>
      <c r="F449" s="3" t="str">
        <f t="shared" si="142"/>
        <v/>
      </c>
      <c r="G449" s="3" t="str">
        <f t="shared" si="143"/>
        <v/>
      </c>
    </row>
    <row r="450" spans="1:7" x14ac:dyDescent="0.2">
      <c r="A450" s="53" t="s">
        <v>80</v>
      </c>
      <c r="B450" s="54">
        <v>2490</v>
      </c>
      <c r="C450" s="53" t="s">
        <v>26</v>
      </c>
      <c r="D450" s="3" t="str">
        <f t="shared" si="140"/>
        <v/>
      </c>
      <c r="E450" s="3" t="str">
        <f t="shared" si="141"/>
        <v>N/A</v>
      </c>
      <c r="F450" s="3" t="str">
        <f t="shared" si="142"/>
        <v/>
      </c>
      <c r="G450" s="3" t="str">
        <f t="shared" si="143"/>
        <v/>
      </c>
    </row>
    <row r="451" spans="1:7" x14ac:dyDescent="0.2">
      <c r="A451" s="53" t="s">
        <v>80</v>
      </c>
      <c r="B451" s="54">
        <v>450</v>
      </c>
      <c r="C451" s="53" t="s">
        <v>26</v>
      </c>
      <c r="D451" s="3" t="str">
        <f t="shared" si="140"/>
        <v>N/A</v>
      </c>
      <c r="E451" s="3" t="str">
        <f t="shared" si="141"/>
        <v/>
      </c>
      <c r="F451" s="3" t="str">
        <f t="shared" si="142"/>
        <v/>
      </c>
      <c r="G451" s="3" t="str">
        <f t="shared" si="143"/>
        <v/>
      </c>
    </row>
    <row r="452" spans="1:7" x14ac:dyDescent="0.2">
      <c r="A452" s="53" t="s">
        <v>80</v>
      </c>
      <c r="B452" s="54">
        <v>730</v>
      </c>
      <c r="C452" s="53" t="s">
        <v>26</v>
      </c>
      <c r="D452" s="3" t="str">
        <f t="shared" si="140"/>
        <v>N/A</v>
      </c>
      <c r="E452" s="3" t="str">
        <f t="shared" si="141"/>
        <v/>
      </c>
      <c r="F452" s="3" t="str">
        <f t="shared" si="142"/>
        <v/>
      </c>
      <c r="G452" s="3" t="str">
        <f t="shared" si="143"/>
        <v/>
      </c>
    </row>
    <row r="453" spans="1:7" x14ac:dyDescent="0.2">
      <c r="A453" s="53" t="s">
        <v>80</v>
      </c>
      <c r="B453" s="54">
        <v>890</v>
      </c>
      <c r="C453" s="53" t="s">
        <v>26</v>
      </c>
      <c r="D453" s="3" t="str">
        <f t="shared" si="140"/>
        <v>N/A</v>
      </c>
      <c r="E453" s="3" t="str">
        <f t="shared" si="141"/>
        <v/>
      </c>
      <c r="F453" s="3" t="str">
        <f t="shared" si="142"/>
        <v/>
      </c>
      <c r="G453" s="3" t="str">
        <f t="shared" si="143"/>
        <v/>
      </c>
    </row>
    <row r="454" spans="1:7" x14ac:dyDescent="0.2">
      <c r="A454" s="53" t="s">
        <v>77</v>
      </c>
      <c r="B454" s="54">
        <v>400</v>
      </c>
      <c r="C454" s="53" t="s">
        <v>26</v>
      </c>
      <c r="D454" s="3" t="str">
        <f t="shared" si="140"/>
        <v>N/A</v>
      </c>
      <c r="E454" s="3" t="str">
        <f t="shared" si="141"/>
        <v/>
      </c>
      <c r="F454" s="3" t="str">
        <f t="shared" si="142"/>
        <v/>
      </c>
      <c r="G454" s="3" t="str">
        <f t="shared" si="143"/>
        <v/>
      </c>
    </row>
    <row r="455" spans="1:7" x14ac:dyDescent="0.2">
      <c r="A455" s="53" t="s">
        <v>77</v>
      </c>
      <c r="B455" s="54">
        <v>200</v>
      </c>
      <c r="C455" s="53">
        <v>10</v>
      </c>
      <c r="D455" s="3">
        <f t="shared" si="140"/>
        <v>10</v>
      </c>
      <c r="E455" s="3" t="str">
        <f t="shared" si="141"/>
        <v/>
      </c>
      <c r="F455" s="3" t="str">
        <f t="shared" si="142"/>
        <v/>
      </c>
      <c r="G455" s="3" t="str">
        <f t="shared" si="143"/>
        <v/>
      </c>
    </row>
    <row r="456" spans="1:7" x14ac:dyDescent="0.2">
      <c r="A456" s="53" t="s">
        <v>105</v>
      </c>
      <c r="B456" s="54">
        <v>800</v>
      </c>
      <c r="C456" s="53" t="s">
        <v>26</v>
      </c>
      <c r="D456" s="3" t="str">
        <f t="shared" si="140"/>
        <v>N/A</v>
      </c>
      <c r="E456" s="3" t="str">
        <f t="shared" si="141"/>
        <v/>
      </c>
      <c r="F456" s="3" t="str">
        <f t="shared" si="142"/>
        <v/>
      </c>
      <c r="G456" s="3" t="str">
        <f t="shared" si="143"/>
        <v/>
      </c>
    </row>
    <row r="457" spans="1:7" x14ac:dyDescent="0.2">
      <c r="A457" s="53" t="s">
        <v>105</v>
      </c>
      <c r="B457" s="54">
        <v>250</v>
      </c>
      <c r="C457" s="53" t="s">
        <v>26</v>
      </c>
      <c r="D457" s="3" t="str">
        <f t="shared" si="140"/>
        <v>N/A</v>
      </c>
      <c r="E457" s="3" t="str">
        <f t="shared" si="141"/>
        <v/>
      </c>
      <c r="F457" s="3" t="str">
        <f t="shared" si="142"/>
        <v/>
      </c>
      <c r="G457" s="3" t="str">
        <f t="shared" si="143"/>
        <v/>
      </c>
    </row>
    <row r="458" spans="1:7" x14ac:dyDescent="0.2">
      <c r="A458" s="53" t="s">
        <v>98</v>
      </c>
      <c r="B458" s="54">
        <v>6371.53</v>
      </c>
      <c r="C458" s="53" t="s">
        <v>26</v>
      </c>
      <c r="D458" s="3" t="str">
        <f t="shared" si="140"/>
        <v/>
      </c>
      <c r="E458" s="3" t="str">
        <f t="shared" si="141"/>
        <v/>
      </c>
      <c r="F458" s="3" t="str">
        <f t="shared" si="142"/>
        <v/>
      </c>
      <c r="G458" s="3" t="str">
        <f t="shared" si="143"/>
        <v>N/A</v>
      </c>
    </row>
    <row r="459" spans="1:7" x14ac:dyDescent="0.2">
      <c r="A459" s="53" t="s">
        <v>98</v>
      </c>
      <c r="B459" s="54">
        <v>7000</v>
      </c>
      <c r="C459" s="53" t="s">
        <v>26</v>
      </c>
      <c r="D459" s="3" t="str">
        <f t="shared" si="140"/>
        <v/>
      </c>
      <c r="E459" s="3" t="str">
        <f t="shared" si="141"/>
        <v/>
      </c>
      <c r="F459" s="3" t="str">
        <f t="shared" si="142"/>
        <v/>
      </c>
      <c r="G459" s="3" t="str">
        <f t="shared" si="143"/>
        <v>N/A</v>
      </c>
    </row>
    <row r="460" spans="1:7" x14ac:dyDescent="0.2">
      <c r="A460" s="53" t="s">
        <v>98</v>
      </c>
      <c r="B460" s="54">
        <v>6430.93</v>
      </c>
      <c r="C460" s="53" t="s">
        <v>26</v>
      </c>
      <c r="D460" s="3" t="str">
        <f t="shared" si="140"/>
        <v/>
      </c>
      <c r="E460" s="3" t="str">
        <f t="shared" si="141"/>
        <v/>
      </c>
      <c r="F460" s="3" t="str">
        <f t="shared" si="142"/>
        <v/>
      </c>
      <c r="G460" s="3" t="str">
        <f t="shared" si="143"/>
        <v>N/A</v>
      </c>
    </row>
    <row r="461" spans="1:7" x14ac:dyDescent="0.2">
      <c r="A461" s="53" t="s">
        <v>98</v>
      </c>
      <c r="B461" s="54">
        <v>7000</v>
      </c>
      <c r="C461" s="53" t="s">
        <v>26</v>
      </c>
      <c r="D461" s="3" t="str">
        <f t="shared" si="140"/>
        <v/>
      </c>
      <c r="E461" s="3" t="str">
        <f t="shared" si="141"/>
        <v/>
      </c>
      <c r="F461" s="3" t="str">
        <f t="shared" si="142"/>
        <v/>
      </c>
      <c r="G461" s="3" t="str">
        <f t="shared" si="143"/>
        <v>N/A</v>
      </c>
    </row>
    <row r="462" spans="1:7" x14ac:dyDescent="0.2">
      <c r="A462" s="53" t="s">
        <v>98</v>
      </c>
      <c r="B462" s="54">
        <v>6930</v>
      </c>
      <c r="C462" s="53" t="s">
        <v>26</v>
      </c>
      <c r="D462" s="3" t="str">
        <f t="shared" si="140"/>
        <v/>
      </c>
      <c r="E462" s="3" t="str">
        <f t="shared" si="141"/>
        <v/>
      </c>
      <c r="F462" s="3" t="str">
        <f t="shared" si="142"/>
        <v/>
      </c>
      <c r="G462" s="3" t="str">
        <f t="shared" si="143"/>
        <v>N/A</v>
      </c>
    </row>
    <row r="463" spans="1:7" x14ac:dyDescent="0.2">
      <c r="A463" s="53" t="s">
        <v>98</v>
      </c>
      <c r="B463" s="54">
        <v>3530</v>
      </c>
      <c r="C463" s="53" t="s">
        <v>26</v>
      </c>
      <c r="D463" s="3" t="str">
        <f t="shared" si="140"/>
        <v/>
      </c>
      <c r="E463" s="3" t="str">
        <f t="shared" si="141"/>
        <v/>
      </c>
      <c r="F463" s="3" t="str">
        <f t="shared" si="142"/>
        <v>N/A</v>
      </c>
      <c r="G463" s="3" t="str">
        <f t="shared" si="143"/>
        <v/>
      </c>
    </row>
    <row r="464" spans="1:7" x14ac:dyDescent="0.2">
      <c r="A464" s="53" t="s">
        <v>98</v>
      </c>
      <c r="B464" s="54">
        <v>9427.81</v>
      </c>
      <c r="C464" s="53" t="s">
        <v>26</v>
      </c>
      <c r="D464" s="3" t="str">
        <f t="shared" ref="D464:D527" si="144">IF(AND(B464&gt;0,B464&lt;1000),C464,"")</f>
        <v/>
      </c>
      <c r="E464" s="3" t="str">
        <f t="shared" ref="E464:E527" si="145">IF(AND(B464&gt;1000,B464&lt;2500),C464,"")</f>
        <v/>
      </c>
      <c r="F464" s="3" t="str">
        <f t="shared" ref="F464:F527" si="146">IF(AND(B464&gt;2500,B464&lt;5000),C464,"")</f>
        <v/>
      </c>
      <c r="G464" s="3" t="str">
        <f t="shared" ref="G464:G527" si="147">IF(B464&gt;=5000,C464,"")</f>
        <v>N/A</v>
      </c>
    </row>
    <row r="465" spans="1:7" x14ac:dyDescent="0.2">
      <c r="A465" s="53" t="s">
        <v>98</v>
      </c>
      <c r="B465" s="54">
        <v>6300</v>
      </c>
      <c r="C465" s="53" t="s">
        <v>26</v>
      </c>
      <c r="D465" s="3" t="str">
        <f t="shared" si="144"/>
        <v/>
      </c>
      <c r="E465" s="3" t="str">
        <f t="shared" si="145"/>
        <v/>
      </c>
      <c r="F465" s="3" t="str">
        <f t="shared" si="146"/>
        <v/>
      </c>
      <c r="G465" s="3" t="str">
        <f t="shared" si="147"/>
        <v>N/A</v>
      </c>
    </row>
    <row r="466" spans="1:7" x14ac:dyDescent="0.2">
      <c r="A466" s="53" t="s">
        <v>98</v>
      </c>
      <c r="B466" s="54">
        <v>7000</v>
      </c>
      <c r="C466" s="53" t="s">
        <v>26</v>
      </c>
      <c r="D466" s="3" t="str">
        <f t="shared" si="144"/>
        <v/>
      </c>
      <c r="E466" s="3" t="str">
        <f t="shared" si="145"/>
        <v/>
      </c>
      <c r="F466" s="3" t="str">
        <f t="shared" si="146"/>
        <v/>
      </c>
      <c r="G466" s="3" t="str">
        <f t="shared" si="147"/>
        <v>N/A</v>
      </c>
    </row>
    <row r="467" spans="1:7" x14ac:dyDescent="0.2">
      <c r="A467" s="53" t="s">
        <v>98</v>
      </c>
      <c r="B467" s="54">
        <v>4000</v>
      </c>
      <c r="C467" s="53" t="s">
        <v>26</v>
      </c>
      <c r="D467" s="3" t="str">
        <f t="shared" si="144"/>
        <v/>
      </c>
      <c r="E467" s="3" t="str">
        <f t="shared" si="145"/>
        <v/>
      </c>
      <c r="F467" s="3" t="str">
        <f t="shared" si="146"/>
        <v>N/A</v>
      </c>
      <c r="G467" s="3" t="str">
        <f t="shared" si="147"/>
        <v/>
      </c>
    </row>
    <row r="468" spans="1:7" x14ac:dyDescent="0.2">
      <c r="A468" s="53" t="s">
        <v>98</v>
      </c>
      <c r="B468" s="54">
        <v>7000</v>
      </c>
      <c r="C468" s="53">
        <v>9</v>
      </c>
      <c r="D468" s="3" t="str">
        <f t="shared" si="144"/>
        <v/>
      </c>
      <c r="E468" s="3" t="str">
        <f t="shared" si="145"/>
        <v/>
      </c>
      <c r="F468" s="3" t="str">
        <f t="shared" si="146"/>
        <v/>
      </c>
      <c r="G468" s="3">
        <f t="shared" si="147"/>
        <v>9</v>
      </c>
    </row>
    <row r="469" spans="1:7" x14ac:dyDescent="0.2">
      <c r="A469" s="53" t="s">
        <v>98</v>
      </c>
      <c r="B469" s="54">
        <v>1350</v>
      </c>
      <c r="C469" s="53" t="s">
        <v>26</v>
      </c>
      <c r="D469" s="3" t="str">
        <f t="shared" si="144"/>
        <v/>
      </c>
      <c r="E469" s="3" t="str">
        <f t="shared" si="145"/>
        <v>N/A</v>
      </c>
      <c r="F469" s="3" t="str">
        <f t="shared" si="146"/>
        <v/>
      </c>
      <c r="G469" s="3" t="str">
        <f t="shared" si="147"/>
        <v/>
      </c>
    </row>
    <row r="470" spans="1:7" x14ac:dyDescent="0.2">
      <c r="A470" s="53" t="s">
        <v>98</v>
      </c>
      <c r="B470" s="54">
        <v>4210.5</v>
      </c>
      <c r="C470" s="53">
        <v>5</v>
      </c>
      <c r="D470" s="3" t="str">
        <f t="shared" si="144"/>
        <v/>
      </c>
      <c r="E470" s="3" t="str">
        <f t="shared" si="145"/>
        <v/>
      </c>
      <c r="F470" s="3">
        <f t="shared" si="146"/>
        <v>5</v>
      </c>
      <c r="G470" s="3" t="str">
        <f t="shared" si="147"/>
        <v/>
      </c>
    </row>
    <row r="471" spans="1:7" x14ac:dyDescent="0.2">
      <c r="A471" s="53" t="s">
        <v>98</v>
      </c>
      <c r="B471" s="54">
        <v>5263.2</v>
      </c>
      <c r="C471" s="53">
        <v>10</v>
      </c>
      <c r="D471" s="3" t="str">
        <f t="shared" si="144"/>
        <v/>
      </c>
      <c r="E471" s="3" t="str">
        <f t="shared" si="145"/>
        <v/>
      </c>
      <c r="F471" s="3" t="str">
        <f t="shared" si="146"/>
        <v/>
      </c>
      <c r="G471" s="3">
        <f t="shared" si="147"/>
        <v>10</v>
      </c>
    </row>
    <row r="472" spans="1:7" x14ac:dyDescent="0.2">
      <c r="A472" s="53" t="s">
        <v>98</v>
      </c>
      <c r="B472" s="54">
        <v>7764.47</v>
      </c>
      <c r="C472" s="53" t="s">
        <v>26</v>
      </c>
      <c r="D472" s="3" t="str">
        <f t="shared" si="144"/>
        <v/>
      </c>
      <c r="E472" s="3" t="str">
        <f t="shared" si="145"/>
        <v/>
      </c>
      <c r="F472" s="3" t="str">
        <f t="shared" si="146"/>
        <v/>
      </c>
      <c r="G472" s="3" t="str">
        <f t="shared" si="147"/>
        <v>N/A</v>
      </c>
    </row>
    <row r="473" spans="1:7" x14ac:dyDescent="0.2">
      <c r="A473" s="53" t="s">
        <v>98</v>
      </c>
      <c r="B473" s="54">
        <v>10290</v>
      </c>
      <c r="C473" s="53" t="s">
        <v>26</v>
      </c>
      <c r="D473" s="3" t="str">
        <f t="shared" si="144"/>
        <v/>
      </c>
      <c r="E473" s="3" t="str">
        <f t="shared" si="145"/>
        <v/>
      </c>
      <c r="F473" s="3" t="str">
        <f t="shared" si="146"/>
        <v/>
      </c>
      <c r="G473" s="3" t="str">
        <f t="shared" si="147"/>
        <v>N/A</v>
      </c>
    </row>
    <row r="474" spans="1:7" x14ac:dyDescent="0.2">
      <c r="A474" s="53" t="s">
        <v>98</v>
      </c>
      <c r="B474" s="54">
        <v>210</v>
      </c>
      <c r="C474" s="53">
        <v>10</v>
      </c>
      <c r="D474" s="3">
        <f t="shared" si="144"/>
        <v>10</v>
      </c>
      <c r="E474" s="3" t="str">
        <f t="shared" si="145"/>
        <v/>
      </c>
      <c r="F474" s="3" t="str">
        <f t="shared" si="146"/>
        <v/>
      </c>
      <c r="G474" s="3" t="str">
        <f t="shared" si="147"/>
        <v/>
      </c>
    </row>
    <row r="475" spans="1:7" x14ac:dyDescent="0.2">
      <c r="A475" s="53" t="s">
        <v>98</v>
      </c>
      <c r="B475" s="54">
        <v>7400</v>
      </c>
      <c r="C475" s="53" t="s">
        <v>26</v>
      </c>
      <c r="D475" s="3" t="str">
        <f t="shared" si="144"/>
        <v/>
      </c>
      <c r="E475" s="3" t="str">
        <f t="shared" si="145"/>
        <v/>
      </c>
      <c r="F475" s="3" t="str">
        <f t="shared" si="146"/>
        <v/>
      </c>
      <c r="G475" s="3" t="str">
        <f t="shared" si="147"/>
        <v>N/A</v>
      </c>
    </row>
    <row r="476" spans="1:7" x14ac:dyDescent="0.2">
      <c r="A476" s="53" t="s">
        <v>98</v>
      </c>
      <c r="B476" s="54">
        <v>100</v>
      </c>
      <c r="C476" s="53">
        <v>10</v>
      </c>
      <c r="D476" s="3">
        <f t="shared" si="144"/>
        <v>10</v>
      </c>
      <c r="E476" s="3" t="str">
        <f t="shared" si="145"/>
        <v/>
      </c>
      <c r="F476" s="3" t="str">
        <f t="shared" si="146"/>
        <v/>
      </c>
      <c r="G476" s="3" t="str">
        <f t="shared" si="147"/>
        <v/>
      </c>
    </row>
    <row r="477" spans="1:7" x14ac:dyDescent="0.2">
      <c r="A477" s="53" t="s">
        <v>98</v>
      </c>
      <c r="B477" s="54">
        <v>4564</v>
      </c>
      <c r="C477" s="53" t="s">
        <v>26</v>
      </c>
      <c r="D477" s="3" t="str">
        <f t="shared" si="144"/>
        <v/>
      </c>
      <c r="E477" s="3" t="str">
        <f t="shared" si="145"/>
        <v/>
      </c>
      <c r="F477" s="3" t="str">
        <f t="shared" si="146"/>
        <v>N/A</v>
      </c>
      <c r="G477" s="3" t="str">
        <f t="shared" si="147"/>
        <v/>
      </c>
    </row>
    <row r="478" spans="1:7" x14ac:dyDescent="0.2">
      <c r="A478" s="53" t="s">
        <v>98</v>
      </c>
      <c r="B478" s="54">
        <v>1</v>
      </c>
      <c r="C478" s="53">
        <v>10</v>
      </c>
      <c r="D478" s="3">
        <f t="shared" si="144"/>
        <v>10</v>
      </c>
      <c r="E478" s="3" t="str">
        <f t="shared" si="145"/>
        <v/>
      </c>
      <c r="F478" s="3" t="str">
        <f t="shared" si="146"/>
        <v/>
      </c>
      <c r="G478" s="3" t="str">
        <f t="shared" si="147"/>
        <v/>
      </c>
    </row>
    <row r="479" spans="1:7" x14ac:dyDescent="0.2">
      <c r="A479" s="53" t="s">
        <v>98</v>
      </c>
      <c r="B479" s="54">
        <v>100</v>
      </c>
      <c r="C479" s="53">
        <v>10</v>
      </c>
      <c r="D479" s="3">
        <f t="shared" si="144"/>
        <v>10</v>
      </c>
      <c r="E479" s="3" t="str">
        <f t="shared" si="145"/>
        <v/>
      </c>
      <c r="F479" s="3" t="str">
        <f t="shared" si="146"/>
        <v/>
      </c>
      <c r="G479" s="3" t="str">
        <f t="shared" si="147"/>
        <v/>
      </c>
    </row>
    <row r="480" spans="1:7" x14ac:dyDescent="0.2">
      <c r="A480" s="53" t="s">
        <v>98</v>
      </c>
      <c r="B480" s="54">
        <v>1</v>
      </c>
      <c r="C480" s="53">
        <v>10</v>
      </c>
      <c r="D480" s="3">
        <f t="shared" si="144"/>
        <v>10</v>
      </c>
      <c r="E480" s="3" t="str">
        <f t="shared" si="145"/>
        <v/>
      </c>
      <c r="F480" s="3" t="str">
        <f t="shared" si="146"/>
        <v/>
      </c>
      <c r="G480" s="3" t="str">
        <f t="shared" si="147"/>
        <v/>
      </c>
    </row>
    <row r="481" spans="1:7" x14ac:dyDescent="0.2">
      <c r="A481" s="53" t="s">
        <v>98</v>
      </c>
      <c r="B481" s="54">
        <v>3825.27</v>
      </c>
      <c r="C481" s="53" t="s">
        <v>26</v>
      </c>
      <c r="D481" s="3" t="str">
        <f t="shared" si="144"/>
        <v/>
      </c>
      <c r="E481" s="3" t="str">
        <f t="shared" si="145"/>
        <v/>
      </c>
      <c r="F481" s="3" t="str">
        <f t="shared" si="146"/>
        <v>N/A</v>
      </c>
      <c r="G481" s="3" t="str">
        <f t="shared" si="147"/>
        <v/>
      </c>
    </row>
    <row r="482" spans="1:7" x14ac:dyDescent="0.2">
      <c r="A482" s="53" t="s">
        <v>98</v>
      </c>
      <c r="B482" s="54">
        <v>1</v>
      </c>
      <c r="C482" s="53">
        <v>10</v>
      </c>
      <c r="D482" s="3">
        <f t="shared" si="144"/>
        <v>10</v>
      </c>
      <c r="E482" s="3" t="str">
        <f t="shared" si="145"/>
        <v/>
      </c>
      <c r="F482" s="3" t="str">
        <f t="shared" si="146"/>
        <v/>
      </c>
      <c r="G482" s="3" t="str">
        <f t="shared" si="147"/>
        <v/>
      </c>
    </row>
    <row r="483" spans="1:7" x14ac:dyDescent="0.2">
      <c r="A483" s="53" t="s">
        <v>98</v>
      </c>
      <c r="B483" s="54">
        <v>2370</v>
      </c>
      <c r="C483" s="53" t="s">
        <v>26</v>
      </c>
      <c r="D483" s="3" t="str">
        <f t="shared" si="144"/>
        <v/>
      </c>
      <c r="E483" s="3" t="str">
        <f t="shared" si="145"/>
        <v>N/A</v>
      </c>
      <c r="F483" s="3" t="str">
        <f t="shared" si="146"/>
        <v/>
      </c>
      <c r="G483" s="3" t="str">
        <f t="shared" si="147"/>
        <v/>
      </c>
    </row>
    <row r="484" spans="1:7" x14ac:dyDescent="0.2">
      <c r="A484" s="53" t="s">
        <v>98</v>
      </c>
      <c r="B484" s="54">
        <v>4610</v>
      </c>
      <c r="C484" s="53" t="s">
        <v>26</v>
      </c>
      <c r="D484" s="3" t="str">
        <f t="shared" si="144"/>
        <v/>
      </c>
      <c r="E484" s="3" t="str">
        <f t="shared" si="145"/>
        <v/>
      </c>
      <c r="F484" s="3" t="str">
        <f t="shared" si="146"/>
        <v>N/A</v>
      </c>
      <c r="G484" s="3" t="str">
        <f t="shared" si="147"/>
        <v/>
      </c>
    </row>
    <row r="485" spans="1:7" x14ac:dyDescent="0.2">
      <c r="A485" s="53" t="s">
        <v>98</v>
      </c>
      <c r="B485" s="54">
        <v>4300</v>
      </c>
      <c r="C485" s="53" t="s">
        <v>26</v>
      </c>
      <c r="D485" s="3" t="str">
        <f t="shared" si="144"/>
        <v/>
      </c>
      <c r="E485" s="3" t="str">
        <f t="shared" si="145"/>
        <v/>
      </c>
      <c r="F485" s="3" t="str">
        <f t="shared" si="146"/>
        <v>N/A</v>
      </c>
      <c r="G485" s="3" t="str">
        <f t="shared" si="147"/>
        <v/>
      </c>
    </row>
    <row r="486" spans="1:7" x14ac:dyDescent="0.2">
      <c r="A486" s="53" t="s">
        <v>98</v>
      </c>
      <c r="B486" s="54">
        <v>2970</v>
      </c>
      <c r="C486" s="53">
        <v>10</v>
      </c>
      <c r="D486" s="3" t="str">
        <f t="shared" si="144"/>
        <v/>
      </c>
      <c r="E486" s="3" t="str">
        <f t="shared" si="145"/>
        <v/>
      </c>
      <c r="F486" s="3">
        <f t="shared" si="146"/>
        <v>10</v>
      </c>
      <c r="G486" s="3" t="str">
        <f t="shared" si="147"/>
        <v/>
      </c>
    </row>
    <row r="487" spans="1:7" x14ac:dyDescent="0.2">
      <c r="A487" s="53" t="s">
        <v>98</v>
      </c>
      <c r="B487" s="54">
        <v>4000</v>
      </c>
      <c r="C487" s="53" t="s">
        <v>26</v>
      </c>
      <c r="D487" s="3" t="str">
        <f t="shared" si="144"/>
        <v/>
      </c>
      <c r="E487" s="3" t="str">
        <f t="shared" si="145"/>
        <v/>
      </c>
      <c r="F487" s="3" t="str">
        <f t="shared" si="146"/>
        <v>N/A</v>
      </c>
      <c r="G487" s="3" t="str">
        <f t="shared" si="147"/>
        <v/>
      </c>
    </row>
    <row r="488" spans="1:7" x14ac:dyDescent="0.2">
      <c r="A488" s="53" t="s">
        <v>98</v>
      </c>
      <c r="B488" s="54">
        <v>6480</v>
      </c>
      <c r="C488" s="53" t="s">
        <v>26</v>
      </c>
      <c r="D488" s="3" t="str">
        <f t="shared" si="144"/>
        <v/>
      </c>
      <c r="E488" s="3" t="str">
        <f t="shared" si="145"/>
        <v/>
      </c>
      <c r="F488" s="3" t="str">
        <f t="shared" si="146"/>
        <v/>
      </c>
      <c r="G488" s="3" t="str">
        <f t="shared" si="147"/>
        <v>N/A</v>
      </c>
    </row>
    <row r="489" spans="1:7" x14ac:dyDescent="0.2">
      <c r="A489" s="53" t="s">
        <v>98</v>
      </c>
      <c r="B489" s="54">
        <v>18148.96</v>
      </c>
      <c r="C489" s="53">
        <v>10</v>
      </c>
      <c r="D489" s="3" t="str">
        <f t="shared" si="144"/>
        <v/>
      </c>
      <c r="E489" s="3" t="str">
        <f t="shared" si="145"/>
        <v/>
      </c>
      <c r="F489" s="3" t="str">
        <f t="shared" si="146"/>
        <v/>
      </c>
      <c r="G489" s="3">
        <f t="shared" si="147"/>
        <v>10</v>
      </c>
    </row>
    <row r="490" spans="1:7" x14ac:dyDescent="0.2">
      <c r="A490" s="53" t="s">
        <v>98</v>
      </c>
      <c r="B490" s="54">
        <v>1</v>
      </c>
      <c r="C490" s="53" t="s">
        <v>26</v>
      </c>
      <c r="D490" s="3" t="str">
        <f t="shared" si="144"/>
        <v>N/A</v>
      </c>
      <c r="E490" s="3" t="str">
        <f t="shared" si="145"/>
        <v/>
      </c>
      <c r="F490" s="3" t="str">
        <f t="shared" si="146"/>
        <v/>
      </c>
      <c r="G490" s="3" t="str">
        <f t="shared" si="147"/>
        <v/>
      </c>
    </row>
    <row r="491" spans="1:7" x14ac:dyDescent="0.2">
      <c r="A491" s="53" t="s">
        <v>98</v>
      </c>
      <c r="B491" s="54">
        <v>38260.870000000003</v>
      </c>
      <c r="C491" s="53" t="s">
        <v>26</v>
      </c>
      <c r="D491" s="3" t="str">
        <f t="shared" si="144"/>
        <v/>
      </c>
      <c r="E491" s="3" t="str">
        <f t="shared" si="145"/>
        <v/>
      </c>
      <c r="F491" s="3" t="str">
        <f t="shared" si="146"/>
        <v/>
      </c>
      <c r="G491" s="3" t="str">
        <f t="shared" si="147"/>
        <v>N/A</v>
      </c>
    </row>
    <row r="492" spans="1:7" x14ac:dyDescent="0.2">
      <c r="A492" s="53" t="s">
        <v>98</v>
      </c>
      <c r="B492" s="54">
        <v>5600</v>
      </c>
      <c r="C492" s="53" t="s">
        <v>26</v>
      </c>
      <c r="D492" s="3" t="str">
        <f t="shared" si="144"/>
        <v/>
      </c>
      <c r="E492" s="3" t="str">
        <f t="shared" si="145"/>
        <v/>
      </c>
      <c r="F492" s="3" t="str">
        <f t="shared" si="146"/>
        <v/>
      </c>
      <c r="G492" s="3" t="str">
        <f t="shared" si="147"/>
        <v>N/A</v>
      </c>
    </row>
    <row r="493" spans="1:7" x14ac:dyDescent="0.2">
      <c r="A493" s="53" t="s">
        <v>98</v>
      </c>
      <c r="B493" s="54">
        <v>1117.6600000000001</v>
      </c>
      <c r="C493" s="53">
        <v>10</v>
      </c>
      <c r="D493" s="3" t="str">
        <f t="shared" si="144"/>
        <v/>
      </c>
      <c r="E493" s="3">
        <f t="shared" si="145"/>
        <v>10</v>
      </c>
      <c r="F493" s="3" t="str">
        <f t="shared" si="146"/>
        <v/>
      </c>
      <c r="G493" s="3" t="str">
        <f t="shared" si="147"/>
        <v/>
      </c>
    </row>
    <row r="494" spans="1:7" x14ac:dyDescent="0.2">
      <c r="A494" s="53" t="s">
        <v>98</v>
      </c>
      <c r="B494" s="54">
        <v>1</v>
      </c>
      <c r="C494" s="53" t="s">
        <v>26</v>
      </c>
      <c r="D494" s="3" t="str">
        <f t="shared" si="144"/>
        <v>N/A</v>
      </c>
      <c r="E494" s="3" t="str">
        <f t="shared" si="145"/>
        <v/>
      </c>
      <c r="F494" s="3" t="str">
        <f t="shared" si="146"/>
        <v/>
      </c>
      <c r="G494" s="3" t="str">
        <f t="shared" si="147"/>
        <v/>
      </c>
    </row>
    <row r="495" spans="1:7" x14ac:dyDescent="0.2">
      <c r="A495" s="53" t="s">
        <v>98</v>
      </c>
      <c r="B495" s="54">
        <v>4200</v>
      </c>
      <c r="C495" s="53" t="s">
        <v>26</v>
      </c>
      <c r="D495" s="3" t="str">
        <f t="shared" si="144"/>
        <v/>
      </c>
      <c r="E495" s="3" t="str">
        <f t="shared" si="145"/>
        <v/>
      </c>
      <c r="F495" s="3" t="str">
        <f t="shared" si="146"/>
        <v>N/A</v>
      </c>
      <c r="G495" s="3" t="str">
        <f t="shared" si="147"/>
        <v/>
      </c>
    </row>
    <row r="496" spans="1:7" x14ac:dyDescent="0.2">
      <c r="A496" s="53" t="s">
        <v>98</v>
      </c>
      <c r="B496" s="54">
        <v>5000</v>
      </c>
      <c r="C496" s="53">
        <v>10</v>
      </c>
      <c r="D496" s="3" t="str">
        <f t="shared" si="144"/>
        <v/>
      </c>
      <c r="E496" s="3" t="str">
        <f t="shared" si="145"/>
        <v/>
      </c>
      <c r="F496" s="3" t="str">
        <f t="shared" si="146"/>
        <v/>
      </c>
      <c r="G496" s="3">
        <f t="shared" si="147"/>
        <v>10</v>
      </c>
    </row>
    <row r="497" spans="1:7" x14ac:dyDescent="0.2">
      <c r="A497" s="53" t="s">
        <v>98</v>
      </c>
      <c r="B497" s="54">
        <v>4800</v>
      </c>
      <c r="C497" s="53" t="s">
        <v>26</v>
      </c>
      <c r="D497" s="3" t="str">
        <f t="shared" si="144"/>
        <v/>
      </c>
      <c r="E497" s="3" t="str">
        <f t="shared" si="145"/>
        <v/>
      </c>
      <c r="F497" s="3" t="str">
        <f t="shared" si="146"/>
        <v>N/A</v>
      </c>
      <c r="G497" s="3" t="str">
        <f t="shared" si="147"/>
        <v/>
      </c>
    </row>
    <row r="498" spans="1:7" x14ac:dyDescent="0.2">
      <c r="A498" s="53" t="s">
        <v>98</v>
      </c>
      <c r="B498" s="54">
        <v>1</v>
      </c>
      <c r="C498" s="53">
        <v>10</v>
      </c>
      <c r="D498" s="3">
        <f t="shared" si="144"/>
        <v>10</v>
      </c>
      <c r="E498" s="3" t="str">
        <f t="shared" si="145"/>
        <v/>
      </c>
      <c r="F498" s="3" t="str">
        <f t="shared" si="146"/>
        <v/>
      </c>
      <c r="G498" s="3" t="str">
        <f t="shared" si="147"/>
        <v/>
      </c>
    </row>
    <row r="499" spans="1:7" x14ac:dyDescent="0.2">
      <c r="A499" s="53" t="s">
        <v>98</v>
      </c>
      <c r="B499" s="54">
        <v>5950</v>
      </c>
      <c r="C499" s="53" t="s">
        <v>26</v>
      </c>
      <c r="D499" s="3" t="str">
        <f t="shared" si="144"/>
        <v/>
      </c>
      <c r="E499" s="3" t="str">
        <f t="shared" si="145"/>
        <v/>
      </c>
      <c r="F499" s="3" t="str">
        <f t="shared" si="146"/>
        <v/>
      </c>
      <c r="G499" s="3" t="str">
        <f t="shared" si="147"/>
        <v>N/A</v>
      </c>
    </row>
    <row r="500" spans="1:7" x14ac:dyDescent="0.2">
      <c r="A500" s="53" t="s">
        <v>98</v>
      </c>
      <c r="B500" s="54">
        <v>1</v>
      </c>
      <c r="C500" s="53">
        <v>10</v>
      </c>
      <c r="D500" s="3">
        <f t="shared" si="144"/>
        <v>10</v>
      </c>
      <c r="E500" s="3" t="str">
        <f t="shared" si="145"/>
        <v/>
      </c>
      <c r="F500" s="3" t="str">
        <f t="shared" si="146"/>
        <v/>
      </c>
      <c r="G500" s="3" t="str">
        <f t="shared" si="147"/>
        <v/>
      </c>
    </row>
    <row r="501" spans="1:7" x14ac:dyDescent="0.2">
      <c r="A501" s="53" t="s">
        <v>98</v>
      </c>
      <c r="B501" s="54">
        <v>3755</v>
      </c>
      <c r="C501" s="53" t="s">
        <v>26</v>
      </c>
      <c r="D501" s="3" t="str">
        <f t="shared" si="144"/>
        <v/>
      </c>
      <c r="E501" s="3" t="str">
        <f t="shared" si="145"/>
        <v/>
      </c>
      <c r="F501" s="3" t="str">
        <f t="shared" si="146"/>
        <v>N/A</v>
      </c>
      <c r="G501" s="3" t="str">
        <f t="shared" si="147"/>
        <v/>
      </c>
    </row>
    <row r="502" spans="1:7" x14ac:dyDescent="0.2">
      <c r="A502" s="53" t="s">
        <v>109</v>
      </c>
      <c r="B502" s="54">
        <v>153</v>
      </c>
      <c r="C502" s="53" t="s">
        <v>26</v>
      </c>
      <c r="D502" s="3" t="str">
        <f t="shared" si="144"/>
        <v>N/A</v>
      </c>
      <c r="E502" s="3" t="str">
        <f t="shared" si="145"/>
        <v/>
      </c>
      <c r="F502" s="3" t="str">
        <f t="shared" si="146"/>
        <v/>
      </c>
      <c r="G502" s="3" t="str">
        <f t="shared" si="147"/>
        <v/>
      </c>
    </row>
    <row r="503" spans="1:7" x14ac:dyDescent="0.2">
      <c r="A503" s="53" t="s">
        <v>109</v>
      </c>
      <c r="B503" s="54">
        <v>405</v>
      </c>
      <c r="C503" s="53" t="s">
        <v>26</v>
      </c>
      <c r="D503" s="3" t="str">
        <f t="shared" si="144"/>
        <v>N/A</v>
      </c>
      <c r="E503" s="3" t="str">
        <f t="shared" si="145"/>
        <v/>
      </c>
      <c r="F503" s="3" t="str">
        <f t="shared" si="146"/>
        <v/>
      </c>
      <c r="G503" s="3" t="str">
        <f t="shared" si="147"/>
        <v/>
      </c>
    </row>
    <row r="504" spans="1:7" x14ac:dyDescent="0.2">
      <c r="A504" s="53" t="s">
        <v>111</v>
      </c>
      <c r="B504" s="54">
        <v>1200</v>
      </c>
      <c r="C504" s="53">
        <v>9</v>
      </c>
      <c r="D504" s="3" t="str">
        <f t="shared" si="144"/>
        <v/>
      </c>
      <c r="E504" s="3">
        <f t="shared" si="145"/>
        <v>9</v>
      </c>
      <c r="F504" s="3" t="str">
        <f t="shared" si="146"/>
        <v/>
      </c>
      <c r="G504" s="3" t="str">
        <f t="shared" si="147"/>
        <v/>
      </c>
    </row>
    <row r="505" spans="1:7" x14ac:dyDescent="0.2">
      <c r="A505" s="53" t="s">
        <v>111</v>
      </c>
      <c r="B505" s="54">
        <v>650</v>
      </c>
      <c r="C505" s="53" t="s">
        <v>26</v>
      </c>
      <c r="D505" s="3" t="str">
        <f t="shared" si="144"/>
        <v>N/A</v>
      </c>
      <c r="E505" s="3" t="str">
        <f t="shared" si="145"/>
        <v/>
      </c>
      <c r="F505" s="3" t="str">
        <f t="shared" si="146"/>
        <v/>
      </c>
      <c r="G505" s="3" t="str">
        <f t="shared" si="147"/>
        <v/>
      </c>
    </row>
    <row r="506" spans="1:7" x14ac:dyDescent="0.2">
      <c r="A506" s="53" t="s">
        <v>111</v>
      </c>
      <c r="B506" s="54">
        <v>1845</v>
      </c>
      <c r="C506" s="53">
        <v>10</v>
      </c>
      <c r="D506" s="3" t="str">
        <f t="shared" si="144"/>
        <v/>
      </c>
      <c r="E506" s="3">
        <f t="shared" si="145"/>
        <v>10</v>
      </c>
      <c r="F506" s="3" t="str">
        <f t="shared" si="146"/>
        <v/>
      </c>
      <c r="G506" s="3" t="str">
        <f t="shared" si="147"/>
        <v/>
      </c>
    </row>
    <row r="507" spans="1:7" x14ac:dyDescent="0.2">
      <c r="A507" s="53" t="s">
        <v>111</v>
      </c>
      <c r="B507" s="54">
        <v>1</v>
      </c>
      <c r="C507" s="53" t="s">
        <v>26</v>
      </c>
      <c r="D507" s="3" t="str">
        <f t="shared" si="144"/>
        <v>N/A</v>
      </c>
      <c r="E507" s="3" t="str">
        <f t="shared" si="145"/>
        <v/>
      </c>
      <c r="F507" s="3" t="str">
        <f t="shared" si="146"/>
        <v/>
      </c>
      <c r="G507" s="3" t="str">
        <f t="shared" si="147"/>
        <v/>
      </c>
    </row>
    <row r="508" spans="1:7" x14ac:dyDescent="0.2">
      <c r="A508" s="53" t="s">
        <v>111</v>
      </c>
      <c r="B508" s="54">
        <v>1200</v>
      </c>
      <c r="C508" s="53">
        <v>10</v>
      </c>
      <c r="D508" s="3" t="str">
        <f t="shared" si="144"/>
        <v/>
      </c>
      <c r="E508" s="3">
        <f t="shared" si="145"/>
        <v>10</v>
      </c>
      <c r="F508" s="3" t="str">
        <f t="shared" si="146"/>
        <v/>
      </c>
      <c r="G508" s="3" t="str">
        <f t="shared" si="147"/>
        <v/>
      </c>
    </row>
    <row r="509" spans="1:7" x14ac:dyDescent="0.2">
      <c r="A509" s="53" t="s">
        <v>111</v>
      </c>
      <c r="B509" s="54">
        <v>2174.89</v>
      </c>
      <c r="C509" s="53">
        <v>10</v>
      </c>
      <c r="D509" s="3" t="str">
        <f t="shared" si="144"/>
        <v/>
      </c>
      <c r="E509" s="3">
        <f t="shared" si="145"/>
        <v>10</v>
      </c>
      <c r="F509" s="3" t="str">
        <f t="shared" si="146"/>
        <v/>
      </c>
      <c r="G509" s="3" t="str">
        <f t="shared" si="147"/>
        <v/>
      </c>
    </row>
    <row r="510" spans="1:7" x14ac:dyDescent="0.2">
      <c r="A510" s="53" t="s">
        <v>111</v>
      </c>
      <c r="B510" s="54">
        <v>3210</v>
      </c>
      <c r="C510" s="53" t="s">
        <v>26</v>
      </c>
      <c r="D510" s="3" t="str">
        <f t="shared" si="144"/>
        <v/>
      </c>
      <c r="E510" s="3" t="str">
        <f t="shared" si="145"/>
        <v/>
      </c>
      <c r="F510" s="3" t="str">
        <f t="shared" si="146"/>
        <v>N/A</v>
      </c>
      <c r="G510" s="3" t="str">
        <f t="shared" si="147"/>
        <v/>
      </c>
    </row>
    <row r="511" spans="1:7" x14ac:dyDescent="0.2">
      <c r="A511" s="53" t="s">
        <v>111</v>
      </c>
      <c r="B511" s="54">
        <v>750</v>
      </c>
      <c r="C511" s="53" t="s">
        <v>26</v>
      </c>
      <c r="D511" s="3" t="str">
        <f t="shared" si="144"/>
        <v>N/A</v>
      </c>
      <c r="E511" s="3" t="str">
        <f t="shared" si="145"/>
        <v/>
      </c>
      <c r="F511" s="3" t="str">
        <f t="shared" si="146"/>
        <v/>
      </c>
      <c r="G511" s="3" t="str">
        <f t="shared" si="147"/>
        <v/>
      </c>
    </row>
    <row r="512" spans="1:7" x14ac:dyDescent="0.2">
      <c r="A512" s="53" t="s">
        <v>111</v>
      </c>
      <c r="B512" s="54">
        <v>1900</v>
      </c>
      <c r="C512" s="53" t="s">
        <v>26</v>
      </c>
      <c r="D512" s="3" t="str">
        <f t="shared" si="144"/>
        <v/>
      </c>
      <c r="E512" s="3" t="str">
        <f t="shared" si="145"/>
        <v>N/A</v>
      </c>
      <c r="F512" s="3" t="str">
        <f t="shared" si="146"/>
        <v/>
      </c>
      <c r="G512" s="3" t="str">
        <f t="shared" si="147"/>
        <v/>
      </c>
    </row>
    <row r="513" spans="1:7" x14ac:dyDescent="0.2">
      <c r="A513" s="53" t="s">
        <v>96</v>
      </c>
      <c r="B513" s="54">
        <v>5640</v>
      </c>
      <c r="C513" s="53" t="s">
        <v>26</v>
      </c>
      <c r="D513" s="3" t="str">
        <f t="shared" si="144"/>
        <v/>
      </c>
      <c r="E513" s="3" t="str">
        <f t="shared" si="145"/>
        <v/>
      </c>
      <c r="F513" s="3" t="str">
        <f t="shared" si="146"/>
        <v/>
      </c>
      <c r="G513" s="3" t="str">
        <f t="shared" si="147"/>
        <v>N/A</v>
      </c>
    </row>
    <row r="514" spans="1:7" x14ac:dyDescent="0.2">
      <c r="A514" s="53" t="s">
        <v>96</v>
      </c>
      <c r="B514" s="54">
        <v>1000</v>
      </c>
      <c r="C514" s="53">
        <v>10</v>
      </c>
      <c r="D514" s="3" t="str">
        <f t="shared" si="144"/>
        <v/>
      </c>
      <c r="E514" s="3" t="str">
        <f t="shared" si="145"/>
        <v/>
      </c>
      <c r="F514" s="3" t="str">
        <f t="shared" si="146"/>
        <v/>
      </c>
      <c r="G514" s="3" t="str">
        <f t="shared" si="147"/>
        <v/>
      </c>
    </row>
    <row r="515" spans="1:7" x14ac:dyDescent="0.2">
      <c r="A515" s="53" t="s">
        <v>66</v>
      </c>
      <c r="B515" s="54">
        <v>3420</v>
      </c>
      <c r="C515" s="53">
        <v>10</v>
      </c>
      <c r="D515" s="3" t="str">
        <f t="shared" si="144"/>
        <v/>
      </c>
      <c r="E515" s="3" t="str">
        <f t="shared" si="145"/>
        <v/>
      </c>
      <c r="F515" s="3">
        <f t="shared" si="146"/>
        <v>10</v>
      </c>
      <c r="G515" s="3" t="str">
        <f t="shared" si="147"/>
        <v/>
      </c>
    </row>
    <row r="516" spans="1:7" x14ac:dyDescent="0.2">
      <c r="A516" s="53" t="s">
        <v>66</v>
      </c>
      <c r="B516" s="54">
        <v>500</v>
      </c>
      <c r="C516" s="53" t="s">
        <v>26</v>
      </c>
      <c r="D516" s="3" t="str">
        <f t="shared" si="144"/>
        <v>N/A</v>
      </c>
      <c r="E516" s="3" t="str">
        <f t="shared" si="145"/>
        <v/>
      </c>
      <c r="F516" s="3" t="str">
        <f t="shared" si="146"/>
        <v/>
      </c>
      <c r="G516" s="3" t="str">
        <f t="shared" si="147"/>
        <v/>
      </c>
    </row>
    <row r="517" spans="1:7" x14ac:dyDescent="0.2">
      <c r="A517" s="53" t="s">
        <v>66</v>
      </c>
      <c r="B517" s="54">
        <v>500</v>
      </c>
      <c r="C517" s="53" t="s">
        <v>26</v>
      </c>
      <c r="D517" s="3" t="str">
        <f t="shared" si="144"/>
        <v>N/A</v>
      </c>
      <c r="E517" s="3" t="str">
        <f t="shared" si="145"/>
        <v/>
      </c>
      <c r="F517" s="3" t="str">
        <f t="shared" si="146"/>
        <v/>
      </c>
      <c r="G517" s="3" t="str">
        <f t="shared" si="147"/>
        <v/>
      </c>
    </row>
    <row r="518" spans="1:7" x14ac:dyDescent="0.2">
      <c r="A518" s="53" t="s">
        <v>66</v>
      </c>
      <c r="B518" s="54">
        <v>500</v>
      </c>
      <c r="C518" s="53" t="s">
        <v>26</v>
      </c>
      <c r="D518" s="3" t="str">
        <f t="shared" si="144"/>
        <v>N/A</v>
      </c>
      <c r="E518" s="3" t="str">
        <f t="shared" si="145"/>
        <v/>
      </c>
      <c r="F518" s="3" t="str">
        <f t="shared" si="146"/>
        <v/>
      </c>
      <c r="G518" s="3" t="str">
        <f t="shared" si="147"/>
        <v/>
      </c>
    </row>
    <row r="519" spans="1:7" x14ac:dyDescent="0.2">
      <c r="A519" s="53" t="s">
        <v>66</v>
      </c>
      <c r="B519" s="54">
        <v>574</v>
      </c>
      <c r="C519" s="53">
        <v>10</v>
      </c>
      <c r="D519" s="3">
        <f t="shared" si="144"/>
        <v>10</v>
      </c>
      <c r="E519" s="3" t="str">
        <f t="shared" si="145"/>
        <v/>
      </c>
      <c r="F519" s="3" t="str">
        <f t="shared" si="146"/>
        <v/>
      </c>
      <c r="G519" s="3" t="str">
        <f t="shared" si="147"/>
        <v/>
      </c>
    </row>
    <row r="520" spans="1:7" x14ac:dyDescent="0.2">
      <c r="A520" s="53" t="s">
        <v>66</v>
      </c>
      <c r="B520" s="54">
        <v>746</v>
      </c>
      <c r="C520" s="53">
        <v>7</v>
      </c>
      <c r="D520" s="3">
        <f t="shared" si="144"/>
        <v>7</v>
      </c>
      <c r="E520" s="3" t="str">
        <f t="shared" si="145"/>
        <v/>
      </c>
      <c r="F520" s="3" t="str">
        <f t="shared" si="146"/>
        <v/>
      </c>
      <c r="G520" s="3" t="str">
        <f t="shared" si="147"/>
        <v/>
      </c>
    </row>
    <row r="521" spans="1:7" x14ac:dyDescent="0.2">
      <c r="A521" s="53" t="s">
        <v>66</v>
      </c>
      <c r="B521" s="54">
        <v>600</v>
      </c>
      <c r="C521" s="53">
        <v>10</v>
      </c>
      <c r="D521" s="3">
        <f t="shared" si="144"/>
        <v>10</v>
      </c>
      <c r="E521" s="3" t="str">
        <f t="shared" si="145"/>
        <v/>
      </c>
      <c r="F521" s="3" t="str">
        <f t="shared" si="146"/>
        <v/>
      </c>
      <c r="G521" s="3" t="str">
        <f t="shared" si="147"/>
        <v/>
      </c>
    </row>
    <row r="522" spans="1:7" x14ac:dyDescent="0.2">
      <c r="A522" s="53" t="s">
        <v>146</v>
      </c>
      <c r="B522" s="54">
        <v>1102</v>
      </c>
      <c r="C522" s="53" t="s">
        <v>26</v>
      </c>
      <c r="D522" s="3" t="str">
        <f t="shared" si="144"/>
        <v/>
      </c>
      <c r="E522" s="3" t="str">
        <f t="shared" si="145"/>
        <v>N/A</v>
      </c>
      <c r="F522" s="3" t="str">
        <f t="shared" si="146"/>
        <v/>
      </c>
      <c r="G522" s="3" t="str">
        <f t="shared" si="147"/>
        <v/>
      </c>
    </row>
    <row r="523" spans="1:7" x14ac:dyDescent="0.2">
      <c r="A523" s="53" t="s">
        <v>146</v>
      </c>
      <c r="B523" s="54">
        <v>2550</v>
      </c>
      <c r="C523" s="53" t="s">
        <v>26</v>
      </c>
      <c r="D523" s="3" t="str">
        <f t="shared" si="144"/>
        <v/>
      </c>
      <c r="E523" s="3" t="str">
        <f t="shared" si="145"/>
        <v/>
      </c>
      <c r="F523" s="3" t="str">
        <f t="shared" si="146"/>
        <v>N/A</v>
      </c>
      <c r="G523" s="3" t="str">
        <f t="shared" si="147"/>
        <v/>
      </c>
    </row>
    <row r="524" spans="1:7" x14ac:dyDescent="0.2">
      <c r="A524" s="53" t="s">
        <v>146</v>
      </c>
      <c r="B524" s="54">
        <v>1000</v>
      </c>
      <c r="C524" s="53" t="s">
        <v>26</v>
      </c>
      <c r="D524" s="3" t="str">
        <f t="shared" si="144"/>
        <v/>
      </c>
      <c r="E524" s="3" t="str">
        <f t="shared" si="145"/>
        <v/>
      </c>
      <c r="F524" s="3" t="str">
        <f t="shared" si="146"/>
        <v/>
      </c>
      <c r="G524" s="3" t="str">
        <f t="shared" si="147"/>
        <v/>
      </c>
    </row>
    <row r="525" spans="1:7" x14ac:dyDescent="0.2">
      <c r="A525" s="53" t="s">
        <v>146</v>
      </c>
      <c r="B525" s="54">
        <v>1114.95</v>
      </c>
      <c r="C525" s="53" t="s">
        <v>26</v>
      </c>
      <c r="D525" s="3" t="str">
        <f t="shared" si="144"/>
        <v/>
      </c>
      <c r="E525" s="3" t="str">
        <f t="shared" si="145"/>
        <v>N/A</v>
      </c>
      <c r="F525" s="3" t="str">
        <f t="shared" si="146"/>
        <v/>
      </c>
      <c r="G525" s="3" t="str">
        <f t="shared" si="147"/>
        <v/>
      </c>
    </row>
    <row r="526" spans="1:7" x14ac:dyDescent="0.2">
      <c r="A526" s="53" t="s">
        <v>131</v>
      </c>
      <c r="B526" s="54">
        <v>400</v>
      </c>
      <c r="C526" s="53" t="s">
        <v>26</v>
      </c>
      <c r="D526" s="3" t="str">
        <f t="shared" si="144"/>
        <v>N/A</v>
      </c>
      <c r="E526" s="3" t="str">
        <f t="shared" si="145"/>
        <v/>
      </c>
      <c r="F526" s="3" t="str">
        <f t="shared" si="146"/>
        <v/>
      </c>
      <c r="G526" s="3" t="str">
        <f t="shared" si="147"/>
        <v/>
      </c>
    </row>
    <row r="527" spans="1:7" x14ac:dyDescent="0.2">
      <c r="A527" s="53" t="s">
        <v>131</v>
      </c>
      <c r="B527" s="54">
        <v>1600</v>
      </c>
      <c r="C527" s="53">
        <v>9</v>
      </c>
      <c r="D527" s="3" t="str">
        <f t="shared" si="144"/>
        <v/>
      </c>
      <c r="E527" s="3">
        <f t="shared" si="145"/>
        <v>9</v>
      </c>
      <c r="F527" s="3" t="str">
        <f t="shared" si="146"/>
        <v/>
      </c>
      <c r="G527" s="3" t="str">
        <f t="shared" si="147"/>
        <v/>
      </c>
    </row>
    <row r="528" spans="1:7" x14ac:dyDescent="0.2">
      <c r="A528" s="53" t="s">
        <v>131</v>
      </c>
      <c r="B528" s="54">
        <v>2350</v>
      </c>
      <c r="C528" s="53" t="s">
        <v>26</v>
      </c>
      <c r="D528" s="3" t="str">
        <f t="shared" ref="D528:D591" si="148">IF(AND(B528&gt;0,B528&lt;1000),C528,"")</f>
        <v/>
      </c>
      <c r="E528" s="3" t="str">
        <f t="shared" ref="E528:E551" si="149">IF(AND(B528&gt;1000,B528&lt;2500),C528,"")</f>
        <v>N/A</v>
      </c>
      <c r="F528" s="3" t="str">
        <f t="shared" ref="F528:F551" si="150">IF(AND(B528&gt;2500,B528&lt;5000),C528,"")</f>
        <v/>
      </c>
      <c r="G528" s="3" t="str">
        <f t="shared" ref="G528:G551" si="151">IF(B528&gt;=5000,C528,"")</f>
        <v/>
      </c>
    </row>
    <row r="529" spans="1:7" x14ac:dyDescent="0.2">
      <c r="A529" s="53" t="s">
        <v>131</v>
      </c>
      <c r="B529" s="54">
        <v>1180</v>
      </c>
      <c r="C529" s="53" t="s">
        <v>26</v>
      </c>
      <c r="D529" s="3" t="str">
        <f t="shared" si="148"/>
        <v/>
      </c>
      <c r="E529" s="3" t="str">
        <f t="shared" si="149"/>
        <v>N/A</v>
      </c>
      <c r="F529" s="3" t="str">
        <f t="shared" si="150"/>
        <v/>
      </c>
      <c r="G529" s="3" t="str">
        <f t="shared" si="151"/>
        <v/>
      </c>
    </row>
    <row r="530" spans="1:7" x14ac:dyDescent="0.2">
      <c r="A530" s="53" t="s">
        <v>131</v>
      </c>
      <c r="B530" s="54">
        <v>1500</v>
      </c>
      <c r="C530" s="53">
        <v>10</v>
      </c>
      <c r="D530" s="3" t="str">
        <f t="shared" si="148"/>
        <v/>
      </c>
      <c r="E530" s="3">
        <f t="shared" si="149"/>
        <v>10</v>
      </c>
      <c r="F530" s="3" t="str">
        <f t="shared" si="150"/>
        <v/>
      </c>
      <c r="G530" s="3" t="str">
        <f t="shared" si="151"/>
        <v/>
      </c>
    </row>
    <row r="531" spans="1:7" x14ac:dyDescent="0.2">
      <c r="A531" s="53" t="s">
        <v>131</v>
      </c>
      <c r="B531" s="54">
        <v>5050</v>
      </c>
      <c r="C531" s="53" t="s">
        <v>26</v>
      </c>
      <c r="D531" s="3" t="str">
        <f t="shared" si="148"/>
        <v/>
      </c>
      <c r="E531" s="3" t="str">
        <f t="shared" si="149"/>
        <v/>
      </c>
      <c r="F531" s="3" t="str">
        <f t="shared" si="150"/>
        <v/>
      </c>
      <c r="G531" s="3" t="str">
        <f t="shared" si="151"/>
        <v>N/A</v>
      </c>
    </row>
    <row r="532" spans="1:7" x14ac:dyDescent="0.2">
      <c r="A532" s="53" t="s">
        <v>131</v>
      </c>
      <c r="B532" s="54">
        <v>250</v>
      </c>
      <c r="C532" s="53">
        <v>10</v>
      </c>
      <c r="D532" s="3">
        <f t="shared" si="148"/>
        <v>10</v>
      </c>
      <c r="E532" s="3" t="str">
        <f t="shared" si="149"/>
        <v/>
      </c>
      <c r="F532" s="3" t="str">
        <f t="shared" si="150"/>
        <v/>
      </c>
      <c r="G532" s="3" t="str">
        <f t="shared" si="151"/>
        <v/>
      </c>
    </row>
    <row r="533" spans="1:7" x14ac:dyDescent="0.2">
      <c r="A533" s="53" t="s">
        <v>131</v>
      </c>
      <c r="B533" s="54">
        <v>400</v>
      </c>
      <c r="C533" s="53" t="s">
        <v>26</v>
      </c>
      <c r="D533" s="3" t="str">
        <f t="shared" si="148"/>
        <v>N/A</v>
      </c>
      <c r="E533" s="3" t="str">
        <f t="shared" si="149"/>
        <v/>
      </c>
      <c r="F533" s="3" t="str">
        <f t="shared" si="150"/>
        <v/>
      </c>
      <c r="G533" s="3" t="str">
        <f t="shared" si="151"/>
        <v/>
      </c>
    </row>
    <row r="534" spans="1:7" x14ac:dyDescent="0.2">
      <c r="A534" s="53" t="s">
        <v>131</v>
      </c>
      <c r="B534" s="54">
        <v>450</v>
      </c>
      <c r="C534" s="53">
        <v>8</v>
      </c>
      <c r="D534" s="3">
        <f t="shared" si="148"/>
        <v>8</v>
      </c>
      <c r="E534" s="3" t="str">
        <f t="shared" si="149"/>
        <v/>
      </c>
      <c r="F534" s="3" t="str">
        <f t="shared" si="150"/>
        <v/>
      </c>
      <c r="G534" s="3" t="str">
        <f t="shared" si="151"/>
        <v/>
      </c>
    </row>
    <row r="535" spans="1:7" x14ac:dyDescent="0.2">
      <c r="A535" s="53" t="s">
        <v>301</v>
      </c>
      <c r="B535" s="54">
        <v>40</v>
      </c>
      <c r="C535" s="53" t="s">
        <v>26</v>
      </c>
      <c r="D535" s="3" t="str">
        <f t="shared" si="148"/>
        <v>N/A</v>
      </c>
      <c r="E535" s="3" t="str">
        <f t="shared" si="149"/>
        <v/>
      </c>
      <c r="F535" s="3" t="str">
        <f t="shared" si="150"/>
        <v/>
      </c>
      <c r="G535" s="3" t="str">
        <f t="shared" si="151"/>
        <v/>
      </c>
    </row>
    <row r="536" spans="1:7" x14ac:dyDescent="0.2">
      <c r="A536" s="53" t="s">
        <v>301</v>
      </c>
      <c r="B536" s="54">
        <v>50</v>
      </c>
      <c r="C536" s="53">
        <v>10</v>
      </c>
      <c r="D536" s="3">
        <f t="shared" si="148"/>
        <v>10</v>
      </c>
      <c r="E536" s="3" t="str">
        <f t="shared" si="149"/>
        <v/>
      </c>
      <c r="F536" s="3" t="str">
        <f t="shared" si="150"/>
        <v/>
      </c>
      <c r="G536" s="3" t="str">
        <f t="shared" si="151"/>
        <v/>
      </c>
    </row>
    <row r="537" spans="1:7" x14ac:dyDescent="0.2">
      <c r="A537" s="53" t="s">
        <v>301</v>
      </c>
      <c r="B537" s="54">
        <v>60</v>
      </c>
      <c r="C537" s="53" t="s">
        <v>26</v>
      </c>
      <c r="D537" s="3" t="str">
        <f t="shared" si="148"/>
        <v>N/A</v>
      </c>
      <c r="E537" s="3" t="str">
        <f t="shared" si="149"/>
        <v/>
      </c>
      <c r="F537" s="3" t="str">
        <f t="shared" si="150"/>
        <v/>
      </c>
      <c r="G537" s="3" t="str">
        <f t="shared" si="151"/>
        <v/>
      </c>
    </row>
    <row r="538" spans="1:7" x14ac:dyDescent="0.2">
      <c r="A538" s="53" t="s">
        <v>301</v>
      </c>
      <c r="B538" s="54">
        <v>450</v>
      </c>
      <c r="C538" s="53" t="s">
        <v>26</v>
      </c>
      <c r="D538" s="3" t="str">
        <f t="shared" si="148"/>
        <v>N/A</v>
      </c>
      <c r="E538" s="3" t="str">
        <f t="shared" si="149"/>
        <v/>
      </c>
      <c r="F538" s="3" t="str">
        <f t="shared" si="150"/>
        <v/>
      </c>
      <c r="G538" s="3" t="str">
        <f t="shared" si="151"/>
        <v/>
      </c>
    </row>
    <row r="539" spans="1:7" x14ac:dyDescent="0.2">
      <c r="A539" s="53" t="s">
        <v>301</v>
      </c>
      <c r="B539" s="54">
        <v>160</v>
      </c>
      <c r="C539" s="53" t="s">
        <v>26</v>
      </c>
      <c r="D539" s="3" t="str">
        <f t="shared" si="148"/>
        <v>N/A</v>
      </c>
      <c r="E539" s="3" t="str">
        <f t="shared" si="149"/>
        <v/>
      </c>
      <c r="F539" s="3" t="str">
        <f t="shared" si="150"/>
        <v/>
      </c>
      <c r="G539" s="3" t="str">
        <f t="shared" si="151"/>
        <v/>
      </c>
    </row>
    <row r="540" spans="1:7" x14ac:dyDescent="0.2">
      <c r="A540" s="53" t="s">
        <v>42</v>
      </c>
      <c r="B540" s="54">
        <v>600</v>
      </c>
      <c r="C540" s="53" t="s">
        <v>26</v>
      </c>
      <c r="D540" s="3" t="str">
        <f t="shared" si="148"/>
        <v>N/A</v>
      </c>
      <c r="E540" s="3" t="str">
        <f t="shared" si="149"/>
        <v/>
      </c>
      <c r="F540" s="3" t="str">
        <f t="shared" si="150"/>
        <v/>
      </c>
      <c r="G540" s="3" t="str">
        <f t="shared" si="151"/>
        <v/>
      </c>
    </row>
    <row r="541" spans="1:7" x14ac:dyDescent="0.2">
      <c r="A541" s="53" t="s">
        <v>42</v>
      </c>
      <c r="B541" s="54">
        <v>100</v>
      </c>
      <c r="C541" s="53" t="s">
        <v>26</v>
      </c>
      <c r="D541" s="3" t="str">
        <f t="shared" si="148"/>
        <v>N/A</v>
      </c>
      <c r="E541" s="3" t="str">
        <f t="shared" si="149"/>
        <v/>
      </c>
      <c r="F541" s="3" t="str">
        <f t="shared" si="150"/>
        <v/>
      </c>
      <c r="G541" s="3" t="str">
        <f t="shared" si="151"/>
        <v/>
      </c>
    </row>
    <row r="542" spans="1:7" x14ac:dyDescent="0.2">
      <c r="A542" s="53" t="s">
        <v>42</v>
      </c>
      <c r="B542" s="54">
        <v>82.5</v>
      </c>
      <c r="C542" s="53" t="s">
        <v>26</v>
      </c>
      <c r="D542" s="3" t="str">
        <f t="shared" si="148"/>
        <v>N/A</v>
      </c>
      <c r="E542" s="3" t="str">
        <f t="shared" si="149"/>
        <v/>
      </c>
      <c r="F542" s="3" t="str">
        <f t="shared" si="150"/>
        <v/>
      </c>
      <c r="G542" s="3" t="str">
        <f t="shared" si="151"/>
        <v/>
      </c>
    </row>
    <row r="543" spans="1:7" x14ac:dyDescent="0.2">
      <c r="A543" s="53" t="s">
        <v>42</v>
      </c>
      <c r="B543" s="54">
        <v>150</v>
      </c>
      <c r="C543" s="53">
        <v>9</v>
      </c>
      <c r="D543" s="3">
        <f t="shared" si="148"/>
        <v>9</v>
      </c>
      <c r="E543" s="3" t="str">
        <f t="shared" si="149"/>
        <v/>
      </c>
      <c r="F543" s="3" t="str">
        <f t="shared" si="150"/>
        <v/>
      </c>
      <c r="G543" s="3" t="str">
        <f t="shared" si="151"/>
        <v/>
      </c>
    </row>
    <row r="544" spans="1:7" x14ac:dyDescent="0.2">
      <c r="A544" s="53" t="s">
        <v>42</v>
      </c>
      <c r="B544" s="54">
        <v>283.5</v>
      </c>
      <c r="C544" s="53">
        <v>9</v>
      </c>
      <c r="D544" s="3">
        <f t="shared" si="148"/>
        <v>9</v>
      </c>
      <c r="E544" s="3" t="str">
        <f t="shared" si="149"/>
        <v/>
      </c>
      <c r="F544" s="3" t="str">
        <f t="shared" si="150"/>
        <v/>
      </c>
      <c r="G544" s="3" t="str">
        <f t="shared" si="151"/>
        <v/>
      </c>
    </row>
    <row r="545" spans="1:7" x14ac:dyDescent="0.2">
      <c r="A545" s="53" t="s">
        <v>42</v>
      </c>
      <c r="B545" s="54">
        <v>82.5</v>
      </c>
      <c r="C545" s="53" t="s">
        <v>26</v>
      </c>
      <c r="D545" s="3" t="str">
        <f t="shared" si="148"/>
        <v>N/A</v>
      </c>
      <c r="E545" s="3" t="str">
        <f t="shared" si="149"/>
        <v/>
      </c>
      <c r="F545" s="3" t="str">
        <f t="shared" si="150"/>
        <v/>
      </c>
      <c r="G545" s="3" t="str">
        <f t="shared" si="151"/>
        <v/>
      </c>
    </row>
    <row r="546" spans="1:7" x14ac:dyDescent="0.2">
      <c r="A546" s="53" t="s">
        <v>125</v>
      </c>
      <c r="B546" s="54">
        <v>1610.2</v>
      </c>
      <c r="C546" s="53" t="s">
        <v>26</v>
      </c>
      <c r="D546" s="3" t="str">
        <f t="shared" si="148"/>
        <v/>
      </c>
      <c r="E546" s="3" t="str">
        <f t="shared" si="149"/>
        <v>N/A</v>
      </c>
      <c r="F546" s="3" t="str">
        <f t="shared" si="150"/>
        <v/>
      </c>
      <c r="G546" s="3" t="str">
        <f t="shared" si="151"/>
        <v/>
      </c>
    </row>
    <row r="547" spans="1:7" x14ac:dyDescent="0.2">
      <c r="A547" s="53" t="s">
        <v>125</v>
      </c>
      <c r="B547" s="54">
        <v>1500</v>
      </c>
      <c r="C547" s="53" t="s">
        <v>26</v>
      </c>
      <c r="D547" s="3" t="str">
        <f t="shared" si="148"/>
        <v/>
      </c>
      <c r="E547" s="3" t="str">
        <f t="shared" si="149"/>
        <v>N/A</v>
      </c>
      <c r="F547" s="3" t="str">
        <f t="shared" si="150"/>
        <v/>
      </c>
      <c r="G547" s="3" t="str">
        <f t="shared" si="151"/>
        <v/>
      </c>
    </row>
    <row r="548" spans="1:7" x14ac:dyDescent="0.2">
      <c r="A548" s="53" t="s">
        <v>125</v>
      </c>
      <c r="B548" s="54">
        <v>942.3</v>
      </c>
      <c r="C548" s="53" t="s">
        <v>26</v>
      </c>
      <c r="D548" s="3" t="str">
        <f t="shared" si="148"/>
        <v>N/A</v>
      </c>
      <c r="E548" s="3" t="str">
        <f t="shared" si="149"/>
        <v/>
      </c>
      <c r="F548" s="3" t="str">
        <f t="shared" si="150"/>
        <v/>
      </c>
      <c r="G548" s="3" t="str">
        <f t="shared" si="151"/>
        <v/>
      </c>
    </row>
    <row r="549" spans="1:7" x14ac:dyDescent="0.2">
      <c r="A549" s="53" t="s">
        <v>125</v>
      </c>
      <c r="B549" s="54">
        <v>550</v>
      </c>
      <c r="C549" s="53">
        <v>10</v>
      </c>
      <c r="D549" s="3">
        <f t="shared" si="148"/>
        <v>10</v>
      </c>
      <c r="E549" s="3" t="str">
        <f t="shared" si="149"/>
        <v/>
      </c>
      <c r="F549" s="3" t="str">
        <f t="shared" si="150"/>
        <v/>
      </c>
      <c r="G549" s="3" t="str">
        <f t="shared" si="151"/>
        <v/>
      </c>
    </row>
    <row r="550" spans="1:7" x14ac:dyDescent="0.2">
      <c r="A550" s="53" t="s">
        <v>125</v>
      </c>
      <c r="B550" s="54">
        <v>583.83000000000004</v>
      </c>
      <c r="C550" s="53" t="s">
        <v>26</v>
      </c>
      <c r="D550" s="3" t="str">
        <f t="shared" si="148"/>
        <v>N/A</v>
      </c>
      <c r="E550" s="3" t="str">
        <f t="shared" si="149"/>
        <v/>
      </c>
      <c r="F550" s="3" t="str">
        <f t="shared" si="150"/>
        <v/>
      </c>
      <c r="G550" s="3" t="str">
        <f t="shared" si="151"/>
        <v/>
      </c>
    </row>
    <row r="551" spans="1:7" x14ac:dyDescent="0.2">
      <c r="A551" s="53" t="s">
        <v>125</v>
      </c>
      <c r="B551" s="54">
        <v>300</v>
      </c>
      <c r="C551" s="53" t="s">
        <v>26</v>
      </c>
      <c r="D551" s="3" t="str">
        <f t="shared" si="148"/>
        <v>N/A</v>
      </c>
      <c r="E551" s="3" t="str">
        <f t="shared" si="149"/>
        <v/>
      </c>
      <c r="F551" s="3" t="str">
        <f t="shared" si="150"/>
        <v/>
      </c>
      <c r="G551" s="3" t="str">
        <f t="shared" si="151"/>
        <v/>
      </c>
    </row>
  </sheetData>
  <sheetProtection formatCells="0" formatColumns="0" formatRows="0" insertColumns="0" insertRows="0" insertHyperlinks="0" deleteColumns="0" deleteRows="0" sort="0" autoFilter="0" pivotTables="0"/>
  <pageMargins left="0.511811024" right="0.511811024" top="0.78740157499999996" bottom="0.78740157499999996" header="0.31496062000000002" footer="0.31496062000000002"/>
  <pageSetup paperSize="9"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11</vt:i4>
      </vt:variant>
    </vt:vector>
  </HeadingPairs>
  <TitlesOfParts>
    <vt:vector size="11" baseType="lpstr">
      <vt:lpstr>Monitoramento Acumulado Geral</vt:lpstr>
      <vt:lpstr>Indicadores</vt:lpstr>
      <vt:lpstr>Cálculo Banda Part. Event.</vt:lpstr>
      <vt:lpstr>Cálculo Banda Faturamento</vt:lpstr>
      <vt:lpstr>Cálculo Banda Part. Proj</vt:lpstr>
      <vt:lpstr>Impacto Eventos</vt:lpstr>
      <vt:lpstr>Calendário de Eventos</vt:lpstr>
      <vt:lpstr>Farol</vt:lpstr>
      <vt:lpstr>Ticket Médio</vt:lpstr>
      <vt:lpstr>PROJETOS NPS DET</vt:lpstr>
      <vt:lpstr>Média NPS-Fat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Mignoni</dc:creator>
  <cp:lastModifiedBy>Ricardo Rohrs</cp:lastModifiedBy>
  <dcterms:created xsi:type="dcterms:W3CDTF">2020-02-19T12:13:32Z</dcterms:created>
  <dcterms:modified xsi:type="dcterms:W3CDTF">2020-10-05T23:15:51Z</dcterms:modified>
</cp:coreProperties>
</file>